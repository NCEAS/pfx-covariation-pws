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harts/chart5.xml" ContentType="application/vnd.openxmlformats-officedocument.drawingml.chart+xml"/>
  <Override PartName="/xl/comments6.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7.xml" ContentType="application/vnd.openxmlformats-officedocument.spreadsheetml.comments+xml"/>
  <Override PartName="/xl/charts/chart6.xml" ContentType="application/vnd.openxmlformats-officedocument.drawingml.chart+xml"/>
  <Override PartName="/xl/drawings/drawing5.xml" ContentType="application/vnd.openxmlformats-officedocument.drawing+xml"/>
  <Override PartName="/xl/comments8.xml" ContentType="application/vnd.openxmlformats-officedocument.spreadsheetml.comments+xml"/>
  <Override PartName="/xl/charts/chart7.xml" ContentType="application/vnd.openxmlformats-officedocument.drawingml.chart+xml"/>
  <Override PartName="/xl/drawings/drawing6.xml" ContentType="application/vnd.openxmlformats-officedocument.drawing+xml"/>
  <Override PartName="/xl/comments9.xml" ContentType="application/vnd.openxmlformats-officedocument.spreadsheetml.comments+xml"/>
  <Override PartName="/xl/charts/chart8.xml" ContentType="application/vnd.openxmlformats-officedocument.drawingml.chart+xml"/>
  <Override PartName="/xl/drawings/drawing7.xml" ContentType="application/vnd.openxmlformats-officedocument.drawing+xml"/>
  <Override PartName="/xl/comments10.xml" ContentType="application/vnd.openxmlformats-officedocument.spreadsheetml.comments+xml"/>
  <Override PartName="/xl/charts/chart9.xml" ContentType="application/vnd.openxmlformats-officedocument.drawingml.chart+xml"/>
  <Override PartName="/xl/drawings/drawing8.xml" ContentType="application/vnd.openxmlformats-officedocument.drawing+xml"/>
  <Override PartName="/xl/comments11.xml" ContentType="application/vnd.openxmlformats-officedocument.spreadsheetml.comments+xml"/>
  <Override PartName="/xl/charts/chart10.xml" ContentType="application/vnd.openxmlformats-officedocument.drawingml.chart+xml"/>
  <Override PartName="/xl/drawings/drawing9.xml" ContentType="application/vnd.openxmlformats-officedocument.drawing+xml"/>
  <Override PartName="/xl/comments12.xml" ContentType="application/vnd.openxmlformats-officedocument.spreadsheetml.comments+xml"/>
  <Override PartName="/xl/charts/chart11.xml" ContentType="application/vnd.openxmlformats-officedocument.drawingml.chart+xml"/>
  <Override PartName="/xl/drawings/drawing10.xml" ContentType="application/vnd.openxmlformats-officedocument.drawing+xml"/>
  <Override PartName="/xl/comments13.xml" ContentType="application/vnd.openxmlformats-officedocument.spreadsheetml.comments+xml"/>
  <Override PartName="/xl/charts/chart1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8C4F1C90-05EB-6A55-5F09-09C24B55AC0B}"/>
  <workbookPr codeName="ThisWorkbook" autoCompressPictures="0"/>
  <bookViews>
    <workbookView xWindow="5400" yWindow="0" windowWidth="28180" windowHeight="12600" tabRatio="924" activeTab="2"/>
  </bookViews>
  <sheets>
    <sheet name="Notes" sheetId="1" r:id="rId1"/>
    <sheet name="SportFish" sheetId="22" r:id="rId2"/>
    <sheet name="BroodTab" sheetId="4" r:id="rId3"/>
    <sheet name="Forecast_Summary" sheetId="3" r:id="rId4"/>
    <sheet name="Performance" sheetId="21" r:id="rId5"/>
    <sheet name="Exploit" sheetId="5" r:id="rId6"/>
    <sheet name="Sockeye" sheetId="6" state="hidden" r:id="rId7"/>
    <sheet name="ln12rps x BYE" sheetId="8" r:id="rId8"/>
    <sheet name="ln 12 x ln 11" sheetId="9" r:id="rId9"/>
    <sheet name="ln 13 x ln 12" sheetId="10" r:id="rId10"/>
    <sheet name="ln13rps x BYE" sheetId="11" r:id="rId11"/>
    <sheet name="ln 22 x ln BY E" sheetId="12" r:id="rId12"/>
    <sheet name="ln 22 x ln 12" sheetId="13" r:id="rId13"/>
    <sheet name="ln 23 x ln 22" sheetId="14" r:id="rId14"/>
    <sheet name="RegOut" sheetId="20" r:id="rId15"/>
    <sheet name="Releases" sheetId="15" r:id="rId16"/>
    <sheet name="ttab" sheetId="16" r:id="rId17"/>
    <sheet name="lookup" sheetId="17" r:id="rId18"/>
    <sheet name="lkup2" sheetId="18" r:id="rId19"/>
  </sheets>
  <definedNames>
    <definedName name="__123Graph_ABYEVRS12" hidden="1">'ln12rps x BYE'!$AA$26:$AA$46</definedName>
    <definedName name="__123Graph_ALN11LN12" hidden="1">'ln 12 x ln 11'!$Z$26:$Z$43</definedName>
    <definedName name="__123Graph_ALN12LN13" hidden="1">'ln 13 x ln 12'!$Z$26:$Z$46</definedName>
    <definedName name="__123Graph_ALN12LN22" hidden="1">'ln 22 x ln 12'!$Z$26:$Z$46</definedName>
    <definedName name="__123Graph_ALN22LN23" hidden="1">'ln 23 x ln 22'!$Z$26:$Z$46</definedName>
    <definedName name="__123Graph_ALNBELN22" hidden="1">'ln 22 x ln BY E'!$Z$26:$Z$46</definedName>
    <definedName name="__123Graph_ATEMP" hidden="1">'ln12rps x BYE'!$AA$26:$AA$40</definedName>
    <definedName name="__123Graph_BBYEVRS12" hidden="1">'ln12rps x BYE'!$AB$26:$AB$46</definedName>
    <definedName name="__123Graph_BLN11LN12" hidden="1">'ln 12 x ln 11'!$AA$26:$AA$43</definedName>
    <definedName name="__123Graph_BLN12LN13" hidden="1">'ln 13 x ln 12'!$AA$26:$AA$46</definedName>
    <definedName name="__123Graph_BLN12LN22" hidden="1">'ln 22 x ln 12'!$AA$26:$AA$46</definedName>
    <definedName name="__123Graph_BLN22LN23" hidden="1">'ln 23 x ln 22'!$AA$26:$AA$46</definedName>
    <definedName name="__123Graph_BLNBELN22" hidden="1">'ln 22 x ln BY E'!$AA$26:$AA$46</definedName>
    <definedName name="__123Graph_BTEMP" hidden="1">'ln12rps x BYE'!$D$26:$D$40</definedName>
    <definedName name="__123Graph_CBYEVRS12" hidden="1">'ln12rps x BYE'!$AD$26:$AD$45</definedName>
    <definedName name="__123Graph_CLN11LN12" hidden="1">'ln 12 x ln 11'!$AC$26:$AC$43</definedName>
    <definedName name="__123Graph_CLN12LN13" hidden="1">'ln 13 x ln 12'!$AC$26:$AC$45</definedName>
    <definedName name="__123Graph_CLN12LN22" hidden="1">'ln 22 x ln 12'!$AC$26:$AC$46</definedName>
    <definedName name="__123Graph_CLN22LN23" hidden="1">'ln 23 x ln 22'!$AC$26:$AC$46</definedName>
    <definedName name="__123Graph_CLNBELN22" hidden="1">'ln 22 x ln BY E'!$AC$26:$AC$46</definedName>
    <definedName name="__123Graph_DBYEVRS12" hidden="1">'ln12rps x BYE'!$AE$26:$AE$45</definedName>
    <definedName name="__123Graph_DLN11LN12" hidden="1">'ln 12 x ln 11'!$AD$26:$AD$43</definedName>
    <definedName name="__123Graph_DLN12LN13" hidden="1">'ln 13 x ln 12'!$AD$26:$AD$45</definedName>
    <definedName name="__123Graph_DLN12LN22" hidden="1">'ln 22 x ln 12'!$AD$26:$AD$46</definedName>
    <definedName name="__123Graph_DLN22LN23" hidden="1">'ln 23 x ln 22'!$AD$26:$AD$46</definedName>
    <definedName name="__123Graph_DLNBELN22" hidden="1">'ln 22 x ln BY E'!$AD$26:$AD$46</definedName>
    <definedName name="__123Graph_E" hidden="1">'ln 12 x ln 11'!$B$77:$B$77</definedName>
    <definedName name="__123Graph_EBYEVRS12" hidden="1">'ln12rps x BYE'!$AF$26:$AF$64</definedName>
    <definedName name="__123Graph_ELN11LN12" hidden="1">'ln 12 x ln 11'!$AE$26:$AE$62</definedName>
    <definedName name="__123Graph_ELN12LN13" hidden="1">'ln 13 x ln 12'!$AE$26:$AE$63</definedName>
    <definedName name="__123Graph_ELN12LN22" hidden="1">'ln 22 x ln 12'!$AE$26:$AE$64</definedName>
    <definedName name="__123Graph_ELN22LN23" hidden="1">'ln 23 x ln 22'!$AE$26:$AE$64</definedName>
    <definedName name="__123Graph_ELNBELN22" hidden="1">'ln 22 x ln BY E'!$AE$26:$AE$64</definedName>
    <definedName name="__123Graph_LBL_BBYEVRS12" hidden="1">'ln12rps x BYE'!$AC$26:$AC$46</definedName>
    <definedName name="__123Graph_LBL_BLN11LN12" hidden="1">'ln 12 x ln 11'!$AB$26:$AB$44</definedName>
    <definedName name="__123Graph_LBL_BLN12LN13" hidden="1">'ln 13 x ln 12'!$AB$26:$AB$45</definedName>
    <definedName name="__123Graph_LBL_BLN12LN22" hidden="1">'ln 22 x ln 12'!$AB$26:$AB$46</definedName>
    <definedName name="__123Graph_LBL_BLN22LN23" hidden="1">'ln 23 x ln 22'!$AB$26:$AB$46</definedName>
    <definedName name="__123Graph_LBL_BLNBELN22" hidden="1">'ln 22 x ln BY E'!$AB$26:$AB$46</definedName>
    <definedName name="__123Graph_LBL_EBYEVRS12" hidden="1">'ln12rps x BYE'!$AG$26:$AG$66</definedName>
    <definedName name="__123Graph_LBL_ELN11LN12" hidden="1">'ln 12 x ln 11'!$AF$26:$AF$34</definedName>
    <definedName name="__123Graph_LBL_ELN12LN13" hidden="1">'ln 13 x ln 12'!$AF$26:$AF$63</definedName>
    <definedName name="__123Graph_XBYEVRS12" hidden="1">'ln12rps x BYE'!$Z$26:$Z$64</definedName>
    <definedName name="_1__123Graph_ACHART_1" hidden="1">'ln13rps x BYE'!$Z$26:$Z$45</definedName>
    <definedName name="_2__123Graph_BCHART_1" hidden="1">'ln13rps x BYE'!$AA$26:$AA$45</definedName>
    <definedName name="_3__123Graph_CCHART_1" hidden="1">'ln13rps x BYE'!$AC$26:$AC$45</definedName>
    <definedName name="_4__123Graph_DCHART_1" hidden="1">'ln13rps x BYE'!$AD$26:$AD$45</definedName>
    <definedName name="_5__123Graph_ECHART_1" hidden="1">'ln13rps x BYE'!$AE$26:$AE$63</definedName>
    <definedName name="_6__123Graph_LBL_BCHART_1" hidden="1">'ln13rps x BYE'!$AB$26:$AB$133</definedName>
    <definedName name="_97RETURN">BroodTab!$B$95</definedName>
    <definedName name="_COX1">Releases!$AQ$12</definedName>
    <definedName name="_COX2">Releases!$AR$12</definedName>
    <definedName name="_Key1" hidden="1">'ln 12 x ln 11'!$B$10</definedName>
    <definedName name="_Order1" hidden="1">255</definedName>
    <definedName name="_Regression_X" hidden="1">'ln 12 x ln 11'!$C$26:$C$45</definedName>
    <definedName name="_Regression_Y" hidden="1">'ln 12 x ln 11'!$D$26:$D$45</definedName>
    <definedName name="\C">#REF!</definedName>
    <definedName name="\D">#REF!</definedName>
    <definedName name="\E">#REF!</definedName>
    <definedName name="\F">#REF!</definedName>
    <definedName name="\G">#REF!</definedName>
    <definedName name="\H">#REF!</definedName>
    <definedName name="\K">#REF!</definedName>
    <definedName name="AllYrs">'ln12rps x BYE'!$B$26:$B$62</definedName>
    <definedName name="avg">BroodTab!$B$70</definedName>
    <definedName name="AVG_BY_ESCAPE">BroodTab!$B$70</definedName>
    <definedName name="BROODT">BroodTab!$A$12:$AG$55</definedName>
    <definedName name="CON">Releases!$AR$6</definedName>
    <definedName name="ERASE2">#REF!</definedName>
    <definedName name="FirstYR">'ln12rps x BYE'!$B$26</definedName>
    <definedName name="ForecastYr">Forecast_Summary!$B$3</definedName>
    <definedName name="FTITLE">#REF!</definedName>
    <definedName name="MAINMAC">#REF!</definedName>
    <definedName name="MainRegion">'ln12rps x BYE'!$A$26:$AE$62</definedName>
    <definedName name="MCMSE">'ln12rps x BYE'!$O$66</definedName>
    <definedName name="MSEAll">'ln12rps x BYE'!$M$64</definedName>
    <definedName name="MSEcalcAll">'ln12rps x BYE'!$O$67</definedName>
    <definedName name="MSEcalcL1O">'ln12rps x BYE'!$O$66</definedName>
    <definedName name="MSEL1O">'ln12rps x BYE'!$M$62</definedName>
    <definedName name="N">Performance!$H$2</definedName>
    <definedName name="NEW">'ln 12 x ln 11'!$B$26</definedName>
    <definedName name="PartOne">RegOut!$A$2:$E$2</definedName>
    <definedName name="PartTwo">RegOut!$G$2:$H$2</definedName>
    <definedName name="PGRAPH">'ln12rps x BYE:ln 23 x ln 22'!$A$58:$I$77</definedName>
    <definedName name="_xlnm.Print_Area" localSheetId="3">Forecast_Summary!$A$1:$M$31</definedName>
    <definedName name="_xlnm.Print_Area" localSheetId="0">Notes!$B$1:$K$34</definedName>
    <definedName name="PTABLE">'ln12rps x BYE:ln 23 x ln 22'!$F$1:$AD$54</definedName>
    <definedName name="REGCON">#REF!</definedName>
    <definedName name="REGDF">#REF!</definedName>
    <definedName name="REGN">#REF!</definedName>
    <definedName name="REGRSQ">#REF!</definedName>
    <definedName name="REGSEX">#REF!</definedName>
    <definedName name="REGSEY">#REF!</definedName>
    <definedName name="REGXCO">#REF!</definedName>
    <definedName name="RNAME">#REF!</definedName>
    <definedName name="RNVAL">#REF!</definedName>
    <definedName name="Rout">RegOut!$A$4:$H$23</definedName>
    <definedName name="Rslts2All">'ln12rps x BYE'!$K$64</definedName>
    <definedName name="Rslts2L1O">'ln12rps x BYE'!$K$62</definedName>
    <definedName name="RsltsAll">'ln12rps x BYE'!$E$64</definedName>
    <definedName name="RsltsL1O">'ln12rps x BYE'!$E$62</definedName>
    <definedName name="S12M1">'ln12rps x BYE'!$A$26:$X$47</definedName>
    <definedName name="S12M2">'ln 12 x ln 11'!$A$26:$X$45</definedName>
    <definedName name="S13M1">'ln 13 x ln 12'!$A$26:$X$46</definedName>
    <definedName name="S13M2">'ln13rps x BYE'!$A$26:$X$46</definedName>
    <definedName name="S22M1">'ln 22 x ln BY E'!$A$26:$X$47</definedName>
    <definedName name="S22M2">'ln 22 x ln 12'!$A$26:$X$47</definedName>
    <definedName name="S23M1">'ln 23 x ln 22'!$A$26:$X$47</definedName>
    <definedName name="Sample_Size">Performance!$H$2</definedName>
    <definedName name="SCUP">#REF!</definedName>
    <definedName name="TVAL">ttab!$A$3:$G$43</definedName>
    <definedName name="XRangeAll">'ln12rps x BYE'!$C$26:$C$62</definedName>
    <definedName name="XRangeL1O">'ln12rps x BYE'!$C$26:$C$61</definedName>
    <definedName name="XRNGE">'ln 12 x ln 11'!$C$26:$C$44</definedName>
    <definedName name="YestAll">'ln12rps x BYE'!$J$64</definedName>
    <definedName name="YestL1O">'ln12rps x BYE'!$J$62</definedName>
    <definedName name="YRangeAll">'ln12rps x BYE'!$D$26:$D$62</definedName>
    <definedName name="YRangeL1O">'ln12rps x BYE'!$D$26:$D$61</definedName>
    <definedName name="YRNGE">'ln 12 x ln 11'!$D$26:$D$44</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7" i="5" l="1"/>
  <c r="C7" i="5"/>
  <c r="B8" i="5"/>
  <c r="C8" i="5"/>
  <c r="B9" i="5"/>
  <c r="C9" i="5"/>
  <c r="B10" i="5"/>
  <c r="C10" i="5"/>
  <c r="B11" i="5"/>
  <c r="C11" i="5"/>
  <c r="B12" i="5"/>
  <c r="C12" i="5"/>
  <c r="B13" i="5"/>
  <c r="C13" i="5"/>
  <c r="B14" i="5"/>
  <c r="C14" i="5"/>
  <c r="B15" i="5"/>
  <c r="C15" i="5"/>
  <c r="B16" i="5"/>
  <c r="C16" i="5"/>
  <c r="B17" i="5"/>
  <c r="C17" i="5"/>
  <c r="B18" i="5"/>
  <c r="C18" i="5"/>
  <c r="B19" i="5"/>
  <c r="C19" i="5"/>
  <c r="B20" i="5"/>
  <c r="C20" i="5"/>
  <c r="B21" i="5"/>
  <c r="C21" i="5"/>
  <c r="B22" i="5"/>
  <c r="C22" i="5"/>
  <c r="B23" i="5"/>
  <c r="C23" i="5"/>
  <c r="B24" i="5"/>
  <c r="C24" i="5"/>
  <c r="B25" i="5"/>
  <c r="C25" i="5"/>
  <c r="B26" i="5"/>
  <c r="C26" i="5"/>
  <c r="B27" i="5"/>
  <c r="C27" i="5"/>
  <c r="B28" i="5"/>
  <c r="C28" i="5"/>
  <c r="B29" i="5"/>
  <c r="C29" i="5"/>
  <c r="B30" i="5"/>
  <c r="C30" i="5"/>
  <c r="B31" i="5"/>
  <c r="C31" i="5"/>
  <c r="AC37" i="4"/>
  <c r="W38" i="4"/>
  <c r="Q38" i="4"/>
  <c r="K39" i="4"/>
  <c r="B32" i="5"/>
  <c r="C32" i="5"/>
  <c r="B33" i="5"/>
  <c r="C33" i="5"/>
  <c r="B34" i="5"/>
  <c r="C34" i="5"/>
  <c r="B35" i="5"/>
  <c r="C35" i="5"/>
  <c r="B36" i="5"/>
  <c r="C36" i="5"/>
  <c r="B37" i="5"/>
  <c r="C37" i="5"/>
  <c r="B38" i="5"/>
  <c r="C38" i="5"/>
  <c r="B39" i="5"/>
  <c r="C39" i="5"/>
  <c r="B40" i="5"/>
  <c r="C40" i="5"/>
  <c r="B41" i="5"/>
  <c r="C41" i="5"/>
  <c r="B42" i="5"/>
  <c r="C42" i="5"/>
  <c r="B43" i="5"/>
  <c r="C43" i="5"/>
  <c r="B44" i="5"/>
  <c r="C44" i="5"/>
  <c r="B45" i="5"/>
  <c r="C45" i="5"/>
  <c r="B46" i="5"/>
  <c r="C46" i="5"/>
  <c r="B47" i="5"/>
  <c r="C47" i="5"/>
  <c r="B48" i="5"/>
  <c r="C48" i="5"/>
  <c r="B49" i="5"/>
  <c r="C49" i="5"/>
  <c r="B50" i="5"/>
  <c r="B61" i="4"/>
  <c r="C50" i="5"/>
  <c r="B51" i="5"/>
  <c r="C51" i="5"/>
  <c r="B52" i="5"/>
  <c r="C52" i="5"/>
  <c r="B53" i="5"/>
  <c r="C53" i="5"/>
  <c r="C55"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5" i="5"/>
  <c r="E5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5"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5"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5" i="5"/>
  <c r="C56" i="5"/>
  <c r="D56" i="5"/>
  <c r="E56" i="5"/>
  <c r="F56" i="5"/>
  <c r="G56" i="5"/>
  <c r="H56" i="5"/>
  <c r="C57" i="5"/>
  <c r="D57" i="5"/>
  <c r="E57" i="5"/>
  <c r="F57" i="5"/>
  <c r="G57" i="5"/>
  <c r="H57" i="5"/>
  <c r="C58" i="5"/>
  <c r="D58" i="5"/>
  <c r="E58" i="5"/>
  <c r="F58" i="5"/>
  <c r="G58" i="5"/>
  <c r="H58" i="5"/>
  <c r="B58" i="5"/>
  <c r="B55" i="5"/>
  <c r="B57" i="5"/>
  <c r="B56" i="5"/>
  <c r="AK34" i="4"/>
  <c r="D12" i="21"/>
  <c r="G12" i="21"/>
  <c r="AK35" i="4"/>
  <c r="D13" i="21"/>
  <c r="G13" i="21"/>
  <c r="AK36" i="4"/>
  <c r="D14" i="21"/>
  <c r="G14" i="21"/>
  <c r="AK37" i="4"/>
  <c r="D15" i="21"/>
  <c r="G15" i="21"/>
  <c r="AK38" i="4"/>
  <c r="D16" i="21"/>
  <c r="G16" i="21"/>
  <c r="AK39" i="4"/>
  <c r="D17" i="21"/>
  <c r="G17" i="21"/>
  <c r="AK40" i="4"/>
  <c r="D18" i="21"/>
  <c r="G18" i="21"/>
  <c r="AK41" i="4"/>
  <c r="D19" i="21"/>
  <c r="G19" i="21"/>
  <c r="AK42" i="4"/>
  <c r="D20" i="21"/>
  <c r="G20" i="21"/>
  <c r="AK43" i="4"/>
  <c r="D21" i="21"/>
  <c r="G21" i="21"/>
  <c r="AK44" i="4"/>
  <c r="D22" i="21"/>
  <c r="G22" i="21"/>
  <c r="AK45" i="4"/>
  <c r="D23" i="21"/>
  <c r="G23" i="21"/>
  <c r="AK46" i="4"/>
  <c r="D24" i="21"/>
  <c r="G24" i="21"/>
  <c r="AK47" i="4"/>
  <c r="D25" i="21"/>
  <c r="G25" i="21"/>
  <c r="AK48" i="4"/>
  <c r="D26" i="21"/>
  <c r="G26" i="21"/>
  <c r="AK49" i="4"/>
  <c r="D27" i="21"/>
  <c r="G27" i="21"/>
  <c r="G28" i="21"/>
  <c r="G29" i="21"/>
  <c r="G30" i="21"/>
  <c r="G31" i="21"/>
  <c r="AK54" i="4"/>
  <c r="D32" i="21"/>
  <c r="G32" i="21"/>
  <c r="AK55" i="4"/>
  <c r="D33" i="21"/>
  <c r="G33" i="21"/>
  <c r="AK56" i="4"/>
  <c r="D34" i="21"/>
  <c r="G34" i="21"/>
  <c r="AK57" i="4"/>
  <c r="D35" i="21"/>
  <c r="G35" i="21"/>
  <c r="AK58" i="4"/>
  <c r="D36" i="21"/>
  <c r="G36" i="21"/>
  <c r="AK59" i="4"/>
  <c r="D37" i="21"/>
  <c r="G37" i="21"/>
  <c r="AK60" i="4"/>
  <c r="D38" i="21"/>
  <c r="G38" i="21"/>
  <c r="G51" i="21"/>
  <c r="H2" i="21"/>
  <c r="G52" i="21"/>
  <c r="H4" i="21"/>
  <c r="G54" i="21"/>
  <c r="H54" i="21"/>
  <c r="S20" i="21"/>
  <c r="S19" i="21"/>
  <c r="S21" i="21"/>
  <c r="S22" i="21"/>
  <c r="S23" i="21"/>
  <c r="S24" i="21"/>
  <c r="S25" i="21"/>
  <c r="S26" i="21"/>
  <c r="S27" i="21"/>
  <c r="S28" i="21"/>
  <c r="S29" i="21"/>
  <c r="S30" i="21"/>
  <c r="S31" i="21"/>
  <c r="S32" i="21"/>
  <c r="S33" i="21"/>
  <c r="S34" i="21"/>
  <c r="S35" i="21"/>
  <c r="S36" i="21"/>
  <c r="S37" i="21"/>
  <c r="S38" i="21"/>
  <c r="U20" i="21"/>
  <c r="U21" i="21"/>
  <c r="U22" i="21"/>
  <c r="U23" i="21"/>
  <c r="U24" i="21"/>
  <c r="U25" i="21"/>
  <c r="U26" i="21"/>
  <c r="U27" i="21"/>
  <c r="U28" i="21"/>
  <c r="U29" i="21"/>
  <c r="U30" i="21"/>
  <c r="U31" i="21"/>
  <c r="U32" i="21"/>
  <c r="U33" i="21"/>
  <c r="U34" i="21"/>
  <c r="U35" i="21"/>
  <c r="U36" i="21"/>
  <c r="U37" i="21"/>
  <c r="U38" i="21"/>
  <c r="U39" i="21"/>
  <c r="U19" i="21"/>
  <c r="AM69" i="4"/>
  <c r="F61" i="4"/>
  <c r="P62" i="9"/>
  <c r="U62" i="9"/>
  <c r="F67" i="8"/>
  <c r="F66"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c r="B29" i="12"/>
  <c r="B28" i="12"/>
  <c r="B27" i="12"/>
  <c r="B26" i="12"/>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L72" i="10"/>
  <c r="P61" i="14"/>
  <c r="U61" i="14"/>
  <c r="AB61" i="14"/>
  <c r="P61" i="13"/>
  <c r="U61" i="13"/>
  <c r="AB61" i="13"/>
  <c r="P61" i="12"/>
  <c r="U61" i="12"/>
  <c r="AB61" i="12"/>
  <c r="P60" i="11"/>
  <c r="C60" i="11"/>
  <c r="Z60" i="11"/>
  <c r="AB60" i="11"/>
  <c r="P60" i="10"/>
  <c r="U60" i="10"/>
  <c r="AB60" i="10"/>
  <c r="P59" i="9"/>
  <c r="U59" i="9"/>
  <c r="AB59" i="9"/>
  <c r="P61" i="8"/>
  <c r="C61" i="8"/>
  <c r="AA61" i="8"/>
  <c r="AC61" i="8"/>
  <c r="C70" i="21"/>
  <c r="C69" i="21"/>
  <c r="C68" i="21"/>
  <c r="U60" i="11"/>
  <c r="Y60" i="11"/>
  <c r="U61" i="8"/>
  <c r="Z61" i="8"/>
  <c r="AO20" i="4"/>
  <c r="AO21" i="4"/>
  <c r="AO22" i="4"/>
  <c r="AO23" i="4"/>
  <c r="AO24" i="4"/>
  <c r="AO25" i="4"/>
  <c r="AO26" i="4"/>
  <c r="AO27" i="4"/>
  <c r="AO28" i="4"/>
  <c r="AO29" i="4"/>
  <c r="AO30" i="4"/>
  <c r="AO31" i="4"/>
  <c r="AO32" i="4"/>
  <c r="AO33" i="4"/>
  <c r="AO34" i="4"/>
  <c r="AO35" i="4"/>
  <c r="AO36" i="4"/>
  <c r="AO37" i="4"/>
  <c r="AO38" i="4"/>
  <c r="AO39" i="4"/>
  <c r="AO40" i="4"/>
  <c r="AO41" i="4"/>
  <c r="AO42" i="4"/>
  <c r="AO43" i="4"/>
  <c r="AO44" i="4"/>
  <c r="AO45" i="4"/>
  <c r="AO46" i="4"/>
  <c r="AO47" i="4"/>
  <c r="AO48" i="4"/>
  <c r="AO49" i="4"/>
  <c r="AO50" i="4"/>
  <c r="AO51" i="4"/>
  <c r="AO52" i="4"/>
  <c r="AO53" i="4"/>
  <c r="AO54" i="4"/>
  <c r="AO55" i="4"/>
  <c r="AO56" i="4"/>
  <c r="AO58" i="4"/>
  <c r="AO59" i="4"/>
  <c r="AO60" i="4"/>
  <c r="E70" i="4"/>
  <c r="C9" i="3"/>
  <c r="E73" i="4"/>
  <c r="E75" i="4"/>
  <c r="K72" i="4"/>
  <c r="E74" i="4"/>
  <c r="E72" i="4"/>
  <c r="E71" i="4"/>
  <c r="F9" i="3"/>
  <c r="B76" i="4"/>
  <c r="E9" i="3"/>
  <c r="L9" i="3"/>
  <c r="D9" i="3"/>
  <c r="K9" i="3"/>
  <c r="AH13" i="4"/>
  <c r="AH14" i="4"/>
  <c r="AH15" i="4"/>
  <c r="AH16" i="4"/>
  <c r="AH17" i="4"/>
  <c r="AH18" i="4"/>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49" i="4"/>
  <c r="AH50" i="4"/>
  <c r="AH51" i="4"/>
  <c r="AH52" i="4"/>
  <c r="AH53" i="4"/>
  <c r="AH54" i="4"/>
  <c r="AH55" i="4"/>
  <c r="AH56" i="4"/>
  <c r="AH57" i="4"/>
  <c r="AH58" i="4"/>
  <c r="AH59" i="4"/>
  <c r="AH60" i="4"/>
  <c r="AH61" i="4"/>
  <c r="AH12" i="4"/>
  <c r="AI61" i="4"/>
  <c r="AI58" i="4"/>
  <c r="AI57" i="4"/>
  <c r="AI59" i="4"/>
  <c r="AN59" i="4"/>
  <c r="AI60" i="4"/>
  <c r="AD58" i="4"/>
  <c r="AE58" i="4"/>
  <c r="AF58" i="4"/>
  <c r="AG58" i="4"/>
  <c r="X59" i="4"/>
  <c r="Y59" i="4"/>
  <c r="Z59" i="4"/>
  <c r="AA59" i="4"/>
  <c r="R59" i="4"/>
  <c r="T59" i="4"/>
  <c r="U59" i="4"/>
  <c r="L60" i="4"/>
  <c r="N60" i="4"/>
  <c r="O60" i="4"/>
  <c r="G61" i="4"/>
  <c r="C64" i="4"/>
  <c r="S59" i="4"/>
  <c r="P139" i="4"/>
  <c r="M60" i="4"/>
  <c r="O140" i="4"/>
  <c r="H38" i="21"/>
  <c r="E38" i="21"/>
  <c r="K73" i="4"/>
  <c r="K70" i="4"/>
  <c r="K74" i="4"/>
  <c r="K71" i="4"/>
  <c r="AC72" i="4"/>
  <c r="W72" i="4"/>
  <c r="Q72" i="4"/>
  <c r="K75" i="4"/>
  <c r="AB58" i="4"/>
  <c r="V59" i="4"/>
  <c r="P59" i="4"/>
  <c r="J60" i="4"/>
  <c r="D61" i="4"/>
  <c r="AI13" i="4"/>
  <c r="AN13" i="4"/>
  <c r="AN57" i="4"/>
  <c r="AI56" i="4"/>
  <c r="AN56" i="4"/>
  <c r="R16" i="3"/>
  <c r="F55" i="4"/>
  <c r="AI55" i="4"/>
  <c r="AN55" i="4"/>
  <c r="L73" i="10"/>
  <c r="AC60" i="8"/>
  <c r="P60" i="14"/>
  <c r="AB60" i="14"/>
  <c r="P60" i="13"/>
  <c r="AB60" i="13"/>
  <c r="P60" i="12"/>
  <c r="AB60" i="12"/>
  <c r="P59" i="11"/>
  <c r="C59" i="11"/>
  <c r="Z59" i="11"/>
  <c r="AB59" i="11"/>
  <c r="P59" i="10"/>
  <c r="AB59" i="10"/>
  <c r="P58" i="9"/>
  <c r="AB58" i="9"/>
  <c r="P60" i="8"/>
  <c r="C60" i="8"/>
  <c r="AA60" i="8"/>
  <c r="R38" i="21"/>
  <c r="T13" i="4"/>
  <c r="T12" i="4"/>
  <c r="AD57" i="4"/>
  <c r="AF57" i="4"/>
  <c r="AG57" i="4"/>
  <c r="X58" i="4"/>
  <c r="Z58" i="4"/>
  <c r="AA58" i="4"/>
  <c r="R58" i="4"/>
  <c r="T58" i="4"/>
  <c r="L59" i="4"/>
  <c r="O139" i="4"/>
  <c r="N59" i="4"/>
  <c r="D61" i="8"/>
  <c r="O59" i="4"/>
  <c r="F60" i="4"/>
  <c r="G60" i="4"/>
  <c r="H60" i="4"/>
  <c r="I60" i="4"/>
  <c r="C63" i="4"/>
  <c r="AB57" i="4"/>
  <c r="V13" i="4"/>
  <c r="V14" i="4"/>
  <c r="V15" i="4"/>
  <c r="V16" i="4"/>
  <c r="V17" i="4"/>
  <c r="V18" i="4"/>
  <c r="V19" i="4"/>
  <c r="V20" i="4"/>
  <c r="V21" i="4"/>
  <c r="V22" i="4"/>
  <c r="V23" i="4"/>
  <c r="V24" i="4"/>
  <c r="V25" i="4"/>
  <c r="V26" i="4"/>
  <c r="V27" i="4"/>
  <c r="V28" i="4"/>
  <c r="V29" i="4"/>
  <c r="V30" i="4"/>
  <c r="V31" i="4"/>
  <c r="V32" i="4"/>
  <c r="V33" i="4"/>
  <c r="V34" i="4"/>
  <c r="V35" i="4"/>
  <c r="V36" i="4"/>
  <c r="V37" i="4"/>
  <c r="V38" i="4"/>
  <c r="V39" i="4"/>
  <c r="V40" i="4"/>
  <c r="V41" i="4"/>
  <c r="V42" i="4"/>
  <c r="V43" i="4"/>
  <c r="V44" i="4"/>
  <c r="V45" i="4"/>
  <c r="V46" i="4"/>
  <c r="V47" i="4"/>
  <c r="V48" i="4"/>
  <c r="V49" i="4"/>
  <c r="V50" i="4"/>
  <c r="V51" i="4"/>
  <c r="V52" i="4"/>
  <c r="V53" i="4"/>
  <c r="V54" i="4"/>
  <c r="V55" i="4"/>
  <c r="V56" i="4"/>
  <c r="V57" i="4"/>
  <c r="V58" i="4"/>
  <c r="V12" i="4"/>
  <c r="P58" i="4"/>
  <c r="J59" i="4"/>
  <c r="D60" i="4"/>
  <c r="S58" i="4"/>
  <c r="D60" i="10"/>
  <c r="AE57" i="4"/>
  <c r="D61" i="14"/>
  <c r="AB61" i="8"/>
  <c r="N61" i="8"/>
  <c r="O61" i="8"/>
  <c r="X61" i="8"/>
  <c r="Y61" i="8"/>
  <c r="S61" i="8"/>
  <c r="T61" i="8"/>
  <c r="Y58" i="4"/>
  <c r="D61" i="13"/>
  <c r="D61" i="12"/>
  <c r="M59" i="4"/>
  <c r="D59" i="9"/>
  <c r="U58" i="4"/>
  <c r="D60" i="11"/>
  <c r="W76" i="4"/>
  <c r="P138" i="4"/>
  <c r="C63" i="10"/>
  <c r="H37" i="21"/>
  <c r="E37" i="21"/>
  <c r="C62" i="9"/>
  <c r="Z62" i="9"/>
  <c r="AE62" i="9"/>
  <c r="AQ59" i="4"/>
  <c r="U60" i="14"/>
  <c r="U60" i="13"/>
  <c r="U60" i="12"/>
  <c r="U59" i="11"/>
  <c r="Y59" i="11"/>
  <c r="U59" i="10"/>
  <c r="U58" i="9"/>
  <c r="U60" i="8"/>
  <c r="Z60" i="8"/>
  <c r="N61" i="14"/>
  <c r="O61" i="14"/>
  <c r="X61" i="14"/>
  <c r="AA61" i="14"/>
  <c r="S61" i="14"/>
  <c r="T61" i="14"/>
  <c r="AA61" i="12"/>
  <c r="X61" i="12"/>
  <c r="S61" i="12"/>
  <c r="T61" i="12"/>
  <c r="N61" i="12"/>
  <c r="O61" i="12"/>
  <c r="N61" i="13"/>
  <c r="O61" i="13"/>
  <c r="S61" i="13"/>
  <c r="T61" i="13"/>
  <c r="X61" i="13"/>
  <c r="AA61" i="13"/>
  <c r="N60" i="10"/>
  <c r="O60" i="10"/>
  <c r="S60" i="10"/>
  <c r="T60" i="10"/>
  <c r="AA60" i="10"/>
  <c r="X60" i="10"/>
  <c r="N60" i="11"/>
  <c r="O60" i="11"/>
  <c r="AA60" i="11"/>
  <c r="X60" i="11"/>
  <c r="S60" i="11"/>
  <c r="T60" i="11"/>
  <c r="N59" i="9"/>
  <c r="O59" i="9"/>
  <c r="S59" i="9"/>
  <c r="T59" i="9"/>
  <c r="AA59" i="9"/>
  <c r="X59" i="9"/>
  <c r="AQ58" i="4"/>
  <c r="E83" i="4"/>
  <c r="C32" i="22"/>
  <c r="Y15" i="3"/>
  <c r="X15" i="3"/>
  <c r="Y14" i="3"/>
  <c r="X14" i="3"/>
  <c r="Y13" i="3"/>
  <c r="X13" i="3"/>
  <c r="Y12" i="3"/>
  <c r="X12" i="3"/>
  <c r="X16" i="3"/>
  <c r="S16" i="3"/>
  <c r="I2" i="21"/>
  <c r="R37" i="21"/>
  <c r="Y16" i="3"/>
  <c r="U16" i="3"/>
  <c r="I59" i="18"/>
  <c r="R153" i="15"/>
  <c r="R155" i="15"/>
  <c r="R157" i="15"/>
  <c r="T153" i="15"/>
  <c r="T155" i="15"/>
  <c r="T157" i="15"/>
  <c r="U153" i="15"/>
  <c r="U155" i="15"/>
  <c r="U157" i="15"/>
  <c r="V153" i="15"/>
  <c r="V155" i="15"/>
  <c r="V157" i="15"/>
  <c r="W153" i="15"/>
  <c r="W155" i="15"/>
  <c r="W157" i="15"/>
  <c r="X153" i="15"/>
  <c r="X155" i="15"/>
  <c r="X157" i="15"/>
  <c r="Y153" i="15"/>
  <c r="Y155" i="15"/>
  <c r="Y157" i="15"/>
  <c r="Z153" i="15"/>
  <c r="Z155" i="15"/>
  <c r="Z157" i="15"/>
  <c r="AA153" i="15"/>
  <c r="AA155" i="15"/>
  <c r="AA157" i="15"/>
  <c r="AB153" i="15"/>
  <c r="AB155" i="15"/>
  <c r="AB157" i="15"/>
  <c r="AC157" i="15"/>
  <c r="S153" i="15"/>
  <c r="S155" i="15"/>
  <c r="J69" i="15"/>
  <c r="K69" i="15"/>
  <c r="L69" i="15"/>
  <c r="H69" i="15"/>
  <c r="W69" i="15"/>
  <c r="K70" i="15"/>
  <c r="L70" i="15"/>
  <c r="M70" i="15"/>
  <c r="H70" i="15"/>
  <c r="W70" i="15"/>
  <c r="L71" i="15"/>
  <c r="M71" i="15"/>
  <c r="N71" i="15"/>
  <c r="H71" i="15"/>
  <c r="W71" i="15"/>
  <c r="W77" i="15"/>
  <c r="W5" i="15"/>
  <c r="W6" i="15"/>
  <c r="W7" i="15"/>
  <c r="W8" i="15"/>
  <c r="W9" i="15"/>
  <c r="W10" i="15"/>
  <c r="W11" i="15"/>
  <c r="W12" i="15"/>
  <c r="W13" i="15"/>
  <c r="W14" i="15"/>
  <c r="W15" i="15"/>
  <c r="W16" i="15"/>
  <c r="W17" i="15"/>
  <c r="W18" i="15"/>
  <c r="W19" i="15"/>
  <c r="W20" i="15"/>
  <c r="W21" i="15"/>
  <c r="W22" i="15"/>
  <c r="W23" i="15"/>
  <c r="W24" i="15"/>
  <c r="Z5" i="15"/>
  <c r="Z6" i="15"/>
  <c r="Z7" i="15"/>
  <c r="Z8" i="15"/>
  <c r="Z9" i="15"/>
  <c r="Z10" i="15"/>
  <c r="Z11" i="15"/>
  <c r="Z12" i="15"/>
  <c r="Z13" i="15"/>
  <c r="Z14" i="15"/>
  <c r="Z15" i="15"/>
  <c r="Z16" i="15"/>
  <c r="Z17" i="15"/>
  <c r="Z18" i="15"/>
  <c r="Z19" i="15"/>
  <c r="Z20" i="15"/>
  <c r="Z21" i="15"/>
  <c r="Z22" i="15"/>
  <c r="Z23" i="15"/>
  <c r="Z24" i="15"/>
  <c r="W25" i="15"/>
  <c r="Z25" i="15"/>
  <c r="W26" i="15"/>
  <c r="Z26" i="15"/>
  <c r="W27" i="15"/>
  <c r="Z27" i="15"/>
  <c r="W28" i="15"/>
  <c r="Z28" i="15"/>
  <c r="W29" i="15"/>
  <c r="Z29" i="15"/>
  <c r="Z59" i="15"/>
  <c r="AA5" i="15"/>
  <c r="AA6" i="15"/>
  <c r="AA7" i="15"/>
  <c r="AA8" i="15"/>
  <c r="AA9" i="15"/>
  <c r="AA10" i="15"/>
  <c r="AA11" i="15"/>
  <c r="AA12" i="15"/>
  <c r="AA13" i="15"/>
  <c r="AA14" i="15"/>
  <c r="AA15" i="15"/>
  <c r="AA16" i="15"/>
  <c r="AA17" i="15"/>
  <c r="AA18" i="15"/>
  <c r="AA19" i="15"/>
  <c r="AA20" i="15"/>
  <c r="AA21" i="15"/>
  <c r="AA22" i="15"/>
  <c r="AA23" i="15"/>
  <c r="AA24" i="15"/>
  <c r="AD5" i="15"/>
  <c r="AD6" i="15"/>
  <c r="AD7" i="15"/>
  <c r="AD8" i="15"/>
  <c r="AD9" i="15"/>
  <c r="AD10" i="15"/>
  <c r="AD11" i="15"/>
  <c r="AD12" i="15"/>
  <c r="AD13" i="15"/>
  <c r="AD14" i="15"/>
  <c r="AD15" i="15"/>
  <c r="AD16" i="15"/>
  <c r="AD17" i="15"/>
  <c r="AD18" i="15"/>
  <c r="AD19" i="15"/>
  <c r="AD20" i="15"/>
  <c r="AD21" i="15"/>
  <c r="AD22" i="15"/>
  <c r="AD23" i="15"/>
  <c r="AD24" i="15"/>
  <c r="AA25" i="15"/>
  <c r="AD25" i="15"/>
  <c r="AA26" i="15"/>
  <c r="AD26" i="15"/>
  <c r="AA27" i="15"/>
  <c r="AD27" i="15"/>
  <c r="AA28" i="15"/>
  <c r="AD28" i="15"/>
  <c r="AA29" i="15"/>
  <c r="AD29" i="15"/>
  <c r="Z60" i="15"/>
  <c r="Z61" i="15"/>
  <c r="W78" i="15"/>
  <c r="H74" i="15"/>
  <c r="X69" i="15"/>
  <c r="X70" i="15"/>
  <c r="X71" i="15"/>
  <c r="X77" i="15"/>
  <c r="AD59" i="15"/>
  <c r="AD60" i="15"/>
  <c r="AD61" i="15"/>
  <c r="X78" i="15"/>
  <c r="AC136" i="15"/>
  <c r="H88" i="15"/>
  <c r="L85" i="15"/>
  <c r="M85" i="15"/>
  <c r="N85" i="15"/>
  <c r="H85" i="15"/>
  <c r="W85" i="15"/>
  <c r="W91" i="15"/>
  <c r="W92" i="15"/>
  <c r="X85" i="15"/>
  <c r="X91" i="15"/>
  <c r="X92" i="15"/>
  <c r="AC137" i="15"/>
  <c r="H102" i="15"/>
  <c r="L99" i="15"/>
  <c r="M99" i="15"/>
  <c r="N99" i="15"/>
  <c r="H99" i="15"/>
  <c r="W99" i="15"/>
  <c r="W105" i="15"/>
  <c r="W106" i="15"/>
  <c r="X99" i="15"/>
  <c r="X105" i="15"/>
  <c r="X106" i="15"/>
  <c r="AC138" i="15"/>
  <c r="H116" i="15"/>
  <c r="L113" i="15"/>
  <c r="M113" i="15"/>
  <c r="N113" i="15"/>
  <c r="H113" i="15"/>
  <c r="W113" i="15"/>
  <c r="W119" i="15"/>
  <c r="W120" i="15"/>
  <c r="AC139" i="15"/>
  <c r="AC141" i="15"/>
  <c r="AC143" i="15"/>
  <c r="H73" i="15"/>
  <c r="Y69" i="15"/>
  <c r="Y70" i="15"/>
  <c r="Y71" i="15"/>
  <c r="Y77" i="15"/>
  <c r="AB5" i="15"/>
  <c r="AB6" i="15"/>
  <c r="AB7" i="15"/>
  <c r="AB8" i="15"/>
  <c r="AB9" i="15"/>
  <c r="AB10" i="15"/>
  <c r="AB11" i="15"/>
  <c r="AB12" i="15"/>
  <c r="AB13" i="15"/>
  <c r="AB14" i="15"/>
  <c r="AB15" i="15"/>
  <c r="AB16" i="15"/>
  <c r="AB17" i="15"/>
  <c r="AB18" i="15"/>
  <c r="AB19" i="15"/>
  <c r="AB20" i="15"/>
  <c r="AB21" i="15"/>
  <c r="AB22" i="15"/>
  <c r="AB23" i="15"/>
  <c r="AB24" i="15"/>
  <c r="AE5" i="15"/>
  <c r="AE6" i="15"/>
  <c r="AE7" i="15"/>
  <c r="AE8" i="15"/>
  <c r="AE9" i="15"/>
  <c r="AE10" i="15"/>
  <c r="AE11" i="15"/>
  <c r="AE12" i="15"/>
  <c r="AE13" i="15"/>
  <c r="AE14" i="15"/>
  <c r="AE15" i="15"/>
  <c r="AE16" i="15"/>
  <c r="AE17" i="15"/>
  <c r="AE18" i="15"/>
  <c r="AE19" i="15"/>
  <c r="AE20" i="15"/>
  <c r="AE21" i="15"/>
  <c r="AE22" i="15"/>
  <c r="AE23" i="15"/>
  <c r="AE24" i="15"/>
  <c r="AB25" i="15"/>
  <c r="AE25" i="15"/>
  <c r="AB26" i="15"/>
  <c r="AE26" i="15"/>
  <c r="AB27" i="15"/>
  <c r="AE27" i="15"/>
  <c r="AB28" i="15"/>
  <c r="AE28" i="15"/>
  <c r="AB29" i="15"/>
  <c r="AE29" i="15"/>
  <c r="AE59" i="15"/>
  <c r="AE60" i="15"/>
  <c r="AE61" i="15"/>
  <c r="Y78" i="15"/>
  <c r="AD136" i="15"/>
  <c r="H87" i="15"/>
  <c r="Y85" i="15"/>
  <c r="Y91" i="15"/>
  <c r="Y92" i="15"/>
  <c r="AD137" i="15"/>
  <c r="H101" i="15"/>
  <c r="Y99" i="15"/>
  <c r="Y105" i="15"/>
  <c r="Y106" i="15"/>
  <c r="AD138" i="15"/>
  <c r="H115" i="15"/>
  <c r="Y113" i="15"/>
  <c r="Y119" i="15"/>
  <c r="Y120" i="15"/>
  <c r="AD139" i="15"/>
  <c r="AD141" i="15"/>
  <c r="AD142" i="15"/>
  <c r="AD143" i="15"/>
  <c r="H72" i="15"/>
  <c r="Z69" i="15"/>
  <c r="Z70" i="15"/>
  <c r="Z71" i="15"/>
  <c r="Z77" i="15"/>
  <c r="AC5" i="15"/>
  <c r="AC6" i="15"/>
  <c r="AC7" i="15"/>
  <c r="AC8" i="15"/>
  <c r="AC9" i="15"/>
  <c r="AC10" i="15"/>
  <c r="AC11" i="15"/>
  <c r="AC12" i="15"/>
  <c r="AC13" i="15"/>
  <c r="AC14" i="15"/>
  <c r="AC15" i="15"/>
  <c r="AC16" i="15"/>
  <c r="AC17" i="15"/>
  <c r="AC18" i="15"/>
  <c r="AC19" i="15"/>
  <c r="AC20" i="15"/>
  <c r="AC21" i="15"/>
  <c r="AC22" i="15"/>
  <c r="AC23" i="15"/>
  <c r="AC24" i="15"/>
  <c r="AF5" i="15"/>
  <c r="AF6" i="15"/>
  <c r="AF7" i="15"/>
  <c r="AF8" i="15"/>
  <c r="AF9" i="15"/>
  <c r="AF10" i="15"/>
  <c r="AF11" i="15"/>
  <c r="AF12" i="15"/>
  <c r="AF13" i="15"/>
  <c r="AF14" i="15"/>
  <c r="AF15" i="15"/>
  <c r="AF16" i="15"/>
  <c r="AF17" i="15"/>
  <c r="AF18" i="15"/>
  <c r="AF19" i="15"/>
  <c r="AF20" i="15"/>
  <c r="AF21" i="15"/>
  <c r="AF22" i="15"/>
  <c r="AF23" i="15"/>
  <c r="AF24" i="15"/>
  <c r="AC25" i="15"/>
  <c r="AF25" i="15"/>
  <c r="AC26" i="15"/>
  <c r="AF26" i="15"/>
  <c r="AC27" i="15"/>
  <c r="AF27" i="15"/>
  <c r="AC28" i="15"/>
  <c r="AF28" i="15"/>
  <c r="AC29" i="15"/>
  <c r="AF29" i="15"/>
  <c r="AF59" i="15"/>
  <c r="AF60" i="15"/>
  <c r="AF61" i="15"/>
  <c r="Z78" i="15"/>
  <c r="AE136" i="15"/>
  <c r="H86" i="15"/>
  <c r="Z85" i="15"/>
  <c r="Z91" i="15"/>
  <c r="Z92" i="15"/>
  <c r="AE137" i="15"/>
  <c r="H100" i="15"/>
  <c r="Z99" i="15"/>
  <c r="Z105" i="15"/>
  <c r="Z106" i="15"/>
  <c r="AE138" i="15"/>
  <c r="H114" i="15"/>
  <c r="Z113" i="15"/>
  <c r="Z119" i="15"/>
  <c r="Z120" i="15"/>
  <c r="AE139" i="15"/>
  <c r="N38" i="15"/>
  <c r="AE140" i="15"/>
  <c r="AE141" i="15"/>
  <c r="AE142" i="15"/>
  <c r="AE143" i="15"/>
  <c r="AF143" i="15"/>
  <c r="W76" i="15"/>
  <c r="X76" i="15"/>
  <c r="Y136" i="15"/>
  <c r="W90" i="15"/>
  <c r="X90" i="15"/>
  <c r="Y137" i="15"/>
  <c r="W104" i="15"/>
  <c r="X104" i="15"/>
  <c r="Y138" i="15"/>
  <c r="W118" i="15"/>
  <c r="Y139" i="15"/>
  <c r="Y141" i="15"/>
  <c r="Y143" i="15"/>
  <c r="Y76" i="15"/>
  <c r="Z136" i="15"/>
  <c r="Y90" i="15"/>
  <c r="Z137" i="15"/>
  <c r="Y104" i="15"/>
  <c r="Z138" i="15"/>
  <c r="Y118" i="15"/>
  <c r="Z139" i="15"/>
  <c r="Z141" i="15"/>
  <c r="Z142" i="15"/>
  <c r="Z143" i="15"/>
  <c r="Z76" i="15"/>
  <c r="AA136" i="15"/>
  <c r="Z90" i="15"/>
  <c r="AA137" i="15"/>
  <c r="Z104" i="15"/>
  <c r="AA138" i="15"/>
  <c r="Z118" i="15"/>
  <c r="AA139" i="15"/>
  <c r="AA140" i="15"/>
  <c r="AA141" i="15"/>
  <c r="AA143" i="15"/>
  <c r="AB143" i="15"/>
  <c r="U136" i="15"/>
  <c r="U137" i="15"/>
  <c r="U138" i="15"/>
  <c r="X113" i="15"/>
  <c r="X119" i="15"/>
  <c r="U139" i="15"/>
  <c r="U141" i="15"/>
  <c r="U143" i="15"/>
  <c r="V136" i="15"/>
  <c r="V137" i="15"/>
  <c r="V138" i="15"/>
  <c r="V139" i="15"/>
  <c r="V141" i="15"/>
  <c r="V142" i="15"/>
  <c r="V143" i="15"/>
  <c r="W136" i="15"/>
  <c r="W137" i="15"/>
  <c r="W138" i="15"/>
  <c r="W139" i="15"/>
  <c r="W140" i="15"/>
  <c r="W141" i="15"/>
  <c r="W142" i="15"/>
  <c r="W143" i="15"/>
  <c r="X143" i="15"/>
  <c r="AF142" i="15"/>
  <c r="AB142" i="15"/>
  <c r="X142" i="15"/>
  <c r="AF141" i="15"/>
  <c r="AB141" i="15"/>
  <c r="X141" i="15"/>
  <c r="AF140" i="15"/>
  <c r="AB140" i="15"/>
  <c r="X140" i="15"/>
  <c r="AF139" i="15"/>
  <c r="AB139" i="15"/>
  <c r="X139" i="15"/>
  <c r="AF138" i="15"/>
  <c r="AB138" i="15"/>
  <c r="X138" i="15"/>
  <c r="AF137" i="15"/>
  <c r="AB137" i="15"/>
  <c r="X137" i="15"/>
  <c r="AF136" i="15"/>
  <c r="AB136" i="15"/>
  <c r="X136" i="15"/>
  <c r="U69" i="15"/>
  <c r="U70" i="15"/>
  <c r="U71" i="15"/>
  <c r="M72" i="15"/>
  <c r="U72" i="15"/>
  <c r="N73" i="15"/>
  <c r="U73" i="15"/>
  <c r="U77" i="15"/>
  <c r="U5" i="15"/>
  <c r="U6" i="15"/>
  <c r="U7" i="15"/>
  <c r="U8" i="15"/>
  <c r="U9" i="15"/>
  <c r="U10" i="15"/>
  <c r="U11" i="15"/>
  <c r="U12" i="15"/>
  <c r="U13" i="15"/>
  <c r="U14" i="15"/>
  <c r="U15" i="15"/>
  <c r="U16" i="15"/>
  <c r="U17" i="15"/>
  <c r="U18" i="15"/>
  <c r="U19" i="15"/>
  <c r="U20" i="15"/>
  <c r="U21" i="15"/>
  <c r="U22" i="15"/>
  <c r="U23" i="15"/>
  <c r="U24" i="15"/>
  <c r="X5" i="15"/>
  <c r="X6" i="15"/>
  <c r="X7" i="15"/>
  <c r="X8" i="15"/>
  <c r="X9" i="15"/>
  <c r="X10" i="15"/>
  <c r="X11" i="15"/>
  <c r="X12" i="15"/>
  <c r="X13" i="15"/>
  <c r="X14" i="15"/>
  <c r="X15" i="15"/>
  <c r="X16" i="15"/>
  <c r="X17" i="15"/>
  <c r="X18" i="15"/>
  <c r="X19" i="15"/>
  <c r="X20" i="15"/>
  <c r="X21" i="15"/>
  <c r="X22" i="15"/>
  <c r="X23" i="15"/>
  <c r="X24" i="15"/>
  <c r="U25" i="15"/>
  <c r="X25" i="15"/>
  <c r="U26" i="15"/>
  <c r="X26" i="15"/>
  <c r="U27" i="15"/>
  <c r="X27" i="15"/>
  <c r="U28" i="15"/>
  <c r="X28" i="15"/>
  <c r="U29" i="15"/>
  <c r="X29" i="15"/>
  <c r="X59" i="15"/>
  <c r="X60" i="15"/>
  <c r="X61" i="15"/>
  <c r="U78" i="15"/>
  <c r="AC125" i="15"/>
  <c r="U85" i="15"/>
  <c r="M86" i="15"/>
  <c r="U86" i="15"/>
  <c r="U91" i="15"/>
  <c r="U92" i="15"/>
  <c r="AC126" i="15"/>
  <c r="U99" i="15"/>
  <c r="M100" i="15"/>
  <c r="U100" i="15"/>
  <c r="U105" i="15"/>
  <c r="U106" i="15"/>
  <c r="AC127" i="15"/>
  <c r="U113" i="15"/>
  <c r="M114" i="15"/>
  <c r="U114" i="15"/>
  <c r="N115" i="15"/>
  <c r="U115" i="15"/>
  <c r="U119" i="15"/>
  <c r="U120" i="15"/>
  <c r="AC128" i="15"/>
  <c r="AC130" i="15"/>
  <c r="AC132" i="15"/>
  <c r="V85" i="15"/>
  <c r="N86" i="15"/>
  <c r="V86" i="15"/>
  <c r="V91" i="15"/>
  <c r="V126" i="15"/>
  <c r="V99" i="15"/>
  <c r="N100" i="15"/>
  <c r="V100" i="15"/>
  <c r="V105" i="15"/>
  <c r="V127" i="15"/>
  <c r="V113" i="15"/>
  <c r="N114" i="15"/>
  <c r="V114" i="15"/>
  <c r="V119" i="15"/>
  <c r="V128" i="15"/>
  <c r="V130" i="15"/>
  <c r="V131" i="15"/>
  <c r="V69" i="15"/>
  <c r="V70" i="15"/>
  <c r="V71" i="15"/>
  <c r="N72" i="15"/>
  <c r="V72" i="15"/>
  <c r="V77" i="15"/>
  <c r="V125" i="15"/>
  <c r="V132" i="15"/>
  <c r="AD132" i="15"/>
  <c r="W126" i="15"/>
  <c r="W127" i="15"/>
  <c r="W128" i="15"/>
  <c r="W129" i="15"/>
  <c r="W130" i="15"/>
  <c r="W125" i="15"/>
  <c r="W132" i="15"/>
  <c r="AE132" i="15"/>
  <c r="AF132" i="15"/>
  <c r="U76" i="15"/>
  <c r="Y125" i="15"/>
  <c r="U90" i="15"/>
  <c r="Y126" i="15"/>
  <c r="U104" i="15"/>
  <c r="Y127" i="15"/>
  <c r="U118" i="15"/>
  <c r="Y128" i="15"/>
  <c r="Y130" i="15"/>
  <c r="Y132" i="15"/>
  <c r="Z132" i="15"/>
  <c r="AA132" i="15"/>
  <c r="AB132" i="15"/>
  <c r="U125" i="15"/>
  <c r="U126" i="15"/>
  <c r="U127" i="15"/>
  <c r="U128" i="15"/>
  <c r="U130" i="15"/>
  <c r="U132" i="15"/>
  <c r="X132" i="15"/>
  <c r="V5" i="15"/>
  <c r="V6" i="15"/>
  <c r="V7" i="15"/>
  <c r="V8" i="15"/>
  <c r="V9" i="15"/>
  <c r="V10" i="15"/>
  <c r="V11" i="15"/>
  <c r="V12" i="15"/>
  <c r="V13" i="15"/>
  <c r="V14" i="15"/>
  <c r="V15" i="15"/>
  <c r="V16" i="15"/>
  <c r="V17" i="15"/>
  <c r="V18" i="15"/>
  <c r="V19" i="15"/>
  <c r="V20" i="15"/>
  <c r="V21" i="15"/>
  <c r="V22" i="15"/>
  <c r="V23" i="15"/>
  <c r="V24" i="15"/>
  <c r="Y5" i="15"/>
  <c r="Y6" i="15"/>
  <c r="Y7" i="15"/>
  <c r="Y8" i="15"/>
  <c r="Y9" i="15"/>
  <c r="Y10" i="15"/>
  <c r="Y11" i="15"/>
  <c r="Y12" i="15"/>
  <c r="Y13" i="15"/>
  <c r="Y14" i="15"/>
  <c r="Y15" i="15"/>
  <c r="Y16" i="15"/>
  <c r="Y17" i="15"/>
  <c r="Y18" i="15"/>
  <c r="Y19" i="15"/>
  <c r="Y20" i="15"/>
  <c r="Y21" i="15"/>
  <c r="Y22" i="15"/>
  <c r="Y23" i="15"/>
  <c r="Y24" i="15"/>
  <c r="V25" i="15"/>
  <c r="Y25" i="15"/>
  <c r="V26" i="15"/>
  <c r="Y26" i="15"/>
  <c r="V27" i="15"/>
  <c r="Y27" i="15"/>
  <c r="V28" i="15"/>
  <c r="Y28" i="15"/>
  <c r="V29" i="15"/>
  <c r="Y29" i="15"/>
  <c r="Y59" i="15"/>
  <c r="Y60" i="15"/>
  <c r="Y61" i="15"/>
  <c r="V92" i="15"/>
  <c r="AD131" i="15"/>
  <c r="AE131" i="15"/>
  <c r="AF131" i="15"/>
  <c r="V90" i="15"/>
  <c r="Z131" i="15"/>
  <c r="AB131" i="15"/>
  <c r="X131" i="15"/>
  <c r="AD130" i="15"/>
  <c r="AE130" i="15"/>
  <c r="AF130" i="15"/>
  <c r="Z130" i="15"/>
  <c r="AA130" i="15"/>
  <c r="AB130" i="15"/>
  <c r="X130" i="15"/>
  <c r="AE129" i="15"/>
  <c r="AF129" i="15"/>
  <c r="AA129" i="15"/>
  <c r="AB129" i="15"/>
  <c r="X129" i="15"/>
  <c r="V120" i="15"/>
  <c r="AD128" i="15"/>
  <c r="AE128" i="15"/>
  <c r="AF128" i="15"/>
  <c r="V118" i="15"/>
  <c r="Z128" i="15"/>
  <c r="AA128" i="15"/>
  <c r="AB128" i="15"/>
  <c r="X128" i="15"/>
  <c r="V106" i="15"/>
  <c r="AD127" i="15"/>
  <c r="AE127" i="15"/>
  <c r="AF127" i="15"/>
  <c r="V104" i="15"/>
  <c r="Z127" i="15"/>
  <c r="AA127" i="15"/>
  <c r="AB127" i="15"/>
  <c r="X127" i="15"/>
  <c r="AD126" i="15"/>
  <c r="AE126" i="15"/>
  <c r="AF126" i="15"/>
  <c r="Z126" i="15"/>
  <c r="AA126" i="15"/>
  <c r="AB126" i="15"/>
  <c r="X126" i="15"/>
  <c r="V78" i="15"/>
  <c r="AD125" i="15"/>
  <c r="AE125" i="15"/>
  <c r="AF125" i="15"/>
  <c r="V76" i="15"/>
  <c r="Z125" i="15"/>
  <c r="AA125" i="15"/>
  <c r="AB125" i="15"/>
  <c r="X125" i="15"/>
  <c r="X120" i="15"/>
  <c r="X118" i="15"/>
  <c r="T113" i="15"/>
  <c r="S113" i="15"/>
  <c r="R113" i="15"/>
  <c r="J111" i="15"/>
  <c r="J110" i="15"/>
  <c r="I110" i="15"/>
  <c r="T99" i="15"/>
  <c r="S99" i="15"/>
  <c r="R99" i="15"/>
  <c r="K98" i="15"/>
  <c r="J97" i="15"/>
  <c r="J96" i="15"/>
  <c r="I96" i="15"/>
  <c r="N87" i="15"/>
  <c r="T85" i="15"/>
  <c r="S85" i="15"/>
  <c r="R85" i="15"/>
  <c r="K84" i="15"/>
  <c r="J83" i="15"/>
  <c r="J82" i="15"/>
  <c r="I82" i="15"/>
  <c r="C74" i="15"/>
  <c r="R73" i="15"/>
  <c r="C73" i="15"/>
  <c r="S72" i="15"/>
  <c r="R72" i="15"/>
  <c r="C72" i="15"/>
  <c r="T71" i="15"/>
  <c r="S71" i="15"/>
  <c r="R71" i="15"/>
  <c r="C71" i="15"/>
  <c r="T70" i="15"/>
  <c r="S70" i="15"/>
  <c r="R70" i="15"/>
  <c r="C70" i="15"/>
  <c r="T69" i="15"/>
  <c r="S69" i="15"/>
  <c r="R69" i="15"/>
  <c r="C69" i="15"/>
  <c r="K68" i="15"/>
  <c r="I68" i="15"/>
  <c r="J68" i="15"/>
  <c r="Z68" i="15"/>
  <c r="Y68" i="15"/>
  <c r="X68" i="15"/>
  <c r="H68" i="15"/>
  <c r="W68" i="15"/>
  <c r="V68" i="15"/>
  <c r="U68" i="15"/>
  <c r="T68" i="15"/>
  <c r="S68" i="15"/>
  <c r="R68" i="15"/>
  <c r="C68" i="15"/>
  <c r="AK63" i="15"/>
  <c r="AJ63" i="15"/>
  <c r="AH63" i="15"/>
  <c r="U49" i="15"/>
  <c r="R49" i="15"/>
  <c r="U48" i="15"/>
  <c r="R48" i="15"/>
  <c r="U47" i="15"/>
  <c r="R47" i="15"/>
  <c r="AA44" i="15"/>
  <c r="U44" i="15"/>
  <c r="R44" i="15"/>
  <c r="AA43" i="15"/>
  <c r="U43" i="15"/>
  <c r="R43" i="15"/>
  <c r="AA42" i="15"/>
  <c r="U42" i="15"/>
  <c r="R42" i="15"/>
  <c r="AA41" i="15"/>
  <c r="U41" i="15"/>
  <c r="R41" i="15"/>
  <c r="AA40" i="15"/>
  <c r="U40" i="15"/>
  <c r="R40" i="15"/>
  <c r="AB39" i="15"/>
  <c r="AA39" i="15"/>
  <c r="V39" i="15"/>
  <c r="U39" i="15"/>
  <c r="S39" i="15"/>
  <c r="R39" i="15"/>
  <c r="AB38" i="15"/>
  <c r="AA38" i="15"/>
  <c r="V38" i="15"/>
  <c r="U38" i="15"/>
  <c r="S38" i="15"/>
  <c r="R38" i="15"/>
  <c r="AB37" i="15"/>
  <c r="AA37" i="15"/>
  <c r="V37" i="15"/>
  <c r="U37" i="15"/>
  <c r="S37" i="15"/>
  <c r="R37" i="15"/>
  <c r="AB36" i="15"/>
  <c r="AA36" i="15"/>
  <c r="V36" i="15"/>
  <c r="U36" i="15"/>
  <c r="S36" i="15"/>
  <c r="R36" i="15"/>
  <c r="AB35" i="15"/>
  <c r="AA35" i="15"/>
  <c r="V35" i="15"/>
  <c r="U35" i="15"/>
  <c r="S35" i="15"/>
  <c r="R35" i="15"/>
  <c r="AB34" i="15"/>
  <c r="AA34" i="15"/>
  <c r="V34" i="15"/>
  <c r="U34" i="15"/>
  <c r="S34" i="15"/>
  <c r="R34" i="15"/>
  <c r="AB33" i="15"/>
  <c r="AA33" i="15"/>
  <c r="V33" i="15"/>
  <c r="U33" i="15"/>
  <c r="S33" i="15"/>
  <c r="R33" i="15"/>
  <c r="AK32" i="15"/>
  <c r="AJ32" i="15"/>
  <c r="AI32" i="15"/>
  <c r="AH32" i="15"/>
  <c r="AB32" i="15"/>
  <c r="AA32" i="15"/>
  <c r="V32" i="15"/>
  <c r="U32" i="15"/>
  <c r="S32" i="15"/>
  <c r="R32" i="15"/>
  <c r="AK31" i="15"/>
  <c r="AJ31" i="15"/>
  <c r="AI31" i="15"/>
  <c r="AH31" i="15"/>
  <c r="AB31" i="15"/>
  <c r="AA31" i="15"/>
  <c r="V31" i="15"/>
  <c r="U31" i="15"/>
  <c r="S31" i="15"/>
  <c r="R31" i="15"/>
  <c r="AK30" i="15"/>
  <c r="AJ30" i="15"/>
  <c r="AI30" i="15"/>
  <c r="AH30" i="15"/>
  <c r="AB30" i="15"/>
  <c r="AA30" i="15"/>
  <c r="V30" i="15"/>
  <c r="U30" i="15"/>
  <c r="S30" i="15"/>
  <c r="R30" i="15"/>
  <c r="AK29" i="15"/>
  <c r="AJ29" i="15"/>
  <c r="AI29" i="15"/>
  <c r="AH29" i="15"/>
  <c r="T29" i="15"/>
  <c r="S29" i="15"/>
  <c r="R29" i="15"/>
  <c r="AK28" i="15"/>
  <c r="AL28" i="15"/>
  <c r="AM28" i="15"/>
  <c r="AJ28" i="15"/>
  <c r="AI28" i="15"/>
  <c r="AH28" i="15"/>
  <c r="T28" i="15"/>
  <c r="S28" i="15"/>
  <c r="R28" i="15"/>
  <c r="AK27" i="15"/>
  <c r="AL27" i="15"/>
  <c r="AM27" i="15"/>
  <c r="AJ27" i="15"/>
  <c r="AI27" i="15"/>
  <c r="AH27" i="15"/>
  <c r="T27" i="15"/>
  <c r="S27" i="15"/>
  <c r="R27" i="15"/>
  <c r="AK26" i="15"/>
  <c r="AL26" i="15"/>
  <c r="AM26" i="15"/>
  <c r="AJ26" i="15"/>
  <c r="AI26" i="15"/>
  <c r="AH26" i="15"/>
  <c r="T26" i="15"/>
  <c r="S26" i="15"/>
  <c r="R26" i="15"/>
  <c r="AK25" i="15"/>
  <c r="AL25" i="15"/>
  <c r="AM25" i="15"/>
  <c r="AJ25" i="15"/>
  <c r="AI25" i="15"/>
  <c r="AH25" i="15"/>
  <c r="T25" i="15"/>
  <c r="S25" i="15"/>
  <c r="R25" i="15"/>
  <c r="AN24" i="15"/>
  <c r="AK24" i="15"/>
  <c r="AL24" i="15"/>
  <c r="AM24" i="15"/>
  <c r="AJ24" i="15"/>
  <c r="AI24" i="15"/>
  <c r="AH24" i="15"/>
  <c r="T24" i="15"/>
  <c r="S24" i="15"/>
  <c r="R24" i="15"/>
  <c r="AN23" i="15"/>
  <c r="AK23" i="15"/>
  <c r="AL23" i="15"/>
  <c r="AM23" i="15"/>
  <c r="AJ23" i="15"/>
  <c r="AI23" i="15"/>
  <c r="AH23" i="15"/>
  <c r="T23" i="15"/>
  <c r="S23" i="15"/>
  <c r="R23" i="15"/>
  <c r="AN22" i="15"/>
  <c r="AK22" i="15"/>
  <c r="AL22" i="15"/>
  <c r="AM22" i="15"/>
  <c r="AJ22" i="15"/>
  <c r="AI22" i="15"/>
  <c r="AH22" i="15"/>
  <c r="T22" i="15"/>
  <c r="S22" i="15"/>
  <c r="R22" i="15"/>
  <c r="AN21" i="15"/>
  <c r="AK21" i="15"/>
  <c r="AL21" i="15"/>
  <c r="AM21" i="15"/>
  <c r="AJ21" i="15"/>
  <c r="AI21" i="15"/>
  <c r="AH21" i="15"/>
  <c r="T21" i="15"/>
  <c r="S21" i="15"/>
  <c r="R21" i="15"/>
  <c r="AN20" i="15"/>
  <c r="AK20" i="15"/>
  <c r="AL20" i="15"/>
  <c r="AM20" i="15"/>
  <c r="AJ20" i="15"/>
  <c r="AI20" i="15"/>
  <c r="A9" i="15"/>
  <c r="A10" i="15"/>
  <c r="A11" i="15"/>
  <c r="A12" i="15"/>
  <c r="A13" i="15"/>
  <c r="A14" i="15"/>
  <c r="A15" i="15"/>
  <c r="A16" i="15"/>
  <c r="A17" i="15"/>
  <c r="A18" i="15"/>
  <c r="A19" i="15"/>
  <c r="A20" i="15"/>
  <c r="AH20" i="15"/>
  <c r="T20" i="15"/>
  <c r="S20" i="15"/>
  <c r="R20" i="15"/>
  <c r="AN19" i="15"/>
  <c r="AK19" i="15"/>
  <c r="AL19" i="15"/>
  <c r="AM19" i="15"/>
  <c r="AJ19" i="15"/>
  <c r="AI19" i="15"/>
  <c r="AH19" i="15"/>
  <c r="T19" i="15"/>
  <c r="S19" i="15"/>
  <c r="R19" i="15"/>
  <c r="AN18" i="15"/>
  <c r="AK18" i="15"/>
  <c r="AL18" i="15"/>
  <c r="AM18" i="15"/>
  <c r="AJ18" i="15"/>
  <c r="AI18" i="15"/>
  <c r="AH18" i="15"/>
  <c r="T18" i="15"/>
  <c r="S18" i="15"/>
  <c r="R18" i="15"/>
  <c r="AN17" i="15"/>
  <c r="AK17" i="15"/>
  <c r="AL17" i="15"/>
  <c r="AM17" i="15"/>
  <c r="AJ17" i="15"/>
  <c r="AI17" i="15"/>
  <c r="AH17" i="15"/>
  <c r="T17" i="15"/>
  <c r="S17" i="15"/>
  <c r="R17" i="15"/>
  <c r="AN16" i="15"/>
  <c r="AK16" i="15"/>
  <c r="AL16" i="15"/>
  <c r="AM16" i="15"/>
  <c r="AJ16" i="15"/>
  <c r="AI16" i="15"/>
  <c r="AH16" i="15"/>
  <c r="T16" i="15"/>
  <c r="S16" i="15"/>
  <c r="R16" i="15"/>
  <c r="AN15" i="15"/>
  <c r="AK15" i="15"/>
  <c r="AL15" i="15"/>
  <c r="AM15" i="15"/>
  <c r="AJ15" i="15"/>
  <c r="AI15" i="15"/>
  <c r="AH15" i="15"/>
  <c r="T15" i="15"/>
  <c r="S15" i="15"/>
  <c r="R15" i="15"/>
  <c r="AN14" i="15"/>
  <c r="AK14" i="15"/>
  <c r="AL14" i="15"/>
  <c r="AM14" i="15"/>
  <c r="AJ14" i="15"/>
  <c r="AI14" i="15"/>
  <c r="AH14" i="15"/>
  <c r="T14" i="15"/>
  <c r="S14" i="15"/>
  <c r="R14" i="15"/>
  <c r="AN13" i="15"/>
  <c r="AK13" i="15"/>
  <c r="AL13" i="15"/>
  <c r="AM13" i="15"/>
  <c r="AJ13" i="15"/>
  <c r="AI13" i="15"/>
  <c r="AH13" i="15"/>
  <c r="T13" i="15"/>
  <c r="S13" i="15"/>
  <c r="R13" i="15"/>
  <c r="AJ12" i="15"/>
  <c r="AY12" i="15"/>
  <c r="AK12" i="15"/>
  <c r="AL12" i="15"/>
  <c r="AM12" i="15"/>
  <c r="AX12" i="15"/>
  <c r="AN12" i="15"/>
  <c r="AI12" i="15"/>
  <c r="AH12" i="15"/>
  <c r="T12" i="15"/>
  <c r="S12" i="15"/>
  <c r="R12" i="15"/>
  <c r="AJ11" i="15"/>
  <c r="AY11" i="15"/>
  <c r="AK11" i="15"/>
  <c r="AL11" i="15"/>
  <c r="AM11" i="15"/>
  <c r="AX11" i="15"/>
  <c r="AN11" i="15"/>
  <c r="AI11" i="15"/>
  <c r="AH11" i="15"/>
  <c r="T11" i="15"/>
  <c r="S11" i="15"/>
  <c r="R11" i="15"/>
  <c r="AJ10" i="15"/>
  <c r="AY10" i="15"/>
  <c r="AK10" i="15"/>
  <c r="AL10" i="15"/>
  <c r="AM10" i="15"/>
  <c r="AX10" i="15"/>
  <c r="AN10" i="15"/>
  <c r="AI10" i="15"/>
  <c r="AH10" i="15"/>
  <c r="T10" i="15"/>
  <c r="S10" i="15"/>
  <c r="R10" i="15"/>
  <c r="AJ9" i="15"/>
  <c r="AY9" i="15"/>
  <c r="AK9" i="15"/>
  <c r="AL9" i="15"/>
  <c r="AM9" i="15"/>
  <c r="AX9" i="15"/>
  <c r="AN9" i="15"/>
  <c r="AI9" i="15"/>
  <c r="AH9" i="15"/>
  <c r="T9" i="15"/>
  <c r="S9" i="15"/>
  <c r="R9" i="15"/>
  <c r="AJ8" i="15"/>
  <c r="AY8" i="15"/>
  <c r="AK8" i="15"/>
  <c r="AL8" i="15"/>
  <c r="AM8" i="15"/>
  <c r="AX8" i="15"/>
  <c r="AN8" i="15"/>
  <c r="AI8" i="15"/>
  <c r="AH8" i="15"/>
  <c r="T8" i="15"/>
  <c r="S8" i="15"/>
  <c r="R8" i="15"/>
  <c r="AJ7" i="15"/>
  <c r="AY7" i="15"/>
  <c r="AK7" i="15"/>
  <c r="AL7" i="15"/>
  <c r="AM7" i="15"/>
  <c r="AX7" i="15"/>
  <c r="AN7" i="15"/>
  <c r="AI7" i="15"/>
  <c r="AH7" i="15"/>
  <c r="T7" i="15"/>
  <c r="S7" i="15"/>
  <c r="R7" i="15"/>
  <c r="AJ6" i="15"/>
  <c r="AY6" i="15"/>
  <c r="AK6" i="15"/>
  <c r="AL6" i="15"/>
  <c r="AM6" i="15"/>
  <c r="AX6" i="15"/>
  <c r="AN6" i="15"/>
  <c r="AI6" i="15"/>
  <c r="AH6" i="15"/>
  <c r="T6" i="15"/>
  <c r="S6" i="15"/>
  <c r="R6" i="15"/>
  <c r="AJ5" i="15"/>
  <c r="AY5" i="15"/>
  <c r="AK5" i="15"/>
  <c r="AL5" i="15"/>
  <c r="AM5" i="15"/>
  <c r="AX5" i="15"/>
  <c r="AN5" i="15"/>
  <c r="AI5" i="15"/>
  <c r="AH5" i="15"/>
  <c r="T5" i="15"/>
  <c r="S5" i="15"/>
  <c r="R5" i="15"/>
  <c r="H2" i="20"/>
  <c r="G2" i="20"/>
  <c r="E2" i="20"/>
  <c r="D2" i="20"/>
  <c r="C2" i="20"/>
  <c r="B2" i="20"/>
  <c r="A2" i="20"/>
  <c r="L74" i="14"/>
  <c r="F67" i="14"/>
  <c r="Q67" i="14"/>
  <c r="F66" i="14"/>
  <c r="Q66" i="14"/>
  <c r="P64" i="14"/>
  <c r="U64" i="14"/>
  <c r="H16" i="3"/>
  <c r="B64" i="14"/>
  <c r="AB64" i="14"/>
  <c r="AB62" i="14"/>
  <c r="P62" i="14"/>
  <c r="U62" i="14"/>
  <c r="AB59" i="14"/>
  <c r="P59" i="14"/>
  <c r="U59" i="14"/>
  <c r="AB58" i="14"/>
  <c r="P58" i="14"/>
  <c r="U58" i="14"/>
  <c r="AB57" i="14"/>
  <c r="P57" i="14"/>
  <c r="U57" i="14"/>
  <c r="AB56" i="14"/>
  <c r="P56" i="14"/>
  <c r="U56" i="14"/>
  <c r="AB55" i="14"/>
  <c r="P55" i="14"/>
  <c r="U55" i="14"/>
  <c r="AB54" i="14"/>
  <c r="P54" i="14"/>
  <c r="U54" i="14"/>
  <c r="AB53" i="14"/>
  <c r="P53" i="14"/>
  <c r="U53" i="14"/>
  <c r="AB52" i="14"/>
  <c r="P52" i="14"/>
  <c r="U52" i="14"/>
  <c r="AB51" i="14"/>
  <c r="P51" i="14"/>
  <c r="U51" i="14"/>
  <c r="AB50" i="14"/>
  <c r="P50" i="14"/>
  <c r="U50" i="14"/>
  <c r="AB49" i="14"/>
  <c r="P49" i="14"/>
  <c r="U49" i="14"/>
  <c r="AB48" i="14"/>
  <c r="P48" i="14"/>
  <c r="U48" i="14"/>
  <c r="AB47" i="14"/>
  <c r="P47" i="14"/>
  <c r="U47" i="14"/>
  <c r="AB46" i="14"/>
  <c r="P46" i="14"/>
  <c r="U46" i="14"/>
  <c r="AB45" i="14"/>
  <c r="P45" i="14"/>
  <c r="U45" i="14"/>
  <c r="AB44" i="14"/>
  <c r="P44" i="14"/>
  <c r="U44" i="14"/>
  <c r="AB43" i="14"/>
  <c r="P43" i="14"/>
  <c r="U43" i="14"/>
  <c r="AB42" i="14"/>
  <c r="P42" i="14"/>
  <c r="U42" i="14"/>
  <c r="AB41" i="14"/>
  <c r="P41" i="14"/>
  <c r="U41" i="14"/>
  <c r="AB40" i="14"/>
  <c r="P40" i="14"/>
  <c r="U40" i="14"/>
  <c r="AB39" i="14"/>
  <c r="P39" i="14"/>
  <c r="U39" i="14"/>
  <c r="AB38" i="14"/>
  <c r="P38" i="14"/>
  <c r="U38" i="14"/>
  <c r="AB37" i="14"/>
  <c r="P37" i="14"/>
  <c r="U37" i="14"/>
  <c r="AB36" i="14"/>
  <c r="P36" i="14"/>
  <c r="U36" i="14"/>
  <c r="AB35" i="14"/>
  <c r="P35" i="14"/>
  <c r="U35" i="14"/>
  <c r="AB34" i="14"/>
  <c r="P34" i="14"/>
  <c r="U34" i="14"/>
  <c r="AB33" i="14"/>
  <c r="P33" i="14"/>
  <c r="U33" i="14"/>
  <c r="AB32" i="14"/>
  <c r="P32" i="14"/>
  <c r="U32" i="14"/>
  <c r="AB31" i="14"/>
  <c r="P31" i="14"/>
  <c r="U31" i="14"/>
  <c r="AB30" i="14"/>
  <c r="P30" i="14"/>
  <c r="U30" i="14"/>
  <c r="AB29" i="14"/>
  <c r="P29" i="14"/>
  <c r="U29" i="14"/>
  <c r="AB28" i="14"/>
  <c r="P28" i="14"/>
  <c r="U28" i="14"/>
  <c r="AB27" i="14"/>
  <c r="P27" i="14"/>
  <c r="U27" i="14"/>
  <c r="AB26" i="14"/>
  <c r="P26" i="14"/>
  <c r="U26" i="14"/>
  <c r="B23" i="14"/>
  <c r="B22" i="14"/>
  <c r="B21" i="14"/>
  <c r="B20" i="14"/>
  <c r="B19" i="14"/>
  <c r="B18" i="14"/>
  <c r="B17" i="14"/>
  <c r="B16" i="14"/>
  <c r="B15" i="14"/>
  <c r="B14" i="14"/>
  <c r="B1" i="14"/>
  <c r="L74" i="13"/>
  <c r="L73" i="13"/>
  <c r="F67" i="13"/>
  <c r="Q67" i="13"/>
  <c r="F66" i="13"/>
  <c r="Q66" i="13"/>
  <c r="P64" i="13"/>
  <c r="U64" i="13"/>
  <c r="H15" i="3"/>
  <c r="B64" i="13"/>
  <c r="AB64" i="13"/>
  <c r="AB62" i="13"/>
  <c r="P62" i="13"/>
  <c r="U62" i="13"/>
  <c r="AB59" i="13"/>
  <c r="P59" i="13"/>
  <c r="U59" i="13"/>
  <c r="AB58" i="13"/>
  <c r="P58" i="13"/>
  <c r="U58" i="13"/>
  <c r="AB57" i="13"/>
  <c r="P57" i="13"/>
  <c r="U57" i="13"/>
  <c r="AB56" i="13"/>
  <c r="P56" i="13"/>
  <c r="U56" i="13"/>
  <c r="AB55" i="13"/>
  <c r="P55" i="13"/>
  <c r="U55" i="13"/>
  <c r="AB54" i="13"/>
  <c r="P54" i="13"/>
  <c r="U54" i="13"/>
  <c r="AB53" i="13"/>
  <c r="P53" i="13"/>
  <c r="U53" i="13"/>
  <c r="AB52" i="13"/>
  <c r="P52" i="13"/>
  <c r="U52" i="13"/>
  <c r="AB51" i="13"/>
  <c r="P51" i="13"/>
  <c r="U51" i="13"/>
  <c r="AB50" i="13"/>
  <c r="P50" i="13"/>
  <c r="U50" i="13"/>
  <c r="AB49" i="13"/>
  <c r="P49" i="13"/>
  <c r="U49" i="13"/>
  <c r="AB48" i="13"/>
  <c r="P48" i="13"/>
  <c r="U48" i="13"/>
  <c r="AB47" i="13"/>
  <c r="P47" i="13"/>
  <c r="U47" i="13"/>
  <c r="AB46" i="13"/>
  <c r="P46" i="13"/>
  <c r="U46" i="13"/>
  <c r="AB45" i="13"/>
  <c r="P45" i="13"/>
  <c r="U45" i="13"/>
  <c r="AB44" i="13"/>
  <c r="P44" i="13"/>
  <c r="U44" i="13"/>
  <c r="AB43" i="13"/>
  <c r="P43" i="13"/>
  <c r="U43" i="13"/>
  <c r="AB42" i="13"/>
  <c r="P42" i="13"/>
  <c r="U42" i="13"/>
  <c r="AB41" i="13"/>
  <c r="P41" i="13"/>
  <c r="U41" i="13"/>
  <c r="AB40" i="13"/>
  <c r="P40" i="13"/>
  <c r="U40" i="13"/>
  <c r="AB39" i="13"/>
  <c r="P39" i="13"/>
  <c r="U39" i="13"/>
  <c r="AB38" i="13"/>
  <c r="P38" i="13"/>
  <c r="U38" i="13"/>
  <c r="AB37" i="13"/>
  <c r="P37" i="13"/>
  <c r="U37" i="13"/>
  <c r="AB36" i="13"/>
  <c r="P36" i="13"/>
  <c r="U36" i="13"/>
  <c r="AB35" i="13"/>
  <c r="P35" i="13"/>
  <c r="U35" i="13"/>
  <c r="AB34" i="13"/>
  <c r="P34" i="13"/>
  <c r="U34" i="13"/>
  <c r="AB33" i="13"/>
  <c r="P33" i="13"/>
  <c r="U33" i="13"/>
  <c r="AB32" i="13"/>
  <c r="P32" i="13"/>
  <c r="U32" i="13"/>
  <c r="AB31" i="13"/>
  <c r="P31" i="13"/>
  <c r="U31" i="13"/>
  <c r="AB30" i="13"/>
  <c r="P30" i="13"/>
  <c r="U30" i="13"/>
  <c r="AB29" i="13"/>
  <c r="P29" i="13"/>
  <c r="U29" i="13"/>
  <c r="AB28" i="13"/>
  <c r="P28" i="13"/>
  <c r="U28" i="13"/>
  <c r="AB27" i="13"/>
  <c r="P27" i="13"/>
  <c r="U27" i="13"/>
  <c r="AB26" i="13"/>
  <c r="P26" i="13"/>
  <c r="U26" i="13"/>
  <c r="B23" i="13"/>
  <c r="B22" i="13"/>
  <c r="B21" i="13"/>
  <c r="B20" i="13"/>
  <c r="B19" i="13"/>
  <c r="B18" i="13"/>
  <c r="B17" i="13"/>
  <c r="B16" i="13"/>
  <c r="B15" i="13"/>
  <c r="B14" i="13"/>
  <c r="B13" i="13"/>
  <c r="B1" i="13"/>
  <c r="L74" i="12"/>
  <c r="L73" i="12"/>
  <c r="F67" i="12"/>
  <c r="Q67" i="12"/>
  <c r="F66" i="12"/>
  <c r="Q66" i="12"/>
  <c r="P64" i="12"/>
  <c r="U64" i="12"/>
  <c r="H14" i="3"/>
  <c r="B64" i="12"/>
  <c r="AB64" i="12"/>
  <c r="P62" i="12"/>
  <c r="U62" i="12"/>
  <c r="AB62" i="12"/>
  <c r="P59" i="12"/>
  <c r="U59" i="12"/>
  <c r="AB59" i="12"/>
  <c r="AB58" i="12"/>
  <c r="P58" i="12"/>
  <c r="U58" i="12"/>
  <c r="AB57" i="12"/>
  <c r="P57" i="12"/>
  <c r="U57" i="12"/>
  <c r="AB56" i="12"/>
  <c r="P56" i="12"/>
  <c r="U56" i="12"/>
  <c r="AB55" i="12"/>
  <c r="P55" i="12"/>
  <c r="U55" i="12"/>
  <c r="AB54" i="12"/>
  <c r="P54" i="12"/>
  <c r="U54" i="12"/>
  <c r="AB53" i="12"/>
  <c r="P53" i="12"/>
  <c r="U53" i="12"/>
  <c r="AB52" i="12"/>
  <c r="P52" i="12"/>
  <c r="U52" i="12"/>
  <c r="AB51" i="12"/>
  <c r="P51" i="12"/>
  <c r="U51" i="12"/>
  <c r="AB50" i="12"/>
  <c r="P50" i="12"/>
  <c r="U50" i="12"/>
  <c r="AB49" i="12"/>
  <c r="P49" i="12"/>
  <c r="U49" i="12"/>
  <c r="AB48" i="12"/>
  <c r="P48" i="12"/>
  <c r="U48" i="12"/>
  <c r="AB47" i="12"/>
  <c r="P47" i="12"/>
  <c r="U47" i="12"/>
  <c r="AB46" i="12"/>
  <c r="P46" i="12"/>
  <c r="U46" i="12"/>
  <c r="AB45" i="12"/>
  <c r="P45" i="12"/>
  <c r="U45" i="12"/>
  <c r="AB44" i="12"/>
  <c r="P44" i="12"/>
  <c r="U44" i="12"/>
  <c r="AB43" i="12"/>
  <c r="P43" i="12"/>
  <c r="U43" i="12"/>
  <c r="AB42" i="12"/>
  <c r="P42" i="12"/>
  <c r="U42" i="12"/>
  <c r="AB41" i="12"/>
  <c r="P41" i="12"/>
  <c r="U41" i="12"/>
  <c r="AB40" i="12"/>
  <c r="P40" i="12"/>
  <c r="U40" i="12"/>
  <c r="AB39" i="12"/>
  <c r="P39" i="12"/>
  <c r="U39" i="12"/>
  <c r="AB38" i="12"/>
  <c r="P38" i="12"/>
  <c r="U38" i="12"/>
  <c r="AB37" i="12"/>
  <c r="P37" i="12"/>
  <c r="U37" i="12"/>
  <c r="AB36" i="12"/>
  <c r="P36" i="12"/>
  <c r="U36" i="12"/>
  <c r="AB35" i="12"/>
  <c r="P35" i="12"/>
  <c r="U35" i="12"/>
  <c r="AB34" i="12"/>
  <c r="P34" i="12"/>
  <c r="U34" i="12"/>
  <c r="AB33" i="12"/>
  <c r="P33" i="12"/>
  <c r="U33" i="12"/>
  <c r="AB32" i="12"/>
  <c r="P32" i="12"/>
  <c r="U32" i="12"/>
  <c r="AB31" i="12"/>
  <c r="P31" i="12"/>
  <c r="U31" i="12"/>
  <c r="AB30" i="12"/>
  <c r="P30" i="12"/>
  <c r="U30" i="12"/>
  <c r="AB29" i="12"/>
  <c r="P29" i="12"/>
  <c r="U29" i="12"/>
  <c r="AB28" i="12"/>
  <c r="P28" i="12"/>
  <c r="U28" i="12"/>
  <c r="AB27" i="12"/>
  <c r="P27" i="12"/>
  <c r="U27" i="12"/>
  <c r="AB26" i="12"/>
  <c r="P26" i="12"/>
  <c r="U26" i="12"/>
  <c r="B23" i="12"/>
  <c r="B22" i="12"/>
  <c r="B21" i="12"/>
  <c r="B20" i="12"/>
  <c r="B19" i="12"/>
  <c r="B18" i="12"/>
  <c r="B17" i="12"/>
  <c r="B16" i="12"/>
  <c r="B15" i="12"/>
  <c r="B14" i="12"/>
  <c r="B13" i="12"/>
  <c r="B1" i="12"/>
  <c r="K75" i="11"/>
  <c r="K74" i="11"/>
  <c r="F66" i="11"/>
  <c r="Q66" i="11"/>
  <c r="F65" i="11"/>
  <c r="Q65" i="11"/>
  <c r="P63" i="11"/>
  <c r="C63" i="11"/>
  <c r="Z63" i="11"/>
  <c r="B63" i="11"/>
  <c r="AB63" i="11"/>
  <c r="AB61" i="11"/>
  <c r="P61" i="11"/>
  <c r="C61" i="11"/>
  <c r="Z61" i="11"/>
  <c r="AB58" i="11"/>
  <c r="P58" i="11"/>
  <c r="C58" i="11"/>
  <c r="AB57" i="11"/>
  <c r="P57" i="11"/>
  <c r="C57" i="11"/>
  <c r="AB56" i="11"/>
  <c r="P56" i="11"/>
  <c r="C56" i="11"/>
  <c r="AB55" i="11"/>
  <c r="P55" i="11"/>
  <c r="C55" i="11"/>
  <c r="AB54" i="11"/>
  <c r="P54" i="11"/>
  <c r="C54" i="11"/>
  <c r="AB53" i="11"/>
  <c r="P53" i="11"/>
  <c r="C53" i="11"/>
  <c r="AB52" i="11"/>
  <c r="P52" i="11"/>
  <c r="C52" i="11"/>
  <c r="AB51" i="11"/>
  <c r="P51" i="11"/>
  <c r="C51" i="11"/>
  <c r="AB50" i="11"/>
  <c r="P50" i="11"/>
  <c r="C50" i="11"/>
  <c r="AB49" i="11"/>
  <c r="P49" i="11"/>
  <c r="C49" i="11"/>
  <c r="Z49" i="11"/>
  <c r="AB48" i="11"/>
  <c r="P48" i="11"/>
  <c r="C48" i="11"/>
  <c r="Z48" i="11"/>
  <c r="AB47" i="11"/>
  <c r="P47" i="11"/>
  <c r="C47" i="11"/>
  <c r="Z47" i="11"/>
  <c r="AB46" i="11"/>
  <c r="P46" i="11"/>
  <c r="C46" i="11"/>
  <c r="Z46" i="11"/>
  <c r="AB45" i="11"/>
  <c r="P45" i="11"/>
  <c r="C45" i="11"/>
  <c r="Z45" i="11"/>
  <c r="AB44" i="11"/>
  <c r="P44" i="11"/>
  <c r="C44" i="11"/>
  <c r="Z44" i="11"/>
  <c r="AB43" i="11"/>
  <c r="P43" i="11"/>
  <c r="C43" i="11"/>
  <c r="Z43" i="11"/>
  <c r="AB42" i="11"/>
  <c r="P42" i="11"/>
  <c r="C42" i="11"/>
  <c r="Z42" i="11"/>
  <c r="AB41" i="11"/>
  <c r="P41" i="11"/>
  <c r="C41" i="11"/>
  <c r="Z41" i="11"/>
  <c r="AB40" i="11"/>
  <c r="P40" i="11"/>
  <c r="C40" i="11"/>
  <c r="Z40" i="11"/>
  <c r="AB39" i="11"/>
  <c r="P39" i="11"/>
  <c r="C39" i="11"/>
  <c r="Z39" i="11"/>
  <c r="AB38" i="11"/>
  <c r="P38" i="11"/>
  <c r="C38" i="11"/>
  <c r="Z38" i="11"/>
  <c r="AB37" i="11"/>
  <c r="P37" i="11"/>
  <c r="C37" i="11"/>
  <c r="Z37" i="11"/>
  <c r="AB36" i="11"/>
  <c r="P36" i="11"/>
  <c r="C36" i="11"/>
  <c r="Z36" i="11"/>
  <c r="AB35" i="11"/>
  <c r="P35" i="11"/>
  <c r="C35" i="11"/>
  <c r="Z35" i="11"/>
  <c r="AB34" i="11"/>
  <c r="P34" i="11"/>
  <c r="C34" i="11"/>
  <c r="Z34" i="11"/>
  <c r="AB33" i="11"/>
  <c r="P33" i="11"/>
  <c r="C33" i="11"/>
  <c r="Z33" i="11"/>
  <c r="AB32" i="11"/>
  <c r="P32" i="11"/>
  <c r="C32" i="11"/>
  <c r="Z32" i="11"/>
  <c r="AB31" i="11"/>
  <c r="P31" i="11"/>
  <c r="C31" i="11"/>
  <c r="Z31" i="11"/>
  <c r="AB30" i="11"/>
  <c r="P30" i="11"/>
  <c r="C30" i="11"/>
  <c r="Z30" i="11"/>
  <c r="AB29" i="11"/>
  <c r="P29" i="11"/>
  <c r="C29" i="11"/>
  <c r="Z29" i="11"/>
  <c r="AB28" i="11"/>
  <c r="P28" i="11"/>
  <c r="C28" i="11"/>
  <c r="Z28" i="11"/>
  <c r="AB27" i="11"/>
  <c r="P27" i="11"/>
  <c r="C27" i="11"/>
  <c r="Z27" i="11"/>
  <c r="AB26" i="11"/>
  <c r="P26" i="11"/>
  <c r="C26" i="11"/>
  <c r="Z26" i="11"/>
  <c r="C24" i="11"/>
  <c r="B24" i="11"/>
  <c r="C23" i="11"/>
  <c r="B23" i="11"/>
  <c r="C22" i="11"/>
  <c r="B22" i="11"/>
  <c r="C21" i="11"/>
  <c r="B21" i="11"/>
  <c r="C20" i="11"/>
  <c r="B20" i="11"/>
  <c r="C19" i="11"/>
  <c r="B19" i="11"/>
  <c r="C18" i="11"/>
  <c r="B18" i="11"/>
  <c r="C17" i="11"/>
  <c r="B17" i="11"/>
  <c r="C16" i="11"/>
  <c r="B16" i="11"/>
  <c r="C15" i="11"/>
  <c r="B15" i="11"/>
  <c r="C14" i="11"/>
  <c r="B14" i="11"/>
  <c r="C13" i="11"/>
  <c r="B13" i="11"/>
  <c r="B1" i="11"/>
  <c r="F66" i="10"/>
  <c r="Q66" i="10"/>
  <c r="F65" i="10"/>
  <c r="Q65" i="10"/>
  <c r="P63" i="10"/>
  <c r="B63" i="10"/>
  <c r="AB63" i="10"/>
  <c r="AB61" i="10"/>
  <c r="P61" i="10"/>
  <c r="U61" i="10"/>
  <c r="AB58" i="10"/>
  <c r="P58" i="10"/>
  <c r="U58" i="10"/>
  <c r="AB57" i="10"/>
  <c r="P57" i="10"/>
  <c r="U57" i="10"/>
  <c r="AB56" i="10"/>
  <c r="P56" i="10"/>
  <c r="U56" i="10"/>
  <c r="AB55" i="10"/>
  <c r="P55" i="10"/>
  <c r="U55" i="10"/>
  <c r="AB54" i="10"/>
  <c r="P54" i="10"/>
  <c r="U54" i="10"/>
  <c r="AB53" i="10"/>
  <c r="P53" i="10"/>
  <c r="U53" i="10"/>
  <c r="AB52" i="10"/>
  <c r="P52" i="10"/>
  <c r="U52" i="10"/>
  <c r="AB51" i="10"/>
  <c r="P51" i="10"/>
  <c r="U51" i="10"/>
  <c r="AB50" i="10"/>
  <c r="P50" i="10"/>
  <c r="U50" i="10"/>
  <c r="AB49" i="10"/>
  <c r="P49" i="10"/>
  <c r="U49" i="10"/>
  <c r="AB48" i="10"/>
  <c r="P48" i="10"/>
  <c r="U48" i="10"/>
  <c r="AB47" i="10"/>
  <c r="P47" i="10"/>
  <c r="U47" i="10"/>
  <c r="AB46" i="10"/>
  <c r="P46" i="10"/>
  <c r="U46" i="10"/>
  <c r="AB45" i="10"/>
  <c r="P45" i="10"/>
  <c r="U45" i="10"/>
  <c r="AB44" i="10"/>
  <c r="P44" i="10"/>
  <c r="U44" i="10"/>
  <c r="AB43" i="10"/>
  <c r="P43" i="10"/>
  <c r="U43" i="10"/>
  <c r="AB42" i="10"/>
  <c r="P42" i="10"/>
  <c r="U42" i="10"/>
  <c r="AB41" i="10"/>
  <c r="P41" i="10"/>
  <c r="U41" i="10"/>
  <c r="AB40" i="10"/>
  <c r="P40" i="10"/>
  <c r="U40" i="10"/>
  <c r="AB39" i="10"/>
  <c r="P39" i="10"/>
  <c r="U39" i="10"/>
  <c r="AB38" i="10"/>
  <c r="P38" i="10"/>
  <c r="U38" i="10"/>
  <c r="AB37" i="10"/>
  <c r="P37" i="10"/>
  <c r="U37" i="10"/>
  <c r="AB36" i="10"/>
  <c r="P36" i="10"/>
  <c r="U36" i="10"/>
  <c r="AB35" i="10"/>
  <c r="P35" i="10"/>
  <c r="U35" i="10"/>
  <c r="AB34" i="10"/>
  <c r="P34" i="10"/>
  <c r="U34" i="10"/>
  <c r="AB33" i="10"/>
  <c r="P33" i="10"/>
  <c r="U33" i="10"/>
  <c r="AB32" i="10"/>
  <c r="P32" i="10"/>
  <c r="U32" i="10"/>
  <c r="AB31" i="10"/>
  <c r="P31" i="10"/>
  <c r="U31" i="10"/>
  <c r="AB30" i="10"/>
  <c r="P30" i="10"/>
  <c r="U30" i="10"/>
  <c r="AB29" i="10"/>
  <c r="P29" i="10"/>
  <c r="U29" i="10"/>
  <c r="AB28" i="10"/>
  <c r="P28" i="10"/>
  <c r="U28" i="10"/>
  <c r="AB27" i="10"/>
  <c r="P27" i="10"/>
  <c r="U27" i="10"/>
  <c r="AB26" i="10"/>
  <c r="P26" i="10"/>
  <c r="U26" i="10"/>
  <c r="B24" i="10"/>
  <c r="B23" i="10"/>
  <c r="B22" i="10"/>
  <c r="B21" i="10"/>
  <c r="B20" i="10"/>
  <c r="B19" i="10"/>
  <c r="B18" i="10"/>
  <c r="B17" i="10"/>
  <c r="B16" i="10"/>
  <c r="B15" i="10"/>
  <c r="B14" i="10"/>
  <c r="B13" i="10"/>
  <c r="B1" i="10"/>
  <c r="L72" i="9"/>
  <c r="L71" i="9"/>
  <c r="F65" i="9"/>
  <c r="Q65" i="9"/>
  <c r="F64" i="9"/>
  <c r="Q64" i="9"/>
  <c r="H11" i="3"/>
  <c r="B62" i="9"/>
  <c r="AB62" i="9"/>
  <c r="P60" i="9"/>
  <c r="U60" i="9"/>
  <c r="AB60" i="9"/>
  <c r="P57" i="9"/>
  <c r="U57" i="9"/>
  <c r="AB57" i="9"/>
  <c r="AB56" i="9"/>
  <c r="P56" i="9"/>
  <c r="U56" i="9"/>
  <c r="AB55" i="9"/>
  <c r="P55" i="9"/>
  <c r="U55" i="9"/>
  <c r="AB54" i="9"/>
  <c r="P54" i="9"/>
  <c r="U54" i="9"/>
  <c r="AB53" i="9"/>
  <c r="P53" i="9"/>
  <c r="U53" i="9"/>
  <c r="AB52" i="9"/>
  <c r="P52" i="9"/>
  <c r="U52" i="9"/>
  <c r="AB51" i="9"/>
  <c r="P51" i="9"/>
  <c r="U51" i="9"/>
  <c r="AB50" i="9"/>
  <c r="P50" i="9"/>
  <c r="U50" i="9"/>
  <c r="AB49" i="9"/>
  <c r="P49" i="9"/>
  <c r="U49" i="9"/>
  <c r="AB48" i="9"/>
  <c r="P48" i="9"/>
  <c r="U48" i="9"/>
  <c r="AB47" i="9"/>
  <c r="P47" i="9"/>
  <c r="U47" i="9"/>
  <c r="AB46" i="9"/>
  <c r="P46" i="9"/>
  <c r="U46" i="9"/>
  <c r="AB45" i="9"/>
  <c r="P45" i="9"/>
  <c r="U45" i="9"/>
  <c r="AB44" i="9"/>
  <c r="P44" i="9"/>
  <c r="U44" i="9"/>
  <c r="AB43" i="9"/>
  <c r="P43" i="9"/>
  <c r="U43" i="9"/>
  <c r="AB42" i="9"/>
  <c r="P42" i="9"/>
  <c r="U42" i="9"/>
  <c r="AB41" i="9"/>
  <c r="P41" i="9"/>
  <c r="U41" i="9"/>
  <c r="AB40" i="9"/>
  <c r="P40" i="9"/>
  <c r="U40" i="9"/>
  <c r="AB39" i="9"/>
  <c r="P39" i="9"/>
  <c r="U39" i="9"/>
  <c r="AB38" i="9"/>
  <c r="P38" i="9"/>
  <c r="U38" i="9"/>
  <c r="AB37" i="9"/>
  <c r="P37" i="9"/>
  <c r="U37" i="9"/>
  <c r="AB36" i="9"/>
  <c r="P36" i="9"/>
  <c r="U36" i="9"/>
  <c r="AB35" i="9"/>
  <c r="P35" i="9"/>
  <c r="U35" i="9"/>
  <c r="AB34" i="9"/>
  <c r="P34" i="9"/>
  <c r="U34" i="9"/>
  <c r="AB33" i="9"/>
  <c r="P33" i="9"/>
  <c r="U33" i="9"/>
  <c r="AB32" i="9"/>
  <c r="P32" i="9"/>
  <c r="U32" i="9"/>
  <c r="AB31" i="9"/>
  <c r="P31" i="9"/>
  <c r="U31" i="9"/>
  <c r="AB30" i="9"/>
  <c r="P30" i="9"/>
  <c r="U30" i="9"/>
  <c r="AB29" i="9"/>
  <c r="P29" i="9"/>
  <c r="U29" i="9"/>
  <c r="AB28" i="9"/>
  <c r="P28" i="9"/>
  <c r="U28" i="9"/>
  <c r="AB27" i="9"/>
  <c r="P27" i="9"/>
  <c r="U27" i="9"/>
  <c r="AB26" i="9"/>
  <c r="P26" i="9"/>
  <c r="U26" i="9"/>
  <c r="B24" i="9"/>
  <c r="B23" i="9"/>
  <c r="B1" i="9"/>
  <c r="L76" i="8"/>
  <c r="L75" i="8"/>
  <c r="Q67" i="8"/>
  <c r="Q66" i="8"/>
  <c r="P64" i="8"/>
  <c r="B64" i="8"/>
  <c r="AC64" i="8"/>
  <c r="AC62" i="8"/>
  <c r="P62" i="8"/>
  <c r="C62" i="8"/>
  <c r="Z62" i="8"/>
  <c r="AC59" i="8"/>
  <c r="P59" i="8"/>
  <c r="C59" i="8"/>
  <c r="Z59" i="8"/>
  <c r="AC58" i="8"/>
  <c r="P58" i="8"/>
  <c r="C58" i="8"/>
  <c r="Z58" i="8"/>
  <c r="AC57" i="8"/>
  <c r="P57" i="8"/>
  <c r="C57" i="8"/>
  <c r="Z57" i="8"/>
  <c r="AC56" i="8"/>
  <c r="P56" i="8"/>
  <c r="C56" i="8"/>
  <c r="Z56" i="8"/>
  <c r="AC55" i="8"/>
  <c r="P55" i="8"/>
  <c r="C55" i="8"/>
  <c r="Z55" i="8"/>
  <c r="AC54" i="8"/>
  <c r="P54" i="8"/>
  <c r="C54" i="8"/>
  <c r="Z54" i="8"/>
  <c r="AC53" i="8"/>
  <c r="P53" i="8"/>
  <c r="C53" i="8"/>
  <c r="Z53" i="8"/>
  <c r="AC52" i="8"/>
  <c r="P52" i="8"/>
  <c r="C52" i="8"/>
  <c r="Z52" i="8"/>
  <c r="AC51" i="8"/>
  <c r="P51" i="8"/>
  <c r="C51" i="8"/>
  <c r="Z51" i="8"/>
  <c r="AC50" i="8"/>
  <c r="P50" i="8"/>
  <c r="C50" i="8"/>
  <c r="Z50" i="8"/>
  <c r="AC49" i="8"/>
  <c r="P49" i="8"/>
  <c r="C49" i="8"/>
  <c r="Z49" i="8"/>
  <c r="AC48" i="8"/>
  <c r="P48" i="8"/>
  <c r="C48" i="8"/>
  <c r="Z48" i="8"/>
  <c r="AC47" i="8"/>
  <c r="P47" i="8"/>
  <c r="C47" i="8"/>
  <c r="Z47" i="8"/>
  <c r="AC46" i="8"/>
  <c r="P46" i="8"/>
  <c r="C46" i="8"/>
  <c r="Z46" i="8"/>
  <c r="AC45" i="8"/>
  <c r="P45" i="8"/>
  <c r="C45" i="8"/>
  <c r="Z45" i="8"/>
  <c r="AC44" i="8"/>
  <c r="P44" i="8"/>
  <c r="C44" i="8"/>
  <c r="Z44" i="8"/>
  <c r="AC43" i="8"/>
  <c r="P43" i="8"/>
  <c r="C43" i="8"/>
  <c r="Z43" i="8"/>
  <c r="AC42" i="8"/>
  <c r="P42" i="8"/>
  <c r="C42" i="8"/>
  <c r="Z42" i="8"/>
  <c r="AC41" i="8"/>
  <c r="P41" i="8"/>
  <c r="C41" i="8"/>
  <c r="Z41" i="8"/>
  <c r="AC40" i="8"/>
  <c r="P40" i="8"/>
  <c r="C40" i="8"/>
  <c r="Z40" i="8"/>
  <c r="AC39" i="8"/>
  <c r="P39" i="8"/>
  <c r="C39" i="8"/>
  <c r="Z39" i="8"/>
  <c r="AC38" i="8"/>
  <c r="P38" i="8"/>
  <c r="C38" i="8"/>
  <c r="Z38" i="8"/>
  <c r="AC37" i="8"/>
  <c r="P37" i="8"/>
  <c r="C37" i="8"/>
  <c r="Z37" i="8"/>
  <c r="AC36" i="8"/>
  <c r="P36" i="8"/>
  <c r="C36" i="8"/>
  <c r="Z36" i="8"/>
  <c r="AC35" i="8"/>
  <c r="P35" i="8"/>
  <c r="C35" i="8"/>
  <c r="Z35" i="8"/>
  <c r="AC34" i="8"/>
  <c r="P34" i="8"/>
  <c r="C34" i="8"/>
  <c r="Z34" i="8"/>
  <c r="AC33" i="8"/>
  <c r="P33" i="8"/>
  <c r="C33" i="8"/>
  <c r="Z33" i="8"/>
  <c r="AC32" i="8"/>
  <c r="P32" i="8"/>
  <c r="C32" i="8"/>
  <c r="Z32" i="8"/>
  <c r="AC31" i="8"/>
  <c r="P31" i="8"/>
  <c r="C31" i="8"/>
  <c r="Z31" i="8"/>
  <c r="AC30" i="8"/>
  <c r="P30" i="8"/>
  <c r="C30" i="8"/>
  <c r="Z30" i="8"/>
  <c r="AC29" i="8"/>
  <c r="P29" i="8"/>
  <c r="C29" i="8"/>
  <c r="Z29" i="8"/>
  <c r="AC28" i="8"/>
  <c r="P28" i="8"/>
  <c r="C28" i="8"/>
  <c r="Z28" i="8"/>
  <c r="AC27" i="8"/>
  <c r="P27" i="8"/>
  <c r="C27" i="8"/>
  <c r="Z27" i="8"/>
  <c r="AC26" i="8"/>
  <c r="P26" i="8"/>
  <c r="C26" i="8"/>
  <c r="Z26" i="8"/>
  <c r="C24" i="8"/>
  <c r="B24" i="8"/>
  <c r="C23" i="8"/>
  <c r="B23" i="8"/>
  <c r="C22" i="8"/>
  <c r="B22" i="8"/>
  <c r="C21" i="8"/>
  <c r="B21" i="8"/>
  <c r="C20" i="8"/>
  <c r="B20" i="8"/>
  <c r="C19" i="8"/>
  <c r="B19" i="8"/>
  <c r="C18" i="8"/>
  <c r="B18" i="8"/>
  <c r="C17" i="8"/>
  <c r="B17" i="8"/>
  <c r="C16" i="8"/>
  <c r="B16" i="8"/>
  <c r="C15" i="8"/>
  <c r="B15" i="8"/>
  <c r="C14" i="8"/>
  <c r="B14" i="8"/>
  <c r="C13" i="8"/>
  <c r="B13" i="8"/>
  <c r="B1" i="8"/>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51" i="6"/>
  <c r="J52" i="6"/>
  <c r="J53" i="6"/>
  <c r="J54" i="6"/>
  <c r="J50" i="6"/>
  <c r="J57" i="6"/>
  <c r="J56" i="6"/>
  <c r="J55" i="6"/>
  <c r="AA43" i="6"/>
  <c r="Q43" i="6"/>
  <c r="AA42" i="6"/>
  <c r="Q42" i="6"/>
  <c r="AA41" i="6"/>
  <c r="Q41" i="6"/>
  <c r="AA40" i="6"/>
  <c r="Q40" i="6"/>
  <c r="AA39" i="6"/>
  <c r="Q39" i="6"/>
  <c r="AA38" i="6"/>
  <c r="Q38" i="6"/>
  <c r="AA37" i="6"/>
  <c r="P37" i="6"/>
  <c r="Q37" i="6"/>
  <c r="AA36" i="6"/>
  <c r="P36" i="6"/>
  <c r="Q36" i="6"/>
  <c r="AA35" i="6"/>
  <c r="L35" i="6"/>
  <c r="P35" i="6"/>
  <c r="Q35" i="6"/>
  <c r="AA34" i="6"/>
  <c r="M34" i="6"/>
  <c r="P34" i="6"/>
  <c r="Q34" i="6"/>
  <c r="AA33" i="6"/>
  <c r="M33" i="6"/>
  <c r="P33" i="6"/>
  <c r="Q33" i="6"/>
  <c r="AA32" i="6"/>
  <c r="P32" i="6"/>
  <c r="Q32" i="6"/>
  <c r="AA31" i="6"/>
  <c r="P31" i="6"/>
  <c r="Q31" i="6"/>
  <c r="AA30" i="6"/>
  <c r="P30" i="6"/>
  <c r="Q30" i="6"/>
  <c r="AA29" i="6"/>
  <c r="P29" i="6"/>
  <c r="Q29" i="6"/>
  <c r="AA28" i="6"/>
  <c r="P28" i="6"/>
  <c r="Q28" i="6"/>
  <c r="AA27" i="6"/>
  <c r="Q27" i="6"/>
  <c r="AA26" i="6"/>
  <c r="Q26" i="6"/>
  <c r="AA25" i="6"/>
  <c r="Q25" i="6"/>
  <c r="AA24" i="6"/>
  <c r="Q24" i="6"/>
  <c r="AA23" i="6"/>
  <c r="Q23" i="6"/>
  <c r="AA22" i="6"/>
  <c r="Q22" i="6"/>
  <c r="AA21" i="6"/>
  <c r="Q21" i="6"/>
  <c r="AA20" i="6"/>
  <c r="Q20" i="6"/>
  <c r="AA19" i="6"/>
  <c r="Q19" i="6"/>
  <c r="AA18" i="6"/>
  <c r="Q18" i="6"/>
  <c r="AA17" i="6"/>
  <c r="Q17" i="6"/>
  <c r="AA16" i="6"/>
  <c r="E16" i="6"/>
  <c r="Q16" i="6"/>
  <c r="AA15" i="6"/>
  <c r="Q15" i="6"/>
  <c r="AA14" i="6"/>
  <c r="Q14" i="6"/>
  <c r="AA13" i="6"/>
  <c r="Q13" i="6"/>
  <c r="AA12" i="6"/>
  <c r="Q12" i="6"/>
  <c r="AA11" i="6"/>
  <c r="Q11" i="6"/>
  <c r="AA10" i="6"/>
  <c r="Q10" i="6"/>
  <c r="F47" i="21"/>
  <c r="R36" i="21"/>
  <c r="F36" i="21"/>
  <c r="R35" i="21"/>
  <c r="R34" i="21"/>
  <c r="R33" i="21"/>
  <c r="R32" i="21"/>
  <c r="R31" i="21"/>
  <c r="H31" i="21"/>
  <c r="F31" i="21"/>
  <c r="R30" i="21"/>
  <c r="H30" i="21"/>
  <c r="E30" i="21"/>
  <c r="R29" i="21"/>
  <c r="H29" i="21"/>
  <c r="E29" i="21"/>
  <c r="R28" i="21"/>
  <c r="H28" i="21"/>
  <c r="E28" i="21"/>
  <c r="R27" i="21"/>
  <c r="R26" i="21"/>
  <c r="R25" i="21"/>
  <c r="R24" i="21"/>
  <c r="R23" i="21"/>
  <c r="R22" i="21"/>
  <c r="R21" i="21"/>
  <c r="R20" i="21"/>
  <c r="R19" i="21"/>
  <c r="R18" i="21"/>
  <c r="R17" i="21"/>
  <c r="R16" i="21"/>
  <c r="R15" i="21"/>
  <c r="R14" i="21"/>
  <c r="R13" i="21"/>
  <c r="R12" i="21"/>
  <c r="A1" i="21"/>
  <c r="F8" i="3"/>
  <c r="C8" i="3"/>
  <c r="B8" i="3"/>
  <c r="B5" i="3"/>
  <c r="A5" i="3"/>
  <c r="A1" i="3"/>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B14" i="3"/>
  <c r="C62" i="4"/>
  <c r="C60" i="4"/>
  <c r="H59" i="4"/>
  <c r="I59" i="4"/>
  <c r="F59" i="4"/>
  <c r="C59" i="9"/>
  <c r="D59" i="4"/>
  <c r="C59" i="4"/>
  <c r="AN58" i="4"/>
  <c r="N58" i="4"/>
  <c r="O58" i="4"/>
  <c r="L58" i="4"/>
  <c r="J58" i="4"/>
  <c r="H58" i="4"/>
  <c r="I58" i="4"/>
  <c r="F58" i="4"/>
  <c r="D58" i="4"/>
  <c r="C58" i="4"/>
  <c r="Z57" i="4"/>
  <c r="AA57" i="4"/>
  <c r="X57" i="4"/>
  <c r="T57" i="4"/>
  <c r="R57" i="4"/>
  <c r="S57" i="4"/>
  <c r="P57" i="4"/>
  <c r="N57" i="4"/>
  <c r="D59" i="8"/>
  <c r="AB59" i="8"/>
  <c r="L57" i="4"/>
  <c r="J57" i="4"/>
  <c r="H57" i="4"/>
  <c r="I57" i="4"/>
  <c r="F57" i="4"/>
  <c r="C57" i="9"/>
  <c r="Z57" i="9"/>
  <c r="D57" i="4"/>
  <c r="C57" i="4"/>
  <c r="AQ56" i="4"/>
  <c r="AF56" i="4"/>
  <c r="AG56" i="4"/>
  <c r="AD56" i="4"/>
  <c r="AB56" i="4"/>
  <c r="Z56" i="4"/>
  <c r="AA56" i="4"/>
  <c r="X56" i="4"/>
  <c r="C60" i="14"/>
  <c r="T56" i="4"/>
  <c r="D58" i="11"/>
  <c r="AA58" i="11"/>
  <c r="R56" i="4"/>
  <c r="P56" i="4"/>
  <c r="N56" i="4"/>
  <c r="D58" i="8"/>
  <c r="L56" i="4"/>
  <c r="O136" i="4"/>
  <c r="J56" i="4"/>
  <c r="H56" i="4"/>
  <c r="I56" i="4"/>
  <c r="F56" i="4"/>
  <c r="C56" i="9"/>
  <c r="Z56" i="9"/>
  <c r="D56" i="4"/>
  <c r="C56" i="4"/>
  <c r="C59" i="12"/>
  <c r="Z59" i="12"/>
  <c r="AQ55" i="4"/>
  <c r="AF55" i="4"/>
  <c r="AG55" i="4"/>
  <c r="AD55" i="4"/>
  <c r="AE55" i="4"/>
  <c r="D59" i="14"/>
  <c r="AB55" i="4"/>
  <c r="Z55" i="4"/>
  <c r="AA55" i="4"/>
  <c r="X55" i="4"/>
  <c r="Y55" i="4"/>
  <c r="T55" i="4"/>
  <c r="D57" i="11"/>
  <c r="AA57" i="11"/>
  <c r="R55" i="4"/>
  <c r="D57" i="10"/>
  <c r="AA57" i="10"/>
  <c r="P55" i="4"/>
  <c r="N55" i="4"/>
  <c r="D57" i="8"/>
  <c r="AB57" i="8"/>
  <c r="L55" i="4"/>
  <c r="M55" i="4"/>
  <c r="J55" i="4"/>
  <c r="H55" i="4"/>
  <c r="I55" i="4"/>
  <c r="C55" i="9"/>
  <c r="Z55" i="9"/>
  <c r="D55" i="4"/>
  <c r="C55" i="4"/>
  <c r="C58" i="12"/>
  <c r="Z58" i="12"/>
  <c r="AQ54" i="4"/>
  <c r="AJ54" i="4"/>
  <c r="AJ55" i="4"/>
  <c r="AJ56" i="4"/>
  <c r="AJ57" i="4"/>
  <c r="AJ58" i="4"/>
  <c r="AJ59" i="4"/>
  <c r="AJ60" i="4"/>
  <c r="AI54" i="4"/>
  <c r="AN54" i="4"/>
  <c r="AF54" i="4"/>
  <c r="AG54" i="4"/>
  <c r="AD54" i="4"/>
  <c r="D58" i="14"/>
  <c r="AB54" i="4"/>
  <c r="Z54" i="4"/>
  <c r="AA54" i="4"/>
  <c r="X54" i="4"/>
  <c r="T54" i="4"/>
  <c r="D56" i="11"/>
  <c r="AA56" i="11"/>
  <c r="R54" i="4"/>
  <c r="P54" i="4"/>
  <c r="N54" i="4"/>
  <c r="D56" i="8"/>
  <c r="L54" i="4"/>
  <c r="O134" i="4"/>
  <c r="J54" i="4"/>
  <c r="H54" i="4"/>
  <c r="I54" i="4"/>
  <c r="F54" i="4"/>
  <c r="C54" i="9"/>
  <c r="Z54" i="9"/>
  <c r="D54" i="4"/>
  <c r="C54" i="4"/>
  <c r="C57" i="12"/>
  <c r="Z57" i="12"/>
  <c r="AK53" i="4"/>
  <c r="AQ53" i="4"/>
  <c r="AI53" i="4"/>
  <c r="AN53" i="4"/>
  <c r="AF53" i="4"/>
  <c r="AG53" i="4"/>
  <c r="AD53" i="4"/>
  <c r="D57" i="14"/>
  <c r="AB53" i="4"/>
  <c r="Z53" i="4"/>
  <c r="AA53" i="4"/>
  <c r="X53" i="4"/>
  <c r="Y53" i="4"/>
  <c r="T53" i="4"/>
  <c r="D55" i="11"/>
  <c r="AA55" i="11"/>
  <c r="R53" i="4"/>
  <c r="D55" i="10"/>
  <c r="AA55" i="10"/>
  <c r="P53" i="4"/>
  <c r="N53" i="4"/>
  <c r="D55" i="8"/>
  <c r="AB55" i="8"/>
  <c r="L53" i="4"/>
  <c r="H53" i="4"/>
  <c r="I53" i="4"/>
  <c r="F53" i="4"/>
  <c r="C53" i="9"/>
  <c r="Z53" i="9"/>
  <c r="D53" i="4"/>
  <c r="C53" i="4"/>
  <c r="C56" i="12"/>
  <c r="Z56" i="12"/>
  <c r="AK52" i="4"/>
  <c r="AQ52" i="4"/>
  <c r="AI52" i="4"/>
  <c r="AN52" i="4"/>
  <c r="AF52" i="4"/>
  <c r="AG52" i="4"/>
  <c r="AD52" i="4"/>
  <c r="D56" i="14"/>
  <c r="AB52" i="4"/>
  <c r="Z52" i="4"/>
  <c r="AA52" i="4"/>
  <c r="X52" i="4"/>
  <c r="T52" i="4"/>
  <c r="D54" i="11"/>
  <c r="AA54" i="11"/>
  <c r="R52" i="4"/>
  <c r="P52" i="4"/>
  <c r="N52" i="4"/>
  <c r="D54" i="8"/>
  <c r="L52" i="4"/>
  <c r="O132" i="4"/>
  <c r="J52" i="4"/>
  <c r="H52" i="4"/>
  <c r="I52" i="4"/>
  <c r="F52" i="4"/>
  <c r="C52" i="9"/>
  <c r="Z52" i="9"/>
  <c r="D52" i="4"/>
  <c r="C52" i="4"/>
  <c r="C55" i="12"/>
  <c r="Z55" i="12"/>
  <c r="AK51" i="4"/>
  <c r="AQ51" i="4"/>
  <c r="AI51" i="4"/>
  <c r="AN51" i="4"/>
  <c r="AF51" i="4"/>
  <c r="AG51" i="4"/>
  <c r="AD51" i="4"/>
  <c r="D55" i="14"/>
  <c r="AB51" i="4"/>
  <c r="Z51" i="4"/>
  <c r="AA51" i="4"/>
  <c r="X51" i="4"/>
  <c r="T51" i="4"/>
  <c r="D53" i="11"/>
  <c r="AA53" i="11"/>
  <c r="R51" i="4"/>
  <c r="D53" i="10"/>
  <c r="AA53" i="10"/>
  <c r="P51" i="4"/>
  <c r="N51" i="4"/>
  <c r="D53" i="8"/>
  <c r="AB53" i="8"/>
  <c r="L51" i="4"/>
  <c r="M51" i="4"/>
  <c r="J51" i="4"/>
  <c r="H51" i="4"/>
  <c r="I51" i="4"/>
  <c r="F51" i="4"/>
  <c r="C51" i="9"/>
  <c r="Z51" i="9"/>
  <c r="D51" i="4"/>
  <c r="C51" i="4"/>
  <c r="C54" i="12"/>
  <c r="Z54" i="12"/>
  <c r="AK50" i="4"/>
  <c r="AQ50" i="4"/>
  <c r="AI50" i="4"/>
  <c r="AN50" i="4"/>
  <c r="AF50" i="4"/>
  <c r="AG50" i="4"/>
  <c r="AD50" i="4"/>
  <c r="D54" i="14"/>
  <c r="AB50" i="4"/>
  <c r="Z50" i="4"/>
  <c r="AA50" i="4"/>
  <c r="X50" i="4"/>
  <c r="T50" i="4"/>
  <c r="D52" i="11"/>
  <c r="AA52" i="11"/>
  <c r="R50" i="4"/>
  <c r="P50" i="4"/>
  <c r="N50" i="4"/>
  <c r="D52" i="8"/>
  <c r="L50" i="4"/>
  <c r="O130" i="4"/>
  <c r="J50" i="4"/>
  <c r="H50" i="4"/>
  <c r="I50" i="4"/>
  <c r="F50" i="4"/>
  <c r="C50" i="9"/>
  <c r="Z50" i="9"/>
  <c r="D50" i="4"/>
  <c r="C50" i="4"/>
  <c r="C53" i="12"/>
  <c r="Z53" i="12"/>
  <c r="AQ49" i="4"/>
  <c r="AI49" i="4"/>
  <c r="AN49" i="4"/>
  <c r="AF49" i="4"/>
  <c r="AG49" i="4"/>
  <c r="AD49" i="4"/>
  <c r="D53" i="14"/>
  <c r="AB49" i="4"/>
  <c r="Z49" i="4"/>
  <c r="AA49" i="4"/>
  <c r="X49" i="4"/>
  <c r="T49" i="4"/>
  <c r="D51" i="11"/>
  <c r="AA51" i="11"/>
  <c r="R49" i="4"/>
  <c r="D51" i="10"/>
  <c r="AA51" i="10"/>
  <c r="P49" i="4"/>
  <c r="N49" i="4"/>
  <c r="D51" i="8"/>
  <c r="AB51" i="8"/>
  <c r="L49" i="4"/>
  <c r="M49" i="4"/>
  <c r="J49" i="4"/>
  <c r="H49" i="4"/>
  <c r="I49" i="4"/>
  <c r="F49" i="4"/>
  <c r="C49" i="9"/>
  <c r="Z49" i="9"/>
  <c r="D49" i="4"/>
  <c r="C49" i="4"/>
  <c r="C52" i="12"/>
  <c r="Z52" i="12"/>
  <c r="AQ48" i="4"/>
  <c r="AI48" i="4"/>
  <c r="AN48" i="4"/>
  <c r="AF48" i="4"/>
  <c r="AG48" i="4"/>
  <c r="AD48" i="4"/>
  <c r="D52" i="14"/>
  <c r="AB48" i="4"/>
  <c r="Z48" i="4"/>
  <c r="AA48" i="4"/>
  <c r="X48" i="4"/>
  <c r="T48" i="4"/>
  <c r="D50" i="11"/>
  <c r="N50" i="11"/>
  <c r="O50" i="11"/>
  <c r="R48" i="4"/>
  <c r="P48" i="4"/>
  <c r="N48" i="4"/>
  <c r="D50" i="8"/>
  <c r="L48" i="4"/>
  <c r="O128" i="4"/>
  <c r="J48" i="4"/>
  <c r="H48" i="4"/>
  <c r="I48" i="4"/>
  <c r="F48" i="4"/>
  <c r="C48" i="9"/>
  <c r="Z48" i="9"/>
  <c r="D48" i="4"/>
  <c r="C48" i="4"/>
  <c r="C51" i="12"/>
  <c r="Z51" i="12"/>
  <c r="AQ47" i="4"/>
  <c r="AI47" i="4"/>
  <c r="AN47" i="4"/>
  <c r="AF47" i="4"/>
  <c r="AG47" i="4"/>
  <c r="AD47" i="4"/>
  <c r="D51" i="14"/>
  <c r="AB47" i="4"/>
  <c r="Z47" i="4"/>
  <c r="AA47" i="4"/>
  <c r="X47" i="4"/>
  <c r="T47" i="4"/>
  <c r="D49" i="11"/>
  <c r="AA49" i="11"/>
  <c r="R47" i="4"/>
  <c r="D49" i="10"/>
  <c r="AA49" i="10"/>
  <c r="P47" i="4"/>
  <c r="N47" i="4"/>
  <c r="D49" i="8"/>
  <c r="AB49" i="8"/>
  <c r="L47" i="4"/>
  <c r="M47" i="4"/>
  <c r="J47" i="4"/>
  <c r="H47" i="4"/>
  <c r="I47" i="4"/>
  <c r="F47" i="4"/>
  <c r="C47" i="9"/>
  <c r="Z47" i="9"/>
  <c r="D47" i="4"/>
  <c r="C47" i="4"/>
  <c r="C50" i="12"/>
  <c r="Z50" i="12"/>
  <c r="AQ46" i="4"/>
  <c r="AI46" i="4"/>
  <c r="AN46" i="4"/>
  <c r="AF46" i="4"/>
  <c r="AG46" i="4"/>
  <c r="AD46" i="4"/>
  <c r="D50" i="14"/>
  <c r="AB46" i="4"/>
  <c r="Z46" i="4"/>
  <c r="AA46" i="4"/>
  <c r="X46" i="4"/>
  <c r="T46" i="4"/>
  <c r="D48" i="11"/>
  <c r="AA48" i="11"/>
  <c r="R46" i="4"/>
  <c r="P46" i="4"/>
  <c r="N46" i="4"/>
  <c r="D48" i="8"/>
  <c r="L46" i="4"/>
  <c r="O126" i="4"/>
  <c r="J46" i="4"/>
  <c r="H46" i="4"/>
  <c r="I46" i="4"/>
  <c r="F46" i="4"/>
  <c r="C46" i="9"/>
  <c r="Z46" i="9"/>
  <c r="D46" i="4"/>
  <c r="C46" i="4"/>
  <c r="C49" i="12"/>
  <c r="Z49" i="12"/>
  <c r="AQ45" i="4"/>
  <c r="AI45" i="4"/>
  <c r="AN45" i="4"/>
  <c r="AF45" i="4"/>
  <c r="AG45" i="4"/>
  <c r="AD45" i="4"/>
  <c r="D49" i="14"/>
  <c r="AB45" i="4"/>
  <c r="Z45" i="4"/>
  <c r="AA45" i="4"/>
  <c r="X45" i="4"/>
  <c r="T45" i="4"/>
  <c r="D47" i="11"/>
  <c r="AA47" i="11"/>
  <c r="R45" i="4"/>
  <c r="D47" i="10"/>
  <c r="AA47" i="10"/>
  <c r="P45" i="4"/>
  <c r="N45" i="4"/>
  <c r="D47" i="8"/>
  <c r="AB47" i="8"/>
  <c r="L45" i="4"/>
  <c r="M45" i="4"/>
  <c r="J45" i="4"/>
  <c r="H45" i="4"/>
  <c r="I45" i="4"/>
  <c r="F45" i="4"/>
  <c r="C45" i="9"/>
  <c r="Z45" i="9"/>
  <c r="D45" i="4"/>
  <c r="C45" i="4"/>
  <c r="C48" i="12"/>
  <c r="Z48" i="12"/>
  <c r="AQ44" i="4"/>
  <c r="AI44" i="4"/>
  <c r="AN44" i="4"/>
  <c r="AF44" i="4"/>
  <c r="AG44" i="4"/>
  <c r="AD44" i="4"/>
  <c r="D48" i="14"/>
  <c r="AB44" i="4"/>
  <c r="Z44" i="4"/>
  <c r="AA44" i="4"/>
  <c r="X44" i="4"/>
  <c r="T44" i="4"/>
  <c r="D46" i="11"/>
  <c r="AA46" i="11"/>
  <c r="R44" i="4"/>
  <c r="P44" i="4"/>
  <c r="N44" i="4"/>
  <c r="D46" i="8"/>
  <c r="L44" i="4"/>
  <c r="O124" i="4"/>
  <c r="J44" i="4"/>
  <c r="H44" i="4"/>
  <c r="I44" i="4"/>
  <c r="F44" i="4"/>
  <c r="C44" i="9"/>
  <c r="Z44" i="9"/>
  <c r="D44" i="4"/>
  <c r="C44" i="4"/>
  <c r="C47" i="12"/>
  <c r="Z47" i="12"/>
  <c r="AQ43" i="4"/>
  <c r="AI43" i="4"/>
  <c r="AN43" i="4"/>
  <c r="AF43" i="4"/>
  <c r="AG43" i="4"/>
  <c r="AD43" i="4"/>
  <c r="D47" i="14"/>
  <c r="AB43" i="4"/>
  <c r="Z43" i="4"/>
  <c r="AA43" i="4"/>
  <c r="X43" i="4"/>
  <c r="T43" i="4"/>
  <c r="D45" i="11"/>
  <c r="AA45" i="11"/>
  <c r="R43" i="4"/>
  <c r="D45" i="10"/>
  <c r="AA45" i="10"/>
  <c r="P43" i="4"/>
  <c r="N43" i="4"/>
  <c r="D45" i="8"/>
  <c r="AB45" i="8"/>
  <c r="L43" i="4"/>
  <c r="M43" i="4"/>
  <c r="J43" i="4"/>
  <c r="H43" i="4"/>
  <c r="I43" i="4"/>
  <c r="F43" i="4"/>
  <c r="C43" i="9"/>
  <c r="Z43" i="9"/>
  <c r="D43" i="4"/>
  <c r="C43" i="4"/>
  <c r="C46" i="12"/>
  <c r="Z46" i="12"/>
  <c r="AQ42" i="4"/>
  <c r="AI42" i="4"/>
  <c r="AN42" i="4"/>
  <c r="AF42" i="4"/>
  <c r="AG42" i="4"/>
  <c r="AD42" i="4"/>
  <c r="D46" i="14"/>
  <c r="AB42" i="4"/>
  <c r="Z42" i="4"/>
  <c r="AA42" i="4"/>
  <c r="X42" i="4"/>
  <c r="T42" i="4"/>
  <c r="D44" i="11"/>
  <c r="AA44" i="11"/>
  <c r="R42" i="4"/>
  <c r="P42" i="4"/>
  <c r="N42" i="4"/>
  <c r="D44" i="8"/>
  <c r="L42" i="4"/>
  <c r="O122" i="4"/>
  <c r="J42" i="4"/>
  <c r="H42" i="4"/>
  <c r="I42" i="4"/>
  <c r="F42" i="4"/>
  <c r="C42" i="9"/>
  <c r="Z42" i="9"/>
  <c r="D42" i="4"/>
  <c r="C42" i="4"/>
  <c r="C45" i="12"/>
  <c r="Z45" i="12"/>
  <c r="AQ41" i="4"/>
  <c r="AI41" i="4"/>
  <c r="AN41" i="4"/>
  <c r="AF41" i="4"/>
  <c r="AG41" i="4"/>
  <c r="AD41" i="4"/>
  <c r="D45" i="14"/>
  <c r="AB41" i="4"/>
  <c r="Z41" i="4"/>
  <c r="AA41" i="4"/>
  <c r="X41" i="4"/>
  <c r="T41" i="4"/>
  <c r="D43" i="11"/>
  <c r="AA43" i="11"/>
  <c r="R41" i="4"/>
  <c r="D43" i="10"/>
  <c r="AA43" i="10"/>
  <c r="P41" i="4"/>
  <c r="N41" i="4"/>
  <c r="D43" i="8"/>
  <c r="AB43" i="8"/>
  <c r="L41" i="4"/>
  <c r="M41" i="4"/>
  <c r="J41" i="4"/>
  <c r="H41" i="4"/>
  <c r="I41" i="4"/>
  <c r="F41" i="4"/>
  <c r="C41" i="9"/>
  <c r="Z41" i="9"/>
  <c r="D41" i="4"/>
  <c r="C41" i="4"/>
  <c r="C44" i="12"/>
  <c r="Z44" i="12"/>
  <c r="AQ40" i="4"/>
  <c r="AI40" i="4"/>
  <c r="AN40" i="4"/>
  <c r="AF40" i="4"/>
  <c r="AG40" i="4"/>
  <c r="AD40" i="4"/>
  <c r="D44" i="14"/>
  <c r="AB40" i="4"/>
  <c r="Z40" i="4"/>
  <c r="AA40" i="4"/>
  <c r="X40" i="4"/>
  <c r="T40" i="4"/>
  <c r="D42" i="11"/>
  <c r="AA42" i="11"/>
  <c r="R40" i="4"/>
  <c r="P40" i="4"/>
  <c r="N40" i="4"/>
  <c r="D42" i="8"/>
  <c r="L40" i="4"/>
  <c r="O120" i="4"/>
  <c r="J40" i="4"/>
  <c r="H40" i="4"/>
  <c r="I40" i="4"/>
  <c r="F40" i="4"/>
  <c r="C40" i="9"/>
  <c r="Z40" i="9"/>
  <c r="D40" i="4"/>
  <c r="C40" i="4"/>
  <c r="C43" i="12"/>
  <c r="Z43" i="12"/>
  <c r="AF39" i="4"/>
  <c r="AG39" i="4"/>
  <c r="AD39" i="4"/>
  <c r="D43" i="14"/>
  <c r="AB39" i="4"/>
  <c r="Z39" i="4"/>
  <c r="AA39" i="4"/>
  <c r="X39" i="4"/>
  <c r="T39" i="4"/>
  <c r="D41" i="11"/>
  <c r="AA41" i="11"/>
  <c r="R39" i="4"/>
  <c r="D41" i="10"/>
  <c r="AA41" i="10"/>
  <c r="P39" i="4"/>
  <c r="J39" i="4"/>
  <c r="H39" i="4"/>
  <c r="I39" i="4"/>
  <c r="F39" i="4"/>
  <c r="C39" i="9"/>
  <c r="Z39" i="9"/>
  <c r="D39" i="4"/>
  <c r="C39" i="4"/>
  <c r="C42" i="12"/>
  <c r="Z42" i="12"/>
  <c r="AQ38" i="4"/>
  <c r="AF38" i="4"/>
  <c r="AG38" i="4"/>
  <c r="AD38" i="4"/>
  <c r="D42" i="14"/>
  <c r="AB38" i="4"/>
  <c r="P38" i="4"/>
  <c r="N38" i="4"/>
  <c r="D40" i="8"/>
  <c r="L38" i="4"/>
  <c r="J38" i="4"/>
  <c r="H38" i="4"/>
  <c r="I38" i="4"/>
  <c r="F38" i="4"/>
  <c r="C38" i="9"/>
  <c r="Z38" i="9"/>
  <c r="D38" i="4"/>
  <c r="C38" i="4"/>
  <c r="C41" i="12"/>
  <c r="Z41" i="12"/>
  <c r="AQ37" i="4"/>
  <c r="AI37" i="4"/>
  <c r="AN37" i="4"/>
  <c r="AB37" i="4"/>
  <c r="Z37" i="4"/>
  <c r="AA37" i="4"/>
  <c r="X37" i="4"/>
  <c r="T37" i="4"/>
  <c r="D39" i="11"/>
  <c r="AA39" i="11"/>
  <c r="R37" i="4"/>
  <c r="D39" i="10"/>
  <c r="AA39" i="10"/>
  <c r="P37" i="4"/>
  <c r="N37" i="4"/>
  <c r="D39" i="8"/>
  <c r="AB39" i="8"/>
  <c r="L37" i="4"/>
  <c r="M37" i="4"/>
  <c r="J37" i="4"/>
  <c r="H37" i="4"/>
  <c r="I37" i="4"/>
  <c r="F37" i="4"/>
  <c r="C37" i="9"/>
  <c r="Z37" i="9"/>
  <c r="D37" i="4"/>
  <c r="C37" i="4"/>
  <c r="C40" i="12"/>
  <c r="Z40" i="12"/>
  <c r="AQ36" i="4"/>
  <c r="AI36" i="4"/>
  <c r="AN36" i="4"/>
  <c r="AF36" i="4"/>
  <c r="AG36" i="4"/>
  <c r="AD36" i="4"/>
  <c r="D40" i="14"/>
  <c r="AB36" i="4"/>
  <c r="Z36" i="4"/>
  <c r="AA36" i="4"/>
  <c r="X36" i="4"/>
  <c r="T36" i="4"/>
  <c r="D38" i="11"/>
  <c r="AA38" i="11"/>
  <c r="R36" i="4"/>
  <c r="P36" i="4"/>
  <c r="N36" i="4"/>
  <c r="D38" i="8"/>
  <c r="L36" i="4"/>
  <c r="O116" i="4"/>
  <c r="J36" i="4"/>
  <c r="H36" i="4"/>
  <c r="I36" i="4"/>
  <c r="F36" i="4"/>
  <c r="C36" i="9"/>
  <c r="Z36" i="9"/>
  <c r="D36" i="4"/>
  <c r="C36" i="4"/>
  <c r="C39" i="12"/>
  <c r="Z39" i="12"/>
  <c r="AQ35" i="4"/>
  <c r="AI35" i="4"/>
  <c r="AN35" i="4"/>
  <c r="AF35" i="4"/>
  <c r="AG35" i="4"/>
  <c r="AD35" i="4"/>
  <c r="D39" i="14"/>
  <c r="AB35" i="4"/>
  <c r="Z35" i="4"/>
  <c r="AA35" i="4"/>
  <c r="X35" i="4"/>
  <c r="T35" i="4"/>
  <c r="D37" i="11"/>
  <c r="AA37" i="11"/>
  <c r="R35" i="4"/>
  <c r="D37" i="10"/>
  <c r="AA37" i="10"/>
  <c r="P35" i="4"/>
  <c r="N35" i="4"/>
  <c r="D37" i="8"/>
  <c r="AB37" i="8"/>
  <c r="L35" i="4"/>
  <c r="M35" i="4"/>
  <c r="J35" i="4"/>
  <c r="H35" i="4"/>
  <c r="I35" i="4"/>
  <c r="F35" i="4"/>
  <c r="C35" i="9"/>
  <c r="Z35" i="9"/>
  <c r="D35" i="4"/>
  <c r="C35" i="4"/>
  <c r="C38" i="12"/>
  <c r="Z38" i="12"/>
  <c r="AQ34" i="4"/>
  <c r="AI34" i="4"/>
  <c r="AN34" i="4"/>
  <c r="AF34" i="4"/>
  <c r="AG34" i="4"/>
  <c r="AD34" i="4"/>
  <c r="D38" i="14"/>
  <c r="AB34" i="4"/>
  <c r="Z34" i="4"/>
  <c r="AA34" i="4"/>
  <c r="X34" i="4"/>
  <c r="T34" i="4"/>
  <c r="D36" i="11"/>
  <c r="AA36" i="11"/>
  <c r="R34" i="4"/>
  <c r="P34" i="4"/>
  <c r="N34" i="4"/>
  <c r="D36" i="8"/>
  <c r="L34" i="4"/>
  <c r="O114" i="4"/>
  <c r="J34" i="4"/>
  <c r="H34" i="4"/>
  <c r="I34" i="4"/>
  <c r="F34" i="4"/>
  <c r="C34" i="9"/>
  <c r="Z34" i="9"/>
  <c r="D34" i="4"/>
  <c r="C34" i="4"/>
  <c r="C37" i="12"/>
  <c r="Z37" i="12"/>
  <c r="AK33" i="4"/>
  <c r="AQ33" i="4"/>
  <c r="AI33" i="4"/>
  <c r="AN33" i="4"/>
  <c r="AF33" i="4"/>
  <c r="AG33" i="4"/>
  <c r="AD33" i="4"/>
  <c r="D37" i="14"/>
  <c r="AB33" i="4"/>
  <c r="Z33" i="4"/>
  <c r="AA33" i="4"/>
  <c r="X33" i="4"/>
  <c r="T33" i="4"/>
  <c r="D35" i="11"/>
  <c r="AA35" i="11"/>
  <c r="R33" i="4"/>
  <c r="D35" i="10"/>
  <c r="P33" i="4"/>
  <c r="N33" i="4"/>
  <c r="D35" i="8"/>
  <c r="AB35" i="8"/>
  <c r="L33" i="4"/>
  <c r="M33" i="4"/>
  <c r="J33" i="4"/>
  <c r="H33" i="4"/>
  <c r="I33" i="4"/>
  <c r="F33" i="4"/>
  <c r="C33" i="9"/>
  <c r="Z33" i="9"/>
  <c r="D33" i="4"/>
  <c r="C33" i="4"/>
  <c r="C36" i="12"/>
  <c r="Z36" i="12"/>
  <c r="AK32" i="4"/>
  <c r="AQ32" i="4"/>
  <c r="AI32" i="4"/>
  <c r="AN32" i="4"/>
  <c r="AF32" i="4"/>
  <c r="AG32" i="4"/>
  <c r="AD32" i="4"/>
  <c r="D36" i="14"/>
  <c r="AB32" i="4"/>
  <c r="Z32" i="4"/>
  <c r="AA32" i="4"/>
  <c r="X32" i="4"/>
  <c r="T32" i="4"/>
  <c r="D34" i="11"/>
  <c r="AA34" i="11"/>
  <c r="R32" i="4"/>
  <c r="P32" i="4"/>
  <c r="N32" i="4"/>
  <c r="D34" i="8"/>
  <c r="L32" i="4"/>
  <c r="O112" i="4"/>
  <c r="J32" i="4"/>
  <c r="H32" i="4"/>
  <c r="I32" i="4"/>
  <c r="F32" i="4"/>
  <c r="C32" i="9"/>
  <c r="Z32" i="9"/>
  <c r="D32" i="4"/>
  <c r="C32" i="4"/>
  <c r="C35" i="12"/>
  <c r="Z35" i="12"/>
  <c r="AK31" i="4"/>
  <c r="AQ31" i="4"/>
  <c r="AI31" i="4"/>
  <c r="AN31" i="4"/>
  <c r="AF31" i="4"/>
  <c r="AG31" i="4"/>
  <c r="AD31" i="4"/>
  <c r="D35" i="14"/>
  <c r="AB31" i="4"/>
  <c r="Z31" i="4"/>
  <c r="AA31" i="4"/>
  <c r="X31" i="4"/>
  <c r="T31" i="4"/>
  <c r="D33" i="11"/>
  <c r="AA33" i="11"/>
  <c r="R31" i="4"/>
  <c r="D33" i="10"/>
  <c r="AA33" i="10"/>
  <c r="P31" i="4"/>
  <c r="N31" i="4"/>
  <c r="O31" i="4"/>
  <c r="D33" i="8"/>
  <c r="L31" i="4"/>
  <c r="M31" i="4"/>
  <c r="J31" i="4"/>
  <c r="H31" i="4"/>
  <c r="I31" i="4"/>
  <c r="F31" i="4"/>
  <c r="C31" i="9"/>
  <c r="Z31" i="9"/>
  <c r="D31" i="4"/>
  <c r="C31" i="4"/>
  <c r="C34" i="12"/>
  <c r="Z34" i="12"/>
  <c r="AK30" i="4"/>
  <c r="AQ30" i="4"/>
  <c r="AI30" i="4"/>
  <c r="AN30" i="4"/>
  <c r="AF30" i="4"/>
  <c r="AG30" i="4"/>
  <c r="AD30" i="4"/>
  <c r="D34" i="14"/>
  <c r="AB30" i="4"/>
  <c r="Z30" i="4"/>
  <c r="AA30" i="4"/>
  <c r="X30" i="4"/>
  <c r="T30" i="4"/>
  <c r="D32" i="11"/>
  <c r="AA32" i="11"/>
  <c r="R30" i="4"/>
  <c r="P30" i="4"/>
  <c r="N30" i="4"/>
  <c r="D32" i="8"/>
  <c r="L30" i="4"/>
  <c r="O110" i="4"/>
  <c r="J30" i="4"/>
  <c r="H30" i="4"/>
  <c r="I30" i="4"/>
  <c r="F30" i="4"/>
  <c r="C30" i="9"/>
  <c r="Z30" i="9"/>
  <c r="D30" i="4"/>
  <c r="C30" i="4"/>
  <c r="C33" i="12"/>
  <c r="Z33" i="12"/>
  <c r="AK29" i="4"/>
  <c r="AQ29" i="4"/>
  <c r="AI29" i="4"/>
  <c r="AN29" i="4"/>
  <c r="AF29" i="4"/>
  <c r="AG29" i="4"/>
  <c r="AD29" i="4"/>
  <c r="D33" i="14"/>
  <c r="AB29" i="4"/>
  <c r="Z29" i="4"/>
  <c r="AA29" i="4"/>
  <c r="X29" i="4"/>
  <c r="T29" i="4"/>
  <c r="D31" i="11"/>
  <c r="AA31" i="11"/>
  <c r="R29" i="4"/>
  <c r="D31" i="10"/>
  <c r="AA31" i="10"/>
  <c r="P29" i="4"/>
  <c r="N29" i="4"/>
  <c r="D31" i="8"/>
  <c r="AB31" i="8"/>
  <c r="L29" i="4"/>
  <c r="M29" i="4"/>
  <c r="J29" i="4"/>
  <c r="H29" i="4"/>
  <c r="I29" i="4"/>
  <c r="F29" i="4"/>
  <c r="C29" i="9"/>
  <c r="Z29" i="9"/>
  <c r="D29" i="4"/>
  <c r="C29" i="4"/>
  <c r="C32" i="12"/>
  <c r="Z32" i="12"/>
  <c r="AK28" i="4"/>
  <c r="AQ28" i="4"/>
  <c r="AI28" i="4"/>
  <c r="AN28" i="4"/>
  <c r="AF28" i="4"/>
  <c r="AG28" i="4"/>
  <c r="AD28" i="4"/>
  <c r="D32" i="14"/>
  <c r="AB28" i="4"/>
  <c r="Z28" i="4"/>
  <c r="AA28" i="4"/>
  <c r="X28" i="4"/>
  <c r="T28" i="4"/>
  <c r="D30" i="11"/>
  <c r="AA30" i="11"/>
  <c r="R28" i="4"/>
  <c r="P28" i="4"/>
  <c r="N28" i="4"/>
  <c r="D30" i="8"/>
  <c r="L28" i="4"/>
  <c r="O108" i="4"/>
  <c r="J28" i="4"/>
  <c r="H28" i="4"/>
  <c r="I28" i="4"/>
  <c r="F28" i="4"/>
  <c r="C28" i="9"/>
  <c r="Z28" i="9"/>
  <c r="D28" i="4"/>
  <c r="C28" i="4"/>
  <c r="C31" i="12"/>
  <c r="Z31" i="12"/>
  <c r="AK27" i="4"/>
  <c r="AQ27" i="4"/>
  <c r="AI27" i="4"/>
  <c r="AN27" i="4"/>
  <c r="AF27" i="4"/>
  <c r="AG27" i="4"/>
  <c r="AD27" i="4"/>
  <c r="D31" i="14"/>
  <c r="AB27" i="4"/>
  <c r="Z27" i="4"/>
  <c r="AA27" i="4"/>
  <c r="X27" i="4"/>
  <c r="T27" i="4"/>
  <c r="D29" i="11"/>
  <c r="AA29" i="11"/>
  <c r="R27" i="4"/>
  <c r="D29" i="10"/>
  <c r="AA29" i="10"/>
  <c r="P27" i="4"/>
  <c r="N27" i="4"/>
  <c r="D29" i="8"/>
  <c r="AB29" i="8"/>
  <c r="L27" i="4"/>
  <c r="M27" i="4"/>
  <c r="J27" i="4"/>
  <c r="H27" i="4"/>
  <c r="I27" i="4"/>
  <c r="F27" i="4"/>
  <c r="C27" i="9"/>
  <c r="Z27" i="9"/>
  <c r="D27" i="4"/>
  <c r="C27" i="4"/>
  <c r="C30" i="12"/>
  <c r="Z30" i="12"/>
  <c r="AK26" i="4"/>
  <c r="AQ26" i="4"/>
  <c r="AI26" i="4"/>
  <c r="AN26" i="4"/>
  <c r="AF26" i="4"/>
  <c r="AG26" i="4"/>
  <c r="AD26" i="4"/>
  <c r="D30" i="14"/>
  <c r="AB26" i="4"/>
  <c r="Z26" i="4"/>
  <c r="AA26" i="4"/>
  <c r="X26" i="4"/>
  <c r="T26" i="4"/>
  <c r="D28" i="11"/>
  <c r="AA28" i="11"/>
  <c r="R26" i="4"/>
  <c r="D28" i="10"/>
  <c r="AA28" i="10"/>
  <c r="P26" i="4"/>
  <c r="N26" i="4"/>
  <c r="D28" i="8"/>
  <c r="L26" i="4"/>
  <c r="M26" i="4"/>
  <c r="J26" i="4"/>
  <c r="H26" i="4"/>
  <c r="I26" i="4"/>
  <c r="F26" i="4"/>
  <c r="C26" i="9"/>
  <c r="Z26" i="9"/>
  <c r="D26" i="4"/>
  <c r="C26" i="4"/>
  <c r="C29" i="12"/>
  <c r="Z29" i="12"/>
  <c r="AK25" i="4"/>
  <c r="AQ25" i="4"/>
  <c r="AI25" i="4"/>
  <c r="AN25" i="4"/>
  <c r="AF25" i="4"/>
  <c r="AG25" i="4"/>
  <c r="AD25" i="4"/>
  <c r="D29" i="14"/>
  <c r="AB25" i="4"/>
  <c r="Z25" i="4"/>
  <c r="AA25" i="4"/>
  <c r="X25" i="4"/>
  <c r="T25" i="4"/>
  <c r="D27" i="11"/>
  <c r="AA27" i="11"/>
  <c r="R25" i="4"/>
  <c r="D27" i="10"/>
  <c r="AA27" i="10"/>
  <c r="P25" i="4"/>
  <c r="N25" i="4"/>
  <c r="D27" i="8"/>
  <c r="AB27" i="8"/>
  <c r="L25" i="4"/>
  <c r="O105" i="4"/>
  <c r="J25" i="4"/>
  <c r="H25" i="4"/>
  <c r="I25" i="4"/>
  <c r="F25" i="4"/>
  <c r="C24" i="9"/>
  <c r="D25" i="4"/>
  <c r="C25" i="4"/>
  <c r="C28" i="12"/>
  <c r="Z28" i="12"/>
  <c r="AK24" i="4"/>
  <c r="AQ24" i="4"/>
  <c r="AI24" i="4"/>
  <c r="AN24" i="4"/>
  <c r="AF24" i="4"/>
  <c r="AG24" i="4"/>
  <c r="AD24" i="4"/>
  <c r="D28" i="14"/>
  <c r="AB24" i="4"/>
  <c r="Z24" i="4"/>
  <c r="AA24" i="4"/>
  <c r="X24" i="4"/>
  <c r="T24" i="4"/>
  <c r="D26" i="11"/>
  <c r="AA26" i="11"/>
  <c r="R24" i="4"/>
  <c r="D26" i="10"/>
  <c r="AA26" i="10"/>
  <c r="P24" i="4"/>
  <c r="N24" i="4"/>
  <c r="D26" i="8"/>
  <c r="L24" i="4"/>
  <c r="M24" i="4"/>
  <c r="J24" i="4"/>
  <c r="H24" i="4"/>
  <c r="I24" i="4"/>
  <c r="F24" i="4"/>
  <c r="C23" i="9"/>
  <c r="D24" i="4"/>
  <c r="C24" i="4"/>
  <c r="C27" i="12"/>
  <c r="Z27" i="12"/>
  <c r="AK23" i="4"/>
  <c r="AQ23" i="4"/>
  <c r="AI23" i="4"/>
  <c r="AN23" i="4"/>
  <c r="AF23" i="4"/>
  <c r="AG23" i="4"/>
  <c r="AD23" i="4"/>
  <c r="D27" i="14"/>
  <c r="AB23" i="4"/>
  <c r="Z23" i="4"/>
  <c r="AA23" i="4"/>
  <c r="X23" i="4"/>
  <c r="T23" i="4"/>
  <c r="D24" i="11"/>
  <c r="R23" i="4"/>
  <c r="D24" i="10"/>
  <c r="P23" i="4"/>
  <c r="N23" i="4"/>
  <c r="D24" i="8"/>
  <c r="L23" i="4"/>
  <c r="O103" i="4"/>
  <c r="J23" i="4"/>
  <c r="H23" i="4"/>
  <c r="I23" i="4"/>
  <c r="F23" i="4"/>
  <c r="C22" i="9"/>
  <c r="D23" i="4"/>
  <c r="C23" i="4"/>
  <c r="C26" i="12"/>
  <c r="Z26" i="12"/>
  <c r="AK22" i="4"/>
  <c r="AQ22" i="4"/>
  <c r="AI22" i="4"/>
  <c r="AN22" i="4"/>
  <c r="AF22" i="4"/>
  <c r="AG22" i="4"/>
  <c r="AD22" i="4"/>
  <c r="D26" i="14"/>
  <c r="AB22" i="4"/>
  <c r="Z22" i="4"/>
  <c r="AA22" i="4"/>
  <c r="X22" i="4"/>
  <c r="T22" i="4"/>
  <c r="D23" i="11"/>
  <c r="R22" i="4"/>
  <c r="D23" i="10"/>
  <c r="P22" i="4"/>
  <c r="N22" i="4"/>
  <c r="D23" i="8"/>
  <c r="L22" i="4"/>
  <c r="M22" i="4"/>
  <c r="J22" i="4"/>
  <c r="H22" i="4"/>
  <c r="I22" i="4"/>
  <c r="F22" i="4"/>
  <c r="C21" i="9"/>
  <c r="D22" i="4"/>
  <c r="C22" i="4"/>
  <c r="C23" i="12"/>
  <c r="AK21" i="4"/>
  <c r="AQ21" i="4"/>
  <c r="AI21" i="4"/>
  <c r="AN21" i="4"/>
  <c r="AF21" i="4"/>
  <c r="AG21" i="4"/>
  <c r="AD21" i="4"/>
  <c r="D23" i="14"/>
  <c r="AB21" i="4"/>
  <c r="Z21" i="4"/>
  <c r="AA21" i="4"/>
  <c r="X21" i="4"/>
  <c r="T21" i="4"/>
  <c r="D22" i="11"/>
  <c r="R21" i="4"/>
  <c r="D22" i="10"/>
  <c r="P21" i="4"/>
  <c r="N21" i="4"/>
  <c r="D22" i="8"/>
  <c r="L21" i="4"/>
  <c r="O101" i="4"/>
  <c r="J21" i="4"/>
  <c r="H21" i="4"/>
  <c r="I21" i="4"/>
  <c r="F21" i="4"/>
  <c r="C20" i="9"/>
  <c r="D21" i="4"/>
  <c r="C21" i="4"/>
  <c r="C22" i="12"/>
  <c r="AK20" i="4"/>
  <c r="AQ20" i="4"/>
  <c r="AI20" i="4"/>
  <c r="AN20" i="4"/>
  <c r="AF20" i="4"/>
  <c r="AG20" i="4"/>
  <c r="AD20" i="4"/>
  <c r="D22" i="14"/>
  <c r="AB20" i="4"/>
  <c r="Z20" i="4"/>
  <c r="AA20" i="4"/>
  <c r="X20" i="4"/>
  <c r="T20" i="4"/>
  <c r="D21" i="11"/>
  <c r="R20" i="4"/>
  <c r="D21" i="10"/>
  <c r="P20" i="4"/>
  <c r="N20" i="4"/>
  <c r="D21" i="8"/>
  <c r="L20" i="4"/>
  <c r="M20" i="4"/>
  <c r="J20" i="4"/>
  <c r="H20" i="4"/>
  <c r="I20" i="4"/>
  <c r="F20" i="4"/>
  <c r="C19" i="9"/>
  <c r="D20" i="4"/>
  <c r="C20" i="4"/>
  <c r="C21" i="12"/>
  <c r="AK19" i="4"/>
  <c r="AI19" i="4"/>
  <c r="AN19" i="4"/>
  <c r="AF19" i="4"/>
  <c r="AG19" i="4"/>
  <c r="AD19" i="4"/>
  <c r="D21" i="14"/>
  <c r="AB19" i="4"/>
  <c r="Z19" i="4"/>
  <c r="AA19" i="4"/>
  <c r="X19" i="4"/>
  <c r="T19" i="4"/>
  <c r="D20" i="11"/>
  <c r="R19" i="4"/>
  <c r="D20" i="10"/>
  <c r="P19" i="4"/>
  <c r="N19" i="4"/>
  <c r="D20" i="8"/>
  <c r="L19" i="4"/>
  <c r="O99" i="4"/>
  <c r="J19" i="4"/>
  <c r="H19" i="4"/>
  <c r="I19" i="4"/>
  <c r="F19" i="4"/>
  <c r="D19" i="4"/>
  <c r="C19" i="4"/>
  <c r="C20" i="12"/>
  <c r="AK18" i="4"/>
  <c r="AI18" i="4"/>
  <c r="AN18" i="4"/>
  <c r="AF18" i="4"/>
  <c r="AG18" i="4"/>
  <c r="AD18" i="4"/>
  <c r="D20" i="14"/>
  <c r="AB18" i="4"/>
  <c r="Z18" i="4"/>
  <c r="AA18" i="4"/>
  <c r="X18" i="4"/>
  <c r="T18" i="4"/>
  <c r="R18" i="4"/>
  <c r="P18" i="4"/>
  <c r="N18" i="4"/>
  <c r="D19" i="8"/>
  <c r="L18" i="4"/>
  <c r="M18" i="4"/>
  <c r="J18" i="4"/>
  <c r="H18" i="4"/>
  <c r="I18" i="4"/>
  <c r="F18" i="4"/>
  <c r="D18" i="4"/>
  <c r="C18" i="4"/>
  <c r="C19" i="12"/>
  <c r="AK17" i="4"/>
  <c r="AI17" i="4"/>
  <c r="AN17" i="4"/>
  <c r="AF17" i="4"/>
  <c r="AG17" i="4"/>
  <c r="AD17" i="4"/>
  <c r="D19" i="14"/>
  <c r="AB17" i="4"/>
  <c r="Z17" i="4"/>
  <c r="AA17" i="4"/>
  <c r="X17" i="4"/>
  <c r="T17" i="4"/>
  <c r="R17" i="4"/>
  <c r="P17" i="4"/>
  <c r="N17" i="4"/>
  <c r="D18" i="8"/>
  <c r="L17" i="4"/>
  <c r="O97" i="4"/>
  <c r="J17" i="4"/>
  <c r="H17" i="4"/>
  <c r="I17" i="4"/>
  <c r="F17" i="4"/>
  <c r="D17" i="4"/>
  <c r="C17" i="4"/>
  <c r="C18" i="12"/>
  <c r="AK16" i="4"/>
  <c r="AI16" i="4"/>
  <c r="AN16" i="4"/>
  <c r="AF16" i="4"/>
  <c r="AG16" i="4"/>
  <c r="AD16" i="4"/>
  <c r="D18" i="14"/>
  <c r="AB16" i="4"/>
  <c r="Z16" i="4"/>
  <c r="AA16" i="4"/>
  <c r="X16" i="4"/>
  <c r="T16" i="4"/>
  <c r="R16" i="4"/>
  <c r="P16" i="4"/>
  <c r="N16" i="4"/>
  <c r="D17" i="8"/>
  <c r="L16" i="4"/>
  <c r="M16" i="4"/>
  <c r="J16" i="4"/>
  <c r="H16" i="4"/>
  <c r="I16" i="4"/>
  <c r="F16" i="4"/>
  <c r="D16" i="4"/>
  <c r="C16" i="4"/>
  <c r="C17" i="12"/>
  <c r="AK15" i="4"/>
  <c r="AJ15" i="4"/>
  <c r="AJ16" i="4"/>
  <c r="AJ17" i="4"/>
  <c r="AJ18" i="4"/>
  <c r="AJ19" i="4"/>
  <c r="AJ20" i="4"/>
  <c r="AJ21" i="4"/>
  <c r="AJ22" i="4"/>
  <c r="AJ23" i="4"/>
  <c r="AJ24" i="4"/>
  <c r="AJ25" i="4"/>
  <c r="AJ26" i="4"/>
  <c r="AJ27" i="4"/>
  <c r="AJ28" i="4"/>
  <c r="AJ29" i="4"/>
  <c r="AJ30" i="4"/>
  <c r="AJ31" i="4"/>
  <c r="AJ32" i="4"/>
  <c r="AJ33" i="4"/>
  <c r="AJ34" i="4"/>
  <c r="AJ35" i="4"/>
  <c r="AJ36" i="4"/>
  <c r="AJ37" i="4"/>
  <c r="AJ38" i="4"/>
  <c r="AJ39" i="4"/>
  <c r="AJ40" i="4"/>
  <c r="AJ41" i="4"/>
  <c r="AJ42" i="4"/>
  <c r="AJ43" i="4"/>
  <c r="AJ44" i="4"/>
  <c r="AJ45" i="4"/>
  <c r="AJ46" i="4"/>
  <c r="AJ47" i="4"/>
  <c r="AJ48" i="4"/>
  <c r="AJ49" i="4"/>
  <c r="AJ50" i="4"/>
  <c r="AJ51" i="4"/>
  <c r="AJ52" i="4"/>
  <c r="AI15" i="4"/>
  <c r="AN15" i="4"/>
  <c r="AF15" i="4"/>
  <c r="AG15" i="4"/>
  <c r="AD15" i="4"/>
  <c r="D17" i="14"/>
  <c r="AB15" i="4"/>
  <c r="Z15" i="4"/>
  <c r="AA15" i="4"/>
  <c r="X15" i="4"/>
  <c r="T15" i="4"/>
  <c r="R15" i="4"/>
  <c r="P15" i="4"/>
  <c r="N15" i="4"/>
  <c r="D16" i="8"/>
  <c r="L15" i="4"/>
  <c r="O95" i="4"/>
  <c r="J15" i="4"/>
  <c r="H15" i="4"/>
  <c r="I15" i="4"/>
  <c r="F15" i="4"/>
  <c r="D15" i="4"/>
  <c r="C15" i="4"/>
  <c r="C16" i="12"/>
  <c r="AK14" i="4"/>
  <c r="AI14" i="4"/>
  <c r="AN14" i="4"/>
  <c r="AF14" i="4"/>
  <c r="AG14" i="4"/>
  <c r="AD14" i="4"/>
  <c r="AB14" i="4"/>
  <c r="Z14" i="4"/>
  <c r="AA14" i="4"/>
  <c r="X14" i="4"/>
  <c r="Y14" i="4"/>
  <c r="T14" i="4"/>
  <c r="D15" i="11"/>
  <c r="R14" i="4"/>
  <c r="D15" i="10"/>
  <c r="P14" i="4"/>
  <c r="N14" i="4"/>
  <c r="L14" i="4"/>
  <c r="M14" i="4"/>
  <c r="J14" i="4"/>
  <c r="H14" i="4"/>
  <c r="I14" i="4"/>
  <c r="F14" i="4"/>
  <c r="C13" i="9"/>
  <c r="D14" i="4"/>
  <c r="C14" i="4"/>
  <c r="C15" i="12"/>
  <c r="AF13" i="4"/>
  <c r="AG13" i="4"/>
  <c r="AD13" i="4"/>
  <c r="D15" i="14"/>
  <c r="AB13" i="4"/>
  <c r="Z13" i="4"/>
  <c r="AA13" i="4"/>
  <c r="X13" i="4"/>
  <c r="Y13" i="4"/>
  <c r="D14" i="11"/>
  <c r="R13" i="4"/>
  <c r="S13" i="4"/>
  <c r="P13" i="4"/>
  <c r="N13" i="4"/>
  <c r="D14" i="8"/>
  <c r="L13" i="4"/>
  <c r="M13" i="4"/>
  <c r="J13" i="4"/>
  <c r="H13" i="4"/>
  <c r="I13" i="4"/>
  <c r="F13" i="4"/>
  <c r="C12" i="9"/>
  <c r="D13" i="4"/>
  <c r="C13" i="4"/>
  <c r="C14" i="12"/>
  <c r="AI12" i="4"/>
  <c r="AN12" i="4"/>
  <c r="AF12" i="4"/>
  <c r="AG12" i="4"/>
  <c r="AD12" i="4"/>
  <c r="D14" i="14"/>
  <c r="AB12" i="4"/>
  <c r="Z12" i="4"/>
  <c r="AA12" i="4"/>
  <c r="X12" i="4"/>
  <c r="Y12" i="4"/>
  <c r="D13" i="11"/>
  <c r="R12" i="4"/>
  <c r="S12" i="4"/>
  <c r="P12" i="4"/>
  <c r="N12" i="4"/>
  <c r="D13" i="8"/>
  <c r="L12" i="4"/>
  <c r="M12" i="4"/>
  <c r="J12" i="4"/>
  <c r="H12" i="4"/>
  <c r="I12" i="4"/>
  <c r="F12" i="4"/>
  <c r="C11" i="9"/>
  <c r="D12" i="4"/>
  <c r="C12" i="4"/>
  <c r="C13" i="12"/>
  <c r="A1" i="4"/>
  <c r="B1" i="1"/>
  <c r="AO57" i="4"/>
  <c r="B78" i="4"/>
  <c r="C64" i="8"/>
  <c r="AA64" i="8"/>
  <c r="S53" i="4"/>
  <c r="Z59" i="9"/>
  <c r="Y59" i="9"/>
  <c r="O42" i="4"/>
  <c r="AE42" i="4"/>
  <c r="Y57" i="4"/>
  <c r="C61" i="14"/>
  <c r="U63" i="10"/>
  <c r="H12" i="3"/>
  <c r="C64" i="12"/>
  <c r="Z64" i="12"/>
  <c r="AE64" i="12"/>
  <c r="C61" i="12"/>
  <c r="D58" i="9"/>
  <c r="X58" i="9"/>
  <c r="C61" i="13"/>
  <c r="C60" i="10"/>
  <c r="O19" i="4"/>
  <c r="AE19" i="4"/>
  <c r="AE22" i="4"/>
  <c r="M25" i="4"/>
  <c r="G57" i="4"/>
  <c r="S14" i="4"/>
  <c r="O46" i="4"/>
  <c r="AE46" i="4"/>
  <c r="AE54" i="4"/>
  <c r="O49" i="4"/>
  <c r="AE49" i="4"/>
  <c r="M48" i="4"/>
  <c r="Q74" i="4"/>
  <c r="Q73" i="4"/>
  <c r="Q75" i="4"/>
  <c r="Q71" i="4"/>
  <c r="F12" i="3"/>
  <c r="Q70" i="4"/>
  <c r="C12" i="3"/>
  <c r="Q76" i="4"/>
  <c r="B12" i="3"/>
  <c r="W74" i="4"/>
  <c r="W70" i="4"/>
  <c r="W73" i="4"/>
  <c r="W75" i="4"/>
  <c r="W71" i="4"/>
  <c r="F14" i="3"/>
  <c r="K76" i="4"/>
  <c r="AC76" i="4"/>
  <c r="B16" i="3"/>
  <c r="G56" i="4"/>
  <c r="U56" i="4"/>
  <c r="O27" i="4"/>
  <c r="AC71" i="4"/>
  <c r="AC74" i="4"/>
  <c r="AC73" i="4"/>
  <c r="AC75" i="4"/>
  <c r="AC70" i="4"/>
  <c r="AH70" i="4"/>
  <c r="E76" i="4"/>
  <c r="O35" i="4"/>
  <c r="AE35" i="4"/>
  <c r="O50" i="4"/>
  <c r="B74" i="4"/>
  <c r="B72" i="4"/>
  <c r="B73" i="4"/>
  <c r="B75" i="4"/>
  <c r="B71" i="4"/>
  <c r="B70" i="4"/>
  <c r="H61" i="4"/>
  <c r="I61" i="4"/>
  <c r="M21" i="4"/>
  <c r="AE34" i="4"/>
  <c r="AE39" i="4"/>
  <c r="M40" i="4"/>
  <c r="O41" i="4"/>
  <c r="AE41" i="4"/>
  <c r="M44" i="4"/>
  <c r="O45" i="4"/>
  <c r="AE45" i="4"/>
  <c r="O54" i="4"/>
  <c r="O15" i="4"/>
  <c r="AE15" i="4"/>
  <c r="M17" i="4"/>
  <c r="O18" i="4"/>
  <c r="AE18" i="4"/>
  <c r="O23" i="4"/>
  <c r="AE23" i="4"/>
  <c r="AE27" i="4"/>
  <c r="AE31" i="4"/>
  <c r="AE50" i="4"/>
  <c r="M52" i="4"/>
  <c r="M57" i="4"/>
  <c r="C60" i="13"/>
  <c r="C59" i="10"/>
  <c r="U14" i="4"/>
  <c r="M15" i="4"/>
  <c r="AE16" i="4"/>
  <c r="O28" i="4"/>
  <c r="M30" i="4"/>
  <c r="M34" i="4"/>
  <c r="O36" i="4"/>
  <c r="AE36" i="4"/>
  <c r="O43" i="4"/>
  <c r="O51" i="4"/>
  <c r="AE51" i="4"/>
  <c r="M54" i="4"/>
  <c r="U55" i="4"/>
  <c r="Z60" i="14"/>
  <c r="Y60" i="14"/>
  <c r="C62" i="12"/>
  <c r="Z62" i="12"/>
  <c r="C60" i="12"/>
  <c r="D61" i="11"/>
  <c r="N61" i="11"/>
  <c r="D59" i="11"/>
  <c r="O17" i="4"/>
  <c r="AE17" i="4"/>
  <c r="M19" i="4"/>
  <c r="O21" i="4"/>
  <c r="AE21" i="4"/>
  <c r="M23" i="4"/>
  <c r="O25" i="4"/>
  <c r="AE25" i="4"/>
  <c r="O29" i="4"/>
  <c r="AE29" i="4"/>
  <c r="O33" i="4"/>
  <c r="AE33" i="4"/>
  <c r="O37" i="4"/>
  <c r="AD37" i="4"/>
  <c r="D41" i="14"/>
  <c r="AA41" i="14"/>
  <c r="T38" i="4"/>
  <c r="D40" i="11"/>
  <c r="AA40" i="11"/>
  <c r="O40" i="4"/>
  <c r="AE40" i="4"/>
  <c r="M42" i="4"/>
  <c r="O44" i="4"/>
  <c r="AE44" i="4"/>
  <c r="M46" i="4"/>
  <c r="O48" i="4"/>
  <c r="AE48" i="4"/>
  <c r="M50" i="4"/>
  <c r="O52" i="4"/>
  <c r="AE52" i="4"/>
  <c r="Y56" i="4"/>
  <c r="D62" i="14"/>
  <c r="N62" i="14"/>
  <c r="D60" i="14"/>
  <c r="U57" i="4"/>
  <c r="C60" i="9"/>
  <c r="Z60" i="9"/>
  <c r="C58" i="9"/>
  <c r="M58" i="4"/>
  <c r="B10" i="3"/>
  <c r="O12" i="4"/>
  <c r="AE12" i="4"/>
  <c r="O13" i="4"/>
  <c r="AE13" i="4"/>
  <c r="O16" i="4"/>
  <c r="O20" i="4"/>
  <c r="AE20" i="4"/>
  <c r="O24" i="4"/>
  <c r="AE24" i="4"/>
  <c r="AE28" i="4"/>
  <c r="O32" i="4"/>
  <c r="AE32" i="4"/>
  <c r="G38" i="4"/>
  <c r="R38" i="4"/>
  <c r="S38" i="4"/>
  <c r="AE43" i="4"/>
  <c r="O47" i="4"/>
  <c r="AE47" i="4"/>
  <c r="U53" i="4"/>
  <c r="O55" i="4"/>
  <c r="G59" i="4"/>
  <c r="O22" i="4"/>
  <c r="O26" i="4"/>
  <c r="AE26" i="4"/>
  <c r="M28" i="4"/>
  <c r="O30" i="4"/>
  <c r="AE30" i="4"/>
  <c r="M32" i="4"/>
  <c r="O34" i="4"/>
  <c r="M36" i="4"/>
  <c r="AF37" i="4"/>
  <c r="AG37" i="4"/>
  <c r="G39" i="4"/>
  <c r="D61" i="10"/>
  <c r="N61" i="10"/>
  <c r="D59" i="10"/>
  <c r="D60" i="13"/>
  <c r="D60" i="12"/>
  <c r="AQ57" i="4"/>
  <c r="D62" i="8"/>
  <c r="N62" i="8"/>
  <c r="D60" i="8"/>
  <c r="C61" i="4"/>
  <c r="X53" i="14"/>
  <c r="X45" i="14"/>
  <c r="X49" i="14"/>
  <c r="X29" i="14"/>
  <c r="X33" i="14"/>
  <c r="X44" i="14"/>
  <c r="X48" i="14"/>
  <c r="X52" i="14"/>
  <c r="X56" i="14"/>
  <c r="X57" i="14"/>
  <c r="X42" i="14"/>
  <c r="X26" i="14"/>
  <c r="X30" i="14"/>
  <c r="X58" i="14"/>
  <c r="X31" i="14"/>
  <c r="X39" i="14"/>
  <c r="X46" i="14"/>
  <c r="X50" i="14"/>
  <c r="X54" i="14"/>
  <c r="X59" i="14"/>
  <c r="X34" i="14"/>
  <c r="X38" i="14"/>
  <c r="X43" i="14"/>
  <c r="X27" i="14"/>
  <c r="X35" i="14"/>
  <c r="X28" i="14"/>
  <c r="X32" i="14"/>
  <c r="X36" i="14"/>
  <c r="X40" i="14"/>
  <c r="X47" i="14"/>
  <c r="X51" i="14"/>
  <c r="X55" i="14"/>
  <c r="G12" i="4"/>
  <c r="C13" i="13"/>
  <c r="C13" i="10"/>
  <c r="D11" i="9"/>
  <c r="O92" i="4"/>
  <c r="U12" i="4"/>
  <c r="G13" i="4"/>
  <c r="C14" i="13"/>
  <c r="D12" i="9"/>
  <c r="C14" i="10"/>
  <c r="O93" i="4"/>
  <c r="U13" i="4"/>
  <c r="G14" i="4"/>
  <c r="C15" i="13"/>
  <c r="C15" i="10"/>
  <c r="D13" i="9"/>
  <c r="O94" i="4"/>
  <c r="D15" i="8"/>
  <c r="O14" i="4"/>
  <c r="D16" i="11"/>
  <c r="U15" i="4"/>
  <c r="D17" i="11"/>
  <c r="U16" i="4"/>
  <c r="D18" i="11"/>
  <c r="U17" i="4"/>
  <c r="D19" i="11"/>
  <c r="U18" i="4"/>
  <c r="D13" i="10"/>
  <c r="P92" i="4"/>
  <c r="C14" i="14"/>
  <c r="D13" i="13"/>
  <c r="D13" i="12"/>
  <c r="D14" i="10"/>
  <c r="P93" i="4"/>
  <c r="C15" i="14"/>
  <c r="D14" i="13"/>
  <c r="D14" i="12"/>
  <c r="D16" i="14"/>
  <c r="AE14" i="4"/>
  <c r="C14" i="9"/>
  <c r="G15" i="4"/>
  <c r="D16" i="10"/>
  <c r="P95" i="4"/>
  <c r="S15" i="4"/>
  <c r="C17" i="14"/>
  <c r="D16" i="13"/>
  <c r="D16" i="12"/>
  <c r="Y15" i="4"/>
  <c r="C15" i="9"/>
  <c r="G16" i="4"/>
  <c r="D17" i="10"/>
  <c r="S16" i="4"/>
  <c r="P96" i="4"/>
  <c r="C18" i="14"/>
  <c r="D17" i="13"/>
  <c r="D17" i="12"/>
  <c r="Y16" i="4"/>
  <c r="C16" i="9"/>
  <c r="G17" i="4"/>
  <c r="D18" i="10"/>
  <c r="P97" i="4"/>
  <c r="S17" i="4"/>
  <c r="C19" i="14"/>
  <c r="D18" i="13"/>
  <c r="D18" i="12"/>
  <c r="Y17" i="4"/>
  <c r="C17" i="9"/>
  <c r="G18" i="4"/>
  <c r="D19" i="10"/>
  <c r="S18" i="4"/>
  <c r="P98" i="4"/>
  <c r="C20" i="14"/>
  <c r="D19" i="13"/>
  <c r="D19" i="12"/>
  <c r="Y18" i="4"/>
  <c r="C18" i="9"/>
  <c r="G19" i="4"/>
  <c r="C21" i="14"/>
  <c r="D20" i="13"/>
  <c r="D20" i="12"/>
  <c r="C22" i="14"/>
  <c r="D21" i="13"/>
  <c r="D21" i="12"/>
  <c r="C23" i="14"/>
  <c r="D22" i="13"/>
  <c r="D22" i="12"/>
  <c r="C26" i="14"/>
  <c r="Z26" i="14"/>
  <c r="D23" i="13"/>
  <c r="D23" i="12"/>
  <c r="C27" i="14"/>
  <c r="Z27" i="14"/>
  <c r="D26" i="13"/>
  <c r="X26" i="13"/>
  <c r="D26" i="12"/>
  <c r="X26" i="12"/>
  <c r="C28" i="14"/>
  <c r="Z28" i="14"/>
  <c r="D27" i="13"/>
  <c r="X27" i="13"/>
  <c r="D27" i="12"/>
  <c r="X27" i="12"/>
  <c r="C29" i="14"/>
  <c r="D28" i="13"/>
  <c r="X28" i="13"/>
  <c r="D28" i="12"/>
  <c r="AA28" i="12"/>
  <c r="C30" i="14"/>
  <c r="Z30" i="14"/>
  <c r="D29" i="13"/>
  <c r="D29" i="12"/>
  <c r="S29" i="12"/>
  <c r="T29" i="12"/>
  <c r="C31" i="14"/>
  <c r="Z31" i="14"/>
  <c r="D30" i="13"/>
  <c r="X30" i="13"/>
  <c r="D30" i="12"/>
  <c r="S30" i="12"/>
  <c r="T30" i="12"/>
  <c r="P108" i="4"/>
  <c r="D30" i="10"/>
  <c r="AA30" i="10"/>
  <c r="C32" i="14"/>
  <c r="Z32" i="14"/>
  <c r="D31" i="13"/>
  <c r="AA31" i="13"/>
  <c r="D31" i="12"/>
  <c r="X31" i="12"/>
  <c r="C33" i="14"/>
  <c r="Z33" i="14"/>
  <c r="D32" i="13"/>
  <c r="X32" i="13"/>
  <c r="D32" i="12"/>
  <c r="S32" i="12"/>
  <c r="T32" i="12"/>
  <c r="P110" i="4"/>
  <c r="D32" i="10"/>
  <c r="AA32" i="10"/>
  <c r="C34" i="14"/>
  <c r="Z34" i="14"/>
  <c r="D33" i="13"/>
  <c r="S33" i="13"/>
  <c r="T33" i="13"/>
  <c r="D33" i="12"/>
  <c r="S33" i="12"/>
  <c r="T33" i="12"/>
  <c r="C35" i="14"/>
  <c r="Z35" i="14"/>
  <c r="D34" i="13"/>
  <c r="X34" i="13"/>
  <c r="D34" i="12"/>
  <c r="S34" i="12"/>
  <c r="T34" i="12"/>
  <c r="P112" i="4"/>
  <c r="D34" i="10"/>
  <c r="X34" i="10"/>
  <c r="C36" i="14"/>
  <c r="Z36" i="14"/>
  <c r="D35" i="13"/>
  <c r="AA35" i="13"/>
  <c r="D35" i="12"/>
  <c r="S35" i="12"/>
  <c r="T35" i="12"/>
  <c r="C37" i="14"/>
  <c r="Z37" i="14"/>
  <c r="D36" i="13"/>
  <c r="X36" i="13"/>
  <c r="D36" i="12"/>
  <c r="S36" i="12"/>
  <c r="T36" i="12"/>
  <c r="P114" i="4"/>
  <c r="D36" i="10"/>
  <c r="X36" i="10"/>
  <c r="C38" i="14"/>
  <c r="Z38" i="14"/>
  <c r="D37" i="13"/>
  <c r="S37" i="13"/>
  <c r="T37" i="13"/>
  <c r="D37" i="12"/>
  <c r="S37" i="12"/>
  <c r="T37" i="12"/>
  <c r="C39" i="14"/>
  <c r="Z39" i="14"/>
  <c r="D38" i="13"/>
  <c r="X38" i="13"/>
  <c r="D38" i="12"/>
  <c r="X38" i="12"/>
  <c r="P116" i="4"/>
  <c r="D38" i="10"/>
  <c r="AA38" i="10"/>
  <c r="C40" i="14"/>
  <c r="Z40" i="14"/>
  <c r="D39" i="13"/>
  <c r="D39" i="12"/>
  <c r="S39" i="12"/>
  <c r="T39" i="12"/>
  <c r="C41" i="14"/>
  <c r="Z41" i="14"/>
  <c r="D40" i="13"/>
  <c r="X40" i="13"/>
  <c r="D40" i="12"/>
  <c r="N40" i="12"/>
  <c r="O40" i="12"/>
  <c r="C41" i="13"/>
  <c r="Z41" i="13"/>
  <c r="C40" i="10"/>
  <c r="Z40" i="10"/>
  <c r="D38" i="9"/>
  <c r="AI38" i="4"/>
  <c r="AN38" i="4"/>
  <c r="C43" i="14"/>
  <c r="Z43" i="14"/>
  <c r="D42" i="13"/>
  <c r="X42" i="13"/>
  <c r="D42" i="12"/>
  <c r="AA42" i="12"/>
  <c r="P120" i="4"/>
  <c r="D42" i="10"/>
  <c r="AA42" i="10"/>
  <c r="C44" i="14"/>
  <c r="Z44" i="14"/>
  <c r="D43" i="13"/>
  <c r="X43" i="13"/>
  <c r="D43" i="12"/>
  <c r="S43" i="12"/>
  <c r="T43" i="12"/>
  <c r="C45" i="14"/>
  <c r="Z45" i="14"/>
  <c r="D44" i="13"/>
  <c r="X44" i="13"/>
  <c r="D44" i="12"/>
  <c r="AA44" i="12"/>
  <c r="P122" i="4"/>
  <c r="D44" i="10"/>
  <c r="AA44" i="10"/>
  <c r="C46" i="14"/>
  <c r="Z46" i="14"/>
  <c r="D45" i="13"/>
  <c r="X45" i="13"/>
  <c r="D45" i="12"/>
  <c r="X45" i="12"/>
  <c r="C47" i="14"/>
  <c r="Z47" i="14"/>
  <c r="D46" i="13"/>
  <c r="X46" i="13"/>
  <c r="D46" i="12"/>
  <c r="AA46" i="12"/>
  <c r="P124" i="4"/>
  <c r="D46" i="10"/>
  <c r="AA46" i="10"/>
  <c r="C48" i="14"/>
  <c r="Z48" i="14"/>
  <c r="D47" i="13"/>
  <c r="X47" i="13"/>
  <c r="D47" i="12"/>
  <c r="X47" i="12"/>
  <c r="C49" i="14"/>
  <c r="Z49" i="14"/>
  <c r="D48" i="13"/>
  <c r="AA48" i="13"/>
  <c r="D48" i="12"/>
  <c r="AA48" i="12"/>
  <c r="P126" i="4"/>
  <c r="D48" i="10"/>
  <c r="AA48" i="10"/>
  <c r="C50" i="14"/>
  <c r="Z50" i="14"/>
  <c r="D49" i="13"/>
  <c r="AA49" i="13"/>
  <c r="D49" i="12"/>
  <c r="X49" i="12"/>
  <c r="C51" i="14"/>
  <c r="Z51" i="14"/>
  <c r="D50" i="13"/>
  <c r="AA50" i="13"/>
  <c r="D50" i="12"/>
  <c r="AA50" i="12"/>
  <c r="P128" i="4"/>
  <c r="D50" i="10"/>
  <c r="AA50" i="10"/>
  <c r="C52" i="14"/>
  <c r="Z52" i="14"/>
  <c r="D51" i="13"/>
  <c r="AA51" i="13"/>
  <c r="D51" i="12"/>
  <c r="S51" i="12"/>
  <c r="T51" i="12"/>
  <c r="C53" i="14"/>
  <c r="Z53" i="14"/>
  <c r="D52" i="13"/>
  <c r="AA52" i="13"/>
  <c r="D52" i="12"/>
  <c r="AA52" i="12"/>
  <c r="P130" i="4"/>
  <c r="D52" i="10"/>
  <c r="AA52" i="10"/>
  <c r="C54" i="14"/>
  <c r="Z54" i="14"/>
  <c r="D53" i="13"/>
  <c r="AA53" i="13"/>
  <c r="D53" i="12"/>
  <c r="X53" i="12"/>
  <c r="C55" i="14"/>
  <c r="Z55" i="14"/>
  <c r="D54" i="13"/>
  <c r="AA54" i="13"/>
  <c r="D54" i="12"/>
  <c r="AA54" i="12"/>
  <c r="P132" i="4"/>
  <c r="D54" i="10"/>
  <c r="AA54" i="10"/>
  <c r="C56" i="14"/>
  <c r="Z56" i="14"/>
  <c r="D55" i="13"/>
  <c r="AA55" i="13"/>
  <c r="D55" i="12"/>
  <c r="X55" i="12"/>
  <c r="C56" i="13"/>
  <c r="Y56" i="13"/>
  <c r="C55" i="10"/>
  <c r="Z55" i="10"/>
  <c r="O133" i="4"/>
  <c r="D53" i="9"/>
  <c r="S53" i="9"/>
  <c r="T53" i="9"/>
  <c r="P134" i="4"/>
  <c r="D56" i="10"/>
  <c r="AA56" i="10"/>
  <c r="C58" i="14"/>
  <c r="Z58" i="14"/>
  <c r="D57" i="13"/>
  <c r="D57" i="12"/>
  <c r="S57" i="12"/>
  <c r="T57" i="12"/>
  <c r="C59" i="14"/>
  <c r="Z59" i="14"/>
  <c r="D58" i="13"/>
  <c r="AA58" i="13"/>
  <c r="D58" i="12"/>
  <c r="X58" i="12"/>
  <c r="M56" i="4"/>
  <c r="O56" i="4"/>
  <c r="P136" i="4"/>
  <c r="D58" i="10"/>
  <c r="C62" i="14"/>
  <c r="Z62" i="14"/>
  <c r="D59" i="13"/>
  <c r="AA59" i="13"/>
  <c r="D59" i="12"/>
  <c r="X59" i="12"/>
  <c r="AE56" i="4"/>
  <c r="O57" i="4"/>
  <c r="C64" i="14"/>
  <c r="Z64" i="14"/>
  <c r="AE64" i="14"/>
  <c r="D62" i="13"/>
  <c r="N62" i="13"/>
  <c r="D62" i="12"/>
  <c r="N62" i="12"/>
  <c r="G58" i="4"/>
  <c r="C64" i="13"/>
  <c r="Z64" i="13"/>
  <c r="AE64" i="13"/>
  <c r="D60" i="9"/>
  <c r="N60" i="9"/>
  <c r="C14" i="3"/>
  <c r="P94" i="4"/>
  <c r="P100" i="4"/>
  <c r="P102" i="4"/>
  <c r="P104" i="4"/>
  <c r="P106" i="4"/>
  <c r="P107" i="4"/>
  <c r="P109" i="4"/>
  <c r="P111" i="4"/>
  <c r="P113" i="4"/>
  <c r="P115" i="4"/>
  <c r="P117" i="4"/>
  <c r="O118" i="4"/>
  <c r="P119" i="4"/>
  <c r="P121" i="4"/>
  <c r="P123" i="4"/>
  <c r="P125" i="4"/>
  <c r="P127" i="4"/>
  <c r="P129" i="4"/>
  <c r="P131" i="4"/>
  <c r="P133" i="4"/>
  <c r="P135" i="4"/>
  <c r="P137" i="4"/>
  <c r="O138" i="4"/>
  <c r="C16" i="14"/>
  <c r="D15" i="13"/>
  <c r="D15" i="12"/>
  <c r="C16" i="13"/>
  <c r="D14" i="9"/>
  <c r="C16" i="10"/>
  <c r="C17" i="13"/>
  <c r="C17" i="10"/>
  <c r="D15" i="9"/>
  <c r="C18" i="13"/>
  <c r="D16" i="9"/>
  <c r="C18" i="10"/>
  <c r="C19" i="13"/>
  <c r="C19" i="10"/>
  <c r="D17" i="9"/>
  <c r="C20" i="13"/>
  <c r="D18" i="9"/>
  <c r="C20" i="10"/>
  <c r="S19" i="4"/>
  <c r="U19" i="4"/>
  <c r="Y19" i="4"/>
  <c r="G20" i="4"/>
  <c r="C21" i="13"/>
  <c r="C21" i="10"/>
  <c r="D19" i="9"/>
  <c r="S20" i="4"/>
  <c r="U20" i="4"/>
  <c r="Y20" i="4"/>
  <c r="G21" i="4"/>
  <c r="C22" i="13"/>
  <c r="D20" i="9"/>
  <c r="C22" i="10"/>
  <c r="S21" i="4"/>
  <c r="U21" i="4"/>
  <c r="Y21" i="4"/>
  <c r="G22" i="4"/>
  <c r="C23" i="13"/>
  <c r="C23" i="10"/>
  <c r="D21" i="9"/>
  <c r="S22" i="4"/>
  <c r="U22" i="4"/>
  <c r="Y22" i="4"/>
  <c r="G23" i="4"/>
  <c r="C26" i="13"/>
  <c r="Z26" i="13"/>
  <c r="D22" i="9"/>
  <c r="C24" i="10"/>
  <c r="S23" i="4"/>
  <c r="U23" i="4"/>
  <c r="Y23" i="4"/>
  <c r="G24" i="4"/>
  <c r="C27" i="13"/>
  <c r="Z27" i="13"/>
  <c r="C26" i="10"/>
  <c r="Z26" i="10"/>
  <c r="D23" i="9"/>
  <c r="S24" i="4"/>
  <c r="U24" i="4"/>
  <c r="Y24" i="4"/>
  <c r="G25" i="4"/>
  <c r="C28" i="13"/>
  <c r="Z28" i="13"/>
  <c r="C27" i="10"/>
  <c r="Z27" i="10"/>
  <c r="D24" i="9"/>
  <c r="S25" i="4"/>
  <c r="U25" i="4"/>
  <c r="Y25" i="4"/>
  <c r="G26" i="4"/>
  <c r="C29" i="13"/>
  <c r="Z29" i="13"/>
  <c r="C28" i="10"/>
  <c r="Z28" i="10"/>
  <c r="D26" i="9"/>
  <c r="AA26" i="9"/>
  <c r="S26" i="4"/>
  <c r="U26" i="4"/>
  <c r="Y26" i="4"/>
  <c r="G27" i="4"/>
  <c r="C30" i="13"/>
  <c r="Z30" i="13"/>
  <c r="C29" i="10"/>
  <c r="Z29" i="10"/>
  <c r="O107" i="4"/>
  <c r="D27" i="9"/>
  <c r="S27" i="4"/>
  <c r="U27" i="4"/>
  <c r="Y27" i="4"/>
  <c r="G28" i="4"/>
  <c r="C31" i="13"/>
  <c r="Z31" i="13"/>
  <c r="C30" i="10"/>
  <c r="Z30" i="10"/>
  <c r="D28" i="9"/>
  <c r="AA28" i="9"/>
  <c r="S28" i="4"/>
  <c r="U28" i="4"/>
  <c r="Y28" i="4"/>
  <c r="G29" i="4"/>
  <c r="C32" i="13"/>
  <c r="C31" i="10"/>
  <c r="Z31" i="10"/>
  <c r="O109" i="4"/>
  <c r="D29" i="9"/>
  <c r="AA29" i="9"/>
  <c r="S29" i="4"/>
  <c r="U29" i="4"/>
  <c r="Y29" i="4"/>
  <c r="G30" i="4"/>
  <c r="C33" i="13"/>
  <c r="C32" i="10"/>
  <c r="Z32" i="10"/>
  <c r="D30" i="9"/>
  <c r="AA30" i="9"/>
  <c r="S30" i="4"/>
  <c r="U30" i="4"/>
  <c r="Y30" i="4"/>
  <c r="G31" i="4"/>
  <c r="C34" i="13"/>
  <c r="Z34" i="13"/>
  <c r="C33" i="10"/>
  <c r="Z33" i="10"/>
  <c r="O111" i="4"/>
  <c r="D31" i="9"/>
  <c r="AA31" i="9"/>
  <c r="AB33" i="8"/>
  <c r="N33" i="8"/>
  <c r="O33" i="8"/>
  <c r="S31" i="4"/>
  <c r="U31" i="4"/>
  <c r="Y31" i="4"/>
  <c r="G32" i="4"/>
  <c r="C35" i="13"/>
  <c r="Z35" i="13"/>
  <c r="C34" i="10"/>
  <c r="Z34" i="10"/>
  <c r="D32" i="9"/>
  <c r="AA32" i="9"/>
  <c r="S32" i="4"/>
  <c r="U32" i="4"/>
  <c r="Y32" i="4"/>
  <c r="G33" i="4"/>
  <c r="C36" i="13"/>
  <c r="C35" i="10"/>
  <c r="Z35" i="10"/>
  <c r="O113" i="4"/>
  <c r="D33" i="9"/>
  <c r="AA33" i="9"/>
  <c r="S33" i="4"/>
  <c r="U33" i="4"/>
  <c r="Y33" i="4"/>
  <c r="G34" i="4"/>
  <c r="C37" i="13"/>
  <c r="C36" i="10"/>
  <c r="Z36" i="10"/>
  <c r="D34" i="9"/>
  <c r="AA34" i="9"/>
  <c r="S34" i="4"/>
  <c r="U34" i="4"/>
  <c r="Y34" i="4"/>
  <c r="H12" i="21"/>
  <c r="G35" i="4"/>
  <c r="C38" i="13"/>
  <c r="C37" i="10"/>
  <c r="Z37" i="10"/>
  <c r="O115" i="4"/>
  <c r="D35" i="9"/>
  <c r="AA35" i="9"/>
  <c r="S35" i="4"/>
  <c r="U35" i="4"/>
  <c r="Y35" i="4"/>
  <c r="G36" i="4"/>
  <c r="C39" i="13"/>
  <c r="Z39" i="13"/>
  <c r="C38" i="10"/>
  <c r="Z38" i="10"/>
  <c r="D36" i="9"/>
  <c r="AA36" i="9"/>
  <c r="S36" i="4"/>
  <c r="U36" i="4"/>
  <c r="Y36" i="4"/>
  <c r="H14" i="21"/>
  <c r="G37" i="4"/>
  <c r="C40" i="13"/>
  <c r="Z40" i="13"/>
  <c r="C39" i="10"/>
  <c r="Z39" i="10"/>
  <c r="O117" i="4"/>
  <c r="D37" i="9"/>
  <c r="N37" i="9"/>
  <c r="O37" i="9"/>
  <c r="S37" i="4"/>
  <c r="U37" i="4"/>
  <c r="Y37" i="4"/>
  <c r="M38" i="4"/>
  <c r="O38" i="4"/>
  <c r="X38" i="4"/>
  <c r="Z38" i="4"/>
  <c r="AA38" i="4"/>
  <c r="AE38" i="4"/>
  <c r="L39" i="4"/>
  <c r="N39" i="4"/>
  <c r="S39" i="4"/>
  <c r="U39" i="4"/>
  <c r="Y39" i="4"/>
  <c r="AI39" i="4"/>
  <c r="AN39" i="4"/>
  <c r="AQ39" i="4"/>
  <c r="G40" i="4"/>
  <c r="C43" i="13"/>
  <c r="Z43" i="13"/>
  <c r="C42" i="10"/>
  <c r="Z42" i="10"/>
  <c r="D40" i="9"/>
  <c r="X40" i="9"/>
  <c r="S40" i="4"/>
  <c r="U40" i="4"/>
  <c r="Y40" i="4"/>
  <c r="AP40" i="4"/>
  <c r="G41" i="4"/>
  <c r="C44" i="13"/>
  <c r="Z44" i="13"/>
  <c r="C43" i="10"/>
  <c r="Z43" i="10"/>
  <c r="O121" i="4"/>
  <c r="D41" i="9"/>
  <c r="N41" i="9"/>
  <c r="O41" i="9"/>
  <c r="S41" i="4"/>
  <c r="U41" i="4"/>
  <c r="Y41" i="4"/>
  <c r="G42" i="4"/>
  <c r="C45" i="13"/>
  <c r="Z45" i="13"/>
  <c r="C44" i="10"/>
  <c r="Z44" i="10"/>
  <c r="D42" i="9"/>
  <c r="AA42" i="9"/>
  <c r="S42" i="4"/>
  <c r="U42" i="4"/>
  <c r="Y42" i="4"/>
  <c r="H20" i="21"/>
  <c r="G43" i="4"/>
  <c r="C46" i="13"/>
  <c r="Z46" i="13"/>
  <c r="C45" i="10"/>
  <c r="Z45" i="10"/>
  <c r="O123" i="4"/>
  <c r="D43" i="9"/>
  <c r="AA43" i="9"/>
  <c r="S43" i="4"/>
  <c r="U43" i="4"/>
  <c r="Y43" i="4"/>
  <c r="G44" i="4"/>
  <c r="C47" i="13"/>
  <c r="Z47" i="13"/>
  <c r="C46" i="10"/>
  <c r="D44" i="9"/>
  <c r="AA44" i="9"/>
  <c r="S44" i="4"/>
  <c r="U44" i="4"/>
  <c r="Y44" i="4"/>
  <c r="H22" i="21"/>
  <c r="G45" i="4"/>
  <c r="C48" i="13"/>
  <c r="Z48" i="13"/>
  <c r="C47" i="10"/>
  <c r="Z47" i="10"/>
  <c r="O125" i="4"/>
  <c r="D45" i="9"/>
  <c r="AA45" i="9"/>
  <c r="S45" i="4"/>
  <c r="U45" i="4"/>
  <c r="Y45" i="4"/>
  <c r="G46" i="4"/>
  <c r="C49" i="13"/>
  <c r="Y49" i="13"/>
  <c r="C48" i="10"/>
  <c r="Z48" i="10"/>
  <c r="D46" i="9"/>
  <c r="S46" i="4"/>
  <c r="U46" i="4"/>
  <c r="Y46" i="4"/>
  <c r="H24" i="21"/>
  <c r="G47" i="4"/>
  <c r="C50" i="13"/>
  <c r="Y50" i="13"/>
  <c r="C49" i="10"/>
  <c r="O127" i="4"/>
  <c r="D47" i="9"/>
  <c r="AA47" i="9"/>
  <c r="S47" i="4"/>
  <c r="U47" i="4"/>
  <c r="Y47" i="4"/>
  <c r="G48" i="4"/>
  <c r="C51" i="13"/>
  <c r="Y51" i="13"/>
  <c r="C50" i="10"/>
  <c r="Z50" i="10"/>
  <c r="D48" i="9"/>
  <c r="AA48" i="9"/>
  <c r="S48" i="4"/>
  <c r="U48" i="4"/>
  <c r="Y48" i="4"/>
  <c r="G49" i="4"/>
  <c r="C52" i="13"/>
  <c r="Y52" i="13"/>
  <c r="C51" i="10"/>
  <c r="Z51" i="10"/>
  <c r="O129" i="4"/>
  <c r="D49" i="9"/>
  <c r="AA49" i="9"/>
  <c r="S49" i="4"/>
  <c r="U49" i="4"/>
  <c r="Y49" i="4"/>
  <c r="G50" i="4"/>
  <c r="C53" i="13"/>
  <c r="Y53" i="13"/>
  <c r="C52" i="10"/>
  <c r="Z52" i="10"/>
  <c r="D50" i="9"/>
  <c r="AA50" i="9"/>
  <c r="S50" i="4"/>
  <c r="U50" i="4"/>
  <c r="Y50" i="4"/>
  <c r="G51" i="4"/>
  <c r="C54" i="13"/>
  <c r="Y54" i="13"/>
  <c r="C53" i="10"/>
  <c r="Z53" i="10"/>
  <c r="O131" i="4"/>
  <c r="D51" i="9"/>
  <c r="AA51" i="9"/>
  <c r="S51" i="4"/>
  <c r="U51" i="4"/>
  <c r="Y51" i="4"/>
  <c r="G52" i="4"/>
  <c r="C55" i="13"/>
  <c r="Y55" i="13"/>
  <c r="C54" i="10"/>
  <c r="Z54" i="10"/>
  <c r="D52" i="9"/>
  <c r="N52" i="9"/>
  <c r="O52" i="9"/>
  <c r="S52" i="4"/>
  <c r="U52" i="4"/>
  <c r="Y52" i="4"/>
  <c r="G53" i="4"/>
  <c r="M53" i="4"/>
  <c r="O53" i="4"/>
  <c r="C57" i="14"/>
  <c r="D56" i="13"/>
  <c r="AA56" i="13"/>
  <c r="D56" i="12"/>
  <c r="AA56" i="12"/>
  <c r="AE53" i="4"/>
  <c r="G54" i="4"/>
  <c r="C57" i="13"/>
  <c r="Z57" i="13"/>
  <c r="C56" i="10"/>
  <c r="Z56" i="10"/>
  <c r="D54" i="9"/>
  <c r="S54" i="4"/>
  <c r="U54" i="4"/>
  <c r="Y54" i="4"/>
  <c r="G55" i="4"/>
  <c r="C58" i="13"/>
  <c r="Z58" i="13"/>
  <c r="C57" i="10"/>
  <c r="Z57" i="10"/>
  <c r="O135" i="4"/>
  <c r="D55" i="9"/>
  <c r="AA55" i="9"/>
  <c r="S55" i="4"/>
  <c r="C59" i="13"/>
  <c r="Z59" i="13"/>
  <c r="C58" i="10"/>
  <c r="Z58" i="10"/>
  <c r="D56" i="9"/>
  <c r="AA56" i="9"/>
  <c r="S56" i="4"/>
  <c r="C62" i="13"/>
  <c r="Z62" i="13"/>
  <c r="C61" i="10"/>
  <c r="Z61" i="10"/>
  <c r="O137" i="4"/>
  <c r="D57" i="9"/>
  <c r="O96" i="4"/>
  <c r="O98" i="4"/>
  <c r="P99" i="4"/>
  <c r="O100" i="4"/>
  <c r="P101" i="4"/>
  <c r="O102" i="4"/>
  <c r="P103" i="4"/>
  <c r="O104" i="4"/>
  <c r="P105" i="4"/>
  <c r="O106" i="4"/>
  <c r="H32" i="21"/>
  <c r="H34" i="21"/>
  <c r="U26" i="8"/>
  <c r="S26" i="8"/>
  <c r="T26" i="8"/>
  <c r="N29" i="8"/>
  <c r="O29" i="8"/>
  <c r="U30" i="8"/>
  <c r="S30" i="8"/>
  <c r="T30" i="8"/>
  <c r="U34" i="8"/>
  <c r="S34" i="8"/>
  <c r="T34" i="8"/>
  <c r="N37" i="8"/>
  <c r="O37" i="8"/>
  <c r="U38" i="8"/>
  <c r="S38" i="8"/>
  <c r="T38" i="8"/>
  <c r="U42" i="8"/>
  <c r="S42" i="8"/>
  <c r="T42" i="8"/>
  <c r="N45" i="8"/>
  <c r="O45" i="8"/>
  <c r="U46" i="8"/>
  <c r="S46" i="8"/>
  <c r="T46" i="8"/>
  <c r="N49" i="8"/>
  <c r="O49" i="8"/>
  <c r="U50" i="8"/>
  <c r="X50" i="8"/>
  <c r="Y50" i="8"/>
  <c r="N27" i="8"/>
  <c r="O27" i="8"/>
  <c r="U28" i="8"/>
  <c r="S28" i="8"/>
  <c r="T28" i="8"/>
  <c r="N31" i="8"/>
  <c r="O31" i="8"/>
  <c r="U32" i="8"/>
  <c r="S32" i="8"/>
  <c r="T32" i="8"/>
  <c r="N35" i="8"/>
  <c r="O35" i="8"/>
  <c r="U36" i="8"/>
  <c r="S36" i="8"/>
  <c r="T36" i="8"/>
  <c r="N39" i="8"/>
  <c r="O39" i="8"/>
  <c r="U40" i="8"/>
  <c r="S40" i="8"/>
  <c r="T40" i="8"/>
  <c r="N43" i="8"/>
  <c r="O43" i="8"/>
  <c r="U44" i="8"/>
  <c r="S44" i="8"/>
  <c r="T44" i="8"/>
  <c r="N47" i="8"/>
  <c r="O47" i="8"/>
  <c r="U48" i="8"/>
  <c r="N51" i="8"/>
  <c r="O51" i="8"/>
  <c r="U52" i="8"/>
  <c r="S52" i="8"/>
  <c r="T52" i="8"/>
  <c r="N26" i="11"/>
  <c r="O26" i="11"/>
  <c r="N27" i="11"/>
  <c r="O27" i="11"/>
  <c r="N28" i="11"/>
  <c r="O28" i="11"/>
  <c r="N29" i="11"/>
  <c r="O29" i="11"/>
  <c r="N30" i="11"/>
  <c r="O30" i="11"/>
  <c r="N31" i="11"/>
  <c r="O31" i="11"/>
  <c r="N32" i="11"/>
  <c r="O32" i="11"/>
  <c r="N33" i="11"/>
  <c r="O33" i="11"/>
  <c r="N34" i="11"/>
  <c r="O34" i="11"/>
  <c r="N35" i="11"/>
  <c r="O35" i="11"/>
  <c r="N36" i="11"/>
  <c r="O36" i="11"/>
  <c r="N37" i="11"/>
  <c r="O37" i="11"/>
  <c r="N38" i="11"/>
  <c r="O38" i="11"/>
  <c r="N39" i="11"/>
  <c r="O39" i="11"/>
  <c r="N41" i="11"/>
  <c r="O41" i="11"/>
  <c r="N42" i="11"/>
  <c r="O42" i="11"/>
  <c r="N43" i="11"/>
  <c r="O43" i="11"/>
  <c r="N44" i="11"/>
  <c r="O44" i="11"/>
  <c r="N45" i="11"/>
  <c r="O45" i="11"/>
  <c r="N46" i="11"/>
  <c r="O46" i="11"/>
  <c r="N47" i="11"/>
  <c r="O47" i="11"/>
  <c r="N48" i="11"/>
  <c r="O48" i="11"/>
  <c r="N49" i="11"/>
  <c r="O49" i="11"/>
  <c r="N51" i="11"/>
  <c r="O51" i="11"/>
  <c r="N52" i="11"/>
  <c r="O52" i="11"/>
  <c r="N53" i="11"/>
  <c r="O53" i="11"/>
  <c r="N54" i="11"/>
  <c r="O54" i="11"/>
  <c r="N55" i="11"/>
  <c r="O55" i="11"/>
  <c r="N56" i="11"/>
  <c r="O56" i="11"/>
  <c r="N57" i="11"/>
  <c r="O57" i="11"/>
  <c r="N58" i="11"/>
  <c r="O58" i="11"/>
  <c r="N53" i="8"/>
  <c r="O53" i="8"/>
  <c r="U54" i="8"/>
  <c r="X54" i="8"/>
  <c r="Y54" i="8"/>
  <c r="N55" i="8"/>
  <c r="O55" i="8"/>
  <c r="U56" i="8"/>
  <c r="X56" i="8"/>
  <c r="Y56" i="8"/>
  <c r="N57" i="8"/>
  <c r="O57" i="8"/>
  <c r="U58" i="8"/>
  <c r="N59" i="8"/>
  <c r="O59" i="8"/>
  <c r="U62" i="8"/>
  <c r="Y27" i="9"/>
  <c r="Y29" i="9"/>
  <c r="Y31" i="9"/>
  <c r="Y33" i="9"/>
  <c r="H36" i="21"/>
  <c r="AA26" i="8"/>
  <c r="AA28" i="8"/>
  <c r="AA30" i="8"/>
  <c r="AA32" i="8"/>
  <c r="AA34" i="8"/>
  <c r="AA36" i="8"/>
  <c r="AA38" i="8"/>
  <c r="AA40" i="8"/>
  <c r="AA42" i="8"/>
  <c r="AA44" i="8"/>
  <c r="AA46" i="8"/>
  <c r="AA48" i="8"/>
  <c r="AA50" i="8"/>
  <c r="AA52" i="8"/>
  <c r="AA54" i="8"/>
  <c r="AA56" i="8"/>
  <c r="AA58" i="8"/>
  <c r="AA62" i="8"/>
  <c r="Y26" i="9"/>
  <c r="Y28" i="9"/>
  <c r="Y30" i="9"/>
  <c r="Y32" i="9"/>
  <c r="Y34" i="9"/>
  <c r="X26" i="10"/>
  <c r="X27" i="10"/>
  <c r="X28" i="10"/>
  <c r="X29" i="10"/>
  <c r="X31" i="10"/>
  <c r="X33" i="10"/>
  <c r="N26" i="10"/>
  <c r="O26" i="10"/>
  <c r="N27" i="10"/>
  <c r="O27" i="10"/>
  <c r="N28" i="10"/>
  <c r="O28" i="10"/>
  <c r="N29" i="10"/>
  <c r="O29" i="10"/>
  <c r="N31" i="10"/>
  <c r="O31" i="10"/>
  <c r="N33" i="10"/>
  <c r="O33" i="10"/>
  <c r="AF64" i="8"/>
  <c r="N26" i="8"/>
  <c r="O26" i="8"/>
  <c r="AB26" i="8"/>
  <c r="U27" i="8"/>
  <c r="X27" i="8"/>
  <c r="Y27" i="8"/>
  <c r="AA27" i="8"/>
  <c r="N28" i="8"/>
  <c r="O28" i="8"/>
  <c r="AB28" i="8"/>
  <c r="U29" i="8"/>
  <c r="X29" i="8"/>
  <c r="Y29" i="8"/>
  <c r="AA29" i="8"/>
  <c r="N30" i="8"/>
  <c r="O30" i="8"/>
  <c r="AB30" i="8"/>
  <c r="U31" i="8"/>
  <c r="X31" i="8"/>
  <c r="Y31" i="8"/>
  <c r="AA31" i="8"/>
  <c r="N32" i="8"/>
  <c r="O32" i="8"/>
  <c r="AB32" i="8"/>
  <c r="U33" i="8"/>
  <c r="X33" i="8"/>
  <c r="Y33" i="8"/>
  <c r="AA33" i="8"/>
  <c r="N34" i="8"/>
  <c r="O34" i="8"/>
  <c r="AB34" i="8"/>
  <c r="U35" i="8"/>
  <c r="X35" i="8"/>
  <c r="Y35" i="8"/>
  <c r="AA35" i="8"/>
  <c r="N36" i="8"/>
  <c r="O36" i="8"/>
  <c r="AB36" i="8"/>
  <c r="U37" i="8"/>
  <c r="X37" i="8"/>
  <c r="Y37" i="8"/>
  <c r="AA37" i="8"/>
  <c r="N38" i="8"/>
  <c r="O38" i="8"/>
  <c r="AB38" i="8"/>
  <c r="U39" i="8"/>
  <c r="X39" i="8"/>
  <c r="Y39" i="8"/>
  <c r="AA39" i="8"/>
  <c r="N40" i="8"/>
  <c r="O40" i="8"/>
  <c r="AB40" i="8"/>
  <c r="U41" i="8"/>
  <c r="AA41" i="8"/>
  <c r="N42" i="8"/>
  <c r="O42" i="8"/>
  <c r="AB42" i="8"/>
  <c r="U43" i="8"/>
  <c r="X43" i="8"/>
  <c r="Y43" i="8"/>
  <c r="AA43" i="8"/>
  <c r="N44" i="8"/>
  <c r="O44" i="8"/>
  <c r="AB44" i="8"/>
  <c r="U45" i="8"/>
  <c r="X45" i="8"/>
  <c r="Y45" i="8"/>
  <c r="AA45" i="8"/>
  <c r="N46" i="8"/>
  <c r="O46" i="8"/>
  <c r="AB46" i="8"/>
  <c r="U47" i="8"/>
  <c r="X47" i="8"/>
  <c r="Y47" i="8"/>
  <c r="AA47" i="8"/>
  <c r="N48" i="8"/>
  <c r="O48" i="8"/>
  <c r="AB48" i="8"/>
  <c r="U49" i="8"/>
  <c r="X49" i="8"/>
  <c r="Y49" i="8"/>
  <c r="AA49" i="8"/>
  <c r="N50" i="8"/>
  <c r="O50" i="8"/>
  <c r="AB50" i="8"/>
  <c r="U51" i="8"/>
  <c r="X51" i="8"/>
  <c r="Y51" i="8"/>
  <c r="AA51" i="8"/>
  <c r="N52" i="8"/>
  <c r="O52" i="8"/>
  <c r="AB52" i="8"/>
  <c r="U53" i="8"/>
  <c r="X53" i="8"/>
  <c r="Y53" i="8"/>
  <c r="AA53" i="8"/>
  <c r="N54" i="8"/>
  <c r="O54" i="8"/>
  <c r="AB54" i="8"/>
  <c r="U55" i="8"/>
  <c r="X55" i="8"/>
  <c r="Y55" i="8"/>
  <c r="AA55" i="8"/>
  <c r="N56" i="8"/>
  <c r="O56" i="8"/>
  <c r="AB56" i="8"/>
  <c r="U57" i="8"/>
  <c r="X57" i="8"/>
  <c r="Y57" i="8"/>
  <c r="AA57" i="8"/>
  <c r="N58" i="8"/>
  <c r="O58" i="8"/>
  <c r="AB58" i="8"/>
  <c r="U59" i="8"/>
  <c r="X59" i="8"/>
  <c r="Y59" i="8"/>
  <c r="AA59" i="8"/>
  <c r="Z64" i="8"/>
  <c r="Y35" i="9"/>
  <c r="Y36" i="9"/>
  <c r="Y37" i="9"/>
  <c r="Y38" i="9"/>
  <c r="Y39" i="9"/>
  <c r="Y40" i="9"/>
  <c r="Y41" i="9"/>
  <c r="Y42" i="9"/>
  <c r="Y43" i="9"/>
  <c r="Y44" i="9"/>
  <c r="Y45" i="9"/>
  <c r="Y46" i="9"/>
  <c r="Y47" i="9"/>
  <c r="Y48" i="9"/>
  <c r="Y49" i="9"/>
  <c r="Y50" i="9"/>
  <c r="Y51" i="9"/>
  <c r="Y52" i="9"/>
  <c r="Y53" i="9"/>
  <c r="Y54" i="9"/>
  <c r="Y55" i="9"/>
  <c r="Y56" i="9"/>
  <c r="Y57" i="9"/>
  <c r="Y62" i="9"/>
  <c r="S26" i="10"/>
  <c r="T26" i="10"/>
  <c r="S27" i="10"/>
  <c r="T27" i="10"/>
  <c r="S28" i="10"/>
  <c r="T28" i="10"/>
  <c r="S29" i="10"/>
  <c r="T29" i="10"/>
  <c r="S31" i="10"/>
  <c r="T31" i="10"/>
  <c r="S33" i="10"/>
  <c r="T33" i="10"/>
  <c r="X35" i="10"/>
  <c r="N35" i="10"/>
  <c r="O35" i="10"/>
  <c r="S35" i="10"/>
  <c r="T35" i="10"/>
  <c r="AA35" i="10"/>
  <c r="N37" i="10"/>
  <c r="O37" i="10"/>
  <c r="X37" i="10"/>
  <c r="N39" i="10"/>
  <c r="O39" i="10"/>
  <c r="X39" i="10"/>
  <c r="N41" i="10"/>
  <c r="O41" i="10"/>
  <c r="X41" i="10"/>
  <c r="N43" i="10"/>
  <c r="O43" i="10"/>
  <c r="X43" i="10"/>
  <c r="N45" i="10"/>
  <c r="O45" i="10"/>
  <c r="X45" i="10"/>
  <c r="N47" i="10"/>
  <c r="O47" i="10"/>
  <c r="X47" i="10"/>
  <c r="N49" i="10"/>
  <c r="O49" i="10"/>
  <c r="X49" i="10"/>
  <c r="N51" i="10"/>
  <c r="O51" i="10"/>
  <c r="X51" i="10"/>
  <c r="N53" i="10"/>
  <c r="O53" i="10"/>
  <c r="X53" i="10"/>
  <c r="N55" i="10"/>
  <c r="O55" i="10"/>
  <c r="X55" i="10"/>
  <c r="N57" i="10"/>
  <c r="O57" i="10"/>
  <c r="X57" i="10"/>
  <c r="U26" i="11"/>
  <c r="X26" i="11"/>
  <c r="Y26" i="11"/>
  <c r="U27" i="11"/>
  <c r="X27" i="11"/>
  <c r="Y27" i="11"/>
  <c r="U28" i="11"/>
  <c r="X28" i="11"/>
  <c r="Y28" i="11"/>
  <c r="U29" i="11"/>
  <c r="X29" i="11"/>
  <c r="Y29" i="11"/>
  <c r="U30" i="11"/>
  <c r="X30" i="11"/>
  <c r="Y30" i="11"/>
  <c r="U31" i="11"/>
  <c r="X31" i="11"/>
  <c r="Y31" i="11"/>
  <c r="U32" i="11"/>
  <c r="X32" i="11"/>
  <c r="Y32" i="11"/>
  <c r="U33" i="11"/>
  <c r="X33" i="11"/>
  <c r="Y33" i="11"/>
  <c r="U34" i="11"/>
  <c r="X34" i="11"/>
  <c r="Y34" i="11"/>
  <c r="U35" i="11"/>
  <c r="X35" i="11"/>
  <c r="Y35" i="11"/>
  <c r="U36" i="11"/>
  <c r="X36" i="11"/>
  <c r="Y36" i="11"/>
  <c r="U37" i="11"/>
  <c r="X37" i="11"/>
  <c r="Y37" i="11"/>
  <c r="U38" i="11"/>
  <c r="X38" i="11"/>
  <c r="Y38" i="11"/>
  <c r="U39" i="11"/>
  <c r="X39" i="11"/>
  <c r="Y39" i="11"/>
  <c r="U40" i="11"/>
  <c r="Y40" i="11"/>
  <c r="U41" i="11"/>
  <c r="X41" i="11"/>
  <c r="Y41" i="11"/>
  <c r="U42" i="11"/>
  <c r="X42" i="11"/>
  <c r="Y42" i="11"/>
  <c r="U43" i="11"/>
  <c r="X43" i="11"/>
  <c r="Y43" i="11"/>
  <c r="U44" i="11"/>
  <c r="X44" i="11"/>
  <c r="Y44" i="11"/>
  <c r="U45" i="11"/>
  <c r="X45" i="11"/>
  <c r="Y45" i="11"/>
  <c r="U46" i="11"/>
  <c r="X46" i="11"/>
  <c r="Y46" i="11"/>
  <c r="U47" i="11"/>
  <c r="X47" i="11"/>
  <c r="Y47" i="11"/>
  <c r="U48" i="11"/>
  <c r="X48" i="11"/>
  <c r="Y48" i="11"/>
  <c r="U49" i="11"/>
  <c r="X49" i="11"/>
  <c r="Y49" i="11"/>
  <c r="AA50" i="11"/>
  <c r="S37" i="10"/>
  <c r="T37" i="10"/>
  <c r="S39" i="10"/>
  <c r="T39" i="10"/>
  <c r="S41" i="10"/>
  <c r="T41" i="10"/>
  <c r="S43" i="10"/>
  <c r="T43" i="10"/>
  <c r="S45" i="10"/>
  <c r="T45" i="10"/>
  <c r="S47" i="10"/>
  <c r="T47" i="10"/>
  <c r="S49" i="10"/>
  <c r="T49" i="10"/>
  <c r="S51" i="10"/>
  <c r="T51" i="10"/>
  <c r="S53" i="10"/>
  <c r="T53" i="10"/>
  <c r="S55" i="10"/>
  <c r="T55" i="10"/>
  <c r="S57" i="10"/>
  <c r="T57" i="10"/>
  <c r="Y50" i="11"/>
  <c r="U50" i="11"/>
  <c r="X50" i="11"/>
  <c r="Z50" i="11"/>
  <c r="Y51" i="11"/>
  <c r="U51" i="11"/>
  <c r="X51" i="11"/>
  <c r="Z51" i="11"/>
  <c r="Y52" i="11"/>
  <c r="U52" i="11"/>
  <c r="X52" i="11"/>
  <c r="Z52" i="11"/>
  <c r="Y53" i="11"/>
  <c r="U53" i="11"/>
  <c r="X53" i="11"/>
  <c r="Z53" i="11"/>
  <c r="Y54" i="11"/>
  <c r="U54" i="11"/>
  <c r="X54" i="11"/>
  <c r="Z54" i="11"/>
  <c r="Y55" i="11"/>
  <c r="U55" i="11"/>
  <c r="Z55" i="11"/>
  <c r="Y56" i="11"/>
  <c r="U56" i="11"/>
  <c r="X56" i="11"/>
  <c r="Z56" i="11"/>
  <c r="Y57" i="11"/>
  <c r="U57" i="11"/>
  <c r="X57" i="11"/>
  <c r="Z57" i="11"/>
  <c r="Y58" i="11"/>
  <c r="U58" i="11"/>
  <c r="X58" i="11"/>
  <c r="Z58" i="11"/>
  <c r="AE63" i="11"/>
  <c r="U61" i="11"/>
  <c r="Y61" i="11"/>
  <c r="Y63" i="11"/>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U63" i="11"/>
  <c r="H13" i="3"/>
  <c r="S26" i="14"/>
  <c r="T26" i="14"/>
  <c r="AA26" i="14"/>
  <c r="S27" i="14"/>
  <c r="T27" i="14"/>
  <c r="AA27" i="14"/>
  <c r="S28" i="14"/>
  <c r="T28" i="14"/>
  <c r="AA28" i="14"/>
  <c r="S29" i="14"/>
  <c r="T29" i="14"/>
  <c r="AA29" i="14"/>
  <c r="S30" i="14"/>
  <c r="T30" i="14"/>
  <c r="AA30" i="14"/>
  <c r="S31" i="14"/>
  <c r="T31" i="14"/>
  <c r="AA31" i="14"/>
  <c r="S32" i="14"/>
  <c r="T32" i="14"/>
  <c r="AA32" i="14"/>
  <c r="S33" i="14"/>
  <c r="T33" i="14"/>
  <c r="AA33" i="14"/>
  <c r="S34" i="14"/>
  <c r="T34" i="14"/>
  <c r="AA34" i="14"/>
  <c r="S35" i="14"/>
  <c r="T35" i="14"/>
  <c r="AA35" i="14"/>
  <c r="S36" i="14"/>
  <c r="T36" i="14"/>
  <c r="AA36" i="14"/>
  <c r="X37" i="14"/>
  <c r="AA37" i="14"/>
  <c r="S37" i="14"/>
  <c r="T37" i="14"/>
  <c r="N26" i="14"/>
  <c r="O26" i="14"/>
  <c r="N27" i="14"/>
  <c r="O27" i="14"/>
  <c r="N28" i="14"/>
  <c r="O28" i="14"/>
  <c r="N29" i="14"/>
  <c r="O29" i="14"/>
  <c r="N30" i="14"/>
  <c r="O30" i="14"/>
  <c r="N31" i="14"/>
  <c r="O31" i="14"/>
  <c r="N32" i="14"/>
  <c r="O32" i="14"/>
  <c r="N33" i="14"/>
  <c r="O33" i="14"/>
  <c r="N34" i="14"/>
  <c r="O34" i="14"/>
  <c r="N35" i="14"/>
  <c r="O35" i="14"/>
  <c r="N36" i="14"/>
  <c r="O36" i="14"/>
  <c r="N37" i="14"/>
  <c r="O37" i="14"/>
  <c r="S38" i="14"/>
  <c r="T38" i="14"/>
  <c r="AA38" i="14"/>
  <c r="S39" i="14"/>
  <c r="T39" i="14"/>
  <c r="AA39" i="14"/>
  <c r="S40" i="14"/>
  <c r="T40" i="14"/>
  <c r="AA40" i="14"/>
  <c r="S42" i="14"/>
  <c r="T42" i="14"/>
  <c r="AA42" i="14"/>
  <c r="S43" i="14"/>
  <c r="T43" i="14"/>
  <c r="AA43" i="14"/>
  <c r="S44" i="14"/>
  <c r="T44" i="14"/>
  <c r="AA44" i="14"/>
  <c r="S45" i="14"/>
  <c r="T45" i="14"/>
  <c r="AA45" i="14"/>
  <c r="S46" i="14"/>
  <c r="T46" i="14"/>
  <c r="AA46" i="14"/>
  <c r="S47" i="14"/>
  <c r="T47" i="14"/>
  <c r="AA47" i="14"/>
  <c r="S48" i="14"/>
  <c r="T48" i="14"/>
  <c r="AA48" i="14"/>
  <c r="S49" i="14"/>
  <c r="T49" i="14"/>
  <c r="AA49" i="14"/>
  <c r="N38" i="14"/>
  <c r="O38" i="14"/>
  <c r="N39" i="14"/>
  <c r="O39" i="14"/>
  <c r="N40" i="14"/>
  <c r="O40" i="14"/>
  <c r="N42" i="14"/>
  <c r="O42" i="14"/>
  <c r="N43" i="14"/>
  <c r="O43" i="14"/>
  <c r="N44" i="14"/>
  <c r="O44" i="14"/>
  <c r="N45" i="14"/>
  <c r="O45" i="14"/>
  <c r="N46" i="14"/>
  <c r="O46" i="14"/>
  <c r="N47" i="14"/>
  <c r="O47" i="14"/>
  <c r="N48" i="14"/>
  <c r="O48" i="14"/>
  <c r="N49" i="14"/>
  <c r="O49" i="14"/>
  <c r="S50" i="14"/>
  <c r="T50" i="14"/>
  <c r="AA50" i="14"/>
  <c r="S51" i="14"/>
  <c r="T51" i="14"/>
  <c r="AA51" i="14"/>
  <c r="S52" i="14"/>
  <c r="T52" i="14"/>
  <c r="AA52" i="14"/>
  <c r="S53" i="14"/>
  <c r="T53" i="14"/>
  <c r="AA53" i="14"/>
  <c r="S54" i="14"/>
  <c r="T54" i="14"/>
  <c r="AA54" i="14"/>
  <c r="S55" i="14"/>
  <c r="T55" i="14"/>
  <c r="AA55" i="14"/>
  <c r="S56" i="14"/>
  <c r="T56" i="14"/>
  <c r="AA56" i="14"/>
  <c r="S57" i="14"/>
  <c r="T57" i="14"/>
  <c r="AA57" i="14"/>
  <c r="S58" i="14"/>
  <c r="T58" i="14"/>
  <c r="AA58" i="14"/>
  <c r="S59" i="14"/>
  <c r="T59" i="14"/>
  <c r="AA59" i="14"/>
  <c r="N50" i="14"/>
  <c r="O50" i="14"/>
  <c r="N51" i="14"/>
  <c r="O51" i="14"/>
  <c r="N52" i="14"/>
  <c r="O52" i="14"/>
  <c r="N53" i="14"/>
  <c r="O53" i="14"/>
  <c r="N54" i="14"/>
  <c r="O54" i="14"/>
  <c r="N55" i="14"/>
  <c r="O55" i="14"/>
  <c r="N56" i="14"/>
  <c r="O56" i="14"/>
  <c r="N57" i="14"/>
  <c r="O57" i="14"/>
  <c r="N58" i="14"/>
  <c r="O58" i="14"/>
  <c r="N59" i="14"/>
  <c r="O59" i="14"/>
  <c r="U64" i="8"/>
  <c r="H10" i="3"/>
  <c r="Y64" i="12"/>
  <c r="AP18" i="4"/>
  <c r="AP17" i="4"/>
  <c r="AH76" i="4"/>
  <c r="AH71" i="4"/>
  <c r="AP14" i="4"/>
  <c r="Z61" i="14"/>
  <c r="Y61" i="14"/>
  <c r="O62" i="14"/>
  <c r="O61" i="11"/>
  <c r="O61" i="10"/>
  <c r="S58" i="9"/>
  <c r="T58" i="9"/>
  <c r="AA58" i="9"/>
  <c r="N58" i="9"/>
  <c r="O58" i="9"/>
  <c r="O62" i="8"/>
  <c r="Z61" i="13"/>
  <c r="Y61" i="13"/>
  <c r="Z61" i="12"/>
  <c r="Y61" i="12"/>
  <c r="Z60" i="10"/>
  <c r="Y60" i="10"/>
  <c r="AP44" i="4"/>
  <c r="AE37" i="4"/>
  <c r="S14" i="21"/>
  <c r="E14" i="21"/>
  <c r="U38" i="4"/>
  <c r="AB62" i="8"/>
  <c r="AP55" i="4"/>
  <c r="AP50" i="4"/>
  <c r="AP49" i="4"/>
  <c r="B9" i="3"/>
  <c r="B18" i="3"/>
  <c r="AP45" i="4"/>
  <c r="AP41" i="4"/>
  <c r="D40" i="10"/>
  <c r="AA40" i="10"/>
  <c r="B17" i="3"/>
  <c r="X62" i="14"/>
  <c r="Y60" i="9"/>
  <c r="S61" i="10"/>
  <c r="T61" i="10"/>
  <c r="S62" i="14"/>
  <c r="T62" i="14"/>
  <c r="N40" i="11"/>
  <c r="O40" i="11"/>
  <c r="X61" i="10"/>
  <c r="AA61" i="10"/>
  <c r="X61" i="11"/>
  <c r="AA61" i="11"/>
  <c r="S12" i="21"/>
  <c r="H16" i="21"/>
  <c r="Y62" i="12"/>
  <c r="S41" i="14"/>
  <c r="T41" i="14"/>
  <c r="D12" i="3"/>
  <c r="E87" i="4"/>
  <c r="X41" i="14"/>
  <c r="N59" i="10"/>
  <c r="O59" i="10"/>
  <c r="AA59" i="10"/>
  <c r="X59" i="10"/>
  <c r="S59" i="10"/>
  <c r="T59" i="10"/>
  <c r="Z58" i="9"/>
  <c r="Y58" i="9"/>
  <c r="AP58" i="4"/>
  <c r="N59" i="11"/>
  <c r="O59" i="11"/>
  <c r="AA59" i="11"/>
  <c r="S59" i="11"/>
  <c r="T59" i="11"/>
  <c r="X59" i="11"/>
  <c r="N41" i="14"/>
  <c r="O41" i="14"/>
  <c r="H21" i="21"/>
  <c r="S16" i="21"/>
  <c r="AP48" i="4"/>
  <c r="AP47" i="4"/>
  <c r="AP42" i="4"/>
  <c r="P118" i="4"/>
  <c r="AP59" i="4"/>
  <c r="Z59" i="10"/>
  <c r="Y59" i="10"/>
  <c r="N60" i="12"/>
  <c r="O60" i="12"/>
  <c r="AA60" i="12"/>
  <c r="X60" i="12"/>
  <c r="S60" i="12"/>
  <c r="T60" i="12"/>
  <c r="Z60" i="12"/>
  <c r="Y60" i="12"/>
  <c r="Z60" i="13"/>
  <c r="Y60" i="13"/>
  <c r="E20" i="21"/>
  <c r="AA62" i="14"/>
  <c r="X62" i="8"/>
  <c r="Y62" i="8"/>
  <c r="AP56" i="4"/>
  <c r="AP54" i="4"/>
  <c r="AP53" i="4"/>
  <c r="AP52" i="4"/>
  <c r="AP51" i="4"/>
  <c r="AP46" i="4"/>
  <c r="AP43" i="4"/>
  <c r="AB60" i="8"/>
  <c r="N60" i="8"/>
  <c r="O60" i="8"/>
  <c r="X60" i="8"/>
  <c r="Y60" i="8"/>
  <c r="S60" i="8"/>
  <c r="T60" i="8"/>
  <c r="N60" i="13"/>
  <c r="O60" i="13"/>
  <c r="AA60" i="13"/>
  <c r="S60" i="13"/>
  <c r="T60" i="13"/>
  <c r="X60" i="13"/>
  <c r="N60" i="14"/>
  <c r="O60" i="14"/>
  <c r="AA60" i="14"/>
  <c r="X60" i="14"/>
  <c r="S60" i="14"/>
  <c r="T60" i="14"/>
  <c r="F23" i="21"/>
  <c r="E13" i="21"/>
  <c r="H13" i="21"/>
  <c r="B62" i="5"/>
  <c r="F32" i="21"/>
  <c r="S13" i="21"/>
  <c r="F35" i="21"/>
  <c r="F22" i="21"/>
  <c r="H27" i="21"/>
  <c r="H19" i="21"/>
  <c r="H35" i="21"/>
  <c r="E15" i="21"/>
  <c r="F19" i="21"/>
  <c r="E14" i="3"/>
  <c r="L14" i="3"/>
  <c r="D14" i="3"/>
  <c r="K14" i="3"/>
  <c r="N59" i="13"/>
  <c r="O59" i="13"/>
  <c r="N48" i="9"/>
  <c r="O48" i="9"/>
  <c r="S46" i="13"/>
  <c r="T46" i="13"/>
  <c r="Y64" i="13"/>
  <c r="S42" i="13"/>
  <c r="T42" i="13"/>
  <c r="N52" i="13"/>
  <c r="O52" i="13"/>
  <c r="Y64" i="14"/>
  <c r="S54" i="13"/>
  <c r="T54" i="13"/>
  <c r="N48" i="13"/>
  <c r="O48" i="13"/>
  <c r="N27" i="13"/>
  <c r="O27" i="13"/>
  <c r="S31" i="9"/>
  <c r="T31" i="9"/>
  <c r="N31" i="9"/>
  <c r="O31" i="9"/>
  <c r="S30" i="9"/>
  <c r="T30" i="9"/>
  <c r="N34" i="9"/>
  <c r="O34" i="9"/>
  <c r="Y45" i="10"/>
  <c r="X42" i="9"/>
  <c r="S56" i="9"/>
  <c r="T56" i="9"/>
  <c r="S42" i="9"/>
  <c r="T42" i="9"/>
  <c r="X34" i="9"/>
  <c r="N30" i="9"/>
  <c r="O30" i="9"/>
  <c r="N47" i="9"/>
  <c r="O47" i="9"/>
  <c r="X48" i="9"/>
  <c r="S47" i="9"/>
  <c r="T47" i="9"/>
  <c r="X31" i="9"/>
  <c r="N56" i="9"/>
  <c r="O56" i="9"/>
  <c r="Y33" i="14"/>
  <c r="Y39" i="14"/>
  <c r="Y44" i="14"/>
  <c r="Y37" i="14"/>
  <c r="Y59" i="14"/>
  <c r="Y52" i="14"/>
  <c r="Y54" i="14"/>
  <c r="Y48" i="14"/>
  <c r="Y50" i="14"/>
  <c r="Y31" i="14"/>
  <c r="Y46" i="14"/>
  <c r="Y56" i="14"/>
  <c r="Y41" i="14"/>
  <c r="Y27" i="14"/>
  <c r="Y35" i="14"/>
  <c r="Y44" i="13"/>
  <c r="X54" i="13"/>
  <c r="AA27" i="13"/>
  <c r="S27" i="13"/>
  <c r="T27" i="13"/>
  <c r="Y41" i="13"/>
  <c r="S52" i="13"/>
  <c r="T52" i="13"/>
  <c r="X50" i="13"/>
  <c r="N46" i="13"/>
  <c r="O46" i="13"/>
  <c r="AA44" i="13"/>
  <c r="S50" i="13"/>
  <c r="T50" i="13"/>
  <c r="N54" i="13"/>
  <c r="O54" i="13"/>
  <c r="N50" i="13"/>
  <c r="O50" i="13"/>
  <c r="N44" i="13"/>
  <c r="O44" i="13"/>
  <c r="S48" i="13"/>
  <c r="T48" i="13"/>
  <c r="S44" i="13"/>
  <c r="T44" i="13"/>
  <c r="S59" i="13"/>
  <c r="T59" i="13"/>
  <c r="X59" i="13"/>
  <c r="X52" i="13"/>
  <c r="X48" i="13"/>
  <c r="N42" i="13"/>
  <c r="O42" i="13"/>
  <c r="AA46" i="13"/>
  <c r="AA42" i="13"/>
  <c r="Z49" i="13"/>
  <c r="AA62" i="13"/>
  <c r="Z55" i="13"/>
  <c r="Y29" i="13"/>
  <c r="S28" i="12"/>
  <c r="T28" i="12"/>
  <c r="X28" i="12"/>
  <c r="N28" i="12"/>
  <c r="O28" i="12"/>
  <c r="S56" i="12"/>
  <c r="T56" i="12"/>
  <c r="X56" i="12"/>
  <c r="S56" i="10"/>
  <c r="T56" i="10"/>
  <c r="X38" i="10"/>
  <c r="Y29" i="10"/>
  <c r="Y42" i="10"/>
  <c r="S34" i="10"/>
  <c r="T34" i="10"/>
  <c r="Y38" i="10"/>
  <c r="Y34" i="10"/>
  <c r="AA36" i="10"/>
  <c r="Y30" i="10"/>
  <c r="Y61" i="10"/>
  <c r="X30" i="10"/>
  <c r="N38" i="10"/>
  <c r="O38" i="10"/>
  <c r="S36" i="10"/>
  <c r="T36" i="10"/>
  <c r="AA34" i="10"/>
  <c r="N32" i="10"/>
  <c r="O32" i="10"/>
  <c r="Y52" i="10"/>
  <c r="X56" i="10"/>
  <c r="N36" i="10"/>
  <c r="O36" i="10"/>
  <c r="S30" i="10"/>
  <c r="T30" i="10"/>
  <c r="N34" i="10"/>
  <c r="O34" i="10"/>
  <c r="N30" i="10"/>
  <c r="O30" i="10"/>
  <c r="X32" i="10"/>
  <c r="S38" i="10"/>
  <c r="T38" i="10"/>
  <c r="N56" i="10"/>
  <c r="O56" i="10"/>
  <c r="S32" i="10"/>
  <c r="T32" i="10"/>
  <c r="Y55" i="10"/>
  <c r="S15" i="21"/>
  <c r="F21" i="21"/>
  <c r="E34" i="21"/>
  <c r="F25" i="21"/>
  <c r="H23" i="21"/>
  <c r="E18" i="21"/>
  <c r="E26" i="21"/>
  <c r="E33" i="21"/>
  <c r="H15" i="21"/>
  <c r="H33" i="21"/>
  <c r="H25" i="21"/>
  <c r="S18" i="21"/>
  <c r="F12" i="21"/>
  <c r="F27" i="21"/>
  <c r="H18" i="21"/>
  <c r="F16" i="21"/>
  <c r="H26" i="21"/>
  <c r="S59" i="12"/>
  <c r="T59" i="12"/>
  <c r="Y32" i="14"/>
  <c r="X62" i="13"/>
  <c r="E12" i="3"/>
  <c r="N26" i="13"/>
  <c r="O26" i="13"/>
  <c r="X50" i="12"/>
  <c r="N48" i="12"/>
  <c r="O48" i="12"/>
  <c r="AA40" i="9"/>
  <c r="X34" i="8"/>
  <c r="Y34" i="8"/>
  <c r="X51" i="9"/>
  <c r="S40" i="13"/>
  <c r="T40" i="13"/>
  <c r="X58" i="13"/>
  <c r="N53" i="13"/>
  <c r="O53" i="13"/>
  <c r="S43" i="13"/>
  <c r="T43" i="13"/>
  <c r="AA38" i="13"/>
  <c r="Y53" i="10"/>
  <c r="N38" i="13"/>
  <c r="O38" i="13"/>
  <c r="S45" i="9"/>
  <c r="T45" i="9"/>
  <c r="X50" i="9"/>
  <c r="X32" i="8"/>
  <c r="Y32" i="8"/>
  <c r="Y40" i="14"/>
  <c r="X51" i="13"/>
  <c r="N49" i="13"/>
  <c r="O49" i="13"/>
  <c r="S47" i="13"/>
  <c r="T47" i="13"/>
  <c r="S34" i="13"/>
  <c r="T34" i="13"/>
  <c r="N54" i="12"/>
  <c r="O54" i="12"/>
  <c r="N34" i="13"/>
  <c r="O34" i="13"/>
  <c r="S45" i="13"/>
  <c r="T45" i="13"/>
  <c r="Y34" i="13"/>
  <c r="S33" i="9"/>
  <c r="T33" i="9"/>
  <c r="S49" i="9"/>
  <c r="T49" i="9"/>
  <c r="N32" i="9"/>
  <c r="O32" i="9"/>
  <c r="X28" i="9"/>
  <c r="X46" i="12"/>
  <c r="Y47" i="13"/>
  <c r="N43" i="13"/>
  <c r="O43" i="13"/>
  <c r="S38" i="13"/>
  <c r="T38" i="13"/>
  <c r="AA32" i="13"/>
  <c r="Y36" i="14"/>
  <c r="X42" i="12"/>
  <c r="N35" i="9"/>
  <c r="O35" i="9"/>
  <c r="S55" i="13"/>
  <c r="T55" i="13"/>
  <c r="N47" i="13"/>
  <c r="O47" i="13"/>
  <c r="AA47" i="13"/>
  <c r="AA45" i="13"/>
  <c r="AA43" i="13"/>
  <c r="AA40" i="13"/>
  <c r="AA36" i="13"/>
  <c r="S30" i="13"/>
  <c r="T30" i="13"/>
  <c r="S26" i="13"/>
  <c r="T26" i="13"/>
  <c r="S34" i="9"/>
  <c r="T34" i="9"/>
  <c r="S29" i="9"/>
  <c r="T29" i="9"/>
  <c r="S48" i="9"/>
  <c r="T48" i="9"/>
  <c r="S36" i="9"/>
  <c r="T36" i="9"/>
  <c r="X32" i="9"/>
  <c r="X30" i="9"/>
  <c r="Y57" i="13"/>
  <c r="X54" i="12"/>
  <c r="N42" i="9"/>
  <c r="O42" i="9"/>
  <c r="Y58" i="13"/>
  <c r="Y39" i="10"/>
  <c r="X47" i="9"/>
  <c r="X42" i="8"/>
  <c r="Y42" i="8"/>
  <c r="N56" i="12"/>
  <c r="O56" i="12"/>
  <c r="N32" i="12"/>
  <c r="O32" i="12"/>
  <c r="S58" i="13"/>
  <c r="T58" i="13"/>
  <c r="S51" i="13"/>
  <c r="T51" i="13"/>
  <c r="X55" i="13"/>
  <c r="N30" i="13"/>
  <c r="O30" i="13"/>
  <c r="N28" i="9"/>
  <c r="O28" i="9"/>
  <c r="Y43" i="10"/>
  <c r="X35" i="9"/>
  <c r="N36" i="9"/>
  <c r="O36" i="9"/>
  <c r="N46" i="12"/>
  <c r="O46" i="12"/>
  <c r="S26" i="12"/>
  <c r="T26" i="12"/>
  <c r="S57" i="11"/>
  <c r="T57" i="11"/>
  <c r="Y27" i="10"/>
  <c r="X43" i="12"/>
  <c r="Y43" i="14"/>
  <c r="X51" i="12"/>
  <c r="S44" i="10"/>
  <c r="T44" i="10"/>
  <c r="S26" i="9"/>
  <c r="T26" i="9"/>
  <c r="Y33" i="10"/>
  <c r="X41" i="9"/>
  <c r="X56" i="13"/>
  <c r="S38" i="12"/>
  <c r="T38" i="12"/>
  <c r="S52" i="10"/>
  <c r="T52" i="10"/>
  <c r="X37" i="12"/>
  <c r="N55" i="9"/>
  <c r="O55" i="9"/>
  <c r="X46" i="8"/>
  <c r="Y46" i="8"/>
  <c r="Z54" i="13"/>
  <c r="S48" i="10"/>
  <c r="T48" i="10"/>
  <c r="S41" i="9"/>
  <c r="T41" i="9"/>
  <c r="Y28" i="14"/>
  <c r="Y35" i="13"/>
  <c r="S40" i="12"/>
  <c r="T40" i="12"/>
  <c r="X29" i="12"/>
  <c r="X55" i="9"/>
  <c r="AA41" i="9"/>
  <c r="N56" i="13"/>
  <c r="O56" i="13"/>
  <c r="Y31" i="13"/>
  <c r="Y26" i="13"/>
  <c r="S48" i="11"/>
  <c r="T48" i="11"/>
  <c r="Y31" i="10"/>
  <c r="Y49" i="14"/>
  <c r="Y50" i="10"/>
  <c r="Y36" i="10"/>
  <c r="N44" i="9"/>
  <c r="O44" i="9"/>
  <c r="Y51" i="10"/>
  <c r="X44" i="9"/>
  <c r="Y62" i="14"/>
  <c r="Y45" i="14"/>
  <c r="N35" i="13"/>
  <c r="O35" i="13"/>
  <c r="Y30" i="13"/>
  <c r="S28" i="13"/>
  <c r="T28" i="13"/>
  <c r="S49" i="12"/>
  <c r="T49" i="12"/>
  <c r="S54" i="10"/>
  <c r="T54" i="10"/>
  <c r="S50" i="10"/>
  <c r="T50" i="10"/>
  <c r="S46" i="10"/>
  <c r="T46" i="10"/>
  <c r="S42" i="10"/>
  <c r="T42" i="10"/>
  <c r="X54" i="10"/>
  <c r="X52" i="10"/>
  <c r="X50" i="10"/>
  <c r="X48" i="10"/>
  <c r="X46" i="10"/>
  <c r="X44" i="10"/>
  <c r="X42" i="10"/>
  <c r="Y26" i="10"/>
  <c r="S55" i="9"/>
  <c r="T55" i="9"/>
  <c r="Y47" i="14"/>
  <c r="X57" i="12"/>
  <c r="X39" i="12"/>
  <c r="X33" i="12"/>
  <c r="Y44" i="10"/>
  <c r="N51" i="9"/>
  <c r="O51" i="9"/>
  <c r="N43" i="9"/>
  <c r="O43" i="9"/>
  <c r="Y45" i="13"/>
  <c r="Y47" i="10"/>
  <c r="Y37" i="10"/>
  <c r="X43" i="9"/>
  <c r="X40" i="8"/>
  <c r="Y40" i="8"/>
  <c r="X28" i="8"/>
  <c r="Y28" i="8"/>
  <c r="S50" i="8"/>
  <c r="T50" i="8"/>
  <c r="Y53" i="14"/>
  <c r="N28" i="13"/>
  <c r="O28" i="13"/>
  <c r="AA28" i="13"/>
  <c r="Y46" i="13"/>
  <c r="X35" i="12"/>
  <c r="Y39" i="13"/>
  <c r="Y55" i="14"/>
  <c r="Y51" i="14"/>
  <c r="S56" i="13"/>
  <c r="T56" i="13"/>
  <c r="Z56" i="13"/>
  <c r="Z53" i="13"/>
  <c r="Z51" i="13"/>
  <c r="Y48" i="13"/>
  <c r="S31" i="12"/>
  <c r="T31" i="12"/>
  <c r="N54" i="10"/>
  <c r="O54" i="10"/>
  <c r="N52" i="10"/>
  <c r="O52" i="10"/>
  <c r="N50" i="10"/>
  <c r="O50" i="10"/>
  <c r="N48" i="10"/>
  <c r="O48" i="10"/>
  <c r="N46" i="10"/>
  <c r="O46" i="10"/>
  <c r="N44" i="10"/>
  <c r="O44" i="10"/>
  <c r="N42" i="10"/>
  <c r="O42" i="10"/>
  <c r="Y32" i="10"/>
  <c r="S51" i="9"/>
  <c r="T51" i="9"/>
  <c r="S44" i="9"/>
  <c r="T44" i="9"/>
  <c r="Y40" i="13"/>
  <c r="Y58" i="10"/>
  <c r="Y62" i="13"/>
  <c r="Y43" i="13"/>
  <c r="Y35" i="10"/>
  <c r="X36" i="8"/>
  <c r="Y36" i="8"/>
  <c r="X40" i="11"/>
  <c r="S40" i="11"/>
  <c r="T40" i="11"/>
  <c r="X58" i="8"/>
  <c r="Y58" i="8"/>
  <c r="S58" i="8"/>
  <c r="T58" i="8"/>
  <c r="S51" i="11"/>
  <c r="T51" i="11"/>
  <c r="Z57" i="14"/>
  <c r="Y57" i="14"/>
  <c r="AA46" i="9"/>
  <c r="N46" i="9"/>
  <c r="O46" i="9"/>
  <c r="S46" i="9"/>
  <c r="T46" i="9"/>
  <c r="X46" i="9"/>
  <c r="Z46" i="10"/>
  <c r="Y46" i="10"/>
  <c r="Z38" i="13"/>
  <c r="Y38" i="13"/>
  <c r="Z36" i="13"/>
  <c r="Y36" i="13"/>
  <c r="Z33" i="13"/>
  <c r="Y33" i="13"/>
  <c r="AA27" i="9"/>
  <c r="X27" i="9"/>
  <c r="N27" i="9"/>
  <c r="O27" i="9"/>
  <c r="S27" i="9"/>
  <c r="T27" i="9"/>
  <c r="AA60" i="9"/>
  <c r="O60" i="9"/>
  <c r="S60" i="9"/>
  <c r="T60" i="9"/>
  <c r="X60" i="9"/>
  <c r="AA58" i="10"/>
  <c r="X58" i="10"/>
  <c r="S58" i="10"/>
  <c r="T58" i="10"/>
  <c r="N58" i="10"/>
  <c r="O58" i="10"/>
  <c r="AA57" i="13"/>
  <c r="X57" i="13"/>
  <c r="S57" i="13"/>
  <c r="T57" i="13"/>
  <c r="AA40" i="12"/>
  <c r="X40" i="12"/>
  <c r="AA38" i="12"/>
  <c r="N38" i="12"/>
  <c r="O38" i="12"/>
  <c r="AA36" i="12"/>
  <c r="N36" i="12"/>
  <c r="O36" i="12"/>
  <c r="X36" i="12"/>
  <c r="AA34" i="12"/>
  <c r="N34" i="12"/>
  <c r="O34" i="12"/>
  <c r="AA32" i="12"/>
  <c r="X32" i="12"/>
  <c r="AA30" i="12"/>
  <c r="N30" i="12"/>
  <c r="O30" i="12"/>
  <c r="Z29" i="14"/>
  <c r="Y29" i="14"/>
  <c r="Z52" i="13"/>
  <c r="S53" i="12"/>
  <c r="T53" i="12"/>
  <c r="S45" i="12"/>
  <c r="T45" i="12"/>
  <c r="X26" i="9"/>
  <c r="Y59" i="13"/>
  <c r="X30" i="12"/>
  <c r="X26" i="8"/>
  <c r="Y26" i="8"/>
  <c r="X55" i="11"/>
  <c r="S55" i="11"/>
  <c r="T55" i="11"/>
  <c r="AA57" i="9"/>
  <c r="X57" i="9"/>
  <c r="N57" i="9"/>
  <c r="O57" i="9"/>
  <c r="AA54" i="9"/>
  <c r="N54" i="9"/>
  <c r="O54" i="9"/>
  <c r="S54" i="9"/>
  <c r="T54" i="9"/>
  <c r="X54" i="9"/>
  <c r="AA52" i="9"/>
  <c r="S52" i="9"/>
  <c r="T52" i="9"/>
  <c r="X52" i="9"/>
  <c r="Z49" i="10"/>
  <c r="Y49" i="10"/>
  <c r="AA37" i="9"/>
  <c r="X37" i="9"/>
  <c r="S37" i="9"/>
  <c r="T37" i="9"/>
  <c r="Z37" i="13"/>
  <c r="Y37" i="13"/>
  <c r="Z32" i="13"/>
  <c r="Y32" i="13"/>
  <c r="AA62" i="12"/>
  <c r="O62" i="12"/>
  <c r="X62" i="12"/>
  <c r="S62" i="12"/>
  <c r="T62" i="12"/>
  <c r="AA58" i="12"/>
  <c r="N58" i="12"/>
  <c r="O58" i="12"/>
  <c r="S58" i="12"/>
  <c r="T58" i="12"/>
  <c r="AA53" i="9"/>
  <c r="X53" i="9"/>
  <c r="N53" i="9"/>
  <c r="O53" i="9"/>
  <c r="AA38" i="9"/>
  <c r="X38" i="9"/>
  <c r="N38" i="9"/>
  <c r="O38" i="9"/>
  <c r="X39" i="13"/>
  <c r="S39" i="13"/>
  <c r="T39" i="13"/>
  <c r="AA39" i="13"/>
  <c r="X37" i="13"/>
  <c r="AA37" i="13"/>
  <c r="N37" i="13"/>
  <c r="O37" i="13"/>
  <c r="X35" i="13"/>
  <c r="S35" i="13"/>
  <c r="T35" i="13"/>
  <c r="X33" i="13"/>
  <c r="N33" i="13"/>
  <c r="O33" i="13"/>
  <c r="AA33" i="13"/>
  <c r="X31" i="13"/>
  <c r="S31" i="13"/>
  <c r="T31" i="13"/>
  <c r="X29" i="13"/>
  <c r="AA29" i="13"/>
  <c r="N29" i="13"/>
  <c r="O29" i="13"/>
  <c r="AA26" i="12"/>
  <c r="N26" i="12"/>
  <c r="O26" i="12"/>
  <c r="N57" i="13"/>
  <c r="O57" i="13"/>
  <c r="N39" i="13"/>
  <c r="O39" i="13"/>
  <c r="N31" i="13"/>
  <c r="O31" i="13"/>
  <c r="S29" i="13"/>
  <c r="T29" i="13"/>
  <c r="Y27" i="13"/>
  <c r="S55" i="12"/>
  <c r="T55" i="12"/>
  <c r="S47" i="12"/>
  <c r="T47" i="12"/>
  <c r="S57" i="9"/>
  <c r="T57" i="9"/>
  <c r="S43" i="9"/>
  <c r="T43" i="9"/>
  <c r="S38" i="9"/>
  <c r="T38" i="9"/>
  <c r="N26" i="9"/>
  <c r="O26" i="9"/>
  <c r="X34" i="12"/>
  <c r="S48" i="8"/>
  <c r="T48" i="8"/>
  <c r="X48" i="8"/>
  <c r="Y48" i="8"/>
  <c r="S53" i="13"/>
  <c r="T53" i="13"/>
  <c r="O62" i="13"/>
  <c r="N58" i="13"/>
  <c r="O58" i="13"/>
  <c r="N55" i="13"/>
  <c r="O55" i="13"/>
  <c r="N51" i="13"/>
  <c r="O51" i="13"/>
  <c r="S54" i="12"/>
  <c r="T54" i="12"/>
  <c r="S52" i="12"/>
  <c r="T52" i="12"/>
  <c r="S50" i="12"/>
  <c r="T50" i="12"/>
  <c r="S46" i="12"/>
  <c r="T46" i="12"/>
  <c r="S44" i="12"/>
  <c r="T44" i="12"/>
  <c r="S42" i="12"/>
  <c r="T42" i="12"/>
  <c r="Y58" i="14"/>
  <c r="Y38" i="14"/>
  <c r="S62" i="13"/>
  <c r="T62" i="13"/>
  <c r="Y34" i="14"/>
  <c r="Y30" i="14"/>
  <c r="Y26" i="14"/>
  <c r="X53" i="13"/>
  <c r="Z50" i="13"/>
  <c r="X49" i="13"/>
  <c r="N45" i="13"/>
  <c r="O45" i="13"/>
  <c r="N40" i="13"/>
  <c r="O40" i="13"/>
  <c r="N36" i="13"/>
  <c r="O36" i="13"/>
  <c r="N32" i="13"/>
  <c r="O32" i="13"/>
  <c r="S36" i="13"/>
  <c r="T36" i="13"/>
  <c r="AA34" i="13"/>
  <c r="S32" i="13"/>
  <c r="T32" i="13"/>
  <c r="AA30" i="13"/>
  <c r="AA26" i="13"/>
  <c r="S27" i="12"/>
  <c r="T27" i="12"/>
  <c r="S53" i="11"/>
  <c r="T53" i="11"/>
  <c r="S32" i="11"/>
  <c r="T32" i="11"/>
  <c r="S35" i="9"/>
  <c r="T35" i="9"/>
  <c r="N33" i="9"/>
  <c r="O33" i="9"/>
  <c r="N29" i="9"/>
  <c r="O29" i="9"/>
  <c r="X52" i="12"/>
  <c r="X48" i="12"/>
  <c r="X44" i="12"/>
  <c r="Y54" i="10"/>
  <c r="N49" i="9"/>
  <c r="O49" i="9"/>
  <c r="N45" i="9"/>
  <c r="O45" i="9"/>
  <c r="X56" i="9"/>
  <c r="N40" i="9"/>
  <c r="O40" i="9"/>
  <c r="X36" i="9"/>
  <c r="X52" i="8"/>
  <c r="Y52" i="8"/>
  <c r="X44" i="8"/>
  <c r="Y44" i="8"/>
  <c r="N50" i="12"/>
  <c r="O50" i="12"/>
  <c r="N42" i="12"/>
  <c r="O42" i="12"/>
  <c r="S49" i="13"/>
  <c r="T49" i="13"/>
  <c r="Y28" i="13"/>
  <c r="S48" i="12"/>
  <c r="T48" i="12"/>
  <c r="S32" i="9"/>
  <c r="T32" i="9"/>
  <c r="S28" i="9"/>
  <c r="T28" i="9"/>
  <c r="Y28" i="10"/>
  <c r="S50" i="9"/>
  <c r="T50" i="9"/>
  <c r="S40" i="9"/>
  <c r="T40" i="9"/>
  <c r="X33" i="9"/>
  <c r="X29" i="9"/>
  <c r="Y56" i="10"/>
  <c r="Y48" i="10"/>
  <c r="Y40" i="10"/>
  <c r="N50" i="9"/>
  <c r="O50" i="9"/>
  <c r="Y57" i="10"/>
  <c r="X49" i="9"/>
  <c r="X45" i="9"/>
  <c r="X38" i="8"/>
  <c r="Y38" i="8"/>
  <c r="X30" i="8"/>
  <c r="Y30" i="8"/>
  <c r="N52" i="12"/>
  <c r="O52" i="12"/>
  <c r="N44" i="12"/>
  <c r="O44" i="12"/>
  <c r="S28" i="11"/>
  <c r="T28" i="11"/>
  <c r="S54" i="8"/>
  <c r="T54" i="8"/>
  <c r="E24" i="21"/>
  <c r="AP39" i="4"/>
  <c r="C42" i="13"/>
  <c r="C41" i="10"/>
  <c r="O119" i="4"/>
  <c r="D39" i="9"/>
  <c r="M39" i="4"/>
  <c r="AP35" i="4"/>
  <c r="AP34" i="4"/>
  <c r="AP33" i="4"/>
  <c r="AP30" i="4"/>
  <c r="AP29" i="4"/>
  <c r="AP26" i="4"/>
  <c r="AP25" i="4"/>
  <c r="AP24" i="4"/>
  <c r="AP23" i="4"/>
  <c r="AP22" i="4"/>
  <c r="AP21" i="4"/>
  <c r="AP20" i="4"/>
  <c r="AP19" i="4"/>
  <c r="F16" i="3"/>
  <c r="AP57" i="4"/>
  <c r="AA59" i="12"/>
  <c r="N59" i="12"/>
  <c r="O59" i="12"/>
  <c r="AA57" i="12"/>
  <c r="N57" i="12"/>
  <c r="O57" i="12"/>
  <c r="E82" i="4"/>
  <c r="F10" i="3"/>
  <c r="E86" i="4"/>
  <c r="E84" i="4"/>
  <c r="AP38" i="4"/>
  <c r="AP37" i="4"/>
  <c r="AA39" i="12"/>
  <c r="N39" i="12"/>
  <c r="O39" i="12"/>
  <c r="AA37" i="12"/>
  <c r="N37" i="12"/>
  <c r="O37" i="12"/>
  <c r="AA35" i="12"/>
  <c r="N35" i="12"/>
  <c r="O35" i="12"/>
  <c r="AA33" i="12"/>
  <c r="N33" i="12"/>
  <c r="O33" i="12"/>
  <c r="AA31" i="12"/>
  <c r="N31" i="12"/>
  <c r="O31" i="12"/>
  <c r="AA29" i="12"/>
  <c r="N29" i="12"/>
  <c r="O29" i="12"/>
  <c r="AA27" i="12"/>
  <c r="N27" i="12"/>
  <c r="O27" i="12"/>
  <c r="C16" i="3"/>
  <c r="D16" i="3"/>
  <c r="K16" i="3"/>
  <c r="D41" i="8"/>
  <c r="S41" i="8"/>
  <c r="T41" i="8"/>
  <c r="O39" i="4"/>
  <c r="C42" i="14"/>
  <c r="D41" i="13"/>
  <c r="D41" i="12"/>
  <c r="Y38" i="4"/>
  <c r="AP36" i="4"/>
  <c r="AP32" i="4"/>
  <c r="AP31" i="4"/>
  <c r="AP28" i="4"/>
  <c r="AP27" i="4"/>
  <c r="AP16" i="4"/>
  <c r="AP15" i="4"/>
  <c r="Z63" i="10"/>
  <c r="AE63" i="10"/>
  <c r="Y63" i="10"/>
  <c r="AA55" i="12"/>
  <c r="N55" i="12"/>
  <c r="O55" i="12"/>
  <c r="AA53" i="12"/>
  <c r="N53" i="12"/>
  <c r="O53" i="12"/>
  <c r="AA51" i="12"/>
  <c r="N51" i="12"/>
  <c r="O51" i="12"/>
  <c r="AA49" i="12"/>
  <c r="N49" i="12"/>
  <c r="O49" i="12"/>
  <c r="AA47" i="12"/>
  <c r="N47" i="12"/>
  <c r="O47" i="12"/>
  <c r="AA45" i="12"/>
  <c r="N45" i="12"/>
  <c r="O45" i="12"/>
  <c r="AA43" i="12"/>
  <c r="N43" i="12"/>
  <c r="O43" i="12"/>
  <c r="E85" i="4"/>
  <c r="E81" i="4"/>
  <c r="C10" i="3"/>
  <c r="S61" i="11"/>
  <c r="T61" i="11"/>
  <c r="S44" i="11"/>
  <c r="T44" i="11"/>
  <c r="S36" i="11"/>
  <c r="T36" i="11"/>
  <c r="C60" i="5"/>
  <c r="S62" i="8"/>
  <c r="T62" i="8"/>
  <c r="S56" i="8"/>
  <c r="T56" i="8"/>
  <c r="S46" i="11"/>
  <c r="T46" i="11"/>
  <c r="S42" i="11"/>
  <c r="T42" i="11"/>
  <c r="S38" i="11"/>
  <c r="T38" i="11"/>
  <c r="S34" i="11"/>
  <c r="T34" i="11"/>
  <c r="S30" i="11"/>
  <c r="T30" i="11"/>
  <c r="S26" i="11"/>
  <c r="T26" i="11"/>
  <c r="S58" i="11"/>
  <c r="T58" i="11"/>
  <c r="S56" i="11"/>
  <c r="T56" i="11"/>
  <c r="S54" i="11"/>
  <c r="T54" i="11"/>
  <c r="S52" i="11"/>
  <c r="T52" i="11"/>
  <c r="S50" i="11"/>
  <c r="T50" i="11"/>
  <c r="S49" i="11"/>
  <c r="T49" i="11"/>
  <c r="S47" i="11"/>
  <c r="T47" i="11"/>
  <c r="S45" i="11"/>
  <c r="T45" i="11"/>
  <c r="S43" i="11"/>
  <c r="T43" i="11"/>
  <c r="S41" i="11"/>
  <c r="T41" i="11"/>
  <c r="S39" i="11"/>
  <c r="T39" i="11"/>
  <c r="S37" i="11"/>
  <c r="T37" i="11"/>
  <c r="S35" i="11"/>
  <c r="T35" i="11"/>
  <c r="S33" i="11"/>
  <c r="T33" i="11"/>
  <c r="S31" i="11"/>
  <c r="T31" i="11"/>
  <c r="S29" i="11"/>
  <c r="T29" i="11"/>
  <c r="S27" i="11"/>
  <c r="T27" i="11"/>
  <c r="S59" i="8"/>
  <c r="T59" i="8"/>
  <c r="S57" i="8"/>
  <c r="T57" i="8"/>
  <c r="S55" i="8"/>
  <c r="T55" i="8"/>
  <c r="S53" i="8"/>
  <c r="T53" i="8"/>
  <c r="S51" i="8"/>
  <c r="T51" i="8"/>
  <c r="S49" i="8"/>
  <c r="T49" i="8"/>
  <c r="S47" i="8"/>
  <c r="T47" i="8"/>
  <c r="S45" i="8"/>
  <c r="T45" i="8"/>
  <c r="S43" i="8"/>
  <c r="T43" i="8"/>
  <c r="S39" i="8"/>
  <c r="T39" i="8"/>
  <c r="S37" i="8"/>
  <c r="T37" i="8"/>
  <c r="S35" i="8"/>
  <c r="T35" i="8"/>
  <c r="S33" i="8"/>
  <c r="T33" i="8"/>
  <c r="S31" i="8"/>
  <c r="T31" i="8"/>
  <c r="S29" i="8"/>
  <c r="T29" i="8"/>
  <c r="S27" i="8"/>
  <c r="T27" i="8"/>
  <c r="D10" i="3"/>
  <c r="K10" i="3"/>
  <c r="H17" i="3"/>
  <c r="C17" i="3"/>
  <c r="O67" i="14"/>
  <c r="AC64" i="14"/>
  <c r="O66" i="14"/>
  <c r="O65" i="11"/>
  <c r="O66" i="11"/>
  <c r="AC63" i="11"/>
  <c r="X40" i="10"/>
  <c r="X66" i="10"/>
  <c r="M12" i="3"/>
  <c r="N40" i="10"/>
  <c r="O40" i="10"/>
  <c r="O66" i="10"/>
  <c r="R63" i="10"/>
  <c r="W63" i="10"/>
  <c r="J12" i="3"/>
  <c r="L12" i="3"/>
  <c r="S17" i="21"/>
  <c r="T38" i="21"/>
  <c r="S40" i="10"/>
  <c r="T40" i="10"/>
  <c r="T66" i="10"/>
  <c r="C18" i="3"/>
  <c r="T67" i="14"/>
  <c r="X67" i="14"/>
  <c r="M16" i="3"/>
  <c r="C62" i="5"/>
  <c r="E10" i="3"/>
  <c r="L10" i="3"/>
  <c r="F17" i="3"/>
  <c r="X66" i="11"/>
  <c r="M13" i="3"/>
  <c r="AA41" i="12"/>
  <c r="N41" i="12"/>
  <c r="O41" i="12"/>
  <c r="O67" i="12"/>
  <c r="X41" i="12"/>
  <c r="X67" i="12"/>
  <c r="M14" i="3"/>
  <c r="S41" i="12"/>
  <c r="T41" i="12"/>
  <c r="T67" i="12"/>
  <c r="Z42" i="14"/>
  <c r="Y42" i="14"/>
  <c r="AB41" i="8"/>
  <c r="N41" i="8"/>
  <c r="O41" i="8"/>
  <c r="E16" i="3"/>
  <c r="L16" i="3"/>
  <c r="AA39" i="9"/>
  <c r="S39" i="9"/>
  <c r="T39" i="9"/>
  <c r="T65" i="9"/>
  <c r="N39" i="9"/>
  <c r="O39" i="9"/>
  <c r="O64" i="9"/>
  <c r="X39" i="9"/>
  <c r="X65" i="9"/>
  <c r="M11" i="3"/>
  <c r="Z41" i="10"/>
  <c r="Y41" i="10"/>
  <c r="E17" i="21"/>
  <c r="H17" i="21"/>
  <c r="H57" i="21"/>
  <c r="H58" i="21"/>
  <c r="H59" i="21"/>
  <c r="T17" i="21"/>
  <c r="X41" i="13"/>
  <c r="X67" i="13"/>
  <c r="M15" i="3"/>
  <c r="S41" i="13"/>
  <c r="T41" i="13"/>
  <c r="T67" i="13"/>
  <c r="AA41" i="13"/>
  <c r="N41" i="13"/>
  <c r="O41" i="13"/>
  <c r="O67" i="13"/>
  <c r="Z42" i="13"/>
  <c r="Y42" i="13"/>
  <c r="X41" i="8"/>
  <c r="T66" i="11"/>
  <c r="T67" i="8"/>
  <c r="T19" i="21"/>
  <c r="T16" i="21"/>
  <c r="T32" i="21"/>
  <c r="T20" i="21"/>
  <c r="T37" i="21"/>
  <c r="T24" i="21"/>
  <c r="T31" i="21"/>
  <c r="T26" i="21"/>
  <c r="T39" i="21"/>
  <c r="H44" i="21"/>
  <c r="H47" i="21"/>
  <c r="L17" i="3"/>
  <c r="J17" i="3"/>
  <c r="J19" i="3"/>
  <c r="T18" i="21"/>
  <c r="T30" i="21"/>
  <c r="T34" i="21"/>
  <c r="H43" i="21"/>
  <c r="O65" i="10"/>
  <c r="O66" i="13"/>
  <c r="O65" i="9"/>
  <c r="H62" i="21"/>
  <c r="H63" i="21"/>
  <c r="H64" i="21"/>
  <c r="H68" i="21"/>
  <c r="O66" i="12"/>
  <c r="O66" i="8"/>
  <c r="O67" i="8"/>
  <c r="T25" i="21"/>
  <c r="T14" i="21"/>
  <c r="T15" i="21"/>
  <c r="T36" i="21"/>
  <c r="T35" i="21"/>
  <c r="T22" i="21"/>
  <c r="T29" i="21"/>
  <c r="T12" i="21"/>
  <c r="T13" i="21"/>
  <c r="H69" i="21"/>
  <c r="T33" i="21"/>
  <c r="T23" i="21"/>
  <c r="T21" i="21"/>
  <c r="H51" i="21"/>
  <c r="H52" i="21"/>
  <c r="H53" i="21"/>
  <c r="T28" i="21"/>
  <c r="T27" i="21"/>
  <c r="AD37" i="14"/>
  <c r="Q61" i="14"/>
  <c r="V61" i="14"/>
  <c r="AD61" i="14"/>
  <c r="AC61" i="14"/>
  <c r="R61" i="14"/>
  <c r="W61" i="14"/>
  <c r="AD47" i="11"/>
  <c r="R60" i="11"/>
  <c r="W60" i="11"/>
  <c r="Q60" i="11"/>
  <c r="V60" i="11"/>
  <c r="AD60" i="11"/>
  <c r="AC60" i="11"/>
  <c r="O12" i="3"/>
  <c r="O11" i="3"/>
  <c r="Q59" i="9"/>
  <c r="V59" i="9"/>
  <c r="R59" i="9"/>
  <c r="W59" i="9"/>
  <c r="AC59" i="9"/>
  <c r="AD59" i="9"/>
  <c r="AD56" i="11"/>
  <c r="H19" i="3"/>
  <c r="AD64" i="14"/>
  <c r="AC34" i="11"/>
  <c r="AD63" i="11"/>
  <c r="Q26" i="11"/>
  <c r="V26" i="11"/>
  <c r="Q40" i="11"/>
  <c r="V40" i="11"/>
  <c r="AC48" i="11"/>
  <c r="AD61" i="11"/>
  <c r="AD36" i="11"/>
  <c r="R51" i="11"/>
  <c r="W51" i="11"/>
  <c r="R61" i="11"/>
  <c r="W61" i="11"/>
  <c r="R63" i="11"/>
  <c r="W63" i="11"/>
  <c r="J13" i="3"/>
  <c r="AC45" i="11"/>
  <c r="AD34" i="11"/>
  <c r="AD40" i="11"/>
  <c r="R48" i="11"/>
  <c r="W48" i="11"/>
  <c r="R38" i="11"/>
  <c r="W38" i="11"/>
  <c r="Q43" i="11"/>
  <c r="V43" i="11"/>
  <c r="Q41" i="11"/>
  <c r="V41" i="11"/>
  <c r="R32" i="11"/>
  <c r="W32" i="11"/>
  <c r="AC29" i="11"/>
  <c r="Q46" i="11"/>
  <c r="V46" i="11"/>
  <c r="Q58" i="11"/>
  <c r="V58" i="11"/>
  <c r="Q27" i="11"/>
  <c r="V27" i="11"/>
  <c r="AC39" i="11"/>
  <c r="Q49" i="11"/>
  <c r="V49" i="11"/>
  <c r="AC30" i="11"/>
  <c r="Q55" i="11"/>
  <c r="V55" i="11"/>
  <c r="AC58" i="11"/>
  <c r="R54" i="11"/>
  <c r="W54" i="11"/>
  <c r="AD31" i="11"/>
  <c r="R35" i="11"/>
  <c r="W35" i="11"/>
  <c r="AC32" i="11"/>
  <c r="AC38" i="11"/>
  <c r="AC59" i="11"/>
  <c r="AC61" i="11"/>
  <c r="AD51" i="11"/>
  <c r="R40" i="11"/>
  <c r="W40" i="11"/>
  <c r="Q32" i="11"/>
  <c r="V32" i="11"/>
  <c r="AC37" i="11"/>
  <c r="Q53" i="11"/>
  <c r="V53" i="11"/>
  <c r="R30" i="11"/>
  <c r="W30" i="11"/>
  <c r="AC43" i="11"/>
  <c r="AC53" i="11"/>
  <c r="R43" i="11"/>
  <c r="W43" i="11"/>
  <c r="Q35" i="11"/>
  <c r="V35" i="11"/>
  <c r="AC40" i="11"/>
  <c r="AC56" i="11"/>
  <c r="R37" i="11"/>
  <c r="W37" i="11"/>
  <c r="AC51" i="11"/>
  <c r="AD43" i="11"/>
  <c r="AD33" i="11"/>
  <c r="R56" i="11"/>
  <c r="W56" i="11"/>
  <c r="Q48" i="11"/>
  <c r="V48" i="11"/>
  <c r="AC50" i="11"/>
  <c r="AD57" i="11"/>
  <c r="R46" i="11"/>
  <c r="W46" i="11"/>
  <c r="Q38" i="11"/>
  <c r="V38" i="11"/>
  <c r="AD29" i="11"/>
  <c r="Q50" i="11"/>
  <c r="V50" i="11"/>
  <c r="R27" i="11"/>
  <c r="W27" i="11"/>
  <c r="AD54" i="11"/>
  <c r="AD41" i="11"/>
  <c r="AC27" i="11"/>
  <c r="R49" i="11"/>
  <c r="W49" i="11"/>
  <c r="AD52" i="11"/>
  <c r="R45" i="11"/>
  <c r="W45" i="11"/>
  <c r="R59" i="11"/>
  <c r="W59" i="11"/>
  <c r="AC35" i="14"/>
  <c r="AD35" i="11"/>
  <c r="AD44" i="11"/>
  <c r="Q61" i="11"/>
  <c r="V61" i="11"/>
  <c r="R52" i="11"/>
  <c r="W52" i="11"/>
  <c r="R36" i="11"/>
  <c r="W36" i="11"/>
  <c r="Q44" i="11"/>
  <c r="V44" i="11"/>
  <c r="Q28" i="11"/>
  <c r="V28" i="11"/>
  <c r="AC49" i="11"/>
  <c r="AC33" i="11"/>
  <c r="AD53" i="11"/>
  <c r="R58" i="11"/>
  <c r="W58" i="11"/>
  <c r="R42" i="11"/>
  <c r="W42" i="11"/>
  <c r="R26" i="11"/>
  <c r="W26" i="11"/>
  <c r="Q30" i="11"/>
  <c r="V30" i="11"/>
  <c r="AC35" i="11"/>
  <c r="AD42" i="11"/>
  <c r="Q63" i="11"/>
  <c r="V63" i="11"/>
  <c r="I13" i="3"/>
  <c r="R55" i="11"/>
  <c r="W55" i="11"/>
  <c r="R39" i="11"/>
  <c r="W39" i="11"/>
  <c r="Q47" i="11"/>
  <c r="V47" i="11"/>
  <c r="Q31" i="11"/>
  <c r="V31" i="11"/>
  <c r="AD50" i="11"/>
  <c r="AC36" i="11"/>
  <c r="AD48" i="11"/>
  <c r="AC47" i="11"/>
  <c r="AD30" i="11"/>
  <c r="Q29" i="11"/>
  <c r="V29" i="11"/>
  <c r="R33" i="11"/>
  <c r="W33" i="11"/>
  <c r="R57" i="11"/>
  <c r="W57" i="11"/>
  <c r="AC26" i="11"/>
  <c r="AD46" i="11"/>
  <c r="R29" i="11"/>
  <c r="W29" i="11"/>
  <c r="AD59" i="11"/>
  <c r="AD27" i="11"/>
  <c r="AD28" i="11"/>
  <c r="AD49" i="11"/>
  <c r="AD55" i="11"/>
  <c r="Q51" i="11"/>
  <c r="V51" i="11"/>
  <c r="R44" i="11"/>
  <c r="W44" i="11"/>
  <c r="R28" i="11"/>
  <c r="W28" i="11"/>
  <c r="Q36" i="11"/>
  <c r="V36" i="11"/>
  <c r="AC54" i="11"/>
  <c r="AC41" i="11"/>
  <c r="AD32" i="11"/>
  <c r="Q57" i="11"/>
  <c r="V57" i="11"/>
  <c r="R50" i="11"/>
  <c r="W50" i="11"/>
  <c r="R34" i="11"/>
  <c r="W34" i="11"/>
  <c r="Q42" i="11"/>
  <c r="V42" i="11"/>
  <c r="AC52" i="11"/>
  <c r="AD45" i="11"/>
  <c r="AC57" i="11"/>
  <c r="Q54" i="11"/>
  <c r="V54" i="11"/>
  <c r="R47" i="11"/>
  <c r="W47" i="11"/>
  <c r="R31" i="11"/>
  <c r="W31" i="11"/>
  <c r="Q39" i="11"/>
  <c r="V39" i="11"/>
  <c r="AD58" i="11"/>
  <c r="AC44" i="11"/>
  <c r="AC28" i="11"/>
  <c r="Q34" i="11"/>
  <c r="V34" i="11"/>
  <c r="AC31" i="11"/>
  <c r="R53" i="11"/>
  <c r="W53" i="11"/>
  <c r="AD37" i="11"/>
  <c r="AD38" i="11"/>
  <c r="Q33" i="11"/>
  <c r="V33" i="11"/>
  <c r="AC46" i="11"/>
  <c r="AC55" i="11"/>
  <c r="AD39" i="11"/>
  <c r="R39" i="14"/>
  <c r="W39" i="14"/>
  <c r="R64" i="14"/>
  <c r="L73" i="14"/>
  <c r="AC54" i="14"/>
  <c r="Q55" i="14"/>
  <c r="V55" i="14"/>
  <c r="Q45" i="11"/>
  <c r="V45" i="11"/>
  <c r="Q56" i="11"/>
  <c r="V56" i="11"/>
  <c r="AD26" i="11"/>
  <c r="R41" i="11"/>
  <c r="W41" i="11"/>
  <c r="AC42" i="11"/>
  <c r="Q52" i="11"/>
  <c r="V52" i="11"/>
  <c r="Q37" i="11"/>
  <c r="V37" i="11"/>
  <c r="Q59" i="11"/>
  <c r="V59" i="11"/>
  <c r="AD39" i="14"/>
  <c r="Q31" i="14"/>
  <c r="V31" i="14"/>
  <c r="R62" i="14"/>
  <c r="W62" i="14"/>
  <c r="AC42" i="14"/>
  <c r="AD56" i="14"/>
  <c r="R36" i="14"/>
  <c r="W36" i="14"/>
  <c r="Q64" i="14"/>
  <c r="V64" i="14"/>
  <c r="I16" i="3"/>
  <c r="AD34" i="14"/>
  <c r="AC31" i="14"/>
  <c r="Q35" i="14"/>
  <c r="V35" i="14"/>
  <c r="R43" i="14"/>
  <c r="W43" i="14"/>
  <c r="Q59" i="14"/>
  <c r="V59" i="14"/>
  <c r="AC44" i="14"/>
  <c r="R52" i="14"/>
  <c r="W52" i="14"/>
  <c r="AD50" i="14"/>
  <c r="AC50" i="14"/>
  <c r="Q40" i="14"/>
  <c r="V40" i="14"/>
  <c r="AD30" i="14"/>
  <c r="AD40" i="14"/>
  <c r="AC27" i="14"/>
  <c r="R28" i="14"/>
  <c r="W28" i="14"/>
  <c r="Q44" i="14"/>
  <c r="V44" i="14"/>
  <c r="R47" i="14"/>
  <c r="W47" i="14"/>
  <c r="AD52" i="14"/>
  <c r="AD26" i="14"/>
  <c r="AC58" i="14"/>
  <c r="AC39" i="14"/>
  <c r="Q27" i="14"/>
  <c r="V27" i="14"/>
  <c r="R32" i="14"/>
  <c r="W32" i="14"/>
  <c r="Q48" i="14"/>
  <c r="V48" i="14"/>
  <c r="Q51" i="14"/>
  <c r="V51" i="14"/>
  <c r="R56" i="14"/>
  <c r="W56" i="14"/>
  <c r="AD60" i="14"/>
  <c r="AD59" i="14"/>
  <c r="AD45" i="14"/>
  <c r="AD33" i="14"/>
  <c r="AD29" i="14"/>
  <c r="AD55" i="14"/>
  <c r="AD48" i="14"/>
  <c r="AC57" i="14"/>
  <c r="AC53" i="14"/>
  <c r="AC38" i="14"/>
  <c r="AC30" i="14"/>
  <c r="AC26" i="14"/>
  <c r="Q32" i="14"/>
  <c r="V32" i="14"/>
  <c r="R29" i="14"/>
  <c r="W29" i="14"/>
  <c r="R33" i="14"/>
  <c r="W33" i="14"/>
  <c r="Q41" i="14"/>
  <c r="V41" i="14"/>
  <c r="Q45" i="14"/>
  <c r="V45" i="14"/>
  <c r="R40" i="14"/>
  <c r="W40" i="14"/>
  <c r="R48" i="14"/>
  <c r="W48" i="14"/>
  <c r="Q56" i="14"/>
  <c r="V56" i="14"/>
  <c r="R53" i="14"/>
  <c r="W53" i="14"/>
  <c r="AD57" i="14"/>
  <c r="AD43" i="14"/>
  <c r="AD47" i="14"/>
  <c r="AD32" i="14"/>
  <c r="AD28" i="14"/>
  <c r="AD62" i="14"/>
  <c r="AD53" i="14"/>
  <c r="AD46" i="14"/>
  <c r="AC62" i="14"/>
  <c r="AC56" i="14"/>
  <c r="AC52" i="14"/>
  <c r="AC46" i="14"/>
  <c r="AC41" i="14"/>
  <c r="AC49" i="14"/>
  <c r="AC33" i="14"/>
  <c r="AC29" i="14"/>
  <c r="AC36" i="14"/>
  <c r="Q29" i="14"/>
  <c r="V29" i="14"/>
  <c r="Q33" i="14"/>
  <c r="V33" i="14"/>
  <c r="R26" i="14"/>
  <c r="W26" i="14"/>
  <c r="R30" i="14"/>
  <c r="W30" i="14"/>
  <c r="R34" i="14"/>
  <c r="W34" i="14"/>
  <c r="Q38" i="14"/>
  <c r="V38" i="14"/>
  <c r="Q42" i="14"/>
  <c r="V42" i="14"/>
  <c r="Q46" i="14"/>
  <c r="V46" i="14"/>
  <c r="R37" i="14"/>
  <c r="W37" i="14"/>
  <c r="R41" i="14"/>
  <c r="W41" i="14"/>
  <c r="R45" i="14"/>
  <c r="W45" i="14"/>
  <c r="R49" i="14"/>
  <c r="W49" i="14"/>
  <c r="Q53" i="14"/>
  <c r="V53" i="14"/>
  <c r="Q57" i="14"/>
  <c r="V57" i="14"/>
  <c r="R50" i="14"/>
  <c r="W50" i="14"/>
  <c r="R54" i="14"/>
  <c r="W54" i="14"/>
  <c r="R58" i="14"/>
  <c r="W58" i="14"/>
  <c r="Q60" i="14"/>
  <c r="V60" i="14"/>
  <c r="AD49" i="14"/>
  <c r="AD36" i="14"/>
  <c r="AD38" i="14"/>
  <c r="AC48" i="14"/>
  <c r="AC43" i="14"/>
  <c r="AC34" i="14"/>
  <c r="Q28" i="14"/>
  <c r="V28" i="14"/>
  <c r="Q36" i="14"/>
  <c r="V36" i="14"/>
  <c r="Q37" i="14"/>
  <c r="V37" i="14"/>
  <c r="Q49" i="14"/>
  <c r="V49" i="14"/>
  <c r="R44" i="14"/>
  <c r="W44" i="14"/>
  <c r="Q52" i="14"/>
  <c r="V52" i="14"/>
  <c r="Q62" i="14"/>
  <c r="V62" i="14"/>
  <c r="R57" i="14"/>
  <c r="W57" i="14"/>
  <c r="AC60" i="14"/>
  <c r="AD54" i="14"/>
  <c r="AD41" i="14"/>
  <c r="AD35" i="14"/>
  <c r="AD31" i="14"/>
  <c r="AD27" i="14"/>
  <c r="AD58" i="14"/>
  <c r="AD51" i="14"/>
  <c r="AD44" i="14"/>
  <c r="AC59" i="14"/>
  <c r="AC55" i="14"/>
  <c r="AC51" i="14"/>
  <c r="AC45" i="14"/>
  <c r="AC40" i="14"/>
  <c r="AC47" i="14"/>
  <c r="AC32" i="14"/>
  <c r="AC28" i="14"/>
  <c r="Q26" i="14"/>
  <c r="V26" i="14"/>
  <c r="Q30" i="14"/>
  <c r="V30" i="14"/>
  <c r="Q34" i="14"/>
  <c r="V34" i="14"/>
  <c r="R27" i="14"/>
  <c r="W27" i="14"/>
  <c r="R31" i="14"/>
  <c r="W31" i="14"/>
  <c r="R35" i="14"/>
  <c r="W35" i="14"/>
  <c r="Q39" i="14"/>
  <c r="V39" i="14"/>
  <c r="Q43" i="14"/>
  <c r="V43" i="14"/>
  <c r="Q47" i="14"/>
  <c r="V47" i="14"/>
  <c r="R38" i="14"/>
  <c r="W38" i="14"/>
  <c r="R42" i="14"/>
  <c r="W42" i="14"/>
  <c r="R46" i="14"/>
  <c r="W46" i="14"/>
  <c r="Q50" i="14"/>
  <c r="V50" i="14"/>
  <c r="Q54" i="14"/>
  <c r="V54" i="14"/>
  <c r="Q58" i="14"/>
  <c r="V58" i="14"/>
  <c r="R51" i="14"/>
  <c r="W51" i="14"/>
  <c r="R55" i="14"/>
  <c r="W55" i="14"/>
  <c r="R59" i="14"/>
  <c r="W59" i="14"/>
  <c r="AC37" i="14"/>
  <c r="R60" i="14"/>
  <c r="W60" i="14"/>
  <c r="I25" i="3"/>
  <c r="I30" i="3"/>
  <c r="N30" i="3"/>
  <c r="AC61" i="10"/>
  <c r="AC52" i="10"/>
  <c r="AD41" i="10"/>
  <c r="AD42" i="14"/>
  <c r="AC63" i="10"/>
  <c r="AC38" i="10"/>
  <c r="Q32" i="10"/>
  <c r="V32" i="10"/>
  <c r="Q45" i="10"/>
  <c r="V45" i="10"/>
  <c r="AD53" i="10"/>
  <c r="R29" i="10"/>
  <c r="W29" i="10"/>
  <c r="Q46" i="10"/>
  <c r="V46" i="10"/>
  <c r="AD63" i="10"/>
  <c r="Q63" i="10"/>
  <c r="V63" i="10"/>
  <c r="I12" i="3"/>
  <c r="AC41" i="10"/>
  <c r="AC27" i="10"/>
  <c r="AD29" i="10"/>
  <c r="R42" i="10"/>
  <c r="W42" i="10"/>
  <c r="Q51" i="10"/>
  <c r="V51" i="10"/>
  <c r="AC64" i="12"/>
  <c r="Y41" i="8"/>
  <c r="X67" i="8"/>
  <c r="M10" i="3"/>
  <c r="O16" i="3"/>
  <c r="O15" i="3"/>
  <c r="G57" i="21"/>
  <c r="G62" i="21"/>
  <c r="H48" i="21"/>
  <c r="H46" i="21"/>
  <c r="K12" i="3"/>
  <c r="K17" i="3"/>
  <c r="Q60" i="10"/>
  <c r="V60" i="10"/>
  <c r="Q61" i="10"/>
  <c r="V61" i="10"/>
  <c r="AC59" i="10"/>
  <c r="R45" i="10"/>
  <c r="W45" i="10"/>
  <c r="AD37" i="10"/>
  <c r="AC42" i="10"/>
  <c r="AC26" i="10"/>
  <c r="Q42" i="10"/>
  <c r="V42" i="10"/>
  <c r="R35" i="10"/>
  <c r="W35" i="10"/>
  <c r="AC30" i="10"/>
  <c r="Q31" i="10"/>
  <c r="V31" i="10"/>
  <c r="Q38" i="10"/>
  <c r="V38" i="10"/>
  <c r="AC51" i="10"/>
  <c r="AD52" i="10"/>
  <c r="R39" i="10"/>
  <c r="W39" i="10"/>
  <c r="Q58" i="10"/>
  <c r="V58" i="10"/>
  <c r="Q50" i="10"/>
  <c r="V50" i="10"/>
  <c r="AD34" i="10"/>
  <c r="AD45" i="10"/>
  <c r="AD30" i="10"/>
  <c r="R33" i="10"/>
  <c r="W33" i="10"/>
  <c r="R57" i="10"/>
  <c r="W57" i="10"/>
  <c r="AC55" i="10"/>
  <c r="AC33" i="10"/>
  <c r="AD54" i="10"/>
  <c r="Q28" i="10"/>
  <c r="V28" i="10"/>
  <c r="R37" i="10"/>
  <c r="W37" i="10"/>
  <c r="R61" i="10"/>
  <c r="W61" i="10"/>
  <c r="Q57" i="10"/>
  <c r="V57" i="10"/>
  <c r="AC53" i="10"/>
  <c r="AC48" i="10"/>
  <c r="AD55" i="10"/>
  <c r="AD48" i="10"/>
  <c r="Q26" i="10"/>
  <c r="V26" i="10"/>
  <c r="R32" i="10"/>
  <c r="W32" i="10"/>
  <c r="R46" i="10"/>
  <c r="W46" i="10"/>
  <c r="Q39" i="10"/>
  <c r="V39" i="10"/>
  <c r="Q55" i="10"/>
  <c r="V55" i="10"/>
  <c r="R59" i="10"/>
  <c r="W59" i="10"/>
  <c r="R26" i="10"/>
  <c r="W26" i="10"/>
  <c r="AD61" i="10"/>
  <c r="AC35" i="10"/>
  <c r="AD26" i="10"/>
  <c r="AD42" i="10"/>
  <c r="AD27" i="10"/>
  <c r="Q54" i="10"/>
  <c r="V54" i="10"/>
  <c r="AD49" i="10"/>
  <c r="R31" i="10"/>
  <c r="W31" i="10"/>
  <c r="Q49" i="10"/>
  <c r="V49" i="10"/>
  <c r="AC54" i="10"/>
  <c r="AD32" i="10"/>
  <c r="R49" i="10"/>
  <c r="W49" i="10"/>
  <c r="AC50" i="10"/>
  <c r="AD58" i="10"/>
  <c r="Q27" i="10"/>
  <c r="V27" i="10"/>
  <c r="R36" i="10"/>
  <c r="W36" i="10"/>
  <c r="Q40" i="10"/>
  <c r="V40" i="10"/>
  <c r="AC43" i="10"/>
  <c r="AC28" i="10"/>
  <c r="AD44" i="10"/>
  <c r="Q33" i="10"/>
  <c r="V33" i="10"/>
  <c r="R43" i="10"/>
  <c r="W43" i="10"/>
  <c r="Q41" i="10"/>
  <c r="V41" i="10"/>
  <c r="AC45" i="10"/>
  <c r="AC40" i="10"/>
  <c r="AD47" i="10"/>
  <c r="AD40" i="10"/>
  <c r="Q30" i="10"/>
  <c r="V30" i="10"/>
  <c r="Q36" i="10"/>
  <c r="V36" i="10"/>
  <c r="R50" i="10"/>
  <c r="W50" i="10"/>
  <c r="Q43" i="10"/>
  <c r="V43" i="10"/>
  <c r="Q59" i="10"/>
  <c r="V59" i="10"/>
  <c r="AD38" i="10"/>
  <c r="Q44" i="10"/>
  <c r="V44" i="10"/>
  <c r="R55" i="10"/>
  <c r="W55" i="10"/>
  <c r="R56" i="10"/>
  <c r="W56" i="10"/>
  <c r="Q35" i="10"/>
  <c r="V35" i="10"/>
  <c r="Q53" i="10"/>
  <c r="V53" i="10"/>
  <c r="AC49" i="10"/>
  <c r="AD50" i="10"/>
  <c r="R40" i="10"/>
  <c r="W40" i="10"/>
  <c r="AC32" i="10"/>
  <c r="Q29" i="10"/>
  <c r="V29" i="10"/>
  <c r="Q37" i="10"/>
  <c r="V37" i="10"/>
  <c r="AD57" i="10"/>
  <c r="AC57" i="10"/>
  <c r="Q47" i="10"/>
  <c r="V47" i="10"/>
  <c r="R38" i="10"/>
  <c r="W38" i="10"/>
  <c r="AD33" i="10"/>
  <c r="AC31" i="10"/>
  <c r="R53" i="10"/>
  <c r="W53" i="10"/>
  <c r="AD28" i="10"/>
  <c r="AC46" i="10"/>
  <c r="R52" i="10"/>
  <c r="W52" i="10"/>
  <c r="AD35" i="10"/>
  <c r="AC47" i="10"/>
  <c r="Q48" i="10"/>
  <c r="V48" i="10"/>
  <c r="AD36" i="10"/>
  <c r="AC44" i="10"/>
  <c r="R58" i="10"/>
  <c r="W58" i="10"/>
  <c r="R28" i="10"/>
  <c r="W28" i="10"/>
  <c r="AD56" i="10"/>
  <c r="AC56" i="10"/>
  <c r="R48" i="10"/>
  <c r="W48" i="10"/>
  <c r="AC34" i="10"/>
  <c r="AC58" i="10"/>
  <c r="R41" i="10"/>
  <c r="W41" i="10"/>
  <c r="AD46" i="10"/>
  <c r="R30" i="10"/>
  <c r="W30" i="10"/>
  <c r="R51" i="10"/>
  <c r="W51" i="10"/>
  <c r="R44" i="10"/>
  <c r="W44" i="10"/>
  <c r="AC36" i="10"/>
  <c r="R54" i="10"/>
  <c r="W54" i="10"/>
  <c r="Q34" i="10"/>
  <c r="V34" i="10"/>
  <c r="AD39" i="10"/>
  <c r="AC37" i="10"/>
  <c r="Q52" i="10"/>
  <c r="V52" i="10"/>
  <c r="R34" i="10"/>
  <c r="W34" i="10"/>
  <c r="AD43" i="10"/>
  <c r="Q56" i="10"/>
  <c r="V56" i="10"/>
  <c r="R27" i="10"/>
  <c r="W27" i="10"/>
  <c r="AC29" i="10"/>
  <c r="R47" i="10"/>
  <c r="W47" i="10"/>
  <c r="AD51" i="10"/>
  <c r="AD31" i="10"/>
  <c r="AC39" i="10"/>
  <c r="AD59" i="10"/>
  <c r="R60" i="10"/>
  <c r="W60" i="10"/>
  <c r="AD60" i="10"/>
  <c r="AC60" i="10"/>
  <c r="W64" i="14"/>
  <c r="J16" i="3"/>
  <c r="Q61" i="13"/>
  <c r="V61" i="13"/>
  <c r="AD61" i="13"/>
  <c r="R61" i="13"/>
  <c r="W61" i="13"/>
  <c r="AC61" i="13"/>
  <c r="AC60" i="12"/>
  <c r="R61" i="12"/>
  <c r="W61" i="12"/>
  <c r="Q61" i="12"/>
  <c r="V61" i="12"/>
  <c r="AD61" i="12"/>
  <c r="AC61" i="12"/>
  <c r="AE61" i="8"/>
  <c r="AD61" i="8"/>
  <c r="Q61" i="8"/>
  <c r="V61" i="8"/>
  <c r="R61" i="8"/>
  <c r="W61" i="8"/>
  <c r="I26" i="3"/>
  <c r="AC56" i="12"/>
  <c r="R27" i="12"/>
  <c r="W27" i="12"/>
  <c r="AC29" i="12"/>
  <c r="Q30" i="12"/>
  <c r="V30" i="12"/>
  <c r="Q59" i="12"/>
  <c r="V59" i="12"/>
  <c r="R59" i="12"/>
  <c r="W59" i="12"/>
  <c r="AD41" i="12"/>
  <c r="Q46" i="12"/>
  <c r="V46" i="12"/>
  <c r="R43" i="12"/>
  <c r="W43" i="12"/>
  <c r="AC40" i="12"/>
  <c r="Q37" i="12"/>
  <c r="V37" i="12"/>
  <c r="R46" i="12"/>
  <c r="W46" i="12"/>
  <c r="AC51" i="12"/>
  <c r="AD50" i="12"/>
  <c r="Q38" i="12"/>
  <c r="V38" i="12"/>
  <c r="R35" i="12"/>
  <c r="W35" i="12"/>
  <c r="AC32" i="12"/>
  <c r="Q27" i="12"/>
  <c r="V27" i="12"/>
  <c r="R34" i="12"/>
  <c r="W34" i="12"/>
  <c r="AC41" i="12"/>
  <c r="AD29" i="12"/>
  <c r="Q54" i="12"/>
  <c r="V54" i="12"/>
  <c r="R51" i="12"/>
  <c r="W51" i="12"/>
  <c r="AC48" i="12"/>
  <c r="Q49" i="12"/>
  <c r="V49" i="12"/>
  <c r="R56" i="12"/>
  <c r="W56" i="12"/>
  <c r="AD57" i="12"/>
  <c r="AD28" i="12"/>
  <c r="Q32" i="12"/>
  <c r="V32" i="12"/>
  <c r="Q40" i="12"/>
  <c r="V40" i="12"/>
  <c r="Q48" i="12"/>
  <c r="V48" i="12"/>
  <c r="Q56" i="12"/>
  <c r="V56" i="12"/>
  <c r="R29" i="12"/>
  <c r="W29" i="12"/>
  <c r="R37" i="12"/>
  <c r="W37" i="12"/>
  <c r="R45" i="12"/>
  <c r="W45" i="12"/>
  <c r="R53" i="12"/>
  <c r="W53" i="12"/>
  <c r="R64" i="12"/>
  <c r="W64" i="12"/>
  <c r="J14" i="3"/>
  <c r="AC34" i="12"/>
  <c r="AC42" i="12"/>
  <c r="AC50" i="12"/>
  <c r="AC58" i="12"/>
  <c r="Q29" i="12"/>
  <c r="V29" i="12"/>
  <c r="Q41" i="12"/>
  <c r="V41" i="12"/>
  <c r="Q51" i="12"/>
  <c r="V51" i="12"/>
  <c r="R26" i="12"/>
  <c r="W26" i="12"/>
  <c r="R38" i="12"/>
  <c r="W38" i="12"/>
  <c r="R48" i="12"/>
  <c r="W48" i="12"/>
  <c r="R58" i="12"/>
  <c r="W58" i="12"/>
  <c r="AC33" i="12"/>
  <c r="AC43" i="12"/>
  <c r="AC53" i="12"/>
  <c r="AD53" i="12"/>
  <c r="AD39" i="12"/>
  <c r="AD62" i="12"/>
  <c r="AD44" i="12"/>
  <c r="AC26" i="12"/>
  <c r="Q26" i="12"/>
  <c r="V26" i="12"/>
  <c r="Q34" i="12"/>
  <c r="V34" i="12"/>
  <c r="Q42" i="12"/>
  <c r="V42" i="12"/>
  <c r="Q50" i="12"/>
  <c r="V50" i="12"/>
  <c r="Q58" i="12"/>
  <c r="V58" i="12"/>
  <c r="R31" i="12"/>
  <c r="W31" i="12"/>
  <c r="R39" i="12"/>
  <c r="W39" i="12"/>
  <c r="R47" i="12"/>
  <c r="W47" i="12"/>
  <c r="R55" i="12"/>
  <c r="W55" i="12"/>
  <c r="AC28" i="12"/>
  <c r="AC36" i="12"/>
  <c r="AC44" i="12"/>
  <c r="AC52" i="12"/>
  <c r="AC62" i="12"/>
  <c r="Q33" i="12"/>
  <c r="V33" i="12"/>
  <c r="Q43" i="12"/>
  <c r="V43" i="12"/>
  <c r="Q53" i="12"/>
  <c r="V53" i="12"/>
  <c r="R30" i="12"/>
  <c r="W30" i="12"/>
  <c r="R40" i="12"/>
  <c r="W40" i="12"/>
  <c r="R50" i="12"/>
  <c r="W50" i="12"/>
  <c r="Q64" i="12"/>
  <c r="V64" i="12"/>
  <c r="I14" i="3"/>
  <c r="AC35" i="12"/>
  <c r="AC45" i="12"/>
  <c r="AC57" i="12"/>
  <c r="AD49" i="12"/>
  <c r="AD37" i="12"/>
  <c r="AD56" i="12"/>
  <c r="AD42" i="12"/>
  <c r="Q28" i="12"/>
  <c r="V28" i="12"/>
  <c r="Q36" i="12"/>
  <c r="V36" i="12"/>
  <c r="Q44" i="12"/>
  <c r="V44" i="12"/>
  <c r="Q52" i="12"/>
  <c r="V52" i="12"/>
  <c r="Q62" i="12"/>
  <c r="V62" i="12"/>
  <c r="R33" i="12"/>
  <c r="W33" i="12"/>
  <c r="R41" i="12"/>
  <c r="W41" i="12"/>
  <c r="R49" i="12"/>
  <c r="W49" i="12"/>
  <c r="R57" i="12"/>
  <c r="W57" i="12"/>
  <c r="AC30" i="12"/>
  <c r="AC38" i="12"/>
  <c r="AC46" i="12"/>
  <c r="AC54" i="12"/>
  <c r="AD26" i="12"/>
  <c r="Q35" i="12"/>
  <c r="V35" i="12"/>
  <c r="Q45" i="12"/>
  <c r="V45" i="12"/>
  <c r="Q57" i="12"/>
  <c r="V57" i="12"/>
  <c r="R32" i="12"/>
  <c r="W32" i="12"/>
  <c r="R42" i="12"/>
  <c r="W42" i="12"/>
  <c r="R54" i="12"/>
  <c r="W54" i="12"/>
  <c r="AC27" i="12"/>
  <c r="AC37" i="12"/>
  <c r="AC49" i="12"/>
  <c r="AC59" i="12"/>
  <c r="AD47" i="12"/>
  <c r="AD31" i="12"/>
  <c r="AD52" i="12"/>
  <c r="AD40" i="12"/>
  <c r="Q31" i="12"/>
  <c r="V31" i="12"/>
  <c r="Q39" i="12"/>
  <c r="V39" i="12"/>
  <c r="Q47" i="12"/>
  <c r="V47" i="12"/>
  <c r="Q55" i="12"/>
  <c r="V55" i="12"/>
  <c r="R28" i="12"/>
  <c r="W28" i="12"/>
  <c r="R36" i="12"/>
  <c r="W36" i="12"/>
  <c r="R44" i="12"/>
  <c r="W44" i="12"/>
  <c r="R52" i="12"/>
  <c r="W52" i="12"/>
  <c r="R62" i="12"/>
  <c r="W62" i="12"/>
  <c r="AC31" i="12"/>
  <c r="AC39" i="12"/>
  <c r="AC47" i="12"/>
  <c r="AC55" i="12"/>
  <c r="AD55" i="12"/>
  <c r="AD45" i="12"/>
  <c r="AD33" i="12"/>
  <c r="AD58" i="12"/>
  <c r="AD48" i="12"/>
  <c r="AD36" i="12"/>
  <c r="AD34" i="12"/>
  <c r="AD32" i="12"/>
  <c r="Q60" i="12"/>
  <c r="V60" i="12"/>
  <c r="R60" i="12"/>
  <c r="W60" i="12"/>
  <c r="AD60" i="12"/>
  <c r="AD59" i="12"/>
  <c r="AD51" i="12"/>
  <c r="AD43" i="12"/>
  <c r="AD35" i="12"/>
  <c r="AD27" i="12"/>
  <c r="AD54" i="12"/>
  <c r="AD46" i="12"/>
  <c r="AD38" i="12"/>
  <c r="AD30" i="12"/>
  <c r="R60" i="13"/>
  <c r="W60" i="13"/>
  <c r="Q60" i="13"/>
  <c r="V60" i="13"/>
  <c r="AD60" i="13"/>
  <c r="AC60" i="13"/>
  <c r="R58" i="9"/>
  <c r="W58" i="9"/>
  <c r="Q58" i="9"/>
  <c r="V58" i="9"/>
  <c r="AC58" i="9"/>
  <c r="AD58" i="9"/>
  <c r="AE60" i="8"/>
  <c r="AD60" i="8"/>
  <c r="Q60" i="8"/>
  <c r="V60" i="8"/>
  <c r="R60" i="8"/>
  <c r="W60" i="8"/>
  <c r="G58" i="21"/>
  <c r="G60" i="21"/>
  <c r="H60" i="21"/>
  <c r="G63" i="21"/>
  <c r="G65" i="21"/>
  <c r="I29" i="3"/>
  <c r="AD64" i="12"/>
  <c r="Q62" i="8"/>
  <c r="V62" i="8"/>
  <c r="Q58" i="8"/>
  <c r="V58" i="8"/>
  <c r="Q56" i="8"/>
  <c r="V56" i="8"/>
  <c r="Q54" i="8"/>
  <c r="V54" i="8"/>
  <c r="Q52" i="8"/>
  <c r="V52" i="8"/>
  <c r="Q64" i="8"/>
  <c r="V64" i="8"/>
  <c r="I10" i="3"/>
  <c r="R57" i="8"/>
  <c r="W57" i="8"/>
  <c r="R53" i="8"/>
  <c r="W53" i="8"/>
  <c r="Q50" i="8"/>
  <c r="V50" i="8"/>
  <c r="Q48" i="8"/>
  <c r="V48" i="8"/>
  <c r="Q46" i="8"/>
  <c r="V46" i="8"/>
  <c r="Q44" i="8"/>
  <c r="V44" i="8"/>
  <c r="Q42" i="8"/>
  <c r="V42" i="8"/>
  <c r="Q40" i="8"/>
  <c r="V40" i="8"/>
  <c r="Q38" i="8"/>
  <c r="V38" i="8"/>
  <c r="Q36" i="8"/>
  <c r="V36" i="8"/>
  <c r="Q34" i="8"/>
  <c r="V34" i="8"/>
  <c r="Q32" i="8"/>
  <c r="V32" i="8"/>
  <c r="Q30" i="8"/>
  <c r="V30" i="8"/>
  <c r="Q28" i="8"/>
  <c r="V28" i="8"/>
  <c r="Q26" i="8"/>
  <c r="V26" i="8"/>
  <c r="R62" i="8"/>
  <c r="W62" i="8"/>
  <c r="R58" i="8"/>
  <c r="W58" i="8"/>
  <c r="R56" i="8"/>
  <c r="W56" i="8"/>
  <c r="R54" i="8"/>
  <c r="W54" i="8"/>
  <c r="R52" i="8"/>
  <c r="W52" i="8"/>
  <c r="R50" i="8"/>
  <c r="W50" i="8"/>
  <c r="R48" i="8"/>
  <c r="W48" i="8"/>
  <c r="R46" i="8"/>
  <c r="W46" i="8"/>
  <c r="R44" i="8"/>
  <c r="W44" i="8"/>
  <c r="R42" i="8"/>
  <c r="W42" i="8"/>
  <c r="R40" i="8"/>
  <c r="W40" i="8"/>
  <c r="R38" i="8"/>
  <c r="W38" i="8"/>
  <c r="R36" i="8"/>
  <c r="W36" i="8"/>
  <c r="R34" i="8"/>
  <c r="W34" i="8"/>
  <c r="R32" i="8"/>
  <c r="W32" i="8"/>
  <c r="R30" i="8"/>
  <c r="W30" i="8"/>
  <c r="R28" i="8"/>
  <c r="W28" i="8"/>
  <c r="R26" i="8"/>
  <c r="W26" i="8"/>
  <c r="R59" i="8"/>
  <c r="W59" i="8"/>
  <c r="R55" i="8"/>
  <c r="W55" i="8"/>
  <c r="R51" i="8"/>
  <c r="W51" i="8"/>
  <c r="R49" i="8"/>
  <c r="W49" i="8"/>
  <c r="R47" i="8"/>
  <c r="W47" i="8"/>
  <c r="R45" i="8"/>
  <c r="W45" i="8"/>
  <c r="R43" i="8"/>
  <c r="W43" i="8"/>
  <c r="R41" i="8"/>
  <c r="W41" i="8"/>
  <c r="R39" i="8"/>
  <c r="W39" i="8"/>
  <c r="R37" i="8"/>
  <c r="W37" i="8"/>
  <c r="R35" i="8"/>
  <c r="W35" i="8"/>
  <c r="R33" i="8"/>
  <c r="W33" i="8"/>
  <c r="R31" i="8"/>
  <c r="W31" i="8"/>
  <c r="R29" i="8"/>
  <c r="W29" i="8"/>
  <c r="R27" i="8"/>
  <c r="W27" i="8"/>
  <c r="R64" i="8"/>
  <c r="W64" i="8"/>
  <c r="J10" i="3"/>
  <c r="Q59" i="8"/>
  <c r="V59" i="8"/>
  <c r="Q57" i="8"/>
  <c r="V57" i="8"/>
  <c r="Q55" i="8"/>
  <c r="V55" i="8"/>
  <c r="Q53" i="8"/>
  <c r="V53" i="8"/>
  <c r="Q51" i="8"/>
  <c r="V51" i="8"/>
  <c r="Q49" i="8"/>
  <c r="V49" i="8"/>
  <c r="Q47" i="8"/>
  <c r="V47" i="8"/>
  <c r="Q45" i="8"/>
  <c r="V45" i="8"/>
  <c r="Q43" i="8"/>
  <c r="V43" i="8"/>
  <c r="Q41" i="8"/>
  <c r="V41" i="8"/>
  <c r="Q39" i="8"/>
  <c r="V39" i="8"/>
  <c r="Q37" i="8"/>
  <c r="V37" i="8"/>
  <c r="Q35" i="8"/>
  <c r="V35" i="8"/>
  <c r="Q33" i="8"/>
  <c r="V33" i="8"/>
  <c r="Q31" i="8"/>
  <c r="V31" i="8"/>
  <c r="Q29" i="8"/>
  <c r="V29" i="8"/>
  <c r="Q27" i="8"/>
  <c r="V27" i="8"/>
  <c r="AD56" i="13"/>
  <c r="AD54" i="13"/>
  <c r="AD52" i="13"/>
  <c r="AD50" i="13"/>
  <c r="AD48" i="13"/>
  <c r="AC56" i="13"/>
  <c r="AC54" i="13"/>
  <c r="AC52" i="13"/>
  <c r="AC50" i="13"/>
  <c r="AC48" i="13"/>
  <c r="R64" i="13"/>
  <c r="W64" i="13"/>
  <c r="J15" i="3"/>
  <c r="Q59" i="13"/>
  <c r="V59" i="13"/>
  <c r="Q57" i="13"/>
  <c r="V57" i="13"/>
  <c r="Q55" i="13"/>
  <c r="V55" i="13"/>
  <c r="Q53" i="13"/>
  <c r="V53" i="13"/>
  <c r="Q51" i="13"/>
  <c r="V51" i="13"/>
  <c r="Q49" i="13"/>
  <c r="V49" i="13"/>
  <c r="R62" i="13"/>
  <c r="W62" i="13"/>
  <c r="R58" i="13"/>
  <c r="W58" i="13"/>
  <c r="R56" i="13"/>
  <c r="W56" i="13"/>
  <c r="R54" i="13"/>
  <c r="W54" i="13"/>
  <c r="R52" i="13"/>
  <c r="W52" i="13"/>
  <c r="R50" i="13"/>
  <c r="W50" i="13"/>
  <c r="R48" i="13"/>
  <c r="W48" i="13"/>
  <c r="R46" i="13"/>
  <c r="W46" i="13"/>
  <c r="R44" i="13"/>
  <c r="W44" i="13"/>
  <c r="R42" i="13"/>
  <c r="W42" i="13"/>
  <c r="R40" i="13"/>
  <c r="W40" i="13"/>
  <c r="R38" i="13"/>
  <c r="W38" i="13"/>
  <c r="R36" i="13"/>
  <c r="W36" i="13"/>
  <c r="R34" i="13"/>
  <c r="W34" i="13"/>
  <c r="R32" i="13"/>
  <c r="W32" i="13"/>
  <c r="R30" i="13"/>
  <c r="W30" i="13"/>
  <c r="R28" i="13"/>
  <c r="W28" i="13"/>
  <c r="R26" i="13"/>
  <c r="W26" i="13"/>
  <c r="Q47" i="13"/>
  <c r="V47" i="13"/>
  <c r="Q45" i="13"/>
  <c r="V45" i="13"/>
  <c r="Q43" i="13"/>
  <c r="V43" i="13"/>
  <c r="Q41" i="13"/>
  <c r="V41" i="13"/>
  <c r="Q39" i="13"/>
  <c r="V39" i="13"/>
  <c r="Q37" i="13"/>
  <c r="V37" i="13"/>
  <c r="Q35" i="13"/>
  <c r="V35" i="13"/>
  <c r="Q33" i="13"/>
  <c r="V33" i="13"/>
  <c r="Q31" i="13"/>
  <c r="V31" i="13"/>
  <c r="Q29" i="13"/>
  <c r="V29" i="13"/>
  <c r="Q27" i="13"/>
  <c r="V27" i="13"/>
  <c r="AD26" i="13"/>
  <c r="AD28" i="13"/>
  <c r="AD30" i="13"/>
  <c r="AD32" i="13"/>
  <c r="AD34" i="13"/>
  <c r="AD36" i="13"/>
  <c r="AD38" i="13"/>
  <c r="AD42" i="13"/>
  <c r="AD46" i="13"/>
  <c r="AD41" i="13"/>
  <c r="AD45" i="13"/>
  <c r="AD57" i="13"/>
  <c r="AD58" i="13"/>
  <c r="AC26" i="13"/>
  <c r="AC28" i="13"/>
  <c r="AC30" i="13"/>
  <c r="AC32" i="13"/>
  <c r="AC34" i="13"/>
  <c r="AC36" i="13"/>
  <c r="AC38" i="13"/>
  <c r="AC42" i="13"/>
  <c r="AC46" i="13"/>
  <c r="AC41" i="13"/>
  <c r="AC45" i="13"/>
  <c r="AC57" i="13"/>
  <c r="AC58" i="13"/>
  <c r="AD49" i="13"/>
  <c r="AD53" i="13"/>
  <c r="Q62" i="13"/>
  <c r="V62" i="13"/>
  <c r="Q58" i="13"/>
  <c r="V58" i="13"/>
  <c r="Q56" i="13"/>
  <c r="V56" i="13"/>
  <c r="Q54" i="13"/>
  <c r="V54" i="13"/>
  <c r="Q52" i="13"/>
  <c r="V52" i="13"/>
  <c r="Q50" i="13"/>
  <c r="V50" i="13"/>
  <c r="Q64" i="13"/>
  <c r="V64" i="13"/>
  <c r="I15" i="3"/>
  <c r="R59" i="13"/>
  <c r="W59" i="13"/>
  <c r="R57" i="13"/>
  <c r="W57" i="13"/>
  <c r="R55" i="13"/>
  <c r="W55" i="13"/>
  <c r="R53" i="13"/>
  <c r="W53" i="13"/>
  <c r="R51" i="13"/>
  <c r="W51" i="13"/>
  <c r="R49" i="13"/>
  <c r="W49" i="13"/>
  <c r="R47" i="13"/>
  <c r="W47" i="13"/>
  <c r="R45" i="13"/>
  <c r="W45" i="13"/>
  <c r="R43" i="13"/>
  <c r="W43" i="13"/>
  <c r="R41" i="13"/>
  <c r="W41" i="13"/>
  <c r="R39" i="13"/>
  <c r="W39" i="13"/>
  <c r="R37" i="13"/>
  <c r="W37" i="13"/>
  <c r="R35" i="13"/>
  <c r="W35" i="13"/>
  <c r="R33" i="13"/>
  <c r="W33" i="13"/>
  <c r="R31" i="13"/>
  <c r="W31" i="13"/>
  <c r="R29" i="13"/>
  <c r="W29" i="13"/>
  <c r="R27" i="13"/>
  <c r="W27" i="13"/>
  <c r="Q48" i="13"/>
  <c r="V48" i="13"/>
  <c r="Q46" i="13"/>
  <c r="V46" i="13"/>
  <c r="Q44" i="13"/>
  <c r="V44" i="13"/>
  <c r="Q42" i="13"/>
  <c r="V42" i="13"/>
  <c r="Q40" i="13"/>
  <c r="V40" i="13"/>
  <c r="Q38" i="13"/>
  <c r="V38" i="13"/>
  <c r="Q36" i="13"/>
  <c r="V36" i="13"/>
  <c r="Q34" i="13"/>
  <c r="V34" i="13"/>
  <c r="Q32" i="13"/>
  <c r="V32" i="13"/>
  <c r="Q30" i="13"/>
  <c r="V30" i="13"/>
  <c r="Q28" i="13"/>
  <c r="V28" i="13"/>
  <c r="Q26" i="13"/>
  <c r="V26" i="13"/>
  <c r="AD27" i="13"/>
  <c r="AD29" i="13"/>
  <c r="AD31" i="13"/>
  <c r="AD33" i="13"/>
  <c r="AD35" i="13"/>
  <c r="AD37" i="13"/>
  <c r="AD40" i="13"/>
  <c r="AD44" i="13"/>
  <c r="AD39" i="13"/>
  <c r="AD43" i="13"/>
  <c r="AD47" i="13"/>
  <c r="AD59" i="13"/>
  <c r="AD62" i="13"/>
  <c r="AC27" i="13"/>
  <c r="AC29" i="13"/>
  <c r="AC31" i="13"/>
  <c r="AC33" i="13"/>
  <c r="AC35" i="13"/>
  <c r="AC37" i="13"/>
  <c r="AC40" i="13"/>
  <c r="AC44" i="13"/>
  <c r="AC39" i="13"/>
  <c r="AC43" i="13"/>
  <c r="AC47" i="13"/>
  <c r="AC59" i="13"/>
  <c r="AC62" i="13"/>
  <c r="AD51" i="13"/>
  <c r="AD55" i="13"/>
  <c r="AC49" i="13"/>
  <c r="AC53" i="13"/>
  <c r="AC51" i="13"/>
  <c r="AC55" i="13"/>
  <c r="Q62" i="9"/>
  <c r="V62" i="9"/>
  <c r="I11" i="3"/>
  <c r="AC62" i="9"/>
  <c r="R62" i="9"/>
  <c r="W62" i="9"/>
  <c r="J11" i="3"/>
  <c r="AD62" i="9"/>
  <c r="AE55" i="8"/>
  <c r="AE27" i="8"/>
  <c r="AE43" i="8"/>
  <c r="AE59" i="8"/>
  <c r="AE39" i="8"/>
  <c r="AD26" i="8"/>
  <c r="AD34" i="8"/>
  <c r="AD42" i="8"/>
  <c r="AD50" i="8"/>
  <c r="AD58" i="8"/>
  <c r="AE26" i="8"/>
  <c r="AE30" i="8"/>
  <c r="AE34" i="8"/>
  <c r="AE38" i="8"/>
  <c r="AE42" i="8"/>
  <c r="AE46" i="8"/>
  <c r="AE50" i="8"/>
  <c r="AE54" i="8"/>
  <c r="AE58" i="8"/>
  <c r="AD28" i="8"/>
  <c r="AD36" i="8"/>
  <c r="AD44" i="8"/>
  <c r="AD52" i="8"/>
  <c r="AD62" i="8"/>
  <c r="AD31" i="8"/>
  <c r="AD39" i="8"/>
  <c r="AD47" i="8"/>
  <c r="AD55" i="8"/>
  <c r="AE29" i="8"/>
  <c r="AE37" i="8"/>
  <c r="AE45" i="8"/>
  <c r="AE53" i="8"/>
  <c r="AE35" i="8"/>
  <c r="AE51" i="8"/>
  <c r="AE31" i="8"/>
  <c r="AE47" i="8"/>
  <c r="AE64" i="8"/>
  <c r="AD30" i="8"/>
  <c r="AD38" i="8"/>
  <c r="AD46" i="8"/>
  <c r="AD54" i="8"/>
  <c r="AD64" i="8"/>
  <c r="AE28" i="8"/>
  <c r="AE32" i="8"/>
  <c r="AE36" i="8"/>
  <c r="AE40" i="8"/>
  <c r="AE44" i="8"/>
  <c r="AE48" i="8"/>
  <c r="AE52" i="8"/>
  <c r="AE56" i="8"/>
  <c r="AE62" i="8"/>
  <c r="AD32" i="8"/>
  <c r="AD40" i="8"/>
  <c r="AD48" i="8"/>
  <c r="AD56" i="8"/>
  <c r="AD27" i="8"/>
  <c r="AD35" i="8"/>
  <c r="AD43" i="8"/>
  <c r="AD51" i="8"/>
  <c r="AD59" i="8"/>
  <c r="AE33" i="8"/>
  <c r="AE41" i="8"/>
  <c r="AE49" i="8"/>
  <c r="AE57" i="8"/>
  <c r="AD29" i="8"/>
  <c r="AD37" i="8"/>
  <c r="AD45" i="8"/>
  <c r="AD53" i="8"/>
  <c r="AD33" i="8"/>
  <c r="AD41" i="8"/>
  <c r="AD49" i="8"/>
  <c r="AD57" i="8"/>
  <c r="AD64" i="13"/>
  <c r="AC64" i="13"/>
  <c r="R60" i="9"/>
  <c r="W60" i="9"/>
  <c r="R56" i="9"/>
  <c r="W56" i="9"/>
  <c r="R54" i="9"/>
  <c r="W54" i="9"/>
  <c r="R52" i="9"/>
  <c r="W52" i="9"/>
  <c r="R50" i="9"/>
  <c r="W50" i="9"/>
  <c r="R48" i="9"/>
  <c r="W48" i="9"/>
  <c r="R46" i="9"/>
  <c r="W46" i="9"/>
  <c r="R44" i="9"/>
  <c r="W44" i="9"/>
  <c r="R42" i="9"/>
  <c r="W42" i="9"/>
  <c r="R40" i="9"/>
  <c r="W40" i="9"/>
  <c r="R38" i="9"/>
  <c r="W38" i="9"/>
  <c r="R36" i="9"/>
  <c r="W36" i="9"/>
  <c r="Q34" i="9"/>
  <c r="V34" i="9"/>
  <c r="Q32" i="9"/>
  <c r="V32" i="9"/>
  <c r="Q30" i="9"/>
  <c r="V30" i="9"/>
  <c r="Q28" i="9"/>
  <c r="V28" i="9"/>
  <c r="Q26" i="9"/>
  <c r="V26" i="9"/>
  <c r="Q57" i="9"/>
  <c r="V57" i="9"/>
  <c r="Q55" i="9"/>
  <c r="V55" i="9"/>
  <c r="Q53" i="9"/>
  <c r="V53" i="9"/>
  <c r="Q51" i="9"/>
  <c r="V51" i="9"/>
  <c r="Q49" i="9"/>
  <c r="V49" i="9"/>
  <c r="Q47" i="9"/>
  <c r="V47" i="9"/>
  <c r="Q45" i="9"/>
  <c r="V45" i="9"/>
  <c r="Q43" i="9"/>
  <c r="V43" i="9"/>
  <c r="Q41" i="9"/>
  <c r="V41" i="9"/>
  <c r="Q39" i="9"/>
  <c r="V39" i="9"/>
  <c r="Q37" i="9"/>
  <c r="V37" i="9"/>
  <c r="Q35" i="9"/>
  <c r="V35" i="9"/>
  <c r="R33" i="9"/>
  <c r="W33" i="9"/>
  <c r="R31" i="9"/>
  <c r="W31" i="9"/>
  <c r="R29" i="9"/>
  <c r="W29" i="9"/>
  <c r="R27" i="9"/>
  <c r="W27" i="9"/>
  <c r="AD27" i="9"/>
  <c r="AD31" i="9"/>
  <c r="AC35" i="9"/>
  <c r="AC37" i="9"/>
  <c r="AC39" i="9"/>
  <c r="AC41" i="9"/>
  <c r="AC43" i="9"/>
  <c r="AC45" i="9"/>
  <c r="AC47" i="9"/>
  <c r="AC49" i="9"/>
  <c r="AC51" i="9"/>
  <c r="AC53" i="9"/>
  <c r="AC55" i="9"/>
  <c r="AC57" i="9"/>
  <c r="AC26" i="9"/>
  <c r="AC30" i="9"/>
  <c r="AC34" i="9"/>
  <c r="AC29" i="9"/>
  <c r="AC33" i="9"/>
  <c r="AD36" i="9"/>
  <c r="AD38" i="9"/>
  <c r="AD40" i="9"/>
  <c r="AD42" i="9"/>
  <c r="AD44" i="9"/>
  <c r="AD46" i="9"/>
  <c r="AD48" i="9"/>
  <c r="AD50" i="9"/>
  <c r="AD52" i="9"/>
  <c r="AD54" i="9"/>
  <c r="AD56" i="9"/>
  <c r="AD60" i="9"/>
  <c r="AD28" i="9"/>
  <c r="AD32" i="9"/>
  <c r="R57" i="9"/>
  <c r="W57" i="9"/>
  <c r="R55" i="9"/>
  <c r="W55" i="9"/>
  <c r="R53" i="9"/>
  <c r="W53" i="9"/>
  <c r="R51" i="9"/>
  <c r="W51" i="9"/>
  <c r="R49" i="9"/>
  <c r="W49" i="9"/>
  <c r="R47" i="9"/>
  <c r="W47" i="9"/>
  <c r="R45" i="9"/>
  <c r="W45" i="9"/>
  <c r="R43" i="9"/>
  <c r="W43" i="9"/>
  <c r="R41" i="9"/>
  <c r="W41" i="9"/>
  <c r="R39" i="9"/>
  <c r="W39" i="9"/>
  <c r="R37" i="9"/>
  <c r="W37" i="9"/>
  <c r="R35" i="9"/>
  <c r="W35" i="9"/>
  <c r="Q33" i="9"/>
  <c r="V33" i="9"/>
  <c r="Q31" i="9"/>
  <c r="V31" i="9"/>
  <c r="Q29" i="9"/>
  <c r="V29" i="9"/>
  <c r="Q27" i="9"/>
  <c r="V27" i="9"/>
  <c r="Q60" i="9"/>
  <c r="V60" i="9"/>
  <c r="Q56" i="9"/>
  <c r="V56" i="9"/>
  <c r="Q54" i="9"/>
  <c r="V54" i="9"/>
  <c r="Q52" i="9"/>
  <c r="V52" i="9"/>
  <c r="Q50" i="9"/>
  <c r="V50" i="9"/>
  <c r="Q48" i="9"/>
  <c r="V48" i="9"/>
  <c r="Q46" i="9"/>
  <c r="V46" i="9"/>
  <c r="Q44" i="9"/>
  <c r="V44" i="9"/>
  <c r="Q42" i="9"/>
  <c r="V42" i="9"/>
  <c r="Q40" i="9"/>
  <c r="V40" i="9"/>
  <c r="Q38" i="9"/>
  <c r="V38" i="9"/>
  <c r="Q36" i="9"/>
  <c r="V36" i="9"/>
  <c r="R34" i="9"/>
  <c r="W34" i="9"/>
  <c r="R32" i="9"/>
  <c r="W32" i="9"/>
  <c r="R30" i="9"/>
  <c r="W30" i="9"/>
  <c r="R28" i="9"/>
  <c r="W28" i="9"/>
  <c r="R26" i="9"/>
  <c r="W26" i="9"/>
  <c r="AD29" i="9"/>
  <c r="AD33" i="9"/>
  <c r="AC36" i="9"/>
  <c r="AC38" i="9"/>
  <c r="AC40" i="9"/>
  <c r="AC42" i="9"/>
  <c r="AC44" i="9"/>
  <c r="AC46" i="9"/>
  <c r="AC48" i="9"/>
  <c r="AC50" i="9"/>
  <c r="AC52" i="9"/>
  <c r="AC54" i="9"/>
  <c r="AC56" i="9"/>
  <c r="AC60" i="9"/>
  <c r="AC28" i="9"/>
  <c r="AC32" i="9"/>
  <c r="AC27" i="9"/>
  <c r="AC31" i="9"/>
  <c r="AD35" i="9"/>
  <c r="AD37" i="9"/>
  <c r="AD39" i="9"/>
  <c r="AD41" i="9"/>
  <c r="AD43" i="9"/>
  <c r="AD45" i="9"/>
  <c r="AD47" i="9"/>
  <c r="AD49" i="9"/>
  <c r="AD51" i="9"/>
  <c r="AD53" i="9"/>
  <c r="AD55" i="9"/>
  <c r="AD57" i="9"/>
  <c r="AD26" i="9"/>
  <c r="AD30" i="9"/>
  <c r="AD34" i="9"/>
  <c r="I17" i="3"/>
  <c r="I24" i="3"/>
  <c r="N29" i="3"/>
  <c r="I31" i="3"/>
  <c r="N31" i="3"/>
  <c r="H65" i="21"/>
  <c r="I19" i="3"/>
</calcChain>
</file>

<file path=xl/comments1.xml><?xml version="1.0" encoding="utf-8"?>
<comments xmlns="http://schemas.openxmlformats.org/spreadsheetml/2006/main">
  <authors>
    <author>rebrenner</author>
    <author>Rich Brenner</author>
  </authors>
  <commentList>
    <comment ref="M8" authorId="0">
      <text>
        <r>
          <rPr>
            <b/>
            <sz val="9"/>
            <color indexed="81"/>
            <rFont val="Tahoma"/>
            <family val="2"/>
          </rPr>
          <t>rebrenner:</t>
        </r>
        <r>
          <rPr>
            <sz val="9"/>
            <color indexed="81"/>
            <rFont val="Tahoma"/>
            <family val="2"/>
          </rPr>
          <t xml:space="preserve">
</t>
        </r>
        <r>
          <rPr>
            <sz val="18"/>
            <color indexed="81"/>
            <rFont val="Tahoma"/>
            <family val="2"/>
          </rPr>
          <t xml:space="preserve">
See:
DCF\Awlproj\SAMPLE_SIZE\[Confidence_Intervals_Proportion.xlsm]CI_MainBay
Also, forecast documents should be put into a format that automatically enables brood tables to be constructed for escapement goal analysis (pre-BOF).  
Coghill forecasts in particular should be consolidated, evaluated for QA/QC and generally error checked.  The use of cut/paste from contribution reports and age comps should be cut down from it's current level. Columns should be constructed that enables the evaluation of contributions to Coghill lake wild sock from the CPF fishery of districts 223, 225 and 226 across multiple dates.  For example, we may want to attribute fish caught in 225 before 7/10 or 7/15 to Coghill Lake wild.  Thus, fields for these dates should be added to the Coghill Lake wild forecast document.
</t>
        </r>
      </text>
    </comment>
    <comment ref="C12" authorId="1">
      <text>
        <r>
          <rPr>
            <b/>
            <sz val="8"/>
            <color indexed="81"/>
            <rFont val="Tahoma"/>
            <family val="2"/>
          </rPr>
          <t>Rich Brenner:</t>
        </r>
        <r>
          <rPr>
            <sz val="8"/>
            <color indexed="81"/>
            <rFont val="Tahoma"/>
            <family val="2"/>
          </rPr>
          <t xml:space="preserve">
</t>
        </r>
        <r>
          <rPr>
            <sz val="14"/>
            <color indexed="81"/>
            <rFont val="Tahoma"/>
            <family val="2"/>
          </rPr>
          <t>in the Forecast folder: O:\DCF\Salmon\FORECAST\COGHILL\111_WILD_RUN_ESTIMATE
there are already separate spreadsheets for previous years</t>
        </r>
      </text>
    </comment>
    <comment ref="C25" authorId="0">
      <text>
        <r>
          <rPr>
            <b/>
            <sz val="8"/>
            <color indexed="81"/>
            <rFont val="Tahoma"/>
            <family val="2"/>
          </rPr>
          <t>rebrenner:</t>
        </r>
        <r>
          <rPr>
            <sz val="8"/>
            <color indexed="81"/>
            <rFont val="Tahoma"/>
            <family val="2"/>
          </rPr>
          <t xml:space="preserve">
</t>
        </r>
      </text>
    </comment>
    <comment ref="C26" authorId="0">
      <text>
        <r>
          <rPr>
            <b/>
            <sz val="8"/>
            <color indexed="81"/>
            <rFont val="Tahoma"/>
            <family val="2"/>
          </rPr>
          <t>rebrenner:</t>
        </r>
        <r>
          <rPr>
            <sz val="8"/>
            <color indexed="81"/>
            <rFont val="Tahoma"/>
            <family val="2"/>
          </rPr>
          <t xml:space="preserve">
F</t>
        </r>
        <r>
          <rPr>
            <sz val="16"/>
            <color indexed="81"/>
            <rFont val="Tahoma"/>
            <family val="2"/>
          </rPr>
          <t>or example, make sure that the maximum range of the vertical lookup extends below the current data</t>
        </r>
      </text>
    </comment>
  </commentList>
</comments>
</file>

<file path=xl/comments2.xml><?xml version="1.0" encoding="utf-8"?>
<comments xmlns="http://schemas.openxmlformats.org/spreadsheetml/2006/main">
  <authors>
    <author>rebrenner</author>
  </authors>
  <commentList>
    <comment ref="B31" authorId="0">
      <text>
        <r>
          <rPr>
            <b/>
            <sz val="9"/>
            <color indexed="81"/>
            <rFont val="Tahoma"/>
            <family val="2"/>
          </rPr>
          <t>rebrenner:</t>
        </r>
        <r>
          <rPr>
            <sz val="9"/>
            <color indexed="81"/>
            <rFont val="Tahoma"/>
            <family val="2"/>
          </rPr>
          <t xml:space="preserve">
Based on statewide harvest survey. Note that this number is often less than the estimates of the # of fishermen below the Coghill weir on a single day as reported by the weir crew. In other words, it is probably not very accurate.</t>
        </r>
      </text>
    </comment>
    <comment ref="C32" authorId="0">
      <text>
        <r>
          <rPr>
            <b/>
            <sz val="9"/>
            <color indexed="81"/>
            <rFont val="Tahoma"/>
            <family val="2"/>
          </rPr>
          <t>rebrenner:</t>
        </r>
        <r>
          <rPr>
            <sz val="9"/>
            <color indexed="81"/>
            <rFont val="Tahoma"/>
            <family val="2"/>
          </rPr>
          <t xml:space="preserve">
From Sam Hochhalter and Dan Bosch, 2011 Area J sportfish effort and harvest.</t>
        </r>
      </text>
    </comment>
    <comment ref="B33" authorId="0">
      <text>
        <r>
          <rPr>
            <b/>
            <sz val="9"/>
            <color indexed="81"/>
            <rFont val="Tahoma"/>
            <family val="2"/>
          </rPr>
          <t>rebrenner:</t>
        </r>
        <r>
          <rPr>
            <sz val="9"/>
            <color indexed="81"/>
            <rFont val="Tahoma"/>
            <family val="2"/>
          </rPr>
          <t xml:space="preserve">
Based on statewide harvest surveys and obtained from Mike Thalhauser in November of 2014. Note that this number is often less than the estimates of the # of fishermen below the Coghill weir on a single day as reported by the weir crew. In other words, it is probably not very accurate.</t>
        </r>
      </text>
    </comment>
    <comment ref="C33" authorId="0">
      <text>
        <r>
          <rPr>
            <b/>
            <sz val="9"/>
            <color indexed="81"/>
            <rFont val="Tahoma"/>
            <family val="2"/>
          </rPr>
          <t>rebrenner:</t>
        </r>
        <r>
          <rPr>
            <sz val="9"/>
            <color indexed="81"/>
            <rFont val="Tahoma"/>
            <family val="2"/>
          </rPr>
          <t xml:space="preserve">
Based on statewide harvest surveys and obtained from Mike Thalhauser in November of 2014. Note that this number is often less than the estimates of the # of fishermen below the Coghill weir on a single day as reported by the weir crew. In other words, it is probably not very accurate.</t>
        </r>
      </text>
    </comment>
    <comment ref="B34" authorId="0">
      <text>
        <r>
          <rPr>
            <b/>
            <sz val="9"/>
            <color indexed="81"/>
            <rFont val="Tahoma"/>
            <family val="2"/>
          </rPr>
          <t>rebrenner:</t>
        </r>
        <r>
          <rPr>
            <sz val="9"/>
            <color indexed="81"/>
            <rFont val="Tahoma"/>
            <family val="2"/>
          </rPr>
          <t xml:space="preserve">
Based on statewide harvest surveys and obtained from Mike Thalhauser in November of 2014. Note that this number is often less than the estimates of the # of fishermen below the Coghill weir on a single day as reported by the weir crew. In other words, it is probably not very accurate.</t>
        </r>
      </text>
    </comment>
    <comment ref="C34" authorId="0">
      <text>
        <r>
          <rPr>
            <b/>
            <sz val="9"/>
            <color indexed="81"/>
            <rFont val="Tahoma"/>
            <family val="2"/>
          </rPr>
          <t>rebrenner:</t>
        </r>
        <r>
          <rPr>
            <sz val="9"/>
            <color indexed="81"/>
            <rFont val="Tahoma"/>
            <family val="2"/>
          </rPr>
          <t xml:space="preserve">
Based on statewide harvest surveys and obtained from Mike Thalhauser in November of 2014. Note that this number is often less than the estimates of the # of fishermen below the Coghill weir on a single day as reported by the weir crew. In other words, it is probably not very accurate.</t>
        </r>
      </text>
    </comment>
  </commentList>
</comments>
</file>

<file path=xl/comments3.xml><?xml version="1.0" encoding="utf-8"?>
<comments xmlns="http://schemas.openxmlformats.org/spreadsheetml/2006/main">
  <authors>
    <author>rebrenner</author>
    <author>Steve Moffitt</author>
  </authors>
  <commentList>
    <comment ref="J5" authorId="0">
      <text>
        <r>
          <rPr>
            <b/>
            <sz val="9"/>
            <color indexed="81"/>
            <rFont val="Tahoma"/>
            <family val="2"/>
          </rPr>
          <t>rebrenner:</t>
        </r>
        <r>
          <rPr>
            <sz val="9"/>
            <color indexed="81"/>
            <rFont val="Tahoma"/>
            <family val="2"/>
          </rPr>
          <t xml:space="preserve">
</t>
        </r>
        <r>
          <rPr>
            <sz val="18"/>
            <color indexed="81"/>
            <rFont val="Tahoma"/>
            <family val="2"/>
          </rPr>
          <t>SHOULD ADD A TAB CONTAINING RAW COGHILL BROOD DATA FOR EACH YEAR THAT THIS LOG-TRANSFORMED DATA COULD REFERENCE.  IN THIS WAY WE COULD ELIMINATE THE EXCEL SHEET "COGHILL_BROOD_TABLE.XLS" AND ALL THE ASSORTED CUTTING/PASTING THAT GOES WITH IT.</t>
        </r>
      </text>
    </comment>
    <comment ref="B10" authorId="1">
      <text>
        <r>
          <rPr>
            <b/>
            <sz val="14"/>
            <color indexed="81"/>
            <rFont val="Tahoma"/>
            <family val="2"/>
          </rPr>
          <t>Steve Moffitt:</t>
        </r>
        <r>
          <rPr>
            <sz val="14"/>
            <color indexed="81"/>
            <rFont val="Tahoma"/>
            <family val="2"/>
          </rPr>
          <t xml:space="preserve">
Brood Year escapement from Tower and weir counts before 1974 and from weir counts 1974-present.</t>
        </r>
      </text>
    </comment>
    <comment ref="E10" authorId="1">
      <text>
        <r>
          <rPr>
            <b/>
            <sz val="14"/>
            <color indexed="81"/>
            <rFont val="Tahoma"/>
            <family val="2"/>
          </rPr>
          <t>Steve Moffitt:</t>
        </r>
        <r>
          <rPr>
            <sz val="14"/>
            <color indexed="81"/>
            <rFont val="Tahoma"/>
            <family val="2"/>
          </rPr>
          <t xml:space="preserve">
A return of 1 prevents the ln(0) problem and does not significantly affect the regressions.</t>
        </r>
        <r>
          <rPr>
            <sz val="8"/>
            <color indexed="81"/>
            <rFont val="Tahoma"/>
            <family val="2"/>
          </rPr>
          <t xml:space="preserve">
</t>
        </r>
      </text>
    </comment>
    <comment ref="AI10" authorId="1">
      <text>
        <r>
          <rPr>
            <b/>
            <sz val="16"/>
            <color indexed="81"/>
            <rFont val="Tahoma"/>
            <family val="2"/>
          </rPr>
          <t xml:space="preserve">Steve Moffitt:
</t>
        </r>
        <r>
          <rPr>
            <sz val="16"/>
            <color indexed="81"/>
            <rFont val="Tahoma"/>
            <family val="2"/>
          </rPr>
          <t>Total number of fish of all return ages and years from a single Brood year.</t>
        </r>
      </text>
    </comment>
    <comment ref="B12" authorId="0">
      <text>
        <r>
          <rPr>
            <b/>
            <sz val="9"/>
            <color indexed="81"/>
            <rFont val="Tahoma"/>
            <family val="2"/>
          </rPr>
          <t>rebrenner:</t>
        </r>
        <r>
          <rPr>
            <sz val="9"/>
            <color indexed="81"/>
            <rFont val="Tahoma"/>
            <family val="2"/>
          </rPr>
          <t xml:space="preserve">
</t>
        </r>
        <r>
          <rPr>
            <sz val="20"/>
            <color indexed="81"/>
            <rFont val="Tahoma"/>
            <family val="2"/>
          </rPr>
          <t xml:space="preserve">But 1961 AMR, bottom of page 78, suggests that escapement was "a minimum" of 12,000 based on aerial counts with unreliable tower counts of 6417. </t>
        </r>
      </text>
    </comment>
    <comment ref="B13" authorId="1">
      <text>
        <r>
          <rPr>
            <b/>
            <sz val="14"/>
            <color indexed="81"/>
            <rFont val="Tahoma"/>
            <family val="2"/>
          </rPr>
          <t>Steve Moffitt:</t>
        </r>
        <r>
          <rPr>
            <sz val="14"/>
            <color indexed="81"/>
            <rFont val="Tahoma"/>
            <family val="2"/>
          </rPr>
          <t xml:space="preserve">
BY escapement of 1 prevents the ln(0) problem and does not significantly affect the regressions.
</t>
        </r>
        <r>
          <rPr>
            <b/>
            <sz val="14"/>
            <color indexed="81"/>
            <rFont val="Tahoma"/>
            <family val="2"/>
          </rPr>
          <t>Rich Brenner:</t>
        </r>
        <r>
          <rPr>
            <sz val="14"/>
            <color indexed="81"/>
            <rFont val="Tahoma"/>
            <family val="2"/>
          </rPr>
          <t xml:space="preserve">
But 1963 AMR, page 71, calculates sockeye escapement at 63,984.</t>
        </r>
      </text>
    </comment>
    <comment ref="B14" authorId="0">
      <text>
        <r>
          <rPr>
            <b/>
            <sz val="9"/>
            <color indexed="81"/>
            <rFont val="Tahoma"/>
            <family val="2"/>
          </rPr>
          <t>rebrenner:</t>
        </r>
        <r>
          <rPr>
            <sz val="9"/>
            <color indexed="81"/>
            <rFont val="Tahoma"/>
            <family val="2"/>
          </rPr>
          <t xml:space="preserve">
</t>
        </r>
        <r>
          <rPr>
            <sz val="20"/>
            <color indexed="81"/>
            <rFont val="Tahoma"/>
            <family val="2"/>
          </rPr>
          <t>1964 AMR does not mention Coghill escapement.</t>
        </r>
      </text>
    </comment>
    <comment ref="B21" authorId="0">
      <text>
        <r>
          <rPr>
            <b/>
            <sz val="9"/>
            <color indexed="81"/>
            <rFont val="Tahoma"/>
            <family val="2"/>
          </rPr>
          <t>rebrenner:</t>
        </r>
        <r>
          <rPr>
            <sz val="9"/>
            <color indexed="81"/>
            <rFont val="Tahoma"/>
            <family val="2"/>
          </rPr>
          <t xml:space="preserve">
</t>
        </r>
        <r>
          <rPr>
            <sz val="20"/>
            <color indexed="81"/>
            <rFont val="Tahoma"/>
            <family val="2"/>
          </rPr>
          <t>Aerial count only in 1971.  Check this number!!</t>
        </r>
      </text>
    </comment>
    <comment ref="B22" authorId="0">
      <text>
        <r>
          <rPr>
            <b/>
            <sz val="9"/>
            <color indexed="81"/>
            <rFont val="Tahoma"/>
            <family val="2"/>
          </rPr>
          <t>rebrenner:</t>
        </r>
        <r>
          <rPr>
            <sz val="9"/>
            <color indexed="81"/>
            <rFont val="Tahoma"/>
            <family val="2"/>
          </rPr>
          <t xml:space="preserve">
</t>
        </r>
        <r>
          <rPr>
            <sz val="20"/>
            <color indexed="81"/>
            <rFont val="Tahoma"/>
            <family val="2"/>
          </rPr>
          <t>But 1981 AMR says escapement was 16,392…why?
Count should be weir and tower for this year.</t>
        </r>
      </text>
    </comment>
    <comment ref="B23" authorId="0">
      <text>
        <r>
          <rPr>
            <b/>
            <sz val="9"/>
            <color indexed="81"/>
            <rFont val="Tahoma"/>
            <family val="2"/>
          </rPr>
          <t>rebrenner:</t>
        </r>
        <r>
          <rPr>
            <sz val="9"/>
            <color indexed="81"/>
            <rFont val="Tahoma"/>
            <family val="2"/>
          </rPr>
          <t xml:space="preserve">
</t>
        </r>
        <r>
          <rPr>
            <sz val="20"/>
            <color indexed="81"/>
            <rFont val="Tahoma"/>
            <family val="2"/>
          </rPr>
          <t>But 1981 AMR says escapement was 13,281.</t>
        </r>
      </text>
    </comment>
    <comment ref="E24" authorId="0">
      <text>
        <r>
          <rPr>
            <b/>
            <sz val="9"/>
            <color indexed="81"/>
            <rFont val="Tahoma"/>
            <family val="2"/>
          </rPr>
          <t>rebrenner:</t>
        </r>
        <r>
          <rPr>
            <sz val="9"/>
            <color indexed="81"/>
            <rFont val="Tahoma"/>
            <family val="2"/>
          </rPr>
          <t xml:space="preserve">
</t>
        </r>
        <r>
          <rPr>
            <sz val="20"/>
            <color indexed="81"/>
            <rFont val="Tahoma"/>
            <family val="2"/>
          </rPr>
          <t>Appendix C2 says 47 jacks "less than 560 mm from tip of nose to fork of tail".  Table 23 estimates 399 jacks in commercial catch and 0 in escapment based on ASL age comp.</t>
        </r>
      </text>
    </comment>
    <comment ref="E27" authorId="0">
      <text>
        <r>
          <rPr>
            <b/>
            <sz val="9"/>
            <color indexed="81"/>
            <rFont val="Tahoma"/>
            <family val="2"/>
          </rPr>
          <t>rebrenner:</t>
        </r>
        <r>
          <rPr>
            <sz val="9"/>
            <color indexed="81"/>
            <rFont val="Tahoma"/>
            <family val="2"/>
          </rPr>
          <t xml:space="preserve">
</t>
        </r>
        <r>
          <rPr>
            <sz val="20"/>
            <color indexed="81"/>
            <rFont val="Tahoma"/>
            <family val="2"/>
          </rPr>
          <t>1980 AMR says 6082 jacks counted at weir (~4.3% of escapement).  Table 30 estimates 597 in commercial catch and 1366 in escapment based on ASL age comp.
Cleaning up these data could improve the predication of age 1.2 returns. Note that large returns of age 1.1 have often resulted in substantial returns of age 1.2 fish the following year.</t>
        </r>
      </text>
    </comment>
    <comment ref="E28" authorId="0">
      <text>
        <r>
          <rPr>
            <b/>
            <sz val="9"/>
            <color indexed="81"/>
            <rFont val="Tahoma"/>
            <family val="2"/>
          </rPr>
          <t xml:space="preserve">rebrenner:
</t>
        </r>
        <r>
          <rPr>
            <sz val="20"/>
            <color indexed="81"/>
            <rFont val="Tahoma"/>
            <family val="2"/>
          </rPr>
          <t>But, 1981 AMR says that 4,748 jacks went by the weir.  656 appears to be from the age comp.  Perhaps these fish went through the weir without being counted and should be added??</t>
        </r>
      </text>
    </comment>
    <comment ref="E29" authorId="0">
      <text>
        <r>
          <rPr>
            <b/>
            <sz val="9"/>
            <color indexed="81"/>
            <rFont val="Tahoma"/>
            <family val="2"/>
          </rPr>
          <t>rebrenner:</t>
        </r>
        <r>
          <rPr>
            <sz val="9"/>
            <color indexed="81"/>
            <rFont val="Tahoma"/>
            <family val="2"/>
          </rPr>
          <t xml:space="preserve">
</t>
        </r>
        <r>
          <rPr>
            <sz val="20"/>
            <color indexed="81"/>
            <rFont val="Tahoma"/>
            <family val="2"/>
          </rPr>
          <t>1982 AMR, Table 34, says 1,179 jacks at the weir that WERE NOT INCLUDED IN DAILY ESCAPMENT COUNT.  Table 35 estimates 0 jacks in commercial catch and 238 in escapment based on ASL age comp.</t>
        </r>
      </text>
    </comment>
    <comment ref="E30" authorId="0">
      <text>
        <r>
          <rPr>
            <b/>
            <sz val="9"/>
            <color indexed="81"/>
            <rFont val="Tahoma"/>
            <family val="2"/>
          </rPr>
          <t>rebrenner:</t>
        </r>
        <r>
          <rPr>
            <sz val="9"/>
            <color indexed="81"/>
            <rFont val="Tahoma"/>
            <family val="2"/>
          </rPr>
          <t xml:space="preserve">
</t>
        </r>
        <r>
          <rPr>
            <sz val="20"/>
            <color indexed="81"/>
            <rFont val="Tahoma"/>
            <family val="2"/>
          </rPr>
          <t>1983 AMR, Table 38, estimates 157 age 1.1 fish (including a bunch of jack females??) in escapment based on ASL age comp.  Table 37 estimates 0 jacks in commercial catch.  Table 35 footnote for simply says 'Includes jacks'. What gives?</t>
        </r>
      </text>
    </comment>
    <comment ref="E31" authorId="0">
      <text>
        <r>
          <rPr>
            <b/>
            <sz val="9"/>
            <color indexed="81"/>
            <rFont val="Tahoma"/>
            <family val="2"/>
          </rPr>
          <t>rebrenner:</t>
        </r>
        <r>
          <rPr>
            <sz val="9"/>
            <color indexed="81"/>
            <rFont val="Tahoma"/>
            <family val="2"/>
          </rPr>
          <t xml:space="preserve">
</t>
        </r>
        <r>
          <rPr>
            <sz val="20"/>
            <color indexed="81"/>
            <rFont val="Tahoma"/>
            <family val="2"/>
          </rPr>
          <t>1984 AMR, Table 30, says 1955 jacks counted at the weir. Table 31 estimates 0 jacks in commercial catch and table 32 estimates 449 jacks in escapment based on ASL age comp sampling.</t>
        </r>
      </text>
    </comment>
    <comment ref="E32" authorId="0">
      <text>
        <r>
          <rPr>
            <b/>
            <sz val="9"/>
            <color indexed="81"/>
            <rFont val="Tahoma"/>
            <family val="2"/>
          </rPr>
          <t>rebrenner:</t>
        </r>
        <r>
          <rPr>
            <sz val="9"/>
            <color indexed="81"/>
            <rFont val="Tahoma"/>
            <family val="2"/>
          </rPr>
          <t xml:space="preserve">
</t>
        </r>
        <r>
          <rPr>
            <sz val="20"/>
            <color indexed="81"/>
            <rFont val="Tahoma"/>
            <family val="2"/>
          </rPr>
          <t xml:space="preserve">1985 AMR, Table 33, says 537 jacks counted at the weir.  Table 34 estimates 150 jacks in commercial catch and 0 in escapment based on ASL age comp. </t>
        </r>
      </text>
    </comment>
    <comment ref="E33" authorId="0">
      <text>
        <r>
          <rPr>
            <b/>
            <sz val="9"/>
            <color indexed="81"/>
            <rFont val="Tahoma"/>
            <family val="2"/>
          </rPr>
          <t>rebrenner:</t>
        </r>
        <r>
          <rPr>
            <sz val="9"/>
            <color indexed="81"/>
            <rFont val="Tahoma"/>
            <family val="2"/>
          </rPr>
          <t xml:space="preserve">
</t>
        </r>
        <r>
          <rPr>
            <sz val="20"/>
            <color indexed="81"/>
            <rFont val="Tahoma"/>
            <family val="2"/>
          </rPr>
          <t>1986 AMR, Table 31, says 1599 jacks counted at weir.  Table 32 estimates 0 jacks in commercial catch and 99 in escapment based on ASL age comp.</t>
        </r>
      </text>
    </comment>
    <comment ref="E34" authorId="0">
      <text>
        <r>
          <rPr>
            <b/>
            <sz val="9"/>
            <color indexed="81"/>
            <rFont val="Tahoma"/>
            <family val="2"/>
          </rPr>
          <t>rebrenner:</t>
        </r>
        <r>
          <rPr>
            <sz val="9"/>
            <color indexed="81"/>
            <rFont val="Tahoma"/>
            <family val="2"/>
          </rPr>
          <t xml:space="preserve">
</t>
        </r>
        <r>
          <rPr>
            <sz val="20"/>
            <color indexed="81"/>
            <rFont val="Tahoma"/>
            <family val="2"/>
          </rPr>
          <t>1987 AMR, Table 22, states that 2542 jacks counted at weir.  Table 23 gives estimate of 891 in commercial catch and 480 in escapement based on ASL age comp.</t>
        </r>
      </text>
    </comment>
    <comment ref="E35" authorId="0">
      <text>
        <r>
          <rPr>
            <b/>
            <sz val="9"/>
            <color indexed="81"/>
            <rFont val="Tahoma"/>
            <family val="2"/>
          </rPr>
          <t>rebrenner:</t>
        </r>
        <r>
          <rPr>
            <sz val="9"/>
            <color indexed="81"/>
            <rFont val="Tahoma"/>
            <family val="2"/>
          </rPr>
          <t xml:space="preserve">
</t>
        </r>
        <r>
          <rPr>
            <sz val="20"/>
            <color indexed="81"/>
            <rFont val="Tahoma"/>
            <family val="2"/>
          </rPr>
          <t>1988 AMR, Appendix C4, says 29 jacks counted at the weir. Appendix C8 estimates 0 jacks in commercial catch and 13 in escapment based on ASL age comp.</t>
        </r>
      </text>
    </comment>
    <comment ref="E36" authorId="0">
      <text>
        <r>
          <rPr>
            <b/>
            <sz val="9"/>
            <color indexed="81"/>
            <rFont val="Tahoma"/>
            <family val="2"/>
          </rPr>
          <t>rebrenner:</t>
        </r>
        <r>
          <rPr>
            <sz val="9"/>
            <color indexed="81"/>
            <rFont val="Tahoma"/>
            <family val="2"/>
          </rPr>
          <t xml:space="preserve">
</t>
        </r>
        <r>
          <rPr>
            <sz val="20"/>
            <color indexed="81"/>
            <rFont val="Tahoma"/>
            <family val="2"/>
          </rPr>
          <t>1989 AMR, appendix C4, says weir count includes 870 jacks.  Appendix C8 estimates 0 jacks in commercial catch and 28 in escapement based on ASL sampling.</t>
        </r>
      </text>
    </comment>
    <comment ref="E37" authorId="0">
      <text>
        <r>
          <rPr>
            <b/>
            <sz val="9"/>
            <color indexed="81"/>
            <rFont val="Tahoma"/>
            <family val="2"/>
          </rPr>
          <t>rebrenner:</t>
        </r>
        <r>
          <rPr>
            <sz val="9"/>
            <color indexed="81"/>
            <rFont val="Tahoma"/>
            <family val="2"/>
          </rPr>
          <t xml:space="preserve">
</t>
        </r>
        <r>
          <rPr>
            <sz val="20"/>
            <color indexed="81"/>
            <rFont val="Tahoma"/>
            <family val="2"/>
          </rPr>
          <t>1990 AMR, appendix C4, says that 699 jacks counted at he weir.  However, 0 jacks estimated at weir based on age comp, appendix C8.  No age comp for commercial fishery??</t>
        </r>
      </text>
    </comment>
    <comment ref="E38" authorId="0">
      <text>
        <r>
          <rPr>
            <b/>
            <sz val="20"/>
            <color indexed="81"/>
            <rFont val="Tahoma"/>
            <family val="2"/>
          </rPr>
          <t>rebrenner:</t>
        </r>
        <r>
          <rPr>
            <sz val="20"/>
            <color indexed="81"/>
            <rFont val="Tahoma"/>
            <family val="2"/>
          </rPr>
          <t xml:space="preserve">
1991 AMR, appendix C4, says 10 jacks counted at the weir + 11 estimated from weir age comp.  No estimates from the commercial catch.</t>
        </r>
      </text>
    </comment>
    <comment ref="E39" authorId="0">
      <text>
        <r>
          <rPr>
            <b/>
            <sz val="9"/>
            <color indexed="81"/>
            <rFont val="Tahoma"/>
            <family val="2"/>
          </rPr>
          <t>rebrenner:</t>
        </r>
        <r>
          <rPr>
            <sz val="9"/>
            <color indexed="81"/>
            <rFont val="Tahoma"/>
            <family val="2"/>
          </rPr>
          <t xml:space="preserve">
</t>
        </r>
        <r>
          <rPr>
            <sz val="20"/>
            <color indexed="81"/>
            <rFont val="Tahoma"/>
            <family val="2"/>
          </rPr>
          <t>1992 AMR, appendix C4 says 332 jacks counted at the weir, but estimates 0 jacks in commercial catch or escapment based on age comps.</t>
        </r>
      </text>
    </comment>
    <comment ref="E40" authorId="0">
      <text>
        <r>
          <rPr>
            <b/>
            <sz val="9"/>
            <color indexed="81"/>
            <rFont val="Tahoma"/>
            <family val="2"/>
          </rPr>
          <t>rebrenner:</t>
        </r>
        <r>
          <rPr>
            <sz val="9"/>
            <color indexed="81"/>
            <rFont val="Tahoma"/>
            <family val="2"/>
          </rPr>
          <t xml:space="preserve">
</t>
        </r>
        <r>
          <rPr>
            <sz val="20"/>
            <color indexed="81"/>
            <rFont val="Tahoma"/>
            <family val="2"/>
          </rPr>
          <t>Appendix C7 (Coghill age comps from commercial catch and escapement) says there were 207 jacks in commercial catch but 0 estimated in escapment.  Thus total should be 49 + 207 = 256</t>
        </r>
      </text>
    </comment>
    <comment ref="E42" authorId="0">
      <text>
        <r>
          <rPr>
            <b/>
            <sz val="9"/>
            <color indexed="81"/>
            <rFont val="Tahoma"/>
            <family val="2"/>
          </rPr>
          <t>rebrenner:</t>
        </r>
        <r>
          <rPr>
            <sz val="9"/>
            <color indexed="81"/>
            <rFont val="Tahoma"/>
            <family val="2"/>
          </rPr>
          <t xml:space="preserve">
</t>
        </r>
        <r>
          <rPr>
            <sz val="20"/>
            <color indexed="81"/>
            <rFont val="Tahoma"/>
            <family val="2"/>
          </rPr>
          <t>1995 AMR (Appendix C3) says that the escapement count "includes 77 jacks".  Escapement age comp (Appendix C9) estimates 88 jacks. Thus, total should be 165.</t>
        </r>
      </text>
    </comment>
    <comment ref="E45" authorId="0">
      <text>
        <r>
          <rPr>
            <b/>
            <sz val="9"/>
            <color indexed="81"/>
            <rFont val="Tahoma"/>
            <family val="2"/>
          </rPr>
          <t>rebrenner:</t>
        </r>
        <r>
          <rPr>
            <sz val="9"/>
            <color indexed="81"/>
            <rFont val="Tahoma"/>
            <family val="2"/>
          </rPr>
          <t xml:space="preserve">
</t>
        </r>
        <r>
          <rPr>
            <sz val="20"/>
            <color indexed="81"/>
            <rFont val="Tahoma"/>
            <family val="2"/>
          </rPr>
          <t>1998 AMR, Appendix C3, does not mention any jacks in the daily weir counts.  Appendix C7 estimates 93 jacks in Coghill commercial catch and Appendix C8 estimates 720 jacks in escapement; both based on ASL age comps.</t>
        </r>
      </text>
    </comment>
    <comment ref="K45" authorId="0">
      <text>
        <r>
          <rPr>
            <b/>
            <sz val="24"/>
            <color indexed="81"/>
            <rFont val="Tahoma"/>
            <family val="2"/>
          </rPr>
          <t>rebrenner:</t>
        </r>
        <r>
          <rPr>
            <sz val="24"/>
            <color indexed="81"/>
            <rFont val="Tahoma"/>
            <family val="2"/>
          </rPr>
          <t xml:space="preserve">
If there was one number that I would like re-evaluated, it's this one. How confident are we that these fish were really bound for Coghill Lake?</t>
        </r>
      </text>
    </comment>
    <comment ref="Q53" authorId="0">
      <text>
        <r>
          <rPr>
            <b/>
            <sz val="9"/>
            <color indexed="81"/>
            <rFont val="Tahoma"/>
            <family val="2"/>
          </rPr>
          <t>rebrenner:</t>
        </r>
        <r>
          <rPr>
            <sz val="9"/>
            <color indexed="81"/>
            <rFont val="Tahoma"/>
            <family val="2"/>
          </rPr>
          <t xml:space="preserve">
Includes the % of age 1.1 fish that WOULD have been extrapolated from the weir to the commercial catch, but were instead added here.</t>
        </r>
      </text>
    </comment>
    <comment ref="E55" authorId="0">
      <text>
        <r>
          <rPr>
            <b/>
            <sz val="8"/>
            <color indexed="81"/>
            <rFont val="Tahoma"/>
            <family val="2"/>
          </rPr>
          <t>rebrenner:</t>
        </r>
        <r>
          <rPr>
            <sz val="8"/>
            <color indexed="81"/>
            <rFont val="Tahoma"/>
            <family val="2"/>
          </rPr>
          <t xml:space="preserve">
</t>
        </r>
        <r>
          <rPr>
            <sz val="20"/>
            <color indexed="81"/>
            <rFont val="Tahoma"/>
            <family val="2"/>
          </rPr>
          <t>JUST FROM THE WEIR, NOT extrapolated to the commercial catch.</t>
        </r>
      </text>
    </comment>
    <comment ref="AL55" authorId="0">
      <text>
        <r>
          <rPr>
            <b/>
            <sz val="8"/>
            <color indexed="81"/>
            <rFont val="Tahoma"/>
            <family val="2"/>
          </rPr>
          <t>rebrenner:</t>
        </r>
        <r>
          <rPr>
            <sz val="8"/>
            <color indexed="81"/>
            <rFont val="Tahoma"/>
            <family val="2"/>
          </rPr>
          <t xml:space="preserve">
</t>
        </r>
        <r>
          <rPr>
            <sz val="20"/>
            <color indexed="81"/>
            <rFont val="Tahoma"/>
            <family val="2"/>
          </rPr>
          <t>For 2013...perhaps update this column to show difference between total returns and returns of major age classes.....just a thought...</t>
        </r>
        <r>
          <rPr>
            <sz val="16"/>
            <color indexed="81"/>
            <rFont val="Tahoma"/>
            <family val="2"/>
          </rPr>
          <t xml:space="preserve">THIS INCLUDES 83 AGE 0.3 SOCKEYE AND 31 AGE 2.4 SOCKEYE THAT ARE NOT INCLUDED IN THE BROOD TABLE TO THE LEFT. THESE CAN BE FOUND IN THE AWL C&amp;E REPORT AND IN THE TABLE:  O:\DCF\SALMON\FORECAST\COGHILL\WILD RUN ESTIMATE\2009_COGHILL_WILD_RUN.XLS
</t>
        </r>
      </text>
    </comment>
    <comment ref="E56" authorId="0">
      <text>
        <r>
          <rPr>
            <b/>
            <sz val="8"/>
            <color indexed="81"/>
            <rFont val="Tahoma"/>
            <family val="2"/>
          </rPr>
          <t>rebrenner:</t>
        </r>
        <r>
          <rPr>
            <sz val="8"/>
            <color indexed="81"/>
            <rFont val="Tahoma"/>
            <family val="2"/>
          </rPr>
          <t xml:space="preserve">
</t>
        </r>
        <r>
          <rPr>
            <sz val="18"/>
            <color indexed="81"/>
            <rFont val="Tahoma"/>
            <family val="2"/>
          </rPr>
          <t>JUST from WEIR, not extrapolated to the commercial catch. The ~2.33% that would have been extrapolated to the commercial catch were instead added onto age 1.3….for lack of a better option.</t>
        </r>
      </text>
    </comment>
    <comment ref="K57" authorId="0">
      <text>
        <r>
          <rPr>
            <b/>
            <sz val="18"/>
            <color indexed="81"/>
            <rFont val="Tahoma"/>
            <family val="2"/>
          </rPr>
          <t>rebrenner:</t>
        </r>
        <r>
          <rPr>
            <sz val="18"/>
            <color indexed="81"/>
            <rFont val="Tahoma"/>
            <family val="2"/>
          </rPr>
          <t xml:space="preserve">
BUT, ~76% of these fish at the weir were male!  What to do for the forecast?  Only count females or assume the females were harvested in the commercial catch?
------------------------
But see 2012 with a very big return of age 1.3 fish.</t>
        </r>
      </text>
    </comment>
    <comment ref="B58" authorId="0">
      <text>
        <r>
          <rPr>
            <b/>
            <sz val="8"/>
            <color indexed="81"/>
            <rFont val="Tahoma"/>
            <family val="2"/>
          </rPr>
          <t>rebrenner:</t>
        </r>
        <r>
          <rPr>
            <sz val="8"/>
            <color indexed="81"/>
            <rFont val="Tahoma"/>
            <family val="2"/>
          </rPr>
          <t xml:space="preserve">
</t>
        </r>
        <r>
          <rPr>
            <sz val="16"/>
            <color indexed="81"/>
            <rFont val="Tahoma"/>
            <family val="2"/>
          </rPr>
          <t>From 2008 Inseason Folder: Coghill weir escapement.</t>
        </r>
      </text>
    </comment>
    <comment ref="E58" authorId="0">
      <text>
        <r>
          <rPr>
            <b/>
            <sz val="9"/>
            <color indexed="81"/>
            <rFont val="Tahoma"/>
            <family val="2"/>
          </rPr>
          <t>rebrenner:</t>
        </r>
        <r>
          <rPr>
            <sz val="9"/>
            <color indexed="81"/>
            <rFont val="Tahoma"/>
            <family val="2"/>
          </rPr>
          <t xml:space="preserve">
</t>
        </r>
        <r>
          <rPr>
            <sz val="20"/>
            <color indexed="81"/>
            <rFont val="Tahoma"/>
            <family val="2"/>
          </rPr>
          <t>From weir ASL age comp. only, NOT extrapolated from the commercial catch, where jacks are rarely harvested.</t>
        </r>
      </text>
    </comment>
    <comment ref="AL58" authorId="0">
      <text>
        <r>
          <rPr>
            <b/>
            <sz val="14"/>
            <color indexed="81"/>
            <rFont val="Tahoma"/>
            <family val="2"/>
          </rPr>
          <t>rebrenner:</t>
        </r>
        <r>
          <rPr>
            <sz val="14"/>
            <color indexed="81"/>
            <rFont val="Tahoma"/>
            <family val="2"/>
          </rPr>
          <t xml:space="preserve">
Includes less-represented age classes  not included in the brood tab total, such as 0.3 and 1.4</t>
        </r>
      </text>
    </comment>
    <comment ref="B59" authorId="0">
      <text>
        <r>
          <rPr>
            <b/>
            <sz val="8"/>
            <color indexed="81"/>
            <rFont val="Tahoma"/>
            <family val="2"/>
          </rPr>
          <t>rebrenner:</t>
        </r>
        <r>
          <rPr>
            <sz val="8"/>
            <color indexed="81"/>
            <rFont val="Tahoma"/>
            <family val="2"/>
          </rPr>
          <t xml:space="preserve">
</t>
        </r>
        <r>
          <rPr>
            <sz val="18"/>
            <color indexed="81"/>
            <rFont val="Tahoma"/>
            <family val="2"/>
          </rPr>
          <t>SWAG:
Officially, there were only 19,293 sockeye past the Coghill weir. However, the weir washed out on July 22, 2010.  There were ~1,000 sockeye below the weir and the run was only ~85% complete.
19,293*(0.15) = 2,893.
19,293 + 1,000 + 2,893 = 23,186 SWAG of sockeye escapement for 2009.</t>
        </r>
      </text>
    </comment>
    <comment ref="E59" authorId="0">
      <text>
        <r>
          <rPr>
            <b/>
            <sz val="9"/>
            <color indexed="81"/>
            <rFont val="Tahoma"/>
            <family val="2"/>
          </rPr>
          <t>rebrenner:</t>
        </r>
        <r>
          <rPr>
            <sz val="9"/>
            <color indexed="81"/>
            <rFont val="Tahoma"/>
            <family val="2"/>
          </rPr>
          <t xml:space="preserve">
</t>
        </r>
        <r>
          <rPr>
            <sz val="18"/>
            <color indexed="81"/>
            <rFont val="Tahoma"/>
            <family val="2"/>
          </rPr>
          <t>About half from the weir and the other half estimated from seine caught fish in Coghill District CPF.  Many jacks also observed at the weir.</t>
        </r>
      </text>
    </comment>
    <comment ref="AL59" authorId="0">
      <text>
        <r>
          <rPr>
            <b/>
            <sz val="9"/>
            <color indexed="81"/>
            <rFont val="Tahoma"/>
            <family val="2"/>
          </rPr>
          <t>rebrenner:</t>
        </r>
        <r>
          <rPr>
            <sz val="9"/>
            <color indexed="81"/>
            <rFont val="Tahoma"/>
            <family val="2"/>
          </rPr>
          <t xml:space="preserve">
</t>
        </r>
        <r>
          <rPr>
            <sz val="18"/>
            <color indexed="81"/>
            <rFont val="Tahoma"/>
            <family val="2"/>
          </rPr>
          <t>Includes 7,282 age 1.4 sockeye not included in this table.</t>
        </r>
      </text>
    </comment>
    <comment ref="B60" authorId="0">
      <text>
        <r>
          <rPr>
            <b/>
            <sz val="9"/>
            <color indexed="81"/>
            <rFont val="Tahoma"/>
            <family val="2"/>
          </rPr>
          <t>rebrenner:</t>
        </r>
        <r>
          <rPr>
            <sz val="9"/>
            <color indexed="81"/>
            <rFont val="Tahoma"/>
            <family val="2"/>
          </rPr>
          <t xml:space="preserve">
</t>
        </r>
        <r>
          <rPr>
            <sz val="12"/>
            <color indexed="81"/>
            <rFont val="Tahoma"/>
            <family val="2"/>
          </rPr>
          <t>From 2010 Inseason folder for Coghill weir. Should probably be a bit higher because they had just passed 500 fish...</t>
        </r>
      </text>
    </comment>
    <comment ref="AL60" authorId="0">
      <text>
        <r>
          <rPr>
            <b/>
            <sz val="9"/>
            <color indexed="81"/>
            <rFont val="Tahoma"/>
            <family val="2"/>
          </rPr>
          <t>rebrenner:</t>
        </r>
        <r>
          <rPr>
            <sz val="9"/>
            <color indexed="81"/>
            <rFont val="Tahoma"/>
            <family val="2"/>
          </rPr>
          <t xml:space="preserve">
</t>
        </r>
        <r>
          <rPr>
            <sz val="16"/>
            <color indexed="81"/>
            <rFont val="Tahoma"/>
            <family val="2"/>
          </rPr>
          <t>Includes 449 age 1.4 sockeye not included in the brood table</t>
        </r>
      </text>
    </comment>
    <comment ref="B61" authorId="0">
      <text>
        <r>
          <rPr>
            <b/>
            <sz val="12"/>
            <color indexed="81"/>
            <rFont val="Tahoma"/>
            <family val="2"/>
          </rPr>
          <t>rebrenner:</t>
        </r>
        <r>
          <rPr>
            <sz val="12"/>
            <color indexed="81"/>
            <rFont val="Tahoma"/>
            <family val="2"/>
          </rPr>
          <t xml:space="preserve">
From 2011 Inseason folder.  BUT, they estimated 3-5K below the weir.  Thus, we added 4K to the official count of 98359 = 102359 as the total official escapement.</t>
        </r>
      </text>
    </comment>
    <comment ref="B62" authorId="0">
      <text>
        <r>
          <rPr>
            <b/>
            <sz val="9"/>
            <color indexed="81"/>
            <rFont val="Tahoma"/>
            <family val="2"/>
          </rPr>
          <t>rebrenner:</t>
        </r>
        <r>
          <rPr>
            <sz val="9"/>
            <color indexed="81"/>
            <rFont val="Tahoma"/>
            <family val="2"/>
          </rPr>
          <t xml:space="preserve">
</t>
        </r>
        <r>
          <rPr>
            <sz val="14"/>
            <color indexed="81"/>
            <rFont val="Tahoma"/>
            <family val="2"/>
          </rPr>
          <t>The weir count was 71,978 on July 27 but they had counted at least 1100 every previous day since July 17.  Thus, we have added an additional 3000 sockeye to the weir count.</t>
        </r>
      </text>
    </comment>
    <comment ref="B63" authorId="0">
      <text>
        <r>
          <rPr>
            <b/>
            <sz val="9"/>
            <color indexed="81"/>
            <rFont val="Tahoma"/>
            <family val="2"/>
          </rPr>
          <t>rebrenner:</t>
        </r>
        <r>
          <rPr>
            <sz val="9"/>
            <color indexed="81"/>
            <rFont val="Tahoma"/>
            <family val="2"/>
          </rPr>
          <t xml:space="preserve">
No additional sockeye added.</t>
        </r>
      </text>
    </comment>
    <comment ref="B64" authorId="0">
      <text>
        <r>
          <rPr>
            <b/>
            <sz val="9"/>
            <color indexed="81"/>
            <rFont val="Tahoma"/>
            <family val="2"/>
          </rPr>
          <t>rebrenner:</t>
        </r>
        <r>
          <rPr>
            <sz val="9"/>
            <color indexed="81"/>
            <rFont val="Tahoma"/>
            <family val="2"/>
          </rPr>
          <t xml:space="preserve">
Includes ~350 below the weir and ~300 downstream at the time the weir was pulled.</t>
        </r>
      </text>
    </comment>
  </commentList>
</comments>
</file>

<file path=xl/comments4.xml><?xml version="1.0" encoding="utf-8"?>
<comments xmlns="http://schemas.openxmlformats.org/spreadsheetml/2006/main">
  <authors>
    <author>rebrenner</author>
  </authors>
  <commentList>
    <comment ref="D9" authorId="0">
      <text>
        <r>
          <rPr>
            <b/>
            <sz val="9"/>
            <color indexed="81"/>
            <rFont val="Tahoma"/>
            <family val="2"/>
          </rPr>
          <t>rebrenner:</t>
        </r>
        <r>
          <rPr>
            <sz val="9"/>
            <color indexed="81"/>
            <rFont val="Tahoma"/>
            <family val="2"/>
          </rPr>
          <t xml:space="preserve">
= mean BYR - (t-value * (std. dev.)/(sqrt. N))</t>
        </r>
      </text>
    </comment>
    <comment ref="I17" authorId="0">
      <text>
        <r>
          <rPr>
            <b/>
            <sz val="9"/>
            <color indexed="81"/>
            <rFont val="Tahoma"/>
            <family val="2"/>
          </rPr>
          <t>rebrenner:</t>
        </r>
        <r>
          <rPr>
            <sz val="9"/>
            <color indexed="81"/>
            <rFont val="Tahoma"/>
            <family val="2"/>
          </rPr>
          <t xml:space="preserve">
</t>
        </r>
        <r>
          <rPr>
            <sz val="14"/>
            <color indexed="81"/>
            <rFont val="Tahoma"/>
            <family val="2"/>
          </rPr>
          <t xml:space="preserve">Uses Lower Bound from 1974-present mean for all except age 1.3 forecast.
Thus, this number is mostly derived from the numbers to the far left and age 1.3 above. These are then subtracted from the lower values (in columns K &amp;L ) and the overall lower bound is calculated here.
</t>
        </r>
      </text>
    </comment>
    <comment ref="J17" authorId="0">
      <text>
        <r>
          <rPr>
            <b/>
            <sz val="9"/>
            <color indexed="81"/>
            <rFont val="Tahoma"/>
            <family val="2"/>
          </rPr>
          <t>rebrenner:</t>
        </r>
        <r>
          <rPr>
            <sz val="9"/>
            <color indexed="81"/>
            <rFont val="Tahoma"/>
            <family val="2"/>
          </rPr>
          <t xml:space="preserve">
</t>
        </r>
        <r>
          <rPr>
            <sz val="14"/>
            <color indexed="81"/>
            <rFont val="Tahoma"/>
            <family val="2"/>
          </rPr>
          <t>Uses Upper Bound from 1974-present means for all except age 1.3 forecast.
Thus, this number is mostly derived from the numbers to the far left and age 1.3 above. These are then added to the upper bound values (in columns K&amp;L) and the overall upper bound is calculated here.</t>
        </r>
      </text>
    </comment>
    <comment ref="I24" authorId="0">
      <text>
        <r>
          <rPr>
            <b/>
            <sz val="9"/>
            <color indexed="81"/>
            <rFont val="Tahoma"/>
            <family val="2"/>
          </rPr>
          <t>rebrenner:</t>
        </r>
        <r>
          <rPr>
            <sz val="9"/>
            <color indexed="81"/>
            <rFont val="Tahoma"/>
            <family val="2"/>
          </rPr>
          <t xml:space="preserve">
USED THIS SPREAD FOR 2015 FORECAST</t>
        </r>
      </text>
    </comment>
  </commentList>
</comments>
</file>

<file path=xl/comments5.xml><?xml version="1.0" encoding="utf-8"?>
<comments xmlns="http://schemas.openxmlformats.org/spreadsheetml/2006/main">
  <authors>
    <author>Renate Riffe</author>
    <author>ramerizon</author>
    <author>rebrenner</author>
  </authors>
  <commentList>
    <comment ref="A3" authorId="0">
      <text>
        <r>
          <rPr>
            <sz val="14"/>
            <color indexed="81"/>
            <rFont val="SWISS"/>
          </rPr>
          <t>Renate Riffe:
This sheet derived from 42crwild.xls, sheet "Performance". 12/07/2000. When adding new data, insert rows just above last entry. Note that you will have to alter the t-value lookup table (columns N and O) when you do so.</t>
        </r>
      </text>
    </comment>
    <comment ref="G9" authorId="0">
      <text>
        <r>
          <rPr>
            <b/>
            <sz val="8"/>
            <color indexed="81"/>
            <rFont val="Tahoma"/>
            <family val="2"/>
          </rPr>
          <t>Renate Riffe:</t>
        </r>
        <r>
          <rPr>
            <sz val="8"/>
            <color indexed="81"/>
            <rFont val="Tahoma"/>
            <family val="2"/>
          </rPr>
          <t xml:space="preserve">
square of difference between column C and column D.</t>
        </r>
      </text>
    </comment>
    <comment ref="H9" authorId="0">
      <text>
        <r>
          <rPr>
            <b/>
            <sz val="8"/>
            <color indexed="81"/>
            <rFont val="Tahoma"/>
            <family val="2"/>
          </rPr>
          <t>Renate Riffe:</t>
        </r>
        <r>
          <rPr>
            <sz val="8"/>
            <color indexed="81"/>
            <rFont val="Tahoma"/>
            <family val="2"/>
          </rPr>
          <t xml:space="preserve">
Percent difference between forecast and actual return</t>
        </r>
      </text>
    </comment>
    <comment ref="C10" authorId="0">
      <text>
        <r>
          <rPr>
            <b/>
            <sz val="8"/>
            <color indexed="81"/>
            <rFont val="Tahoma"/>
            <family val="2"/>
          </rPr>
          <t>Renate Riffe:</t>
        </r>
        <r>
          <rPr>
            <sz val="8"/>
            <color indexed="81"/>
            <rFont val="Tahoma"/>
            <family val="2"/>
          </rPr>
          <t xml:space="preserve">
</t>
        </r>
        <r>
          <rPr>
            <sz val="12"/>
            <color indexed="81"/>
            <rFont val="Tahoma"/>
            <family val="2"/>
          </rPr>
          <t>Found in previous years' AMRs. All forecasts prior to 1988 combined Coghill and Unakwik forecasts, so were not entered.</t>
        </r>
      </text>
    </comment>
    <comment ref="D10" authorId="0">
      <text>
        <r>
          <rPr>
            <b/>
            <sz val="8"/>
            <color indexed="81"/>
            <rFont val="Tahoma"/>
            <family val="2"/>
          </rPr>
          <t>Renate Riffe:</t>
        </r>
        <r>
          <rPr>
            <sz val="8"/>
            <color indexed="81"/>
            <rFont val="Tahoma"/>
            <family val="2"/>
          </rPr>
          <t xml:space="preserve">
</t>
        </r>
        <r>
          <rPr>
            <sz val="14"/>
            <color indexed="81"/>
            <rFont val="Tahoma"/>
            <family val="2"/>
          </rPr>
          <t xml:space="preserve">Taken from sheet BroodTab in this spreadsheet (Column AJ). </t>
        </r>
      </text>
    </comment>
    <comment ref="E10" authorId="0">
      <text>
        <r>
          <rPr>
            <b/>
            <sz val="8"/>
            <color indexed="81"/>
            <rFont val="Tahoma"/>
            <family val="2"/>
          </rPr>
          <t>Renate Riffe:</t>
        </r>
        <r>
          <rPr>
            <sz val="8"/>
            <color indexed="81"/>
            <rFont val="Tahoma"/>
            <family val="2"/>
          </rPr>
          <t xml:space="preserve">
</t>
        </r>
        <r>
          <rPr>
            <sz val="16"/>
            <color indexed="81"/>
            <rFont val="Tahoma"/>
            <family val="2"/>
          </rPr>
          <t>Forecast overestimated return</t>
        </r>
      </text>
    </comment>
    <comment ref="F10" authorId="0">
      <text>
        <r>
          <rPr>
            <b/>
            <sz val="8"/>
            <color indexed="81"/>
            <rFont val="Tahoma"/>
            <family val="2"/>
          </rPr>
          <t>Renate Riffe:</t>
        </r>
        <r>
          <rPr>
            <sz val="8"/>
            <color indexed="81"/>
            <rFont val="Tahoma"/>
            <family val="2"/>
          </rPr>
          <t xml:space="preserve">
</t>
        </r>
        <r>
          <rPr>
            <sz val="14"/>
            <color indexed="81"/>
            <rFont val="Tahoma"/>
            <family val="2"/>
          </rPr>
          <t>Forecast underestimated return.</t>
        </r>
      </text>
    </comment>
    <comment ref="K29" authorId="1">
      <text>
        <r>
          <rPr>
            <sz val="11"/>
            <color indexed="81"/>
            <rFont val="Tahoma"/>
            <family val="2"/>
          </rPr>
          <t>PRELIMINARY!
See "2005_Coghill_wild_run.xls" for final numbers</t>
        </r>
      </text>
    </comment>
    <comment ref="K34" authorId="2">
      <text>
        <r>
          <rPr>
            <b/>
            <sz val="9"/>
            <color indexed="81"/>
            <rFont val="Tahoma"/>
            <family val="2"/>
          </rPr>
          <t>rebrenner:</t>
        </r>
        <r>
          <rPr>
            <sz val="9"/>
            <color indexed="81"/>
            <rFont val="Tahoma"/>
            <family val="2"/>
          </rPr>
          <t xml:space="preserve">
From 2010_Coghill_wild_run.xls</t>
        </r>
      </text>
    </comment>
    <comment ref="K35" authorId="2">
      <text>
        <r>
          <rPr>
            <b/>
            <sz val="9"/>
            <color indexed="81"/>
            <rFont val="Tahoma"/>
            <family val="2"/>
          </rPr>
          <t>rebrenner:</t>
        </r>
        <r>
          <rPr>
            <sz val="9"/>
            <color indexed="81"/>
            <rFont val="Tahoma"/>
            <family val="2"/>
          </rPr>
          <t xml:space="preserve">
From 2011_wild_run.xls
Includes approximately 50338 from Coghill district and 82041 from Eshamy and SW District.</t>
        </r>
      </text>
    </comment>
    <comment ref="K36" authorId="2">
      <text>
        <r>
          <rPr>
            <b/>
            <sz val="9"/>
            <color indexed="81"/>
            <rFont val="Tahoma"/>
            <family val="2"/>
          </rPr>
          <t>rebrenner:</t>
        </r>
        <r>
          <rPr>
            <sz val="9"/>
            <color indexed="81"/>
            <rFont val="Tahoma"/>
            <family val="2"/>
          </rPr>
          <t xml:space="preserve">
</t>
        </r>
        <r>
          <rPr>
            <sz val="14"/>
            <color indexed="81"/>
            <rFont val="Tahoma"/>
            <family val="2"/>
          </rPr>
          <t xml:space="preserve">From 2012_Coghill_wild_run
</t>
        </r>
      </text>
    </comment>
    <comment ref="K37" authorId="2">
      <text>
        <r>
          <rPr>
            <b/>
            <sz val="9"/>
            <color indexed="81"/>
            <rFont val="Tahoma"/>
            <family val="2"/>
          </rPr>
          <t>rebrenner:</t>
        </r>
        <r>
          <rPr>
            <sz val="9"/>
            <color indexed="81"/>
            <rFont val="Tahoma"/>
            <family val="2"/>
          </rPr>
          <t xml:space="preserve">
From 2013_Coghill_wild_run.xls</t>
        </r>
      </text>
    </comment>
    <comment ref="K38" authorId="2">
      <text>
        <r>
          <rPr>
            <b/>
            <sz val="9"/>
            <color indexed="81"/>
            <rFont val="Tahoma"/>
            <family val="2"/>
          </rPr>
          <t>rebrenner:</t>
        </r>
        <r>
          <rPr>
            <sz val="9"/>
            <color indexed="81"/>
            <rFont val="Tahoma"/>
            <family val="2"/>
          </rPr>
          <t xml:space="preserve">
</t>
        </r>
        <r>
          <rPr>
            <sz val="22"/>
            <color indexed="81"/>
            <rFont val="Tahoma"/>
            <family val="2"/>
          </rPr>
          <t>From 2014_Coghill_wild_run</t>
        </r>
      </text>
    </comment>
    <comment ref="H46" authorId="2">
      <text>
        <r>
          <rPr>
            <b/>
            <sz val="9"/>
            <color indexed="81"/>
            <rFont val="Tahoma"/>
            <family val="2"/>
          </rPr>
          <t>rebrenner:</t>
        </r>
        <r>
          <rPr>
            <sz val="9"/>
            <color indexed="81"/>
            <rFont val="Tahoma"/>
            <family val="2"/>
          </rPr>
          <t xml:space="preserve">
</t>
        </r>
        <r>
          <rPr>
            <sz val="20"/>
            <color indexed="81"/>
            <rFont val="Tahoma"/>
            <family val="2"/>
          </rPr>
          <t>Based on historical differences between actual and forecast total returns since 1988. The values seems pretty extreme and will not be used in the 2015 forecast.</t>
        </r>
      </text>
    </comment>
    <comment ref="H48" authorId="2">
      <text>
        <r>
          <rPr>
            <b/>
            <sz val="9"/>
            <color indexed="81"/>
            <rFont val="Tahoma"/>
            <family val="2"/>
          </rPr>
          <t>rebrenner:</t>
        </r>
        <r>
          <rPr>
            <sz val="9"/>
            <color indexed="81"/>
            <rFont val="Tahoma"/>
            <family val="2"/>
          </rPr>
          <t xml:space="preserve">
</t>
        </r>
        <r>
          <rPr>
            <sz val="20"/>
            <color indexed="81"/>
            <rFont val="Tahoma"/>
            <family val="2"/>
          </rPr>
          <t>Based on historical differences between actual and forecast total returns since 1988.</t>
        </r>
      </text>
    </comment>
    <comment ref="G51" authorId="0">
      <text>
        <r>
          <rPr>
            <b/>
            <sz val="8"/>
            <color indexed="81"/>
            <rFont val="Tahoma"/>
            <family val="2"/>
          </rPr>
          <t>Renate Riffe:</t>
        </r>
        <r>
          <rPr>
            <sz val="8"/>
            <color indexed="81"/>
            <rFont val="Tahoma"/>
            <family val="2"/>
          </rPr>
          <t xml:space="preserve">
Sum of Squared Errors</t>
        </r>
      </text>
    </comment>
    <comment ref="H51" authorId="0">
      <text>
        <r>
          <rPr>
            <b/>
            <sz val="8"/>
            <color indexed="81"/>
            <rFont val="Tahoma"/>
            <family val="2"/>
          </rPr>
          <t>Renate Riffe:</t>
        </r>
        <r>
          <rPr>
            <sz val="8"/>
            <color indexed="81"/>
            <rFont val="Tahoma"/>
            <family val="2"/>
          </rPr>
          <t xml:space="preserve">
Sum of Percent errors</t>
        </r>
      </text>
    </comment>
    <comment ref="G52" authorId="0">
      <text>
        <r>
          <rPr>
            <b/>
            <sz val="8"/>
            <color indexed="81"/>
            <rFont val="Tahoma"/>
            <family val="2"/>
          </rPr>
          <t>Renate Riffe:</t>
        </r>
        <r>
          <rPr>
            <sz val="8"/>
            <color indexed="81"/>
            <rFont val="Tahoma"/>
            <family val="2"/>
          </rPr>
          <t xml:space="preserve">
Mean Squared Error</t>
        </r>
      </text>
    </comment>
    <comment ref="H52" authorId="0">
      <text>
        <r>
          <rPr>
            <b/>
            <sz val="8"/>
            <color indexed="81"/>
            <rFont val="Tahoma"/>
            <family val="2"/>
          </rPr>
          <t>Renate Riffe:</t>
        </r>
        <r>
          <rPr>
            <sz val="8"/>
            <color indexed="81"/>
            <rFont val="Tahoma"/>
            <family val="2"/>
          </rPr>
          <t xml:space="preserve">
Mean Percent Error</t>
        </r>
      </text>
    </comment>
    <comment ref="G54" authorId="0">
      <text>
        <r>
          <rPr>
            <b/>
            <sz val="12"/>
            <color indexed="81"/>
            <rFont val="Tahoma"/>
            <family val="2"/>
          </rPr>
          <t>Renate Riffe:</t>
        </r>
        <r>
          <rPr>
            <sz val="12"/>
            <color indexed="81"/>
            <rFont val="Tahoma"/>
            <family val="2"/>
          </rPr>
          <t xml:space="preserve">
t-value *( standard error of the mean). Add this to forecast for Upper Confidence Interval. Subtract from forecast for lower C.I.</t>
        </r>
      </text>
    </comment>
    <comment ref="H54" authorId="0">
      <text>
        <r>
          <rPr>
            <b/>
            <sz val="8"/>
            <color indexed="81"/>
            <rFont val="Tahoma"/>
            <family val="2"/>
          </rPr>
          <t>Renate Riffe:</t>
        </r>
        <r>
          <rPr>
            <sz val="8"/>
            <color indexed="81"/>
            <rFont val="Tahoma"/>
            <family val="2"/>
          </rPr>
          <t xml:space="preserve">
</t>
        </r>
        <r>
          <rPr>
            <sz val="18"/>
            <color indexed="81"/>
            <rFont val="Tahoma"/>
            <family val="2"/>
          </rPr>
          <t>Percent of forecast. In other words, the confidence interval encompasses + or - this percent of the forecast.</t>
        </r>
      </text>
    </comment>
    <comment ref="G57" authorId="0">
      <text>
        <r>
          <rPr>
            <b/>
            <sz val="8"/>
            <color indexed="81"/>
            <rFont val="Tahoma"/>
            <family val="2"/>
          </rPr>
          <t>Renate Riffe:</t>
        </r>
        <r>
          <rPr>
            <sz val="8"/>
            <color indexed="81"/>
            <rFont val="Tahoma"/>
            <family val="2"/>
          </rPr>
          <t xml:space="preserve">
Sum of Squared Errors</t>
        </r>
      </text>
    </comment>
    <comment ref="H57" authorId="0">
      <text>
        <r>
          <rPr>
            <b/>
            <sz val="8"/>
            <color indexed="81"/>
            <rFont val="Tahoma"/>
            <family val="2"/>
          </rPr>
          <t>Renate Riffe:</t>
        </r>
        <r>
          <rPr>
            <sz val="8"/>
            <color indexed="81"/>
            <rFont val="Tahoma"/>
            <family val="2"/>
          </rPr>
          <t xml:space="preserve">
Sum of Percent errors</t>
        </r>
      </text>
    </comment>
    <comment ref="G58" authorId="0">
      <text>
        <r>
          <rPr>
            <b/>
            <sz val="8"/>
            <color indexed="81"/>
            <rFont val="Tahoma"/>
            <family val="2"/>
          </rPr>
          <t>Renate Riffe:</t>
        </r>
        <r>
          <rPr>
            <sz val="8"/>
            <color indexed="81"/>
            <rFont val="Tahoma"/>
            <family val="2"/>
          </rPr>
          <t xml:space="preserve">
Mean Squared Error</t>
        </r>
      </text>
    </comment>
    <comment ref="H58" authorId="0">
      <text>
        <r>
          <rPr>
            <b/>
            <sz val="8"/>
            <color indexed="81"/>
            <rFont val="Tahoma"/>
            <family val="2"/>
          </rPr>
          <t>Renate Riffe:</t>
        </r>
        <r>
          <rPr>
            <sz val="8"/>
            <color indexed="81"/>
            <rFont val="Tahoma"/>
            <family val="2"/>
          </rPr>
          <t xml:space="preserve">
Mean Percent Error</t>
        </r>
      </text>
    </comment>
    <comment ref="G60" authorId="0">
      <text>
        <r>
          <rPr>
            <b/>
            <sz val="12"/>
            <color indexed="81"/>
            <rFont val="Tahoma"/>
            <family val="2"/>
          </rPr>
          <t>Renate Riffe:</t>
        </r>
        <r>
          <rPr>
            <sz val="12"/>
            <color indexed="81"/>
            <rFont val="Tahoma"/>
            <family val="2"/>
          </rPr>
          <t xml:space="preserve">
t-value *( standard error of the mean). Add this to forecast for Upper Confidence Interval. Subtract from forecast for lower C.I.</t>
        </r>
      </text>
    </comment>
    <comment ref="H60" authorId="0">
      <text>
        <r>
          <rPr>
            <b/>
            <sz val="8"/>
            <color indexed="81"/>
            <rFont val="Tahoma"/>
            <family val="2"/>
          </rPr>
          <t>Renate Riffe:</t>
        </r>
        <r>
          <rPr>
            <sz val="8"/>
            <color indexed="81"/>
            <rFont val="Tahoma"/>
            <family val="2"/>
          </rPr>
          <t xml:space="preserve">
</t>
        </r>
        <r>
          <rPr>
            <sz val="18"/>
            <color indexed="81"/>
            <rFont val="Tahoma"/>
            <family val="2"/>
          </rPr>
          <t>Percent of forecast. In other words, the confidence interval encompasses + or - this percent of the forecast.</t>
        </r>
      </text>
    </comment>
    <comment ref="G62" authorId="0">
      <text>
        <r>
          <rPr>
            <b/>
            <sz val="8"/>
            <color indexed="81"/>
            <rFont val="Tahoma"/>
            <family val="2"/>
          </rPr>
          <t>Renate Riffe:</t>
        </r>
        <r>
          <rPr>
            <sz val="8"/>
            <color indexed="81"/>
            <rFont val="Tahoma"/>
            <family val="2"/>
          </rPr>
          <t xml:space="preserve">
Sum of Squared Errors</t>
        </r>
      </text>
    </comment>
    <comment ref="H62" authorId="0">
      <text>
        <r>
          <rPr>
            <b/>
            <sz val="8"/>
            <color indexed="81"/>
            <rFont val="Tahoma"/>
            <family val="2"/>
          </rPr>
          <t>Renate Riffe:</t>
        </r>
        <r>
          <rPr>
            <sz val="8"/>
            <color indexed="81"/>
            <rFont val="Tahoma"/>
            <family val="2"/>
          </rPr>
          <t xml:space="preserve">
Sum of Percent errors</t>
        </r>
      </text>
    </comment>
    <comment ref="G63" authorId="0">
      <text>
        <r>
          <rPr>
            <b/>
            <sz val="8"/>
            <color indexed="81"/>
            <rFont val="Tahoma"/>
            <family val="2"/>
          </rPr>
          <t>Renate Riffe:</t>
        </r>
        <r>
          <rPr>
            <sz val="8"/>
            <color indexed="81"/>
            <rFont val="Tahoma"/>
            <family val="2"/>
          </rPr>
          <t xml:space="preserve">
Mean Squared Error</t>
        </r>
      </text>
    </comment>
    <comment ref="H63" authorId="0">
      <text>
        <r>
          <rPr>
            <b/>
            <sz val="8"/>
            <color indexed="81"/>
            <rFont val="Tahoma"/>
            <family val="2"/>
          </rPr>
          <t>Renate Riffe:</t>
        </r>
        <r>
          <rPr>
            <sz val="8"/>
            <color indexed="81"/>
            <rFont val="Tahoma"/>
            <family val="2"/>
          </rPr>
          <t xml:space="preserve">
Mean Percent Error</t>
        </r>
      </text>
    </comment>
    <comment ref="G65" authorId="0">
      <text>
        <r>
          <rPr>
            <b/>
            <sz val="12"/>
            <color indexed="81"/>
            <rFont val="Tahoma"/>
            <family val="2"/>
          </rPr>
          <t>Renate Riffe:</t>
        </r>
        <r>
          <rPr>
            <sz val="12"/>
            <color indexed="81"/>
            <rFont val="Tahoma"/>
            <family val="2"/>
          </rPr>
          <t xml:space="preserve">
t-value *( standard error of the mean). Add this to forecast for Upper Confidence Interval. Subtract from forecast for lower C.I.</t>
        </r>
      </text>
    </comment>
    <comment ref="H65" authorId="0">
      <text>
        <r>
          <rPr>
            <b/>
            <sz val="8"/>
            <color indexed="81"/>
            <rFont val="Tahoma"/>
            <family val="2"/>
          </rPr>
          <t>Renate Riffe:</t>
        </r>
        <r>
          <rPr>
            <sz val="8"/>
            <color indexed="81"/>
            <rFont val="Tahoma"/>
            <family val="2"/>
          </rPr>
          <t xml:space="preserve">
</t>
        </r>
        <r>
          <rPr>
            <sz val="18"/>
            <color indexed="81"/>
            <rFont val="Tahoma"/>
            <family val="2"/>
          </rPr>
          <t>Percent of forecast. In other words, the confidence interval encompasses + or - this percent of the forecast.</t>
        </r>
      </text>
    </comment>
  </commentList>
</comments>
</file>

<file path=xl/comments6.xml><?xml version="1.0" encoding="utf-8"?>
<comments xmlns="http://schemas.openxmlformats.org/spreadsheetml/2006/main">
  <authors>
    <author>rebrenner</author>
  </authors>
  <commentList>
    <comment ref="A46" authorId="0">
      <text>
        <r>
          <rPr>
            <b/>
            <sz val="14"/>
            <color indexed="81"/>
            <rFont val="Tahoma"/>
            <family val="2"/>
          </rPr>
          <t>rebrenner:</t>
        </r>
        <r>
          <rPr>
            <sz val="14"/>
            <color indexed="81"/>
            <rFont val="Tahoma"/>
            <family val="2"/>
          </rPr>
          <t xml:space="preserve">
This row updated by R. Brenner</t>
        </r>
      </text>
    </comment>
  </commentList>
</comments>
</file>

<file path=xl/comments7.xml><?xml version="1.0" encoding="utf-8"?>
<comments xmlns="http://schemas.openxmlformats.org/spreadsheetml/2006/main">
  <authors>
    <author>rebrenner</author>
  </authors>
  <commentList>
    <comment ref="D11" authorId="0">
      <text>
        <r>
          <rPr>
            <b/>
            <sz val="9"/>
            <color indexed="81"/>
            <rFont val="Tahoma"/>
            <family val="2"/>
          </rPr>
          <t>rebrenner:</t>
        </r>
        <r>
          <rPr>
            <sz val="9"/>
            <color indexed="81"/>
            <rFont val="Tahoma"/>
            <family val="2"/>
          </rPr>
          <t xml:space="preserve">
</t>
        </r>
        <r>
          <rPr>
            <sz val="18"/>
            <color indexed="81"/>
            <rFont val="Tahoma"/>
            <family val="2"/>
          </rPr>
          <t>ACTUAL RETURNS</t>
        </r>
      </text>
    </comment>
    <comment ref="J11" authorId="0">
      <text>
        <r>
          <rPr>
            <b/>
            <sz val="9"/>
            <color indexed="81"/>
            <rFont val="Tahoma"/>
            <family val="2"/>
          </rPr>
          <t>rebrenner:</t>
        </r>
        <r>
          <rPr>
            <sz val="9"/>
            <color indexed="81"/>
            <rFont val="Tahoma"/>
            <family val="2"/>
          </rPr>
          <t xml:space="preserve">
</t>
        </r>
        <r>
          <rPr>
            <sz val="18"/>
            <color indexed="81"/>
            <rFont val="Tahoma"/>
            <family val="2"/>
          </rPr>
          <t>FORECAST ESTIMATE</t>
        </r>
      </text>
    </comment>
    <comment ref="F62" authorId="0">
      <text>
        <r>
          <rPr>
            <b/>
            <sz val="9"/>
            <color indexed="81"/>
            <rFont val="Tahoma"/>
            <family val="2"/>
          </rPr>
          <t>rebrenner:</t>
        </r>
        <r>
          <rPr>
            <sz val="9"/>
            <color indexed="81"/>
            <rFont val="Tahoma"/>
            <family val="2"/>
          </rPr>
          <t xml:space="preserve">
=same df as MSE Leave 1 out.  This is because it was calculated by leaving the last year of data out.</t>
        </r>
      </text>
    </comment>
    <comment ref="F66" authorId="0">
      <text>
        <r>
          <rPr>
            <b/>
            <sz val="9"/>
            <color indexed="81"/>
            <rFont val="Tahoma"/>
            <family val="2"/>
          </rPr>
          <t>rebrenner:</t>
        </r>
        <r>
          <rPr>
            <sz val="9"/>
            <color indexed="81"/>
            <rFont val="Tahoma"/>
            <family val="2"/>
          </rPr>
          <t xml:space="preserve">
df = N -2, this is because a full regression would be N-1 but the last year of data was left out.</t>
        </r>
      </text>
    </comment>
    <comment ref="M66" authorId="0">
      <text>
        <r>
          <rPr>
            <b/>
            <sz val="9"/>
            <color indexed="81"/>
            <rFont val="Tahoma"/>
            <family val="2"/>
          </rPr>
          <t>rebrenner:</t>
        </r>
        <r>
          <rPr>
            <sz val="9"/>
            <color indexed="81"/>
            <rFont val="Tahoma"/>
            <family val="2"/>
          </rPr>
          <t xml:space="preserve">
</t>
        </r>
        <r>
          <rPr>
            <sz val="18"/>
            <color indexed="81"/>
            <rFont val="Tahoma"/>
            <family val="2"/>
          </rPr>
          <t>The formula should include all but the previous year of data. For example, if forecasting for the year 2051, the formula should include all but 2050.</t>
        </r>
      </text>
    </comment>
    <comment ref="F67" authorId="0">
      <text>
        <r>
          <rPr>
            <b/>
            <sz val="9"/>
            <color indexed="81"/>
            <rFont val="Tahoma"/>
            <family val="2"/>
          </rPr>
          <t>rebrenner:
df = n-1, because this regression uses all the data.</t>
        </r>
      </text>
    </comment>
  </commentList>
</comments>
</file>

<file path=xl/comments8.xml><?xml version="1.0" encoding="utf-8"?>
<comments xmlns="http://schemas.openxmlformats.org/spreadsheetml/2006/main">
  <authors>
    <author>rebrenner</author>
  </authors>
  <commentList>
    <comment ref="M64" authorId="0">
      <text>
        <r>
          <rPr>
            <b/>
            <sz val="9"/>
            <color indexed="81"/>
            <rFont val="Tahoma"/>
            <family val="2"/>
          </rPr>
          <t>rebrenner:</t>
        </r>
        <r>
          <rPr>
            <sz val="9"/>
            <color indexed="81"/>
            <rFont val="Tahoma"/>
            <family val="2"/>
          </rPr>
          <t xml:space="preserve">
</t>
        </r>
        <r>
          <rPr>
            <sz val="18"/>
            <color indexed="81"/>
            <rFont val="Tahoma"/>
            <family val="2"/>
          </rPr>
          <t>The formula should include all but the previous year of data. For example, if forecasting for the year 2051, the formula should include all but 2050.</t>
        </r>
      </text>
    </comment>
  </commentList>
</comments>
</file>

<file path=xl/comments9.xml><?xml version="1.0" encoding="utf-8"?>
<comments xmlns="http://schemas.openxmlformats.org/spreadsheetml/2006/main">
  <authors>
    <author>rebrenner</author>
  </authors>
  <commentList>
    <comment ref="M65" authorId="0">
      <text>
        <r>
          <rPr>
            <b/>
            <sz val="9"/>
            <color indexed="81"/>
            <rFont val="Tahoma"/>
            <family val="2"/>
          </rPr>
          <t>rebrenner:</t>
        </r>
        <r>
          <rPr>
            <sz val="9"/>
            <color indexed="81"/>
            <rFont val="Tahoma"/>
            <family val="2"/>
          </rPr>
          <t xml:space="preserve">
</t>
        </r>
        <r>
          <rPr>
            <sz val="18"/>
            <color indexed="81"/>
            <rFont val="Tahoma"/>
            <family val="2"/>
          </rPr>
          <t>The formula should include all but the previous year of data. For example, if forecasting for the year 2051, the formula should include all but 2050.</t>
        </r>
      </text>
    </comment>
  </commentList>
</comments>
</file>

<file path=xl/comments10.xml><?xml version="1.0" encoding="utf-8"?>
<comments xmlns="http://schemas.openxmlformats.org/spreadsheetml/2006/main">
  <authors>
    <author>rebrenner</author>
  </authors>
  <commentList>
    <comment ref="M65" authorId="0">
      <text>
        <r>
          <rPr>
            <b/>
            <sz val="9"/>
            <color indexed="81"/>
            <rFont val="Tahoma"/>
            <family val="2"/>
          </rPr>
          <t>rebrenner:</t>
        </r>
        <r>
          <rPr>
            <sz val="9"/>
            <color indexed="81"/>
            <rFont val="Tahoma"/>
            <family val="2"/>
          </rPr>
          <t xml:space="preserve">
</t>
        </r>
        <r>
          <rPr>
            <sz val="18"/>
            <color indexed="81"/>
            <rFont val="Tahoma"/>
            <family val="2"/>
          </rPr>
          <t>The formula should include all but the previous year of data. For example, if forecasting for the year 2051, the formula should include all but 2050.</t>
        </r>
      </text>
    </comment>
  </commentList>
</comments>
</file>

<file path=xl/comments11.xml><?xml version="1.0" encoding="utf-8"?>
<comments xmlns="http://schemas.openxmlformats.org/spreadsheetml/2006/main">
  <authors>
    <author>rebrenner</author>
  </authors>
  <commentList>
    <comment ref="M66" authorId="0">
      <text>
        <r>
          <rPr>
            <b/>
            <sz val="9"/>
            <color indexed="81"/>
            <rFont val="Tahoma"/>
            <family val="2"/>
          </rPr>
          <t>rebrenner:</t>
        </r>
        <r>
          <rPr>
            <sz val="9"/>
            <color indexed="81"/>
            <rFont val="Tahoma"/>
            <family val="2"/>
          </rPr>
          <t xml:space="preserve">
</t>
        </r>
        <r>
          <rPr>
            <sz val="18"/>
            <color indexed="81"/>
            <rFont val="Tahoma"/>
            <family val="2"/>
          </rPr>
          <t>The formula should include all but the previous year of data. For example, if forecasting for the year 2051, the formula should include all but 2050.</t>
        </r>
      </text>
    </comment>
  </commentList>
</comments>
</file>

<file path=xl/comments12.xml><?xml version="1.0" encoding="utf-8"?>
<comments xmlns="http://schemas.openxmlformats.org/spreadsheetml/2006/main">
  <authors>
    <author>rebrenner</author>
  </authors>
  <commentList>
    <comment ref="M66" authorId="0">
      <text>
        <r>
          <rPr>
            <b/>
            <sz val="9"/>
            <color indexed="81"/>
            <rFont val="Tahoma"/>
            <family val="2"/>
          </rPr>
          <t>rebrenner:</t>
        </r>
        <r>
          <rPr>
            <sz val="9"/>
            <color indexed="81"/>
            <rFont val="Tahoma"/>
            <family val="2"/>
          </rPr>
          <t xml:space="preserve">
</t>
        </r>
        <r>
          <rPr>
            <sz val="18"/>
            <color indexed="81"/>
            <rFont val="Tahoma"/>
            <family val="2"/>
          </rPr>
          <t>The formula should include all but the previous year of data. For example, if forecasting for the year 2051, the formula should include all but 2050.</t>
        </r>
      </text>
    </comment>
  </commentList>
</comments>
</file>

<file path=xl/comments13.xml><?xml version="1.0" encoding="utf-8"?>
<comments xmlns="http://schemas.openxmlformats.org/spreadsheetml/2006/main">
  <authors>
    <author>rebrenner</author>
  </authors>
  <commentList>
    <comment ref="M66" authorId="0">
      <text>
        <r>
          <rPr>
            <b/>
            <sz val="9"/>
            <color indexed="81"/>
            <rFont val="Tahoma"/>
            <family val="2"/>
          </rPr>
          <t>rebrenner:</t>
        </r>
        <r>
          <rPr>
            <sz val="9"/>
            <color indexed="81"/>
            <rFont val="Tahoma"/>
            <family val="2"/>
          </rPr>
          <t xml:space="preserve">
</t>
        </r>
        <r>
          <rPr>
            <sz val="18"/>
            <color indexed="81"/>
            <rFont val="Tahoma"/>
            <family val="2"/>
          </rPr>
          <t>The formula should include all but the previous year of data. For example, if forecasting for the year 2051, the formula should include all but 2050.</t>
        </r>
      </text>
    </comment>
  </commentList>
</comments>
</file>

<file path=xl/sharedStrings.xml><?xml version="1.0" encoding="utf-8"?>
<sst xmlns="http://schemas.openxmlformats.org/spreadsheetml/2006/main" count="1783" uniqueCount="482">
  <si>
    <t>This spreadsheet was created by Sam Sharr and Brian Bue with modifications by John Wilcock.</t>
  </si>
  <si>
    <t xml:space="preserve">Sheet "Brood Tab " contains the wild stock brood table for major age classes (age 1.1, 1.2, 1.3, 2.2, and 2.3) </t>
  </si>
  <si>
    <t>These are best estimates of the total return of Coghill wild stock sockeye salmon</t>
  </si>
  <si>
    <t xml:space="preserve">Point </t>
  </si>
  <si>
    <t>Lower</t>
  </si>
  <si>
    <t>Upper</t>
  </si>
  <si>
    <t>Escapement Goal</t>
  </si>
  <si>
    <t>Projected Harvest</t>
  </si>
  <si>
    <t>80% Prediction Intervals</t>
  </si>
  <si>
    <t>Forecast</t>
  </si>
  <si>
    <t>Average %</t>
  </si>
  <si>
    <t>Age Class</t>
  </si>
  <si>
    <t>Error</t>
  </si>
  <si>
    <t>ln R/S 1.2 vs BYE (1)</t>
  </si>
  <si>
    <t>ln 1.2 vs. ln 1.1 (2)</t>
  </si>
  <si>
    <t>Age 1.2</t>
  </si>
  <si>
    <t>ln 1.3 vs. ln 1.2 (1)</t>
  </si>
  <si>
    <t>Age 1.3</t>
  </si>
  <si>
    <t>ln R/S 1.3 vs. BYE (2)</t>
  </si>
  <si>
    <t>ln 2.2 vs. ln BYE (1)</t>
  </si>
  <si>
    <t>ln 2.2 vs. ln 1.2 (2)</t>
  </si>
  <si>
    <t>Age 2.2</t>
  </si>
  <si>
    <t>ln 2.3 vs. ln 2.2</t>
  </si>
  <si>
    <t>Age 2.3</t>
  </si>
  <si>
    <t>Totals</t>
  </si>
  <si>
    <t>Forecasted Return</t>
  </si>
  <si>
    <t>1.2 method one includes 1974-1994 BYR data</t>
  </si>
  <si>
    <t>1.2 method two includes 1976-1994 BYR  data.</t>
  </si>
  <si>
    <t>Total</t>
  </si>
  <si>
    <t>Weir</t>
  </si>
  <si>
    <t>File:</t>
  </si>
  <si>
    <t>Sheet:</t>
  </si>
  <si>
    <t>and calculate the 80% CI around the forecast based on the jackknifed</t>
  </si>
  <si>
    <t>accuracy of the present year model in predicting returns for prior years.</t>
  </si>
  <si>
    <t xml:space="preserve">Coghill Sockeye </t>
  </si>
  <si>
    <t>Brood Yr</t>
  </si>
  <si>
    <t>Return Yr</t>
  </si>
  <si>
    <t>Brood</t>
  </si>
  <si>
    <t>B.Y.</t>
  </si>
  <si>
    <t>Ln B.Y.</t>
  </si>
  <si>
    <t>Return</t>
  </si>
  <si>
    <t xml:space="preserve">Brood </t>
  </si>
  <si>
    <t>Year</t>
  </si>
  <si>
    <t>Escpmt.</t>
  </si>
  <si>
    <t>R</t>
  </si>
  <si>
    <t>ln(R)</t>
  </si>
  <si>
    <t>ln(R/S)</t>
  </si>
  <si>
    <t>Average</t>
  </si>
  <si>
    <t>Mean</t>
  </si>
  <si>
    <t>N</t>
  </si>
  <si>
    <t>STdev</t>
  </si>
  <si>
    <t>t(n-1,0.1)</t>
  </si>
  <si>
    <t>This sheet appears to be a calculation of appropriate exploitation rate for Coghill wild stocks.  It was</t>
  </si>
  <si>
    <t>Appropriate</t>
  </si>
  <si>
    <t>Actual</t>
  </si>
  <si>
    <t>Catch</t>
  </si>
  <si>
    <t>BackCalc</t>
  </si>
  <si>
    <t>Esc</t>
  </si>
  <si>
    <t>Avg</t>
  </si>
  <si>
    <t>Run</t>
  </si>
  <si>
    <t>Escapement</t>
  </si>
  <si>
    <t>Goal</t>
  </si>
  <si>
    <t>Tot Run</t>
  </si>
  <si>
    <t>Beginings of a summary file of total exploitation of area sockeye stocks.  Incorporate into a separate file at some point.</t>
  </si>
  <si>
    <t>PWS Sockeye Salmon Harvest</t>
  </si>
  <si>
    <t>1969-1994 directly from Merritt and Donaldson 1995.  1995 from final fish ticket report.</t>
  </si>
  <si>
    <t>PURSE SEINE</t>
  </si>
  <si>
    <t>Unakwik</t>
  </si>
  <si>
    <t>DRIFT GILLNET</t>
  </si>
  <si>
    <t>SET</t>
  </si>
  <si>
    <t>Main Bay</t>
  </si>
  <si>
    <t>Misc.</t>
  </si>
  <si>
    <t>North</t>
  </si>
  <si>
    <t>South</t>
  </si>
  <si>
    <t>GILLNET</t>
  </si>
  <si>
    <t>Hatchery</t>
  </si>
  <si>
    <t>All</t>
  </si>
  <si>
    <t>Coghill</t>
  </si>
  <si>
    <t>Eshamy</t>
  </si>
  <si>
    <t>Eastern</t>
  </si>
  <si>
    <t>Northern</t>
  </si>
  <si>
    <t>Western</t>
  </si>
  <si>
    <t>Montague</t>
  </si>
  <si>
    <t>for Forecast</t>
  </si>
  <si>
    <t>ESAHMY</t>
  </si>
  <si>
    <t>Sales</t>
  </si>
  <si>
    <t>Else</t>
  </si>
  <si>
    <t>TOTAL</t>
  </si>
  <si>
    <t>Subsistence</t>
  </si>
  <si>
    <t>Bering</t>
  </si>
  <si>
    <t>Copper</t>
  </si>
  <si>
    <t>1975:   4242 = illegal gn catches</t>
  </si>
  <si>
    <t>92, 93 include TF sales</t>
  </si>
  <si>
    <t>96 includes donated and confiscated that may have been CR</t>
  </si>
  <si>
    <t>94 includes TF</t>
  </si>
  <si>
    <t>from 1993 AMR</t>
  </si>
  <si>
    <t>95 Includes TF</t>
  </si>
  <si>
    <t>n</t>
  </si>
  <si>
    <t>SE of mean</t>
  </si>
  <si>
    <t>t</t>
  </si>
  <si>
    <t>+/-</t>
  </si>
  <si>
    <t>lower</t>
  </si>
  <si>
    <t>midpt</t>
  </si>
  <si>
    <t>upper</t>
  </si>
  <si>
    <t>Date:</t>
  </si>
  <si>
    <t>11/96</t>
  </si>
  <si>
    <t>Regression Output:</t>
  </si>
  <si>
    <t>Constant</t>
  </si>
  <si>
    <t>Std Err of Y Est</t>
  </si>
  <si>
    <t>R Squared</t>
  </si>
  <si>
    <t>No. of Observations</t>
  </si>
  <si>
    <t>Degrees of Freedom</t>
  </si>
  <si>
    <t>X Coefficient(s)</t>
  </si>
  <si>
    <t>Std Err of Coef.</t>
  </si>
  <si>
    <t>Model = Predict log returns per spawner aged 1.2 (ln(R_x001E_d1.2_x001F_/S) from brood year escapement (S)</t>
  </si>
  <si>
    <t>X =</t>
  </si>
  <si>
    <t>S</t>
  </si>
  <si>
    <t>Y=</t>
  </si>
  <si>
    <t>ln(R_x001E_d1.2_x001F_/S)</t>
  </si>
  <si>
    <t>Graphics Section</t>
  </si>
  <si>
    <t xml:space="preserve">        Variables</t>
  </si>
  <si>
    <t xml:space="preserve">          Regression Data</t>
  </si>
  <si>
    <t xml:space="preserve">       Confidence Intervals (transformed if applicable)</t>
  </si>
  <si>
    <t xml:space="preserve">         Confidence Intervals (in numbers of fish)</t>
  </si>
  <si>
    <t>Percent</t>
  </si>
  <si>
    <t>X</t>
  </si>
  <si>
    <t>(A)</t>
  </si>
  <si>
    <t>(B)</t>
  </si>
  <si>
    <t>Labels(B)</t>
  </si>
  <si>
    <t>Confidence Bounds</t>
  </si>
  <si>
    <t>Independent</t>
  </si>
  <si>
    <t>Dependent</t>
  </si>
  <si>
    <t>Std Err</t>
  </si>
  <si>
    <t>Y est</t>
  </si>
  <si>
    <t>Leave 1 out</t>
  </si>
  <si>
    <t>Point</t>
  </si>
  <si>
    <t>Brood Yr.</t>
  </si>
  <si>
    <t>Predicted</t>
  </si>
  <si>
    <t>(C)</t>
  </si>
  <si>
    <t>(D)</t>
  </si>
  <si>
    <t>Y_x001E_do_x001F_</t>
  </si>
  <si>
    <t>d.f.</t>
  </si>
  <si>
    <t>Coef. X</t>
  </si>
  <si>
    <t>Y_x001E_de_x001F_</t>
  </si>
  <si>
    <t>R_x001E_u2_x001F_</t>
  </si>
  <si>
    <t>"Error"</t>
  </si>
  <si>
    <t>Y_x001E_do_x001F_-Y_x001E_de</t>
  </si>
  <si>
    <t>E_x001E_u2_x001F_=(Y_x001E_da_x001F_-Y_x001E_de_x001F_)_x001E_u2_x001F_</t>
  </si>
  <si>
    <t>Y_x001E_de_x001F_-Avg(E_x001E_u2_x001F_)</t>
  </si>
  <si>
    <t>Y_x001E_de_x001F_+Avg(E_x001E_u2_x001F_)</t>
  </si>
  <si>
    <t>(Y_x001E_de_x001F_-Y_x001E_do_x001F_)/Y_x001E_do_x001F_</t>
  </si>
  <si>
    <t>Y</t>
  </si>
  <si>
    <t>d.f. =</t>
  </si>
  <si>
    <t>M.S.E. Leave 1 out =</t>
  </si>
  <si>
    <t>t=</t>
  </si>
  <si>
    <t>M.S.E. ALL =</t>
  </si>
  <si>
    <t>Avg Err.:</t>
  </si>
  <si>
    <t>Avg Pct Err=</t>
  </si>
  <si>
    <t>SLOPE =</t>
  </si>
  <si>
    <t>Model = Predict log returns aged 1.2 (ln(R_x001E_d1.2_x001F_)) from log returns aged 1.1 (ln(R_x001E_d1.1_x001F_)).</t>
  </si>
  <si>
    <t>ln (1.1)</t>
  </si>
  <si>
    <t>ln (1.2)</t>
  </si>
  <si>
    <t>Residuals</t>
  </si>
  <si>
    <t>SSE</t>
  </si>
  <si>
    <t>E_x001E_u2_x001F_=(Y_x001E_do_x001F_-Y_x001E_de_x001F_)_x001E_u2_x001F_</t>
  </si>
  <si>
    <t>LN 1.1</t>
  </si>
  <si>
    <t>M.S.E. =</t>
  </si>
  <si>
    <t>Avg Err=</t>
  </si>
  <si>
    <t xml:space="preserve">    SLOPE   =</t>
  </si>
  <si>
    <t>Model = Predict log returns aged 1.3 (ln(R_x001E_d1.3_x001F_)) from log returns aged 1.2 (ln(R_x001E_d1.2_x001F_)).</t>
  </si>
  <si>
    <t>ln (1.3)</t>
  </si>
  <si>
    <t xml:space="preserve">Slope = </t>
  </si>
  <si>
    <t>Model = Predict log returns per spawner aged 1.3 (ln(R_x001E_d1.3_x001F_/S) from brood year escapement (S)</t>
  </si>
  <si>
    <t>ln(R_x001E_d1.3_x001F_/S)</t>
  </si>
  <si>
    <t>Slope =</t>
  </si>
  <si>
    <t>Model = Predict log returns aged 2.2 (ln(R_x001E_d2.2_x001F_) from log brood year escapement ln(BYE)</t>
  </si>
  <si>
    <t>ln (BYE)</t>
  </si>
  <si>
    <t>ln (2.2)</t>
  </si>
  <si>
    <t>LN BYE</t>
  </si>
  <si>
    <t>Model = Predict log returns aged 2.2 (ln(R_x001E_d2.2_x001F_)) from log returns aged 1.2 (ln(R_x001E_d1.2_x001F_)).</t>
  </si>
  <si>
    <t>LN 1.2</t>
  </si>
  <si>
    <t>Model = Predict log returns aged 2.3 (ln(R_x001E_d2.3_x001F_)) from log returns aged 2.2 (ln(R_x001E_d2.2_x001F_)).</t>
  </si>
  <si>
    <t>ln (2.3)</t>
  </si>
  <si>
    <t>Table of returns by release group</t>
  </si>
  <si>
    <t>Survival Data</t>
  </si>
  <si>
    <t>Squared Errors for Cum Surv.</t>
  </si>
  <si>
    <t>Percent of Return by Age</t>
  </si>
  <si>
    <t>Squared Errors for Returns by Age</t>
  </si>
  <si>
    <t>Regression Table For Coghill Stock</t>
  </si>
  <si>
    <t>Release Data</t>
  </si>
  <si>
    <t>Return Data</t>
  </si>
  <si>
    <t>Survival(s)</t>
  </si>
  <si>
    <t>Cum Survivals</t>
  </si>
  <si>
    <t>Aged 3</t>
  </si>
  <si>
    <t>Aged 4</t>
  </si>
  <si>
    <t>Aged 5</t>
  </si>
  <si>
    <t>Returns</t>
  </si>
  <si>
    <t>Stock</t>
  </si>
  <si>
    <t>Rel Year</t>
  </si>
  <si>
    <t>Treatment</t>
  </si>
  <si>
    <t>Release Site</t>
  </si>
  <si>
    <t>Size</t>
  </si>
  <si>
    <t>Tag #</t>
  </si>
  <si>
    <t>Release</t>
  </si>
  <si>
    <t>Aged 3+4</t>
  </si>
  <si>
    <t>Regression of aged 3 versus aged 4</t>
  </si>
  <si>
    <t>TAGC</t>
  </si>
  <si>
    <t>BDYR</t>
  </si>
  <si>
    <t>RYR</t>
  </si>
  <si>
    <t xml:space="preserve">HAT$              </t>
  </si>
  <si>
    <t xml:space="preserve">RELSITE           </t>
  </si>
  <si>
    <t xml:space="preserve">STOCK             </t>
  </si>
  <si>
    <t>adp/fw</t>
  </si>
  <si>
    <t>On Site</t>
  </si>
  <si>
    <t xml:space="preserve">MAIN BAY        </t>
  </si>
  <si>
    <t xml:space="preserve">MAIN BAY 225-20     </t>
  </si>
  <si>
    <t xml:space="preserve">COGHILL LK          </t>
  </si>
  <si>
    <t>adp/fw/sw</t>
  </si>
  <si>
    <t>omp/fw</t>
  </si>
  <si>
    <t>omp/fw/sw</t>
  </si>
  <si>
    <t>fw/sw</t>
  </si>
  <si>
    <t>fw</t>
  </si>
  <si>
    <t>density(800,000)</t>
  </si>
  <si>
    <t>tor-2nd</t>
  </si>
  <si>
    <t>tor-1st</t>
  </si>
  <si>
    <t>Regression of aged 3+4 versus aged 5</t>
  </si>
  <si>
    <t>density(600,000)</t>
  </si>
  <si>
    <t>density(100,000)</t>
  </si>
  <si>
    <t>density(400,000)</t>
  </si>
  <si>
    <t>tor-4th</t>
  </si>
  <si>
    <t>tor-3rd</t>
  </si>
  <si>
    <t>Early Rel.</t>
  </si>
  <si>
    <t xml:space="preserve">ESHAMY R 225-30     </t>
  </si>
  <si>
    <t xml:space="preserve">ESHAMY LK           </t>
  </si>
  <si>
    <t>Size 6 gm</t>
  </si>
  <si>
    <t>Size 12 gm</t>
  </si>
  <si>
    <t xml:space="preserve">COGHILL R 223-30    </t>
  </si>
  <si>
    <t>Size 18 gm</t>
  </si>
  <si>
    <t>Remote</t>
  </si>
  <si>
    <t>Coghill Bay</t>
  </si>
  <si>
    <t>MB Prod</t>
  </si>
  <si>
    <t xml:space="preserve">6.6/8.4 </t>
  </si>
  <si>
    <t>Eshamy Bay</t>
  </si>
  <si>
    <t>Esther Pass lk.</t>
  </si>
  <si>
    <t xml:space="preserve">PASS LK 223-20      </t>
  </si>
  <si>
    <t>Pass lk.</t>
  </si>
  <si>
    <t>ESTHER PASS LK223-20</t>
  </si>
  <si>
    <t>Size 12 gm (no BKD)</t>
  </si>
  <si>
    <t xml:space="preserve">ESHAMY LK 225-30    </t>
  </si>
  <si>
    <t>Size 6 gm (had BKD)</t>
  </si>
  <si>
    <t>Size 12 gm (had BKD)</t>
  </si>
  <si>
    <t>Early Release (had BKD)</t>
  </si>
  <si>
    <t>(no BKD)</t>
  </si>
  <si>
    <t>Remote (no BKD)</t>
  </si>
  <si>
    <t>Remote (pre-smolt in lake)</t>
  </si>
  <si>
    <t>Eshamy Lake</t>
  </si>
  <si>
    <t>Eyak</t>
  </si>
  <si>
    <t>Brood Dev.</t>
  </si>
  <si>
    <t xml:space="preserve">EYAK LK             </t>
  </si>
  <si>
    <t>Time of Relase</t>
  </si>
  <si>
    <t xml:space="preserve">MARSHA LK 226-30    </t>
  </si>
  <si>
    <t xml:space="preserve">MAIN BAY (COGHILL)  </t>
  </si>
  <si>
    <t>Size at Release</t>
  </si>
  <si>
    <t xml:space="preserve"> *410,541 IHN destroyed</t>
  </si>
  <si>
    <t xml:space="preserve"> *890,893 IHN destroyed</t>
  </si>
  <si>
    <t>Pre-smolt into Marsh Bay Lk</t>
  </si>
  <si>
    <t>Marsha Bay</t>
  </si>
  <si>
    <t xml:space="preserve">COGHILL LK (DAVIS)  </t>
  </si>
  <si>
    <t>Size at Relaese</t>
  </si>
  <si>
    <t>Remote Release</t>
  </si>
  <si>
    <t>Brood Develpment</t>
  </si>
  <si>
    <t xml:space="preserve"> *86,763 IHN destroyed</t>
  </si>
  <si>
    <t xml:space="preserve">(W) COGHILL LK  </t>
  </si>
  <si>
    <t>Zero check</t>
  </si>
  <si>
    <t xml:space="preserve">(W) ESHAMY R    </t>
  </si>
  <si>
    <t xml:space="preserve">ESHAMY R            </t>
  </si>
  <si>
    <t>Coghill on Site</t>
  </si>
  <si>
    <t xml:space="preserve">(W) JACKPOT CR  </t>
  </si>
  <si>
    <t xml:space="preserve">JACKPOT CR 226-20   </t>
  </si>
  <si>
    <t xml:space="preserve">JACKPOT CR          </t>
  </si>
  <si>
    <t>Coghill Remote</t>
  </si>
  <si>
    <t>Eshamy On Site</t>
  </si>
  <si>
    <t>Eshamy Remote</t>
  </si>
  <si>
    <t>Based on CWT results alone</t>
  </si>
  <si>
    <t>Mid Point Estimates</t>
  </si>
  <si>
    <t>Lower Bound Estimates</t>
  </si>
  <si>
    <t>Upper Bound Estimates</t>
  </si>
  <si>
    <t>On Site Coghill</t>
  </si>
  <si>
    <t>On Site Eshamy</t>
  </si>
  <si>
    <t>Others</t>
  </si>
  <si>
    <t>CWT</t>
  </si>
  <si>
    <t>Coghill Cat</t>
  </si>
  <si>
    <t>Coghill Weir</t>
  </si>
  <si>
    <t>Eshamy Cat</t>
  </si>
  <si>
    <t>Eshamy Weir</t>
  </si>
  <si>
    <t>Main Bay C.R.</t>
  </si>
  <si>
    <t>SW Cat</t>
  </si>
  <si>
    <t>Table of t values (two tailed)</t>
  </si>
  <si>
    <t xml:space="preserve">BDYR              </t>
  </si>
  <si>
    <t xml:space="preserve">TAGC              </t>
  </si>
  <si>
    <t xml:space="preserve">CONTRIB           </t>
  </si>
  <si>
    <t xml:space="preserve">COGHILL LK 223-30   </t>
  </si>
  <si>
    <t>x</t>
  </si>
  <si>
    <t xml:space="preserve">MAIN BAY            </t>
  </si>
  <si>
    <t xml:space="preserve">RELYR             </t>
  </si>
  <si>
    <t xml:space="preserve">EXPERMNT          </t>
  </si>
  <si>
    <t xml:space="preserve">TAGGED            </t>
  </si>
  <si>
    <t xml:space="preserve">RELEASED          </t>
  </si>
  <si>
    <t xml:space="preserve">OTHER                    </t>
  </si>
  <si>
    <t xml:space="preserve">REMOTE STOCKING          </t>
  </si>
  <si>
    <t xml:space="preserve">DIET TRIAL               </t>
  </si>
  <si>
    <t xml:space="preserve">REARING DENSITY          </t>
  </si>
  <si>
    <t xml:space="preserve">TIME OF RELEASE          </t>
  </si>
  <si>
    <t xml:space="preserve">BROOD SELECTION          </t>
  </si>
  <si>
    <t xml:space="preserve">SIZE OF RELEASE          </t>
  </si>
  <si>
    <t xml:space="preserve">TRAIL LAKES     </t>
  </si>
  <si>
    <t xml:space="preserve">BEAR CR 231-30      </t>
  </si>
  <si>
    <t xml:space="preserve">BIG R 245-50        </t>
  </si>
  <si>
    <t xml:space="preserve">ZERO CHECK               </t>
  </si>
  <si>
    <t xml:space="preserve">BEAR LK 231-30      </t>
  </si>
  <si>
    <t>Intercept</t>
  </si>
  <si>
    <t>Resid df</t>
  </si>
  <si>
    <t>CoefX</t>
  </si>
  <si>
    <t>CoefXSE</t>
  </si>
  <si>
    <r>
      <t>Y</t>
    </r>
    <r>
      <rPr>
        <vertAlign val="subscript"/>
        <sz val="10"/>
        <rFont val="DUTCH"/>
      </rPr>
      <t>est</t>
    </r>
  </si>
  <si>
    <t>YestSE</t>
  </si>
  <si>
    <r>
      <t>R</t>
    </r>
    <r>
      <rPr>
        <vertAlign val="superscript"/>
        <sz val="10"/>
        <rFont val="DUTCH"/>
      </rPr>
      <t>sq</t>
    </r>
  </si>
  <si>
    <t>Model</t>
  </si>
  <si>
    <t>t_n-1,0.2 =</t>
  </si>
  <si>
    <t xml:space="preserve">      Confidence Interval = t_n-1,.02 * MSE +/- Forecast</t>
  </si>
  <si>
    <t>Total Run</t>
  </si>
  <si>
    <t>Commercial Harvest</t>
  </si>
  <si>
    <t>Difference</t>
  </si>
  <si>
    <t>Squared</t>
  </si>
  <si>
    <t>Species</t>
  </si>
  <si>
    <t>Positive</t>
  </si>
  <si>
    <t>Negative</t>
  </si>
  <si>
    <t>Sockeye</t>
  </si>
  <si>
    <t>Total Error</t>
  </si>
  <si>
    <t>Mean Error</t>
  </si>
  <si>
    <t>80% of Mean Error</t>
  </si>
  <si>
    <t>1/2 Width</t>
  </si>
  <si>
    <t>80% C. I.</t>
  </si>
  <si>
    <t>This file is used to jacknife selected forecast models through the 1974-2001 data base</t>
  </si>
  <si>
    <t>Originally produced by Sharr as of 12/94.  Modified by Wilcock 11/95. Modified by S. Moffitt in 1997 and 2000.</t>
  </si>
  <si>
    <t>Aged 1.1 (3 year old fish)</t>
  </si>
  <si>
    <t>Aged 1.2 (4 year old fish)</t>
  </si>
  <si>
    <t>Aged 1.3 (5 year old fish)</t>
  </si>
  <si>
    <t>Aged 2.2 (5 year old fish)</t>
  </si>
  <si>
    <t>Aged 2.3 (6 year old fish)</t>
  </si>
  <si>
    <t xml:space="preserve"> SLOPE=</t>
  </si>
  <si>
    <t xml:space="preserve"> SLOPE =</t>
  </si>
  <si>
    <t>SLOPE=</t>
  </si>
  <si>
    <t>NA</t>
  </si>
  <si>
    <t>Coghill Lake wild stock sockeye salmon preseason forecast</t>
  </si>
  <si>
    <t>Update the data for the previous and current year on the "Performance" worksheet.  This worksheet tracks the</t>
  </si>
  <si>
    <t>historical performance of this model in forecasting next years return.</t>
  </si>
  <si>
    <t>current year before you run the model.</t>
  </si>
  <si>
    <t>Proportion</t>
  </si>
  <si>
    <t>of Forecast</t>
  </si>
  <si>
    <t xml:space="preserve">Errors for each method of forecasting.  Choose the one with the lowest Ave. Percent Errors.  </t>
  </si>
  <si>
    <t xml:space="preserve">Does this look accurate or what you expected???  </t>
  </si>
  <si>
    <t xml:space="preserve">I've found that if you have a strong 1.2 return the model will forecast a very strong 1.3 return.  In years past this has proved </t>
  </si>
  <si>
    <t xml:space="preserve">Input the "Total Return" values by age into the "BroodTab" worksheet in this workbook, and also update the </t>
  </si>
  <si>
    <t>10-Ave.</t>
  </si>
  <si>
    <t xml:space="preserve">         Exploitation Rate</t>
  </si>
  <si>
    <t>Update the formula range on each model worksheet associated with:</t>
  </si>
  <si>
    <r>
      <t>(ln(R))</t>
    </r>
    <r>
      <rPr>
        <vertAlign val="superscript"/>
        <sz val="12"/>
        <rFont val="Times New Roman"/>
        <family val="1"/>
      </rPr>
      <t>2</t>
    </r>
  </si>
  <si>
    <r>
      <t>(ln(R/S))</t>
    </r>
    <r>
      <rPr>
        <vertAlign val="superscript"/>
        <sz val="12"/>
        <rFont val="Times New Roman"/>
        <family val="1"/>
      </rPr>
      <t>2</t>
    </r>
  </si>
  <si>
    <t xml:space="preserve">R2 = </t>
  </si>
  <si>
    <t>Y a</t>
  </si>
  <si>
    <t>R2 =</t>
  </si>
  <si>
    <t xml:space="preserve">     R2     =</t>
  </si>
  <si>
    <t>R2     =</t>
  </si>
  <si>
    <t>R2  =</t>
  </si>
  <si>
    <t>Count</t>
  </si>
  <si>
    <t>Min</t>
  </si>
  <si>
    <t>Max</t>
  </si>
  <si>
    <t>Harvest</t>
  </si>
  <si>
    <t>Point estimate =</t>
  </si>
  <si>
    <t>Estimation of 80% Confidence Intervals for Coghill Lake sockeye salmon forecasts.</t>
  </si>
  <si>
    <t>Forecast using forecast performance to calculate prediction intervals.</t>
  </si>
  <si>
    <t>Rank</t>
  </si>
  <si>
    <t>Coghill Lake return.  Review previous year's worksheets to precisely explain how this is completed.</t>
  </si>
  <si>
    <t xml:space="preserve">Update and double check the ranges within the formulas on the "Forecast Summary" worksheet of this workbook.  Specifically, </t>
  </si>
  <si>
    <t>Hopefully it is??</t>
  </si>
  <si>
    <t xml:space="preserve">to forecast age-1.3s. After completing this on each page return to the "Forecast_Summary" worksheet.  Examine the Ave. Percent </t>
  </si>
  <si>
    <t xml:space="preserve">On each page, toggle the "Run PRESS" twice for each page; this will run the "leave one out" macro on each page.  For example, one model uses 1.2s </t>
  </si>
  <si>
    <t>Absolute</t>
  </si>
  <si>
    <t>Percentage</t>
  </si>
  <si>
    <r>
      <t xml:space="preserve">Estimate </t>
    </r>
    <r>
      <rPr>
        <vertAlign val="superscript"/>
        <sz val="12"/>
        <rFont val="Times New Roman"/>
        <family val="1"/>
      </rPr>
      <t>a</t>
    </r>
  </si>
  <si>
    <r>
      <t>a</t>
    </r>
    <r>
      <rPr>
        <sz val="12"/>
        <rFont val="Times New Roman"/>
        <family val="1"/>
      </rPr>
      <t xml:space="preserve"> Shaded estimates have the lowest average error and were used in the forecast.</t>
    </r>
  </si>
  <si>
    <t xml:space="preserve">Actual </t>
  </si>
  <si>
    <t>10-yr avg</t>
  </si>
  <si>
    <t>"Coghill_brood_Table.xls" workbook (in this subdirectory) also.</t>
  </si>
  <si>
    <t>Before you begin, be sure to double check all data, make sure that it is entered properly and in the appropriate locations.</t>
  </si>
  <si>
    <t>Age</t>
  </si>
  <si>
    <t xml:space="preserve">Return </t>
  </si>
  <si>
    <t>Year of 1.3's</t>
  </si>
  <si>
    <t>80% P. I.</t>
  </si>
  <si>
    <t>Desired P.I. (%)</t>
  </si>
  <si>
    <t>Lower 80% PI =</t>
  </si>
  <si>
    <t>Upper 80% PI =</t>
  </si>
  <si>
    <t>the cells that reference the current year's data on the left hand side of the table.</t>
  </si>
  <si>
    <t>Majority</t>
  </si>
  <si>
    <t>EVERYTHING</t>
  </si>
  <si>
    <t xml:space="preserve">     2. Also for the "ln12, ln13" etc. sheets: Check the VLOOKUP range for the brood table on the third column from the left "Independent X" and Y Dependent.</t>
  </si>
  <si>
    <t xml:space="preserve">     1. "M.S.E. Leave 1 Out =" in the "ln12..., ln 13…", etc sheets. Leave 1 Out should include all but the last year of data.</t>
  </si>
  <si>
    <t xml:space="preserve">Update the forecast YEAR on the "Forecast Summary" worksheet of this workbook, this year is used in the </t>
  </si>
  <si>
    <t>BYE</t>
  </si>
  <si>
    <t xml:space="preserve"> BRY Returns</t>
  </si>
  <si>
    <t>in total returns of &gt;100K age 1.3 sockeye.</t>
  </si>
  <si>
    <t>Return Yr. Avg. (1989-present)</t>
  </si>
  <si>
    <t>Return Yr. Avg. (1974-present)</t>
  </si>
  <si>
    <t>All Years</t>
  </si>
  <si>
    <t>Last 10 Years</t>
  </si>
  <si>
    <t>Last 5 Years</t>
  </si>
  <si>
    <t>Using last 5 years preformance</t>
  </si>
  <si>
    <t>min</t>
  </si>
  <si>
    <t>average</t>
  </si>
  <si>
    <t>Drainage</t>
  </si>
  <si>
    <r>
      <t>"</t>
    </r>
    <r>
      <rPr>
        <b/>
        <sz val="14"/>
        <rFont val="Times New Roman"/>
        <family val="1"/>
      </rPr>
      <t>AInsertNewYear</t>
    </r>
    <r>
      <rPr>
        <sz val="14"/>
        <rFont val="Times New Roman"/>
        <family val="1"/>
      </rPr>
      <t>" macro.</t>
    </r>
  </si>
  <si>
    <r>
      <t xml:space="preserve">to be a large </t>
    </r>
    <r>
      <rPr>
        <b/>
        <u/>
        <sz val="14"/>
        <rFont val="Times New Roman"/>
        <family val="1"/>
      </rPr>
      <t>over</t>
    </r>
    <r>
      <rPr>
        <sz val="14"/>
        <rFont val="Times New Roman"/>
        <family val="1"/>
      </rPr>
      <t xml:space="preserve"> forecast (eg. Return year 1989, 1996, 2000, 2004, and 2005).  Age 1.2 returns of &gt;30K have almost always resulted</t>
    </r>
  </si>
  <si>
    <t>LN_1.3</t>
  </si>
  <si>
    <t>LN_1.2</t>
  </si>
  <si>
    <t>Largest UNDER Forecast =</t>
  </si>
  <si>
    <t>Largest OVER Forecast =</t>
  </si>
  <si>
    <t>1989-PRESENT</t>
  </si>
  <si>
    <t>LARGEST OVER FORECAST</t>
  </si>
  <si>
    <t>LARGEST UNDER FORECAST</t>
  </si>
  <si>
    <t>Forecast =</t>
  </si>
  <si>
    <t>Lower Bound</t>
  </si>
  <si>
    <t>Upper Bound</t>
  </si>
  <si>
    <t>Return Yr. MEDIAN (1989-present)</t>
  </si>
  <si>
    <t>probably produced in conunction with the 94 BOF presentations on Eshamy/Esther TF/Stock ID.</t>
  </si>
  <si>
    <t xml:space="preserve">Create and then update a new "20XX_Coghill_lake_wild_run.xls" worksheet.  This will allow you to reconstruct the previous year's complete </t>
  </si>
  <si>
    <t>SUMMARY OUTPUT</t>
  </si>
  <si>
    <t>Regression Statistics</t>
  </si>
  <si>
    <t>Multiple R</t>
  </si>
  <si>
    <t>R Square</t>
  </si>
  <si>
    <t>Adjusted R Square</t>
  </si>
  <si>
    <t>Standard Error</t>
  </si>
  <si>
    <t>Observations</t>
  </si>
  <si>
    <t>ANOVA</t>
  </si>
  <si>
    <t>Regression</t>
  </si>
  <si>
    <t>Residual</t>
  </si>
  <si>
    <t>df</t>
  </si>
  <si>
    <t>SS</t>
  </si>
  <si>
    <t>MS</t>
  </si>
  <si>
    <t>F</t>
  </si>
  <si>
    <t>Significance F</t>
  </si>
  <si>
    <t>Coefficients</t>
  </si>
  <si>
    <t>t Stat</t>
  </si>
  <si>
    <t>P-value</t>
  </si>
  <si>
    <t>Lower 95%</t>
  </si>
  <si>
    <t>Upper 95%</t>
  </si>
  <si>
    <t>X Variable 1</t>
  </si>
  <si>
    <t>Most Recent Value</t>
  </si>
  <si>
    <t>Procedures for completing forecast: (R. Brenner, 12/2012)</t>
  </si>
  <si>
    <t>RANK</t>
  </si>
  <si>
    <t xml:space="preserve">Run the "AInsertNewYear" macro under View/Macros/View Macros/"AInsertNewYear"/Run.  This will update the model with the </t>
  </si>
  <si>
    <t>The following is correct calculation suggested by Doug Eggers</t>
  </si>
  <si>
    <t>Point-Lower</t>
  </si>
  <si>
    <t>Upper-Point</t>
  </si>
  <si>
    <t>Stock 1</t>
  </si>
  <si>
    <t>-</t>
  </si>
  <si>
    <t>Stock 2</t>
  </si>
  <si>
    <t>Stock 3</t>
  </si>
  <si>
    <t>Stock 4</t>
  </si>
  <si>
    <t>Sum</t>
  </si>
  <si>
    <t>Point - Lower</t>
  </si>
  <si>
    <t>Upper - Point</t>
  </si>
  <si>
    <t>AVERAGE(OFFSET(B10,COUNT(B10:B55)-10,0,10,1))</t>
  </si>
  <si>
    <t>Recent 5 year average</t>
  </si>
  <si>
    <t>Total except 1.3</t>
  </si>
  <si>
    <t>rank</t>
  </si>
  <si>
    <t>Harvest Rate</t>
  </si>
  <si>
    <t>Forecast Yr =</t>
  </si>
  <si>
    <t>N (1974-present)</t>
  </si>
  <si>
    <t>BY Yield</t>
  </si>
  <si>
    <t>Commercial</t>
  </si>
  <si>
    <t>last 20 years</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</si>
</sst>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3" formatCode="_(* #,##0.00_);_(* \(#,##0.00\);_(* &quot;-&quot;??_);_(@_)"/>
    <numFmt numFmtId="164" formatCode="mm/dd/yy_)"/>
    <numFmt numFmtId="165" formatCode="0.0_)"/>
    <numFmt numFmtId="166" formatCode="0.00_)"/>
    <numFmt numFmtId="167" formatCode="0.0000_)"/>
    <numFmt numFmtId="168" formatCode="0_)"/>
    <numFmt numFmtId="169" formatCode="0.000_)"/>
    <numFmt numFmtId="170" formatCode="0.00000_)"/>
    <numFmt numFmtId="171" formatCode="0.0%"/>
    <numFmt numFmtId="172" formatCode="0.00E+00_)"/>
    <numFmt numFmtId="173" formatCode="0.0000000_)"/>
    <numFmt numFmtId="174" formatCode="0.0000"/>
    <numFmt numFmtId="175" formatCode="0.0000000"/>
    <numFmt numFmtId="176" formatCode="#,##0.0000_);\(#,##0.0000\)"/>
    <numFmt numFmtId="177" formatCode="0.00000000000000"/>
    <numFmt numFmtId="178" formatCode="0.0000_);[Red]\(0.0000\)"/>
    <numFmt numFmtId="179" formatCode="_(* #,##0_);_(* \(#,##0\);_(* &quot;-&quot;??_);_(@_)"/>
    <numFmt numFmtId="180" formatCode="0.000%"/>
  </numFmts>
  <fonts count="58" x14ac:knownFonts="1">
    <font>
      <sz val="12"/>
      <name val="SWISS"/>
    </font>
    <font>
      <sz val="10"/>
      <name val="Arial"/>
      <family val="2"/>
    </font>
    <font>
      <sz val="12"/>
      <color indexed="12"/>
      <name val="SWISS"/>
      <family val="2"/>
    </font>
    <font>
      <sz val="10"/>
      <name val="DUTCH"/>
      <family val="1"/>
    </font>
    <font>
      <i/>
      <sz val="12"/>
      <name val="SWISS"/>
    </font>
    <font>
      <vertAlign val="subscript"/>
      <sz val="10"/>
      <name val="DUTCH"/>
    </font>
    <font>
      <vertAlign val="superscript"/>
      <sz val="10"/>
      <name val="DUTCH"/>
    </font>
    <font>
      <sz val="8"/>
      <color indexed="81"/>
      <name val="Tahoma"/>
      <family val="2"/>
    </font>
    <font>
      <b/>
      <sz val="8"/>
      <color indexed="81"/>
      <name val="Tahoma"/>
      <family val="2"/>
    </font>
    <font>
      <b/>
      <sz val="14"/>
      <color indexed="81"/>
      <name val="Tahoma"/>
      <family val="2"/>
    </font>
    <font>
      <sz val="14"/>
      <color indexed="81"/>
      <name val="Tahoma"/>
      <family val="2"/>
    </font>
    <font>
      <sz val="8"/>
      <name val="SWISS"/>
    </font>
    <font>
      <sz val="12"/>
      <name val="Times New Roman"/>
      <family val="1"/>
    </font>
    <font>
      <b/>
      <sz val="12"/>
      <name val="Times New Roman"/>
      <family val="1"/>
    </font>
    <font>
      <b/>
      <sz val="14"/>
      <name val="Times New Roman"/>
      <family val="1"/>
    </font>
    <font>
      <sz val="18"/>
      <name val="Times New Roman"/>
      <family val="1"/>
    </font>
    <font>
      <b/>
      <sz val="12"/>
      <color indexed="12"/>
      <name val="Times New Roman"/>
      <family val="1"/>
    </font>
    <font>
      <sz val="12"/>
      <color indexed="12"/>
      <name val="Times New Roman"/>
      <family val="1"/>
    </font>
    <font>
      <b/>
      <sz val="18"/>
      <name val="Times New Roman"/>
      <family val="1"/>
    </font>
    <font>
      <sz val="14"/>
      <name val="Times New Roman"/>
      <family val="1"/>
    </font>
    <font>
      <sz val="12"/>
      <color indexed="8"/>
      <name val="Times New Roman"/>
      <family val="1"/>
    </font>
    <font>
      <b/>
      <sz val="14"/>
      <color indexed="8"/>
      <name val="Times New Roman"/>
      <family val="1"/>
    </font>
    <font>
      <b/>
      <sz val="16"/>
      <name val="Times New Roman"/>
      <family val="1"/>
    </font>
    <font>
      <sz val="12"/>
      <color indexed="10"/>
      <name val="Times New Roman"/>
      <family val="1"/>
    </font>
    <font>
      <b/>
      <sz val="14"/>
      <color indexed="12"/>
      <name val="Times New Roman"/>
      <family val="1"/>
    </font>
    <font>
      <sz val="14"/>
      <color indexed="12"/>
      <name val="Times New Roman"/>
      <family val="1"/>
    </font>
    <font>
      <vertAlign val="superscript"/>
      <sz val="12"/>
      <name val="Times New Roman"/>
      <family val="1"/>
    </font>
    <font>
      <b/>
      <sz val="12"/>
      <color indexed="81"/>
      <name val="Tahoma"/>
      <family val="2"/>
    </font>
    <font>
      <sz val="12"/>
      <color indexed="81"/>
      <name val="Tahoma"/>
      <family val="2"/>
    </font>
    <font>
      <sz val="11"/>
      <color indexed="81"/>
      <name val="Tahoma"/>
      <family val="2"/>
    </font>
    <font>
      <sz val="10"/>
      <name val="Times New Roman"/>
      <family val="1"/>
    </font>
    <font>
      <sz val="14"/>
      <color indexed="81"/>
      <name val="SWISS"/>
    </font>
    <font>
      <sz val="20"/>
      <color indexed="81"/>
      <name val="Tahoma"/>
      <family val="2"/>
    </font>
    <font>
      <b/>
      <sz val="18"/>
      <color indexed="12"/>
      <name val="Times New Roman"/>
      <family val="1"/>
    </font>
    <font>
      <sz val="12"/>
      <color indexed="12"/>
      <name val="SWISS"/>
    </font>
    <font>
      <sz val="12"/>
      <color indexed="12"/>
      <name val="Times New Roman"/>
      <family val="1"/>
    </font>
    <font>
      <b/>
      <sz val="10"/>
      <name val="Times New Roman"/>
      <family val="1"/>
    </font>
    <font>
      <sz val="18"/>
      <color indexed="81"/>
      <name val="Tahoma"/>
      <family val="2"/>
    </font>
    <font>
      <sz val="16"/>
      <color indexed="81"/>
      <name val="Tahoma"/>
      <family val="2"/>
    </font>
    <font>
      <sz val="18"/>
      <color indexed="12"/>
      <name val="Times New Roman"/>
      <family val="1"/>
    </font>
    <font>
      <b/>
      <sz val="16"/>
      <color indexed="81"/>
      <name val="Tahoma"/>
      <family val="2"/>
    </font>
    <font>
      <sz val="9"/>
      <color indexed="81"/>
      <name val="Tahoma"/>
      <family val="2"/>
    </font>
    <font>
      <b/>
      <sz val="9"/>
      <color indexed="81"/>
      <name val="Tahoma"/>
      <family val="2"/>
    </font>
    <font>
      <b/>
      <sz val="18"/>
      <color indexed="81"/>
      <name val="Tahoma"/>
      <family val="2"/>
    </font>
    <font>
      <b/>
      <u/>
      <sz val="14"/>
      <name val="Times New Roman"/>
      <family val="1"/>
    </font>
    <font>
      <b/>
      <sz val="20"/>
      <color indexed="81"/>
      <name val="Tahoma"/>
      <family val="2"/>
    </font>
    <font>
      <sz val="14"/>
      <color rgb="FF0000FF"/>
      <name val="Times New Roman"/>
      <family val="1"/>
    </font>
    <font>
      <sz val="12"/>
      <color rgb="FF0000FF"/>
      <name val="Times New Roman"/>
      <family val="1"/>
    </font>
    <font>
      <b/>
      <sz val="12"/>
      <color rgb="FF0000FF"/>
      <name val="Times New Roman"/>
      <family val="1"/>
    </font>
    <font>
      <b/>
      <sz val="10"/>
      <color rgb="FF0000FF"/>
      <name val="Times New Roman"/>
      <family val="1"/>
    </font>
    <font>
      <sz val="12"/>
      <name val="SWISS"/>
    </font>
    <font>
      <sz val="10"/>
      <color indexed="12"/>
      <name val="Times New Roman"/>
      <family val="1"/>
    </font>
    <font>
      <u/>
      <sz val="12"/>
      <color indexed="12"/>
      <name val="Times New Roman"/>
      <family val="1"/>
    </font>
    <font>
      <sz val="20"/>
      <name val="Times New Roman"/>
      <family val="1"/>
    </font>
    <font>
      <sz val="22"/>
      <color indexed="81"/>
      <name val="Tahoma"/>
      <family val="2"/>
    </font>
    <font>
      <b/>
      <sz val="24"/>
      <color indexed="81"/>
      <name val="Tahoma"/>
      <family val="2"/>
    </font>
    <font>
      <sz val="24"/>
      <color indexed="81"/>
      <name val="Tahoma"/>
      <family val="2"/>
    </font>
    <font>
      <sz val="12"/>
      <color rgb="FFFF0000"/>
      <name val="Times New Roman"/>
      <family val="1"/>
    </font>
  </fonts>
  <fills count="9">
    <fill>
      <patternFill patternType="none"/>
    </fill>
    <fill>
      <patternFill patternType="gray125"/>
    </fill>
    <fill>
      <patternFill patternType="solid">
        <fgColor indexed="9"/>
        <bgColor indexed="9"/>
      </patternFill>
    </fill>
    <fill>
      <patternFill patternType="solid">
        <fgColor indexed="22"/>
        <bgColor indexed="22"/>
      </patternFill>
    </fill>
    <fill>
      <patternFill patternType="solid">
        <fgColor indexed="13"/>
        <bgColor indexed="64"/>
      </patternFill>
    </fill>
    <fill>
      <patternFill patternType="gray125">
        <fgColor indexed="8"/>
      </patternFill>
    </fill>
    <fill>
      <patternFill patternType="solid">
        <fgColor rgb="FFFFFF00"/>
        <bgColor indexed="64"/>
      </patternFill>
    </fill>
    <fill>
      <patternFill patternType="solid">
        <fgColor indexed="44"/>
        <bgColor indexed="64"/>
      </patternFill>
    </fill>
    <fill>
      <patternFill patternType="solid">
        <fgColor rgb="FF92D050"/>
        <bgColor indexed="64"/>
      </patternFill>
    </fill>
  </fills>
  <borders count="79">
    <border>
      <left/>
      <right/>
      <top/>
      <bottom/>
      <diagonal/>
    </border>
    <border>
      <left style="thin">
        <color indexed="8"/>
      </left>
      <right/>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style="thin">
        <color indexed="8"/>
      </left>
      <right/>
      <top/>
      <bottom/>
      <diagonal/>
    </border>
    <border>
      <left/>
      <right style="thin">
        <color indexed="8"/>
      </right>
      <top/>
      <bottom/>
      <diagonal/>
    </border>
    <border>
      <left/>
      <right/>
      <top/>
      <bottom style="medium">
        <color auto="1"/>
      </bottom>
      <diagonal/>
    </border>
    <border>
      <left/>
      <right/>
      <top style="medium">
        <color auto="1"/>
      </top>
      <bottom style="thin">
        <color auto="1"/>
      </bottom>
      <diagonal/>
    </border>
    <border>
      <left style="double">
        <color indexed="8"/>
      </left>
      <right style="double">
        <color indexed="8"/>
      </right>
      <top style="double">
        <color indexed="8"/>
      </top>
      <bottom style="thin">
        <color auto="1"/>
      </bottom>
      <diagonal/>
    </border>
    <border>
      <left style="double">
        <color indexed="8"/>
      </left>
      <right/>
      <top style="double">
        <color indexed="8"/>
      </top>
      <bottom/>
      <diagonal/>
    </border>
    <border>
      <left style="thin">
        <color indexed="8"/>
      </left>
      <right/>
      <top style="double">
        <color indexed="8"/>
      </top>
      <bottom/>
      <diagonal/>
    </border>
    <border>
      <left/>
      <right/>
      <top style="double">
        <color indexed="8"/>
      </top>
      <bottom/>
      <diagonal/>
    </border>
    <border>
      <left style="thin">
        <color indexed="8"/>
      </left>
      <right style="double">
        <color indexed="8"/>
      </right>
      <top style="double">
        <color indexed="8"/>
      </top>
      <bottom/>
      <diagonal/>
    </border>
    <border>
      <left style="double">
        <color indexed="8"/>
      </left>
      <right/>
      <top/>
      <bottom style="double">
        <color indexed="8"/>
      </bottom>
      <diagonal/>
    </border>
    <border>
      <left style="thin">
        <color indexed="8"/>
      </left>
      <right/>
      <top style="thin">
        <color indexed="8"/>
      </top>
      <bottom style="double">
        <color indexed="8"/>
      </bottom>
      <diagonal/>
    </border>
    <border>
      <left style="thin">
        <color indexed="8"/>
      </left>
      <right/>
      <top/>
      <bottom style="double">
        <color indexed="8"/>
      </bottom>
      <diagonal/>
    </border>
    <border>
      <left style="thin">
        <color indexed="8"/>
      </left>
      <right style="double">
        <color indexed="8"/>
      </right>
      <top/>
      <bottom style="double">
        <color indexed="8"/>
      </bottom>
      <diagonal/>
    </border>
    <border>
      <left style="double">
        <color indexed="8"/>
      </left>
      <right/>
      <top/>
      <bottom style="thin">
        <color indexed="8"/>
      </bottom>
      <diagonal/>
    </border>
    <border>
      <left style="thin">
        <color indexed="8"/>
      </left>
      <right style="double">
        <color indexed="8"/>
      </right>
      <top/>
      <bottom style="thin">
        <color indexed="8"/>
      </bottom>
      <diagonal/>
    </border>
    <border>
      <left style="double">
        <color indexed="8"/>
      </left>
      <right/>
      <top/>
      <bottom/>
      <diagonal/>
    </border>
    <border>
      <left style="double">
        <color indexed="8"/>
      </left>
      <right style="thin">
        <color indexed="8"/>
      </right>
      <top style="double">
        <color indexed="8"/>
      </top>
      <bottom style="thin">
        <color indexed="8"/>
      </bottom>
      <diagonal/>
    </border>
    <border>
      <left style="thin">
        <color indexed="8"/>
      </left>
      <right/>
      <top style="double">
        <color indexed="8"/>
      </top>
      <bottom style="thin">
        <color indexed="8"/>
      </bottom>
      <diagonal/>
    </border>
    <border>
      <left style="thin">
        <color indexed="8"/>
      </left>
      <right style="double">
        <color indexed="8"/>
      </right>
      <top style="double">
        <color indexed="8"/>
      </top>
      <bottom style="thin">
        <color indexed="8"/>
      </bottom>
      <diagonal/>
    </border>
    <border>
      <left style="double">
        <color indexed="8"/>
      </left>
      <right/>
      <top style="thin">
        <color indexed="8"/>
      </top>
      <bottom style="double">
        <color indexed="8"/>
      </bottom>
      <diagonal/>
    </border>
    <border>
      <left style="double">
        <color indexed="8"/>
      </left>
      <right/>
      <top style="thin">
        <color indexed="8"/>
      </top>
      <bottom/>
      <diagonal/>
    </border>
    <border>
      <left/>
      <right style="double">
        <color indexed="8"/>
      </right>
      <top style="thin">
        <color indexed="8"/>
      </top>
      <bottom style="thin">
        <color indexed="8"/>
      </bottom>
      <diagonal/>
    </border>
    <border>
      <left style="thin">
        <color indexed="8"/>
      </left>
      <right style="double">
        <color indexed="8"/>
      </right>
      <top style="thin">
        <color indexed="8"/>
      </top>
      <bottom style="double">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right/>
      <top style="thick">
        <color indexed="8"/>
      </top>
      <bottom/>
      <diagonal/>
    </border>
    <border>
      <left/>
      <right/>
      <top/>
      <bottom style="thick">
        <color indexed="8"/>
      </bottom>
      <diagonal/>
    </border>
    <border>
      <left/>
      <right/>
      <top style="thin">
        <color auto="1"/>
      </top>
      <bottom/>
      <diagonal/>
    </border>
    <border>
      <left/>
      <right/>
      <top/>
      <bottom style="thin">
        <color auto="1"/>
      </bottom>
      <diagonal/>
    </border>
    <border>
      <left/>
      <right style="medium">
        <color auto="1"/>
      </right>
      <top/>
      <bottom/>
      <diagonal/>
    </border>
    <border>
      <left style="medium">
        <color auto="1"/>
      </left>
      <right/>
      <top/>
      <bottom/>
      <diagonal/>
    </border>
    <border>
      <left style="thick">
        <color indexed="8"/>
      </left>
      <right style="thick">
        <color indexed="8"/>
      </right>
      <top style="thick">
        <color indexed="8"/>
      </top>
      <bottom style="thick">
        <color indexed="8"/>
      </bottom>
      <diagonal/>
    </border>
    <border>
      <left style="medium">
        <color auto="1"/>
      </left>
      <right style="medium">
        <color auto="1"/>
      </right>
      <top style="medium">
        <color auto="1"/>
      </top>
      <bottom style="medium">
        <color auto="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indexed="8"/>
      </right>
      <top style="double">
        <color indexed="8"/>
      </top>
      <bottom style="thin">
        <color indexed="8"/>
      </bottom>
      <diagonal/>
    </border>
    <border>
      <left/>
      <right style="thin">
        <color indexed="8"/>
      </right>
      <top style="thin">
        <color indexed="8"/>
      </top>
      <bottom style="double">
        <color indexed="8"/>
      </bottom>
      <diagonal/>
    </border>
    <border>
      <left style="double">
        <color indexed="8"/>
      </left>
      <right style="thin">
        <color indexed="8"/>
      </right>
      <top style="thin">
        <color indexed="8"/>
      </top>
      <bottom style="double">
        <color indexed="8"/>
      </bottom>
      <diagonal/>
    </border>
    <border>
      <left style="double">
        <color indexed="8"/>
      </left>
      <right style="thin">
        <color indexed="8"/>
      </right>
      <top style="thin">
        <color indexed="8"/>
      </top>
      <bottom/>
      <diagonal/>
    </border>
    <border>
      <left/>
      <right/>
      <top style="thin">
        <color auto="1"/>
      </top>
      <bottom style="thin">
        <color auto="1"/>
      </bottom>
      <diagonal/>
    </border>
    <border>
      <left style="thick">
        <color theme="1"/>
      </left>
      <right/>
      <top style="thick">
        <color theme="1"/>
      </top>
      <bottom/>
      <diagonal/>
    </border>
    <border>
      <left/>
      <right/>
      <top style="thick">
        <color theme="1"/>
      </top>
      <bottom/>
      <diagonal/>
    </border>
    <border>
      <left/>
      <right style="thick">
        <color theme="1"/>
      </right>
      <top style="thick">
        <color theme="1"/>
      </top>
      <bottom/>
      <diagonal/>
    </border>
    <border>
      <left style="thick">
        <color theme="1"/>
      </left>
      <right/>
      <top/>
      <bottom/>
      <diagonal/>
    </border>
    <border>
      <left/>
      <right style="thick">
        <color theme="1"/>
      </right>
      <top/>
      <bottom/>
      <diagonal/>
    </border>
    <border>
      <left style="thick">
        <color theme="1"/>
      </left>
      <right/>
      <top style="thin">
        <color auto="1"/>
      </top>
      <bottom style="thin">
        <color auto="1"/>
      </bottom>
      <diagonal/>
    </border>
    <border>
      <left style="thick">
        <color theme="1"/>
      </left>
      <right/>
      <top/>
      <bottom style="thin">
        <color auto="1"/>
      </bottom>
      <diagonal/>
    </border>
    <border>
      <left/>
      <right style="thick">
        <color theme="1"/>
      </right>
      <top/>
      <bottom style="thin">
        <color auto="1"/>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style="thin">
        <color indexed="8"/>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s>
  <cellStyleXfs count="4">
    <xf numFmtId="0" fontId="0" fillId="0" borderId="0"/>
    <xf numFmtId="43" fontId="1" fillId="0" borderId="0" applyFont="0" applyFill="0" applyBorder="0" applyAlignment="0" applyProtection="0"/>
    <xf numFmtId="0" fontId="1" fillId="0" borderId="0"/>
    <xf numFmtId="43" fontId="50" fillId="0" borderId="0" applyFont="0" applyFill="0" applyBorder="0" applyAlignment="0" applyProtection="0"/>
  </cellStyleXfs>
  <cellXfs count="641">
    <xf numFmtId="0" fontId="0" fillId="0" borderId="0" xfId="0"/>
    <xf numFmtId="37" fontId="0" fillId="0" borderId="0" xfId="0" applyNumberFormat="1" applyProtection="1"/>
    <xf numFmtId="37" fontId="0" fillId="0" borderId="1" xfId="0" applyNumberFormat="1" applyBorder="1" applyProtection="1"/>
    <xf numFmtId="37" fontId="0" fillId="0" borderId="2" xfId="0" applyNumberFormat="1" applyBorder="1" applyProtection="1"/>
    <xf numFmtId="0" fontId="0" fillId="0" borderId="0" xfId="0" applyProtection="1"/>
    <xf numFmtId="0" fontId="0" fillId="0" borderId="1" xfId="0" applyBorder="1" applyProtection="1"/>
    <xf numFmtId="10" fontId="0" fillId="0" borderId="0" xfId="0" applyNumberFormat="1" applyProtection="1"/>
    <xf numFmtId="0" fontId="0" fillId="0" borderId="3" xfId="0" applyBorder="1" applyAlignment="1" applyProtection="1">
      <alignment horizontal="centerContinuous"/>
    </xf>
    <xf numFmtId="0" fontId="0" fillId="0" borderId="4" xfId="0" applyBorder="1" applyAlignment="1" applyProtection="1">
      <alignment horizontal="centerContinuous"/>
    </xf>
    <xf numFmtId="0" fontId="0" fillId="0" borderId="5" xfId="0" applyBorder="1" applyAlignment="1" applyProtection="1">
      <alignment horizontal="center"/>
    </xf>
    <xf numFmtId="0" fontId="0" fillId="0" borderId="6" xfId="0" applyBorder="1" applyProtection="1"/>
    <xf numFmtId="0" fontId="0" fillId="0" borderId="7" xfId="0" applyBorder="1" applyProtection="1"/>
    <xf numFmtId="0" fontId="0" fillId="0" borderId="8" xfId="0" applyBorder="1" applyProtection="1"/>
    <xf numFmtId="0" fontId="0" fillId="0" borderId="2" xfId="0" applyBorder="1" applyProtection="1"/>
    <xf numFmtId="0" fontId="0" fillId="0" borderId="9" xfId="0" applyBorder="1" applyProtection="1"/>
    <xf numFmtId="37" fontId="0" fillId="0" borderId="9" xfId="0" applyNumberFormat="1" applyBorder="1" applyProtection="1"/>
    <xf numFmtId="0" fontId="0" fillId="0" borderId="3" xfId="0" applyBorder="1" applyProtection="1"/>
    <xf numFmtId="0" fontId="0" fillId="0" borderId="4" xfId="0" applyBorder="1" applyProtection="1"/>
    <xf numFmtId="0" fontId="0" fillId="0" borderId="10" xfId="0" applyBorder="1" applyProtection="1"/>
    <xf numFmtId="0" fontId="0" fillId="0" borderId="11" xfId="0" applyBorder="1" applyAlignment="1">
      <alignment horizontal="center"/>
    </xf>
    <xf numFmtId="0" fontId="0" fillId="0" borderId="0" xfId="0" applyAlignment="1">
      <alignment horizontal="center"/>
    </xf>
    <xf numFmtId="0" fontId="0" fillId="0" borderId="12" xfId="0" applyBorder="1" applyAlignment="1">
      <alignment horizontal="center"/>
    </xf>
    <xf numFmtId="0" fontId="0" fillId="0" borderId="13" xfId="0" applyBorder="1" applyAlignment="1">
      <alignment horizontal="center"/>
    </xf>
    <xf numFmtId="37" fontId="2" fillId="0" borderId="0" xfId="0" applyNumberFormat="1" applyFont="1" applyProtection="1"/>
    <xf numFmtId="37" fontId="2" fillId="0" borderId="14" xfId="0" applyNumberFormat="1" applyFont="1" applyBorder="1" applyProtection="1"/>
    <xf numFmtId="37" fontId="0" fillId="0" borderId="12" xfId="0" applyNumberFormat="1" applyBorder="1" applyProtection="1"/>
    <xf numFmtId="0" fontId="0" fillId="0" borderId="12" xfId="0" applyBorder="1"/>
    <xf numFmtId="0" fontId="0" fillId="0" borderId="11" xfId="0" applyBorder="1"/>
    <xf numFmtId="0" fontId="0" fillId="0" borderId="13" xfId="0" applyBorder="1"/>
    <xf numFmtId="168" fontId="0" fillId="0" borderId="0" xfId="0" applyNumberFormat="1" applyProtection="1"/>
    <xf numFmtId="0" fontId="0" fillId="0" borderId="6" xfId="0" applyBorder="1" applyAlignment="1">
      <alignment horizontal="centerContinuous"/>
    </xf>
    <xf numFmtId="0" fontId="0" fillId="0" borderId="7" xfId="0" applyBorder="1" applyAlignment="1">
      <alignment horizontal="centerContinuous"/>
    </xf>
    <xf numFmtId="0" fontId="0" fillId="0" borderId="8" xfId="0" applyBorder="1" applyAlignment="1">
      <alignment horizontal="centerContinuous"/>
    </xf>
    <xf numFmtId="0" fontId="0" fillId="0" borderId="11" xfId="0" applyBorder="1" applyAlignment="1">
      <alignment horizontal="centerContinuous"/>
    </xf>
    <xf numFmtId="0" fontId="0" fillId="0" borderId="6" xfId="0" applyBorder="1" applyAlignment="1">
      <alignment horizontal="center"/>
    </xf>
    <xf numFmtId="0" fontId="0" fillId="0" borderId="0" xfId="0" applyAlignment="1">
      <alignment horizontal="right"/>
    </xf>
    <xf numFmtId="0" fontId="0" fillId="0" borderId="15" xfId="0" applyBorder="1" applyAlignment="1">
      <alignment horizontal="right"/>
    </xf>
    <xf numFmtId="0" fontId="0" fillId="0" borderId="14" xfId="0" applyBorder="1" applyAlignment="1">
      <alignment horizontal="right"/>
    </xf>
    <xf numFmtId="0" fontId="0" fillId="0" borderId="1" xfId="0" applyBorder="1" applyAlignment="1">
      <alignment horizontal="center"/>
    </xf>
    <xf numFmtId="0" fontId="0" fillId="0" borderId="2" xfId="0" applyBorder="1" applyAlignment="1">
      <alignment horizontal="right"/>
    </xf>
    <xf numFmtId="0" fontId="0" fillId="0" borderId="9" xfId="0" applyBorder="1" applyAlignment="1">
      <alignment horizontal="right"/>
    </xf>
    <xf numFmtId="0" fontId="0" fillId="0" borderId="1" xfId="0" applyBorder="1" applyAlignment="1">
      <alignment horizontal="right"/>
    </xf>
    <xf numFmtId="37" fontId="2" fillId="0" borderId="6" xfId="0" applyNumberFormat="1" applyFont="1" applyBorder="1" applyProtection="1"/>
    <xf numFmtId="37" fontId="2" fillId="0" borderId="7" xfId="0" applyNumberFormat="1" applyFont="1" applyBorder="1" applyProtection="1"/>
    <xf numFmtId="37" fontId="2" fillId="0" borderId="8" xfId="0" applyNumberFormat="1" applyFont="1" applyBorder="1" applyProtection="1"/>
    <xf numFmtId="37" fontId="2" fillId="0" borderId="11" xfId="0" applyNumberFormat="1" applyFont="1" applyBorder="1" applyProtection="1"/>
    <xf numFmtId="37" fontId="0" fillId="0" borderId="11" xfId="0" applyNumberFormat="1" applyBorder="1" applyProtection="1"/>
    <xf numFmtId="37" fontId="2" fillId="0" borderId="12" xfId="0" applyNumberFormat="1" applyFont="1" applyBorder="1" applyProtection="1"/>
    <xf numFmtId="37" fontId="2" fillId="0" borderId="15" xfId="0" applyNumberFormat="1" applyFont="1" applyBorder="1" applyProtection="1"/>
    <xf numFmtId="37" fontId="0" fillId="0" borderId="13" xfId="0" applyNumberFormat="1" applyBorder="1" applyProtection="1"/>
    <xf numFmtId="37" fontId="2" fillId="0" borderId="13" xfId="0" applyNumberFormat="1" applyFont="1" applyBorder="1" applyProtection="1"/>
    <xf numFmtId="0" fontId="0" fillId="0" borderId="6" xfId="0" applyBorder="1" applyAlignment="1">
      <alignment horizontal="right"/>
    </xf>
    <xf numFmtId="169" fontId="0" fillId="0" borderId="0" xfId="0" applyNumberFormat="1" applyProtection="1"/>
    <xf numFmtId="169" fontId="0" fillId="0" borderId="15" xfId="0" applyNumberFormat="1" applyBorder="1" applyProtection="1"/>
    <xf numFmtId="171" fontId="0" fillId="0" borderId="0" xfId="0" applyNumberFormat="1" applyProtection="1"/>
    <xf numFmtId="171" fontId="0" fillId="0" borderId="15" xfId="0" applyNumberFormat="1" applyBorder="1" applyProtection="1"/>
    <xf numFmtId="168" fontId="0" fillId="0" borderId="2" xfId="0" applyNumberFormat="1" applyBorder="1" applyProtection="1"/>
    <xf numFmtId="169" fontId="0" fillId="0" borderId="2" xfId="0" applyNumberFormat="1" applyBorder="1" applyProtection="1"/>
    <xf numFmtId="0" fontId="0" fillId="2" borderId="0" xfId="0" applyFill="1" applyProtection="1"/>
    <xf numFmtId="171" fontId="0" fillId="2" borderId="0" xfId="0" applyNumberFormat="1" applyFill="1" applyProtection="1"/>
    <xf numFmtId="0" fontId="0" fillId="2" borderId="3" xfId="0" applyFill="1" applyBorder="1" applyAlignment="1" applyProtection="1">
      <alignment horizontal="centerContinuous"/>
    </xf>
    <xf numFmtId="0" fontId="0" fillId="2" borderId="4" xfId="0" applyFill="1" applyBorder="1" applyAlignment="1" applyProtection="1">
      <alignment horizontal="centerContinuous"/>
    </xf>
    <xf numFmtId="0" fontId="0" fillId="2" borderId="10" xfId="0" applyFill="1" applyBorder="1" applyAlignment="1" applyProtection="1">
      <alignment horizontal="centerContinuous"/>
    </xf>
    <xf numFmtId="0" fontId="0" fillId="2" borderId="5" xfId="0" applyFill="1" applyBorder="1" applyAlignment="1" applyProtection="1">
      <alignment horizontal="centerContinuous"/>
    </xf>
    <xf numFmtId="0" fontId="0" fillId="0" borderId="10" xfId="0" applyBorder="1" applyAlignment="1" applyProtection="1">
      <alignment horizontal="centerContinuous"/>
    </xf>
    <xf numFmtId="0" fontId="0" fillId="2" borderId="5" xfId="0" applyFill="1" applyBorder="1" applyProtection="1"/>
    <xf numFmtId="0" fontId="0" fillId="2" borderId="7" xfId="0" applyFill="1" applyBorder="1" applyProtection="1"/>
    <xf numFmtId="0" fontId="0" fillId="2" borderId="8" xfId="0" applyFill="1" applyBorder="1" applyProtection="1"/>
    <xf numFmtId="0" fontId="0" fillId="2" borderId="6" xfId="0" applyFill="1" applyBorder="1" applyProtection="1"/>
    <xf numFmtId="0" fontId="0" fillId="0" borderId="5" xfId="0" applyBorder="1" applyAlignment="1" applyProtection="1">
      <alignment horizontal="centerContinuous"/>
    </xf>
    <xf numFmtId="0" fontId="0" fillId="0" borderId="14" xfId="0" applyBorder="1" applyProtection="1"/>
    <xf numFmtId="0" fontId="0" fillId="0" borderId="15" xfId="0" applyBorder="1" applyProtection="1"/>
    <xf numFmtId="0" fontId="0" fillId="2" borderId="11" xfId="0" applyFill="1" applyBorder="1" applyProtection="1"/>
    <xf numFmtId="10" fontId="0" fillId="2" borderId="0" xfId="0" applyNumberFormat="1" applyFill="1" applyProtection="1"/>
    <xf numFmtId="10" fontId="0" fillId="2" borderId="15" xfId="0" applyNumberFormat="1" applyFill="1" applyBorder="1" applyProtection="1"/>
    <xf numFmtId="167" fontId="0" fillId="2" borderId="0" xfId="0" applyNumberFormat="1" applyFill="1" applyProtection="1"/>
    <xf numFmtId="0" fontId="0" fillId="2" borderId="12" xfId="0" applyFill="1" applyBorder="1" applyProtection="1"/>
    <xf numFmtId="0" fontId="0" fillId="2" borderId="13" xfId="0" applyFill="1" applyBorder="1" applyProtection="1"/>
    <xf numFmtId="10" fontId="0" fillId="2" borderId="2" xfId="0" applyNumberFormat="1" applyFill="1" applyBorder="1" applyProtection="1"/>
    <xf numFmtId="10" fontId="0" fillId="2" borderId="9" xfId="0" applyNumberFormat="1" applyFill="1" applyBorder="1" applyProtection="1"/>
    <xf numFmtId="0" fontId="0" fillId="2" borderId="14" xfId="0" applyFill="1" applyBorder="1" applyProtection="1"/>
    <xf numFmtId="0" fontId="0" fillId="2" borderId="1" xfId="0" applyFill="1" applyBorder="1" applyProtection="1"/>
    <xf numFmtId="10" fontId="0" fillId="2" borderId="14" xfId="0" applyNumberFormat="1" applyFill="1" applyBorder="1" applyProtection="1"/>
    <xf numFmtId="10" fontId="0" fillId="2" borderId="1" xfId="0" applyNumberFormat="1" applyFill="1" applyBorder="1" applyProtection="1"/>
    <xf numFmtId="10" fontId="0" fillId="2" borderId="11" xfId="0" applyNumberFormat="1" applyFill="1" applyBorder="1" applyProtection="1"/>
    <xf numFmtId="167" fontId="0" fillId="2" borderId="11" xfId="0" applyNumberFormat="1" applyFill="1" applyBorder="1" applyProtection="1"/>
    <xf numFmtId="165" fontId="0" fillId="2" borderId="12" xfId="0" applyNumberFormat="1" applyFill="1" applyBorder="1" applyProtection="1"/>
    <xf numFmtId="10" fontId="0" fillId="2" borderId="12" xfId="0" applyNumberFormat="1" applyFill="1" applyBorder="1" applyProtection="1"/>
    <xf numFmtId="0" fontId="0" fillId="2" borderId="15" xfId="0" applyFill="1" applyBorder="1" applyProtection="1"/>
    <xf numFmtId="168" fontId="0" fillId="2" borderId="12" xfId="0" applyNumberFormat="1" applyFill="1" applyBorder="1" applyProtection="1"/>
    <xf numFmtId="0" fontId="0" fillId="2" borderId="2" xfId="0" applyFill="1" applyBorder="1" applyProtection="1"/>
    <xf numFmtId="0" fontId="0" fillId="2" borderId="9" xfId="0" applyFill="1" applyBorder="1" applyProtection="1"/>
    <xf numFmtId="37" fontId="0" fillId="2" borderId="12" xfId="0" applyNumberFormat="1" applyFill="1" applyBorder="1" applyProtection="1"/>
    <xf numFmtId="37" fontId="0" fillId="2" borderId="13" xfId="0" applyNumberFormat="1" applyFill="1" applyBorder="1" applyProtection="1"/>
    <xf numFmtId="0" fontId="0" fillId="0" borderId="5" xfId="0" applyBorder="1" applyProtection="1"/>
    <xf numFmtId="0" fontId="0" fillId="0" borderId="11" xfId="0" applyBorder="1" applyProtection="1"/>
    <xf numFmtId="10" fontId="0" fillId="0" borderId="15" xfId="0" applyNumberFormat="1" applyBorder="1" applyProtection="1"/>
    <xf numFmtId="171" fontId="0" fillId="0" borderId="14" xfId="0" applyNumberFormat="1" applyBorder="1" applyProtection="1"/>
    <xf numFmtId="0" fontId="0" fillId="0" borderId="12" xfId="0" applyBorder="1" applyProtection="1"/>
    <xf numFmtId="0" fontId="0" fillId="0" borderId="13" xfId="0" applyBorder="1" applyProtection="1"/>
    <xf numFmtId="10" fontId="0" fillId="0" borderId="2" xfId="0" applyNumberFormat="1" applyBorder="1" applyProtection="1"/>
    <xf numFmtId="0" fontId="0" fillId="0" borderId="9" xfId="0" applyBorder="1" applyAlignment="1" applyProtection="1">
      <alignment horizontal="centerContinuous"/>
    </xf>
    <xf numFmtId="168" fontId="0" fillId="0" borderId="4" xfId="0" applyNumberFormat="1" applyBorder="1" applyProtection="1"/>
    <xf numFmtId="168" fontId="0" fillId="0" borderId="10" xfId="0" applyNumberFormat="1" applyBorder="1" applyProtection="1"/>
    <xf numFmtId="168" fontId="0" fillId="0" borderId="1" xfId="0" applyNumberFormat="1" applyBorder="1" applyProtection="1"/>
    <xf numFmtId="168" fontId="0" fillId="0" borderId="3" xfId="0" applyNumberFormat="1" applyBorder="1" applyProtection="1"/>
    <xf numFmtId="169" fontId="0" fillId="0" borderId="6" xfId="0" applyNumberFormat="1" applyBorder="1" applyProtection="1"/>
    <xf numFmtId="169" fontId="0" fillId="0" borderId="7" xfId="0" applyNumberFormat="1" applyBorder="1" applyProtection="1"/>
    <xf numFmtId="169" fontId="0" fillId="0" borderId="8" xfId="0" applyNumberFormat="1" applyBorder="1" applyProtection="1"/>
    <xf numFmtId="169" fontId="0" fillId="0" borderId="14" xfId="0" applyNumberFormat="1" applyBorder="1" applyProtection="1"/>
    <xf numFmtId="169" fontId="0" fillId="0" borderId="1" xfId="0" applyNumberFormat="1" applyBorder="1" applyProtection="1"/>
    <xf numFmtId="169" fontId="0" fillId="0" borderId="9" xfId="0" applyNumberFormat="1" applyBorder="1" applyProtection="1"/>
    <xf numFmtId="0" fontId="3" fillId="0" borderId="13" xfId="0" applyFont="1" applyBorder="1" applyAlignment="1">
      <alignment horizontal="center"/>
    </xf>
    <xf numFmtId="0" fontId="0" fillId="2" borderId="5" xfId="0" applyFill="1" applyBorder="1" applyAlignment="1" applyProtection="1">
      <alignment horizontal="center"/>
    </xf>
    <xf numFmtId="0" fontId="0" fillId="2" borderId="12" xfId="0" applyFill="1" applyBorder="1" applyAlignment="1" applyProtection="1">
      <alignment horizontal="right"/>
    </xf>
    <xf numFmtId="165" fontId="0" fillId="0" borderId="0" xfId="0" applyNumberFormat="1" applyAlignment="1" applyProtection="1">
      <alignment horizontal="right"/>
    </xf>
    <xf numFmtId="0" fontId="0" fillId="0" borderId="0" xfId="0" applyFill="1" applyBorder="1" applyAlignment="1"/>
    <xf numFmtId="0" fontId="0" fillId="0" borderId="16" xfId="0" applyFill="1" applyBorder="1" applyAlignment="1"/>
    <xf numFmtId="0" fontId="4" fillId="0" borderId="17" xfId="0" applyFont="1" applyFill="1" applyBorder="1" applyAlignment="1">
      <alignment horizontal="center"/>
    </xf>
    <xf numFmtId="0" fontId="4" fillId="0" borderId="17" xfId="0" applyFont="1" applyFill="1" applyBorder="1" applyAlignment="1">
      <alignment horizontal="centerContinuous"/>
    </xf>
    <xf numFmtId="166" fontId="3" fillId="0" borderId="13" xfId="0" applyNumberFormat="1" applyFont="1" applyBorder="1" applyAlignment="1" applyProtection="1">
      <alignment horizontal="center"/>
    </xf>
    <xf numFmtId="173" fontId="3" fillId="0" borderId="13" xfId="0" applyNumberFormat="1" applyFont="1" applyBorder="1" applyAlignment="1" applyProtection="1">
      <alignment horizontal="center"/>
    </xf>
    <xf numFmtId="170" fontId="3" fillId="0" borderId="13" xfId="0" applyNumberFormat="1" applyFont="1" applyBorder="1" applyAlignment="1" applyProtection="1">
      <alignment horizontal="center"/>
    </xf>
    <xf numFmtId="169" fontId="3" fillId="0" borderId="13" xfId="0" applyNumberFormat="1" applyFont="1" applyBorder="1" applyAlignment="1" applyProtection="1">
      <alignment horizontal="center"/>
    </xf>
    <xf numFmtId="0" fontId="12" fillId="0" borderId="0" xfId="0" applyFont="1"/>
    <xf numFmtId="0" fontId="14" fillId="0" borderId="0" xfId="0" applyFont="1"/>
    <xf numFmtId="0" fontId="12" fillId="0" borderId="0" xfId="0" applyFont="1" applyAlignment="1">
      <alignment horizontal="center"/>
    </xf>
    <xf numFmtId="0" fontId="15" fillId="0" borderId="0" xfId="0" applyFont="1" applyProtection="1"/>
    <xf numFmtId="0" fontId="12" fillId="0" borderId="18" xfId="0" applyFont="1" applyBorder="1" applyAlignment="1" applyProtection="1">
      <alignment horizontal="center"/>
    </xf>
    <xf numFmtId="0" fontId="12" fillId="0" borderId="19" xfId="0" applyFont="1" applyBorder="1" applyAlignment="1" applyProtection="1">
      <alignment horizontal="center"/>
    </xf>
    <xf numFmtId="0" fontId="12" fillId="0" borderId="20" xfId="0" applyFont="1" applyBorder="1" applyAlignment="1" applyProtection="1">
      <alignment horizontal="centerContinuous"/>
    </xf>
    <xf numFmtId="0" fontId="12" fillId="0" borderId="21" xfId="0" applyFont="1" applyBorder="1" applyAlignment="1" applyProtection="1">
      <alignment horizontal="centerContinuous"/>
    </xf>
    <xf numFmtId="0" fontId="12" fillId="0" borderId="20" xfId="0" applyFont="1" applyBorder="1" applyAlignment="1" applyProtection="1">
      <alignment horizontal="center"/>
    </xf>
    <xf numFmtId="0" fontId="12" fillId="0" borderId="22" xfId="0" applyFont="1" applyBorder="1" applyAlignment="1" applyProtection="1">
      <alignment horizontal="center"/>
    </xf>
    <xf numFmtId="37" fontId="12" fillId="0" borderId="0" xfId="0" applyNumberFormat="1" applyFont="1" applyProtection="1"/>
    <xf numFmtId="0" fontId="12" fillId="0" borderId="23" xfId="0" applyFont="1" applyBorder="1" applyAlignment="1" applyProtection="1">
      <alignment horizontal="center"/>
    </xf>
    <xf numFmtId="0" fontId="12" fillId="0" borderId="24" xfId="0" applyFont="1" applyBorder="1" applyAlignment="1" applyProtection="1">
      <alignment horizontal="center"/>
    </xf>
    <xf numFmtId="0" fontId="12" fillId="0" borderId="25" xfId="0" applyFont="1" applyBorder="1" applyAlignment="1" applyProtection="1">
      <alignment horizontal="center"/>
    </xf>
    <xf numFmtId="0" fontId="12" fillId="0" borderId="26" xfId="0" applyFont="1" applyBorder="1" applyAlignment="1" applyProtection="1">
      <alignment horizontal="center"/>
    </xf>
    <xf numFmtId="0" fontId="12" fillId="0" borderId="27" xfId="0" applyFont="1" applyBorder="1" applyProtection="1"/>
    <xf numFmtId="0" fontId="12" fillId="0" borderId="27" xfId="0" applyFont="1" applyBorder="1" applyAlignment="1" applyProtection="1">
      <alignment horizontal="center"/>
    </xf>
    <xf numFmtId="0" fontId="12" fillId="0" borderId="1" xfId="0" applyFont="1" applyBorder="1" applyProtection="1"/>
    <xf numFmtId="0" fontId="12" fillId="0" borderId="28" xfId="0" applyFont="1" applyBorder="1" applyProtection="1"/>
    <xf numFmtId="0" fontId="12" fillId="0" borderId="29" xfId="0" applyFont="1" applyBorder="1" applyProtection="1"/>
    <xf numFmtId="0" fontId="12" fillId="0" borderId="0" xfId="0" applyFont="1" applyProtection="1"/>
    <xf numFmtId="0" fontId="13" fillId="3" borderId="27" xfId="0" applyFont="1" applyFill="1" applyBorder="1" applyAlignment="1" applyProtection="1">
      <alignment horizontal="center"/>
    </xf>
    <xf numFmtId="0" fontId="13" fillId="0" borderId="0" xfId="0" applyFont="1" applyAlignment="1" applyProtection="1">
      <alignment horizontal="centerContinuous"/>
    </xf>
    <xf numFmtId="0" fontId="12" fillId="0" borderId="0" xfId="0" applyFont="1" applyAlignment="1" applyProtection="1">
      <alignment horizontal="centerContinuous"/>
    </xf>
    <xf numFmtId="165" fontId="12" fillId="0" borderId="0" xfId="0" applyNumberFormat="1" applyFont="1" applyProtection="1"/>
    <xf numFmtId="0" fontId="12" fillId="0" borderId="23" xfId="0" applyFont="1" applyBorder="1" applyProtection="1"/>
    <xf numFmtId="37" fontId="18" fillId="0" borderId="23" xfId="0" applyNumberFormat="1" applyFont="1" applyBorder="1" applyAlignment="1" applyProtection="1">
      <alignment horizontal="center"/>
    </xf>
    <xf numFmtId="37" fontId="14" fillId="0" borderId="26" xfId="0" applyNumberFormat="1" applyFont="1" applyBorder="1" applyProtection="1"/>
    <xf numFmtId="0" fontId="19" fillId="0" borderId="30" xfId="0" applyFont="1" applyBorder="1" applyAlignment="1" applyProtection="1">
      <alignment horizontal="center"/>
    </xf>
    <xf numFmtId="37" fontId="19" fillId="0" borderId="31" xfId="0" applyNumberFormat="1" applyFont="1" applyBorder="1" applyProtection="1"/>
    <xf numFmtId="0" fontId="19" fillId="0" borderId="31" xfId="0" applyFont="1" applyBorder="1" applyProtection="1"/>
    <xf numFmtId="0" fontId="19" fillId="0" borderId="32" xfId="0" applyFont="1" applyBorder="1" applyProtection="1"/>
    <xf numFmtId="0" fontId="18" fillId="0" borderId="33" xfId="0" applyFont="1" applyBorder="1" applyAlignment="1" applyProtection="1">
      <alignment horizontal="center"/>
    </xf>
    <xf numFmtId="0" fontId="19" fillId="0" borderId="0" xfId="0" applyFont="1" applyProtection="1"/>
    <xf numFmtId="37" fontId="19" fillId="0" borderId="0" xfId="0" applyNumberFormat="1" applyFont="1" applyProtection="1"/>
    <xf numFmtId="0" fontId="12" fillId="0" borderId="6" xfId="0" applyFont="1" applyBorder="1" applyAlignment="1" applyProtection="1">
      <alignment horizontal="centerContinuous"/>
    </xf>
    <xf numFmtId="0" fontId="12" fillId="0" borderId="8" xfId="0" applyFont="1" applyBorder="1" applyAlignment="1" applyProtection="1">
      <alignment horizontal="centerContinuous"/>
    </xf>
    <xf numFmtId="0" fontId="12" fillId="0" borderId="3" xfId="0" applyFont="1" applyBorder="1" applyAlignment="1" applyProtection="1">
      <alignment horizontal="centerContinuous"/>
    </xf>
    <xf numFmtId="0" fontId="12" fillId="0" borderId="4" xfId="0" applyFont="1" applyBorder="1" applyAlignment="1" applyProtection="1">
      <alignment horizontal="centerContinuous"/>
    </xf>
    <xf numFmtId="0" fontId="12" fillId="0" borderId="5" xfId="0" applyFont="1" applyBorder="1" applyAlignment="1" applyProtection="1">
      <alignment horizontal="center"/>
    </xf>
    <xf numFmtId="37" fontId="20" fillId="0" borderId="14" xfId="0" applyNumberFormat="1" applyFont="1" applyBorder="1" applyProtection="1"/>
    <xf numFmtId="0" fontId="19" fillId="0" borderId="14" xfId="0" applyFont="1" applyBorder="1" applyAlignment="1" applyProtection="1">
      <alignment horizontal="left"/>
    </xf>
    <xf numFmtId="0" fontId="12" fillId="0" borderId="0" xfId="0" applyFont="1" applyAlignment="1" applyProtection="1">
      <alignment horizontal="left"/>
    </xf>
    <xf numFmtId="0" fontId="12" fillId="0" borderId="0" xfId="0" applyFont="1" applyAlignment="1" applyProtection="1">
      <alignment horizontal="right"/>
    </xf>
    <xf numFmtId="0" fontId="12" fillId="0" borderId="6" xfId="0" applyFont="1" applyBorder="1" applyAlignment="1" applyProtection="1">
      <alignment horizontal="right"/>
    </xf>
    <xf numFmtId="164" fontId="12" fillId="0" borderId="0" xfId="0" applyNumberFormat="1" applyFont="1" applyAlignment="1" applyProtection="1">
      <alignment horizontal="left"/>
    </xf>
    <xf numFmtId="0" fontId="12" fillId="0" borderId="11" xfId="0" applyFont="1" applyBorder="1" applyProtection="1"/>
    <xf numFmtId="0" fontId="12" fillId="0" borderId="10" xfId="0" applyFont="1" applyBorder="1" applyAlignment="1" applyProtection="1">
      <alignment horizontal="centerContinuous"/>
    </xf>
    <xf numFmtId="0" fontId="12" fillId="0" borderId="12" xfId="0" applyFont="1" applyBorder="1" applyAlignment="1" applyProtection="1">
      <alignment horizontal="center"/>
    </xf>
    <xf numFmtId="0" fontId="12" fillId="0" borderId="11" xfId="0" applyFont="1" applyBorder="1" applyAlignment="1" applyProtection="1">
      <alignment horizontal="right"/>
    </xf>
    <xf numFmtId="0" fontId="12" fillId="0" borderId="13" xfId="0" applyFont="1" applyBorder="1" applyAlignment="1" applyProtection="1">
      <alignment horizontal="center"/>
    </xf>
    <xf numFmtId="0" fontId="12" fillId="0" borderId="11" xfId="0" applyFont="1" applyBorder="1" applyAlignment="1" applyProtection="1">
      <alignment horizontal="center"/>
    </xf>
    <xf numFmtId="0" fontId="12" fillId="0" borderId="0" xfId="0" applyFont="1" applyAlignment="1" applyProtection="1">
      <alignment horizontal="center"/>
    </xf>
    <xf numFmtId="168" fontId="12" fillId="0" borderId="0" xfId="0" applyNumberFormat="1" applyFont="1" applyAlignment="1" applyProtection="1">
      <alignment horizontal="right"/>
    </xf>
    <xf numFmtId="38" fontId="12" fillId="0" borderId="0" xfId="0" applyNumberFormat="1" applyFont="1" applyAlignment="1" applyProtection="1">
      <alignment horizontal="right"/>
    </xf>
    <xf numFmtId="0" fontId="12" fillId="0" borderId="7" xfId="0" applyFont="1" applyBorder="1" applyAlignment="1" applyProtection="1">
      <alignment horizontal="right"/>
    </xf>
    <xf numFmtId="171" fontId="12" fillId="0" borderId="8" xfId="0" applyNumberFormat="1" applyFont="1" applyBorder="1" applyAlignment="1" applyProtection="1">
      <alignment horizontal="center"/>
    </xf>
    <xf numFmtId="0" fontId="12" fillId="0" borderId="7" xfId="0" applyFont="1" applyBorder="1" applyAlignment="1" applyProtection="1">
      <alignment horizontal="center"/>
    </xf>
    <xf numFmtId="0" fontId="12" fillId="0" borderId="8" xfId="0" applyFont="1" applyBorder="1" applyAlignment="1" applyProtection="1">
      <alignment horizontal="center"/>
    </xf>
    <xf numFmtId="0" fontId="12" fillId="0" borderId="12" xfId="0" applyFont="1" applyBorder="1" applyProtection="1"/>
    <xf numFmtId="171" fontId="12" fillId="0" borderId="15" xfId="0" applyNumberFormat="1" applyFont="1" applyBorder="1" applyAlignment="1" applyProtection="1">
      <alignment horizontal="center"/>
    </xf>
    <xf numFmtId="37" fontId="17" fillId="0" borderId="0" xfId="0" applyNumberFormat="1" applyFont="1" applyAlignment="1" applyProtection="1">
      <alignment horizontal="right"/>
    </xf>
    <xf numFmtId="37" fontId="17" fillId="0" borderId="0" xfId="0" applyNumberFormat="1" applyFont="1" applyFill="1" applyAlignment="1" applyProtection="1">
      <alignment horizontal="right"/>
    </xf>
    <xf numFmtId="37" fontId="17" fillId="0" borderId="0" xfId="0" applyNumberFormat="1" applyFont="1" applyFill="1" applyProtection="1"/>
    <xf numFmtId="0" fontId="12" fillId="0" borderId="12" xfId="0" applyFont="1" applyBorder="1" applyAlignment="1">
      <alignment horizontal="center"/>
    </xf>
    <xf numFmtId="0" fontId="12" fillId="0" borderId="14" xfId="0" applyFont="1" applyBorder="1" applyAlignment="1" applyProtection="1">
      <alignment horizontal="right"/>
    </xf>
    <xf numFmtId="10" fontId="12" fillId="0" borderId="15" xfId="0" applyNumberFormat="1" applyFont="1" applyBorder="1" applyProtection="1"/>
    <xf numFmtId="3" fontId="12" fillId="0" borderId="14" xfId="0" applyNumberFormat="1" applyFont="1" applyFill="1" applyBorder="1" applyAlignment="1" applyProtection="1">
      <alignment horizontal="right"/>
    </xf>
    <xf numFmtId="3" fontId="12" fillId="0" borderId="0" xfId="0" applyNumberFormat="1" applyFont="1" applyFill="1" applyAlignment="1" applyProtection="1">
      <alignment horizontal="right"/>
    </xf>
    <xf numFmtId="38" fontId="12" fillId="0" borderId="0" xfId="0" applyNumberFormat="1" applyFont="1" applyFill="1" applyAlignment="1" applyProtection="1">
      <alignment horizontal="right"/>
    </xf>
    <xf numFmtId="37" fontId="12" fillId="0" borderId="14" xfId="0" applyNumberFormat="1" applyFont="1" applyFill="1" applyBorder="1" applyAlignment="1" applyProtection="1">
      <alignment horizontal="right"/>
    </xf>
    <xf numFmtId="3" fontId="20" fillId="0" borderId="14" xfId="0" applyNumberFormat="1" applyFont="1" applyFill="1" applyBorder="1" applyAlignment="1" applyProtection="1">
      <alignment horizontal="right"/>
    </xf>
    <xf numFmtId="37" fontId="20" fillId="0" borderId="14" xfId="0" applyNumberFormat="1" applyFont="1" applyFill="1" applyBorder="1" applyAlignment="1" applyProtection="1">
      <alignment horizontal="right"/>
    </xf>
    <xf numFmtId="3" fontId="17" fillId="0" borderId="0" xfId="0" applyNumberFormat="1" applyFont="1" applyFill="1" applyAlignment="1" applyProtection="1">
      <alignment horizontal="right"/>
    </xf>
    <xf numFmtId="38" fontId="17" fillId="0" borderId="0" xfId="0" applyNumberFormat="1" applyFont="1" applyFill="1" applyAlignment="1" applyProtection="1">
      <alignment horizontal="right"/>
    </xf>
    <xf numFmtId="37" fontId="20" fillId="0" borderId="0" xfId="0" applyNumberFormat="1" applyFont="1" applyFill="1" applyProtection="1"/>
    <xf numFmtId="0" fontId="12" fillId="0" borderId="0" xfId="0" applyFont="1" applyBorder="1"/>
    <xf numFmtId="0" fontId="13" fillId="0" borderId="0" xfId="0" applyFont="1" applyBorder="1" applyProtection="1"/>
    <xf numFmtId="0" fontId="12" fillId="0" borderId="0" xfId="0" applyFont="1" applyBorder="1" applyProtection="1"/>
    <xf numFmtId="0" fontId="12" fillId="0" borderId="0" xfId="0" applyFont="1" applyBorder="1" applyAlignment="1" applyProtection="1">
      <alignment horizontal="centerContinuous"/>
    </xf>
    <xf numFmtId="0" fontId="12" fillId="0" borderId="0" xfId="0" applyFont="1" applyBorder="1" applyAlignment="1" applyProtection="1">
      <alignment horizontal="center"/>
    </xf>
    <xf numFmtId="10" fontId="12" fillId="0" borderId="0" xfId="0" applyNumberFormat="1" applyFont="1" applyBorder="1" applyProtection="1"/>
    <xf numFmtId="37" fontId="17" fillId="0" borderId="0" xfId="0" applyNumberFormat="1" applyFont="1" applyBorder="1" applyProtection="1"/>
    <xf numFmtId="37" fontId="12" fillId="0" borderId="0" xfId="0" applyNumberFormat="1" applyFont="1" applyBorder="1" applyProtection="1"/>
    <xf numFmtId="0" fontId="13" fillId="0" borderId="0" xfId="0" applyFont="1" applyBorder="1" applyAlignment="1" applyProtection="1">
      <alignment horizontal="centerContinuous"/>
    </xf>
    <xf numFmtId="37" fontId="13" fillId="0" borderId="0" xfId="0" applyNumberFormat="1" applyFont="1" applyBorder="1" applyProtection="1"/>
    <xf numFmtId="0" fontId="12" fillId="0" borderId="0" xfId="0" applyFont="1" applyBorder="1" applyAlignment="1">
      <alignment horizontal="center"/>
    </xf>
    <xf numFmtId="37" fontId="12" fillId="0" borderId="2" xfId="0" applyNumberFormat="1" applyFont="1" applyBorder="1" applyAlignment="1" applyProtection="1">
      <alignment horizontal="center"/>
    </xf>
    <xf numFmtId="0" fontId="25" fillId="0" borderId="14" xfId="0" applyFont="1" applyBorder="1" applyAlignment="1" applyProtection="1">
      <alignment horizontal="left"/>
    </xf>
    <xf numFmtId="0" fontId="17" fillId="0" borderId="0" xfId="0" applyFont="1"/>
    <xf numFmtId="0" fontId="12" fillId="0" borderId="2" xfId="0" applyFont="1" applyBorder="1" applyAlignment="1" applyProtection="1">
      <alignment horizontal="right"/>
    </xf>
    <xf numFmtId="37" fontId="20" fillId="0" borderId="0" xfId="0" applyNumberFormat="1" applyFont="1" applyProtection="1"/>
    <xf numFmtId="0" fontId="12" fillId="0" borderId="0" xfId="0" applyFont="1" applyBorder="1" applyAlignment="1" applyProtection="1">
      <alignment horizontal="right"/>
    </xf>
    <xf numFmtId="37" fontId="17" fillId="0" borderId="0" xfId="0" applyNumberFormat="1" applyFont="1" applyProtection="1"/>
    <xf numFmtId="166" fontId="17" fillId="0" borderId="0" xfId="0" applyNumberFormat="1" applyFont="1" applyProtection="1"/>
    <xf numFmtId="3" fontId="12" fillId="0" borderId="0" xfId="0" applyNumberFormat="1" applyFont="1"/>
    <xf numFmtId="0" fontId="12" fillId="0" borderId="0" xfId="0" quotePrefix="1" applyFont="1" applyBorder="1" applyAlignment="1" applyProtection="1">
      <alignment horizontal="right"/>
    </xf>
    <xf numFmtId="0" fontId="12" fillId="0" borderId="2" xfId="0" applyFont="1" applyBorder="1" applyAlignment="1" applyProtection="1">
      <alignment horizontal="left"/>
    </xf>
    <xf numFmtId="0" fontId="17" fillId="0" borderId="0" xfId="0" applyFont="1" applyBorder="1"/>
    <xf numFmtId="0" fontId="12" fillId="0" borderId="7" xfId="0" applyFont="1" applyBorder="1" applyProtection="1"/>
    <xf numFmtId="0" fontId="12" fillId="0" borderId="2" xfId="0" applyFont="1" applyBorder="1"/>
    <xf numFmtId="0" fontId="12" fillId="0" borderId="11"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34" xfId="0" applyFont="1" applyBorder="1" applyAlignment="1">
      <alignment horizontal="center"/>
    </xf>
    <xf numFmtId="0" fontId="12" fillId="0" borderId="4" xfId="0" applyFont="1" applyBorder="1"/>
    <xf numFmtId="0" fontId="13" fillId="0" borderId="4" xfId="0" applyFont="1" applyBorder="1" applyAlignment="1">
      <alignment horizontal="center"/>
    </xf>
    <xf numFmtId="0" fontId="12" fillId="0" borderId="35" xfId="0" applyFont="1" applyBorder="1"/>
    <xf numFmtId="0" fontId="12" fillId="0" borderId="3" xfId="0" applyFont="1" applyBorder="1"/>
    <xf numFmtId="0" fontId="12" fillId="0" borderId="34" xfId="0" applyFont="1" applyBorder="1"/>
    <xf numFmtId="0" fontId="12" fillId="0" borderId="1" xfId="0" applyFont="1" applyBorder="1" applyAlignment="1">
      <alignment horizontal="center"/>
    </xf>
    <xf numFmtId="0" fontId="12" fillId="0" borderId="2" xfId="0" applyFont="1" applyBorder="1" applyAlignment="1">
      <alignment horizontal="center"/>
    </xf>
    <xf numFmtId="0" fontId="12" fillId="0" borderId="9" xfId="0" applyFont="1" applyBorder="1" applyAlignment="1">
      <alignment horizontal="center"/>
    </xf>
    <xf numFmtId="0" fontId="12" fillId="0" borderId="27" xfId="0" applyFont="1" applyBorder="1" applyAlignment="1">
      <alignment horizontal="center"/>
    </xf>
    <xf numFmtId="0" fontId="12" fillId="0" borderId="4" xfId="0" applyFont="1" applyBorder="1" applyAlignment="1">
      <alignment horizontal="center"/>
    </xf>
    <xf numFmtId="0" fontId="12" fillId="0" borderId="4" xfId="0" quotePrefix="1" applyFont="1" applyBorder="1" applyAlignment="1">
      <alignment horizontal="center"/>
    </xf>
    <xf numFmtId="0" fontId="12" fillId="0" borderId="35" xfId="0" quotePrefix="1" applyFont="1" applyBorder="1" applyAlignment="1">
      <alignment horizontal="center"/>
    </xf>
    <xf numFmtId="0" fontId="12" fillId="0" borderId="27" xfId="0" applyFont="1" applyBorder="1"/>
    <xf numFmtId="0" fontId="12" fillId="0" borderId="13" xfId="0" applyFont="1" applyBorder="1" applyAlignment="1">
      <alignment horizontal="center"/>
    </xf>
    <xf numFmtId="0" fontId="17" fillId="0" borderId="6" xfId="0" applyFont="1" applyBorder="1"/>
    <xf numFmtId="0" fontId="17" fillId="0" borderId="3" xfId="0" applyFont="1" applyBorder="1"/>
    <xf numFmtId="0" fontId="12" fillId="0" borderId="14" xfId="0" applyFont="1" applyBorder="1"/>
    <xf numFmtId="0" fontId="17" fillId="0" borderId="14" xfId="0" applyFont="1" applyBorder="1"/>
    <xf numFmtId="0" fontId="12" fillId="0" borderId="15" xfId="0" applyFont="1" applyBorder="1"/>
    <xf numFmtId="37" fontId="20" fillId="0" borderId="14" xfId="0" applyNumberFormat="1" applyFont="1" applyFill="1" applyBorder="1" applyProtection="1"/>
    <xf numFmtId="166" fontId="17" fillId="0" borderId="0" xfId="0" applyNumberFormat="1" applyFont="1" applyFill="1" applyProtection="1"/>
    <xf numFmtId="37" fontId="17" fillId="0" borderId="14" xfId="0" applyNumberFormat="1" applyFont="1" applyBorder="1" applyProtection="1"/>
    <xf numFmtId="0" fontId="12" fillId="0" borderId="12" xfId="0" applyFont="1" applyBorder="1"/>
    <xf numFmtId="0" fontId="12" fillId="0" borderId="6" xfId="0" applyFont="1" applyBorder="1"/>
    <xf numFmtId="0" fontId="12" fillId="0" borderId="7" xfId="0" applyFont="1" applyBorder="1"/>
    <xf numFmtId="0" fontId="12" fillId="0" borderId="8" xfId="0" applyFont="1" applyBorder="1"/>
    <xf numFmtId="0" fontId="12" fillId="0" borderId="11" xfId="0" applyFont="1" applyBorder="1"/>
    <xf numFmtId="0" fontId="13" fillId="0" borderId="14" xfId="0" applyFont="1" applyBorder="1" applyAlignment="1">
      <alignment horizontal="right"/>
    </xf>
    <xf numFmtId="0" fontId="17" fillId="0" borderId="15" xfId="0" applyFont="1" applyBorder="1"/>
    <xf numFmtId="37" fontId="17" fillId="0" borderId="12" xfId="0" applyNumberFormat="1" applyFont="1" applyBorder="1" applyProtection="1"/>
    <xf numFmtId="0" fontId="12" fillId="0" borderId="1" xfId="0" applyFont="1" applyBorder="1"/>
    <xf numFmtId="0" fontId="17" fillId="0" borderId="2" xfId="0" applyFont="1" applyBorder="1"/>
    <xf numFmtId="0" fontId="17" fillId="0" borderId="9" xfId="0" applyFont="1" applyBorder="1"/>
    <xf numFmtId="0" fontId="17" fillId="0" borderId="13" xfId="0" applyFont="1" applyBorder="1"/>
    <xf numFmtId="175" fontId="12" fillId="0" borderId="0" xfId="0" applyNumberFormat="1" applyFont="1"/>
    <xf numFmtId="168" fontId="12" fillId="0" borderId="0" xfId="0" applyNumberFormat="1" applyFont="1" applyProtection="1"/>
    <xf numFmtId="0" fontId="20" fillId="0" borderId="0" xfId="0" applyFont="1"/>
    <xf numFmtId="3" fontId="17" fillId="0" borderId="12" xfId="0" applyNumberFormat="1" applyFont="1" applyBorder="1"/>
    <xf numFmtId="2" fontId="17" fillId="0" borderId="0" xfId="0" applyNumberFormat="1" applyFont="1"/>
    <xf numFmtId="2" fontId="17" fillId="0" borderId="0" xfId="0" applyNumberFormat="1" applyFont="1" applyFill="1" applyProtection="1"/>
    <xf numFmtId="0" fontId="12" fillId="0" borderId="12" xfId="0" applyFont="1" applyFill="1" applyBorder="1" applyProtection="1"/>
    <xf numFmtId="0" fontId="12" fillId="0" borderId="12" xfId="0" applyFont="1" applyFill="1" applyBorder="1" applyAlignment="1">
      <alignment horizontal="center"/>
    </xf>
    <xf numFmtId="168" fontId="12" fillId="0" borderId="0" xfId="0" applyNumberFormat="1" applyFont="1" applyFill="1" applyAlignment="1" applyProtection="1">
      <alignment horizontal="right"/>
    </xf>
    <xf numFmtId="171" fontId="12" fillId="0" borderId="15" xfId="0" applyNumberFormat="1" applyFont="1" applyFill="1" applyBorder="1" applyAlignment="1" applyProtection="1">
      <alignment horizontal="center"/>
    </xf>
    <xf numFmtId="37" fontId="20" fillId="4" borderId="0" xfId="0" applyNumberFormat="1" applyFont="1" applyFill="1" applyProtection="1"/>
    <xf numFmtId="37" fontId="24" fillId="0" borderId="25" xfId="0" applyNumberFormat="1" applyFont="1" applyBorder="1" applyProtection="1"/>
    <xf numFmtId="37" fontId="17" fillId="0" borderId="1" xfId="0" applyNumberFormat="1" applyFont="1" applyFill="1" applyBorder="1" applyProtection="1"/>
    <xf numFmtId="37" fontId="17" fillId="0" borderId="1" xfId="0" applyNumberFormat="1" applyFont="1" applyBorder="1" applyProtection="1"/>
    <xf numFmtId="37" fontId="17" fillId="0" borderId="14" xfId="0" applyNumberFormat="1" applyFont="1" applyFill="1" applyBorder="1" applyProtection="1"/>
    <xf numFmtId="37" fontId="17" fillId="0" borderId="25" xfId="0" applyNumberFormat="1" applyFont="1" applyFill="1" applyBorder="1" applyProtection="1"/>
    <xf numFmtId="37" fontId="17" fillId="0" borderId="25" xfId="0" applyNumberFormat="1" applyFont="1" applyBorder="1" applyProtection="1"/>
    <xf numFmtId="10" fontId="17" fillId="0" borderId="28" xfId="0" applyNumberFormat="1" applyFont="1" applyBorder="1" applyProtection="1"/>
    <xf numFmtId="37" fontId="16" fillId="3" borderId="1" xfId="0" applyNumberFormat="1" applyFont="1" applyFill="1" applyBorder="1" applyProtection="1"/>
    <xf numFmtId="10" fontId="16" fillId="3" borderId="28" xfId="0" applyNumberFormat="1" applyFont="1" applyFill="1" applyBorder="1" applyProtection="1"/>
    <xf numFmtId="37" fontId="24" fillId="0" borderId="24" xfId="0" applyNumberFormat="1" applyFont="1" applyBorder="1" applyProtection="1"/>
    <xf numFmtId="37" fontId="24" fillId="0" borderId="36" xfId="0" applyNumberFormat="1" applyFont="1" applyBorder="1" applyProtection="1"/>
    <xf numFmtId="165" fontId="16" fillId="0" borderId="0" xfId="0" applyNumberFormat="1" applyFont="1" applyProtection="1"/>
    <xf numFmtId="165" fontId="17" fillId="0" borderId="0" xfId="0" applyNumberFormat="1" applyFont="1" applyProtection="1"/>
    <xf numFmtId="0" fontId="30" fillId="0" borderId="0" xfId="0" applyFont="1"/>
    <xf numFmtId="0" fontId="12" fillId="0" borderId="10" xfId="0" applyFont="1" applyBorder="1"/>
    <xf numFmtId="0" fontId="12" fillId="0" borderId="5" xfId="0" applyFont="1" applyBorder="1" applyAlignment="1">
      <alignment horizontal="center"/>
    </xf>
    <xf numFmtId="0" fontId="12" fillId="0" borderId="3" xfId="0" applyFont="1" applyBorder="1" applyAlignment="1">
      <alignment horizontal="centerContinuous"/>
    </xf>
    <xf numFmtId="0" fontId="12" fillId="0" borderId="10" xfId="0" applyFont="1" applyBorder="1" applyAlignment="1">
      <alignment horizontal="centerContinuous"/>
    </xf>
    <xf numFmtId="0" fontId="30" fillId="0" borderId="11" xfId="0" applyFont="1" applyBorder="1" applyAlignment="1">
      <alignment horizontal="center"/>
    </xf>
    <xf numFmtId="0" fontId="12" fillId="0" borderId="13" xfId="0" applyFont="1" applyBorder="1"/>
    <xf numFmtId="0" fontId="30" fillId="0" borderId="13" xfId="0" applyFont="1" applyBorder="1" applyAlignment="1">
      <alignment horizontal="center"/>
    </xf>
    <xf numFmtId="0" fontId="30" fillId="0" borderId="13" xfId="0" applyFont="1" applyBorder="1"/>
    <xf numFmtId="0" fontId="17" fillId="0" borderId="1" xfId="0" applyFont="1" applyBorder="1"/>
    <xf numFmtId="0" fontId="12" fillId="0" borderId="9" xfId="0" applyFont="1" applyBorder="1"/>
    <xf numFmtId="168" fontId="12" fillId="0" borderId="7" xfId="0" applyNumberFormat="1" applyFont="1" applyBorder="1" applyProtection="1"/>
    <xf numFmtId="167" fontId="17" fillId="0" borderId="0" xfId="0" applyNumberFormat="1" applyFont="1" applyProtection="1"/>
    <xf numFmtId="0" fontId="17" fillId="0" borderId="0" xfId="0" applyFont="1" applyFill="1"/>
    <xf numFmtId="170" fontId="12" fillId="0" borderId="0" xfId="0" applyNumberFormat="1" applyFont="1" applyProtection="1"/>
    <xf numFmtId="171" fontId="12" fillId="0" borderId="15" xfId="0" applyNumberFormat="1" applyFont="1" applyBorder="1" applyProtection="1"/>
    <xf numFmtId="167" fontId="12" fillId="0" borderId="12" xfId="0" applyNumberFormat="1" applyFont="1" applyBorder="1" applyProtection="1"/>
    <xf numFmtId="168" fontId="12" fillId="0" borderId="12" xfId="0" applyNumberFormat="1" applyFont="1" applyBorder="1" applyProtection="1"/>
    <xf numFmtId="168" fontId="23" fillId="0" borderId="0" xfId="0" applyNumberFormat="1" applyFont="1" applyProtection="1"/>
    <xf numFmtId="0" fontId="12" fillId="4" borderId="0" xfId="0" applyFont="1" applyFill="1"/>
    <xf numFmtId="0" fontId="12" fillId="0" borderId="0" xfId="0" applyFont="1" applyAlignment="1">
      <alignment horizontal="right"/>
    </xf>
    <xf numFmtId="167" fontId="12" fillId="0" borderId="0" xfId="0" applyNumberFormat="1" applyFont="1" applyProtection="1"/>
    <xf numFmtId="167" fontId="17" fillId="0" borderId="2" xfId="0" applyNumberFormat="1" applyFont="1" applyBorder="1" applyProtection="1"/>
    <xf numFmtId="170" fontId="12" fillId="0" borderId="2" xfId="0" applyNumberFormat="1" applyFont="1" applyBorder="1" applyProtection="1"/>
    <xf numFmtId="168" fontId="12" fillId="0" borderId="2" xfId="0" applyNumberFormat="1" applyFont="1" applyBorder="1" applyProtection="1"/>
    <xf numFmtId="171" fontId="12" fillId="0" borderId="9" xfId="0" applyNumberFormat="1" applyFont="1" applyBorder="1" applyProtection="1"/>
    <xf numFmtId="167" fontId="12" fillId="0" borderId="13" xfId="0" applyNumberFormat="1" applyFont="1" applyBorder="1" applyProtection="1"/>
    <xf numFmtId="167" fontId="12" fillId="0" borderId="2" xfId="0" applyNumberFormat="1" applyFont="1" applyBorder="1" applyProtection="1"/>
    <xf numFmtId="0" fontId="30" fillId="0" borderId="0" xfId="0" applyFont="1" applyAlignment="1">
      <alignment horizontal="center"/>
    </xf>
    <xf numFmtId="169" fontId="12" fillId="0" borderId="2" xfId="0" applyNumberFormat="1" applyFont="1" applyBorder="1" applyProtection="1"/>
    <xf numFmtId="169" fontId="12" fillId="0" borderId="0" xfId="0" applyNumberFormat="1" applyFont="1" applyProtection="1"/>
    <xf numFmtId="0" fontId="12" fillId="0" borderId="0" xfId="0" applyFont="1" applyAlignment="1">
      <alignment horizontal="left"/>
    </xf>
    <xf numFmtId="3" fontId="20" fillId="0" borderId="0" xfId="0" applyNumberFormat="1" applyFont="1" applyFill="1" applyAlignment="1" applyProtection="1">
      <alignment horizontal="right"/>
    </xf>
    <xf numFmtId="3" fontId="17" fillId="0" borderId="7" xfId="0" applyNumberFormat="1" applyFont="1" applyBorder="1" applyProtection="1"/>
    <xf numFmtId="3" fontId="17" fillId="0" borderId="0" xfId="0" applyNumberFormat="1" applyFont="1" applyBorder="1"/>
    <xf numFmtId="3" fontId="17" fillId="0" borderId="2" xfId="0" applyNumberFormat="1" applyFont="1" applyBorder="1"/>
    <xf numFmtId="4" fontId="17" fillId="0" borderId="0" xfId="0" applyNumberFormat="1" applyFont="1" applyBorder="1"/>
    <xf numFmtId="4" fontId="17" fillId="0" borderId="2" xfId="0" applyNumberFormat="1" applyFont="1" applyBorder="1"/>
    <xf numFmtId="0" fontId="0" fillId="0" borderId="0" xfId="0" applyBorder="1" applyAlignment="1">
      <alignment horizontal="center"/>
    </xf>
    <xf numFmtId="37" fontId="0" fillId="0" borderId="0" xfId="0" applyNumberFormat="1" applyBorder="1" applyProtection="1"/>
    <xf numFmtId="37" fontId="2" fillId="0" borderId="0" xfId="0" applyNumberFormat="1" applyFont="1" applyBorder="1" applyProtection="1"/>
    <xf numFmtId="0" fontId="30" fillId="0" borderId="13" xfId="0" applyFont="1" applyBorder="1" applyAlignment="1">
      <alignment horizontal="right"/>
    </xf>
    <xf numFmtId="0" fontId="12" fillId="0" borderId="12" xfId="0" applyFont="1" applyBorder="1" applyAlignment="1">
      <alignment horizontal="right"/>
    </xf>
    <xf numFmtId="0" fontId="12" fillId="0" borderId="13" xfId="0" applyFont="1" applyBorder="1" applyAlignment="1">
      <alignment horizontal="right"/>
    </xf>
    <xf numFmtId="0" fontId="18" fillId="0" borderId="0" xfId="0" applyFont="1" applyProtection="1"/>
    <xf numFmtId="0" fontId="21" fillId="0" borderId="0" xfId="0" applyFont="1"/>
    <xf numFmtId="0" fontId="22" fillId="0" borderId="37" xfId="0" applyFont="1" applyBorder="1"/>
    <xf numFmtId="0" fontId="12" fillId="0" borderId="38" xfId="0" applyFont="1" applyBorder="1"/>
    <xf numFmtId="0" fontId="12" fillId="0" borderId="39" xfId="0" applyFont="1" applyBorder="1"/>
    <xf numFmtId="0" fontId="12" fillId="0" borderId="40" xfId="0" applyFont="1" applyBorder="1" applyAlignment="1" applyProtection="1">
      <alignment horizontal="right"/>
    </xf>
    <xf numFmtId="0" fontId="12" fillId="0" borderId="41" xfId="0" applyFont="1" applyBorder="1" applyProtection="1"/>
    <xf numFmtId="0" fontId="12" fillId="0" borderId="40" xfId="0" applyFont="1" applyBorder="1" applyProtection="1"/>
    <xf numFmtId="0" fontId="12" fillId="0" borderId="42" xfId="0" applyFont="1" applyBorder="1" applyProtection="1"/>
    <xf numFmtId="0" fontId="12" fillId="0" borderId="43" xfId="0" applyFont="1" applyBorder="1" applyProtection="1"/>
    <xf numFmtId="0" fontId="12" fillId="0" borderId="44" xfId="0" applyFont="1" applyBorder="1" applyProtection="1"/>
    <xf numFmtId="0" fontId="19" fillId="0" borderId="45" xfId="0" applyFont="1" applyBorder="1" applyAlignment="1" applyProtection="1">
      <alignment horizontal="right"/>
    </xf>
    <xf numFmtId="0" fontId="19" fillId="0" borderId="46" xfId="0" applyFont="1" applyBorder="1" applyAlignment="1" applyProtection="1">
      <alignment horizontal="right"/>
    </xf>
    <xf numFmtId="3" fontId="25" fillId="0" borderId="46" xfId="0" applyNumberFormat="1" applyFont="1" applyBorder="1" applyProtection="1"/>
    <xf numFmtId="0" fontId="19" fillId="4" borderId="0" xfId="0" applyFont="1" applyFill="1" applyBorder="1" applyAlignment="1" applyProtection="1">
      <alignment horizontal="right"/>
    </xf>
    <xf numFmtId="3" fontId="25" fillId="0" borderId="45" xfId="0" applyNumberFormat="1" applyFont="1" applyBorder="1" applyProtection="1"/>
    <xf numFmtId="3" fontId="25" fillId="4" borderId="0" xfId="0" applyNumberFormat="1" applyFont="1" applyFill="1" applyBorder="1" applyProtection="1"/>
    <xf numFmtId="37" fontId="12" fillId="0" borderId="14" xfId="0" applyNumberFormat="1" applyFont="1" applyBorder="1" applyProtection="1"/>
    <xf numFmtId="168" fontId="17" fillId="0" borderId="0" xfId="0" applyNumberFormat="1" applyFont="1" applyProtection="1"/>
    <xf numFmtId="0" fontId="12" fillId="0" borderId="0" xfId="0" applyFont="1" applyFill="1"/>
    <xf numFmtId="0" fontId="19" fillId="0" borderId="0" xfId="0" applyFont="1"/>
    <xf numFmtId="0" fontId="25" fillId="0" borderId="0" xfId="0" applyFont="1"/>
    <xf numFmtId="0" fontId="19" fillId="0" borderId="0" xfId="0" applyFont="1" applyAlignment="1">
      <alignment horizontal="center"/>
    </xf>
    <xf numFmtId="171" fontId="12" fillId="0" borderId="0" xfId="0" applyNumberFormat="1" applyFont="1" applyBorder="1" applyProtection="1"/>
    <xf numFmtId="0" fontId="26" fillId="0" borderId="0" xfId="0" applyFont="1"/>
    <xf numFmtId="0" fontId="17" fillId="0" borderId="0" xfId="0" applyFont="1" applyAlignment="1">
      <alignment horizontal="center"/>
    </xf>
    <xf numFmtId="3" fontId="17" fillId="0" borderId="0" xfId="0" applyNumberFormat="1" applyFont="1" applyFill="1"/>
    <xf numFmtId="0" fontId="12" fillId="0" borderId="47" xfId="0" applyFont="1" applyBorder="1"/>
    <xf numFmtId="3" fontId="12" fillId="0" borderId="47" xfId="0" applyNumberFormat="1" applyFont="1" applyBorder="1" applyAlignment="1">
      <alignment horizontal="center"/>
    </xf>
    <xf numFmtId="0" fontId="20" fillId="0" borderId="48" xfId="0" applyFont="1" applyBorder="1" applyAlignment="1">
      <alignment horizontal="center"/>
    </xf>
    <xf numFmtId="3" fontId="12" fillId="0" borderId="48" xfId="0" applyNumberFormat="1" applyFont="1" applyBorder="1" applyAlignment="1">
      <alignment horizontal="center"/>
    </xf>
    <xf numFmtId="0" fontId="12" fillId="0" borderId="48" xfId="0" applyFont="1" applyBorder="1" applyAlignment="1">
      <alignment horizontal="center"/>
    </xf>
    <xf numFmtId="171" fontId="17" fillId="0" borderId="15" xfId="0" applyNumberFormat="1" applyFont="1" applyBorder="1" applyProtection="1"/>
    <xf numFmtId="0" fontId="12" fillId="0" borderId="0" xfId="0" quotePrefix="1" applyFont="1"/>
    <xf numFmtId="0" fontId="12" fillId="4" borderId="14" xfId="0" applyFont="1" applyFill="1" applyBorder="1"/>
    <xf numFmtId="0" fontId="17" fillId="4" borderId="14" xfId="0" applyFont="1" applyFill="1" applyBorder="1"/>
    <xf numFmtId="37" fontId="20" fillId="4" borderId="14" xfId="0" applyNumberFormat="1" applyFont="1" applyFill="1" applyBorder="1" applyProtection="1"/>
    <xf numFmtId="2" fontId="17" fillId="4" borderId="0" xfId="0" applyNumberFormat="1" applyFont="1" applyFill="1" applyProtection="1"/>
    <xf numFmtId="2" fontId="17" fillId="4" borderId="0" xfId="0" applyNumberFormat="1" applyFont="1" applyFill="1"/>
    <xf numFmtId="2" fontId="17" fillId="4" borderId="15" xfId="0" applyNumberFormat="1" applyFont="1" applyFill="1" applyBorder="1"/>
    <xf numFmtId="3" fontId="17" fillId="4" borderId="12" xfId="0" applyNumberFormat="1" applyFont="1" applyFill="1" applyBorder="1"/>
    <xf numFmtId="37" fontId="33" fillId="0" borderId="25" xfId="0" applyNumberFormat="1" applyFont="1" applyBorder="1" applyProtection="1"/>
    <xf numFmtId="37" fontId="17" fillId="0" borderId="0" xfId="0" applyNumberFormat="1" applyFont="1"/>
    <xf numFmtId="37" fontId="34" fillId="0" borderId="11" xfId="0" applyNumberFormat="1" applyFont="1" applyBorder="1" applyProtection="1"/>
    <xf numFmtId="37" fontId="34" fillId="0" borderId="12" xfId="0" applyNumberFormat="1" applyFont="1" applyBorder="1" applyProtection="1"/>
    <xf numFmtId="37" fontId="34" fillId="0" borderId="13" xfId="0" applyNumberFormat="1" applyFont="1" applyBorder="1" applyProtection="1"/>
    <xf numFmtId="3" fontId="34" fillId="0" borderId="8" xfId="0" applyNumberFormat="1" applyFont="1" applyBorder="1" applyProtection="1"/>
    <xf numFmtId="0" fontId="34" fillId="0" borderId="15" xfId="0" applyFont="1" applyBorder="1"/>
    <xf numFmtId="37" fontId="34" fillId="0" borderId="15" xfId="0" applyNumberFormat="1" applyFont="1" applyBorder="1" applyProtection="1"/>
    <xf numFmtId="169" fontId="34" fillId="0" borderId="15" xfId="0" applyNumberFormat="1" applyFont="1" applyBorder="1" applyProtection="1"/>
    <xf numFmtId="37" fontId="34" fillId="0" borderId="9" xfId="0" applyNumberFormat="1" applyFont="1" applyBorder="1" applyProtection="1"/>
    <xf numFmtId="0" fontId="34" fillId="0" borderId="0" xfId="0" applyFont="1"/>
    <xf numFmtId="170" fontId="17" fillId="0" borderId="0" xfId="0" applyNumberFormat="1" applyFont="1" applyProtection="1"/>
    <xf numFmtId="0" fontId="17" fillId="0" borderId="12" xfId="0" applyFont="1" applyBorder="1"/>
    <xf numFmtId="167" fontId="17" fillId="0" borderId="12" xfId="0" applyNumberFormat="1" applyFont="1" applyBorder="1" applyProtection="1"/>
    <xf numFmtId="168" fontId="17" fillId="0" borderId="12" xfId="0" applyNumberFormat="1" applyFont="1" applyBorder="1" applyProtection="1"/>
    <xf numFmtId="168" fontId="17" fillId="5" borderId="0" xfId="0" applyNumberFormat="1" applyFont="1" applyFill="1" applyProtection="1"/>
    <xf numFmtId="174" fontId="17" fillId="0" borderId="0" xfId="0" applyNumberFormat="1" applyFont="1"/>
    <xf numFmtId="167" fontId="17" fillId="0" borderId="0" xfId="0" applyNumberFormat="1" applyFont="1"/>
    <xf numFmtId="167" fontId="17" fillId="0" borderId="15" xfId="0" applyNumberFormat="1" applyFont="1" applyBorder="1"/>
    <xf numFmtId="172" fontId="17" fillId="0" borderId="0" xfId="0" applyNumberFormat="1" applyFont="1" applyProtection="1"/>
    <xf numFmtId="169" fontId="17" fillId="0" borderId="0" xfId="0" applyNumberFormat="1" applyFont="1" applyProtection="1"/>
    <xf numFmtId="10" fontId="34" fillId="2" borderId="15" xfId="0" applyNumberFormat="1" applyFont="1" applyFill="1" applyBorder="1" applyProtection="1"/>
    <xf numFmtId="167" fontId="34" fillId="2" borderId="14" xfId="0" applyNumberFormat="1" applyFont="1" applyFill="1" applyBorder="1" applyProtection="1"/>
    <xf numFmtId="167" fontId="34" fillId="2" borderId="0" xfId="0" applyNumberFormat="1" applyFont="1" applyFill="1" applyProtection="1"/>
    <xf numFmtId="167" fontId="34" fillId="2" borderId="15" xfId="0" applyNumberFormat="1" applyFont="1" applyFill="1" applyBorder="1" applyProtection="1"/>
    <xf numFmtId="10" fontId="34" fillId="2" borderId="9" xfId="0" applyNumberFormat="1" applyFont="1" applyFill="1" applyBorder="1" applyProtection="1"/>
    <xf numFmtId="10" fontId="34" fillId="2" borderId="8" xfId="0" applyNumberFormat="1" applyFont="1" applyFill="1" applyBorder="1" applyProtection="1"/>
    <xf numFmtId="167" fontId="34" fillId="2" borderId="1" xfId="0" applyNumberFormat="1" applyFont="1" applyFill="1" applyBorder="1" applyProtection="1"/>
    <xf numFmtId="167" fontId="34" fillId="2" borderId="2" xfId="0" applyNumberFormat="1" applyFont="1" applyFill="1" applyBorder="1" applyProtection="1"/>
    <xf numFmtId="171" fontId="34" fillId="2" borderId="15" xfId="0" applyNumberFormat="1" applyFont="1" applyFill="1" applyBorder="1" applyProtection="1"/>
    <xf numFmtId="171" fontId="34" fillId="2" borderId="9" xfId="0" applyNumberFormat="1" applyFont="1" applyFill="1" applyBorder="1" applyProtection="1"/>
    <xf numFmtId="171" fontId="34" fillId="2" borderId="8" xfId="0" applyNumberFormat="1" applyFont="1" applyFill="1" applyBorder="1" applyProtection="1"/>
    <xf numFmtId="171" fontId="34" fillId="2" borderId="0" xfId="0" applyNumberFormat="1" applyFont="1" applyFill="1" applyProtection="1"/>
    <xf numFmtId="171" fontId="34" fillId="2" borderId="2" xfId="0" applyNumberFormat="1" applyFont="1" applyFill="1" applyBorder="1" applyProtection="1"/>
    <xf numFmtId="0" fontId="34" fillId="0" borderId="6" xfId="0" applyFont="1" applyBorder="1" applyProtection="1"/>
    <xf numFmtId="165" fontId="34" fillId="0" borderId="7" xfId="0" applyNumberFormat="1" applyFont="1" applyBorder="1" applyProtection="1"/>
    <xf numFmtId="0" fontId="34" fillId="0" borderId="8" xfId="0" applyFont="1" applyBorder="1" applyProtection="1"/>
    <xf numFmtId="0" fontId="34" fillId="0" borderId="7" xfId="0" applyFont="1" applyBorder="1" applyProtection="1"/>
    <xf numFmtId="0" fontId="34" fillId="0" borderId="14" xfId="0" applyFont="1" applyBorder="1" applyProtection="1"/>
    <xf numFmtId="165" fontId="34" fillId="0" borderId="0" xfId="0" applyNumberFormat="1" applyFont="1" applyProtection="1"/>
    <xf numFmtId="0" fontId="34" fillId="0" borderId="15" xfId="0" applyFont="1" applyBorder="1" applyProtection="1"/>
    <xf numFmtId="0" fontId="34" fillId="0" borderId="0" xfId="0" applyFont="1" applyProtection="1"/>
    <xf numFmtId="168" fontId="34" fillId="0" borderId="0" xfId="0" applyNumberFormat="1" applyFont="1" applyProtection="1"/>
    <xf numFmtId="0" fontId="34" fillId="2" borderId="11" xfId="0" applyFont="1" applyFill="1" applyBorder="1" applyProtection="1"/>
    <xf numFmtId="0" fontId="34" fillId="2" borderId="12" xfId="0" applyFont="1" applyFill="1" applyBorder="1" applyProtection="1"/>
    <xf numFmtId="0" fontId="34" fillId="2" borderId="13" xfId="0" applyFont="1" applyFill="1" applyBorder="1" applyProtection="1"/>
    <xf numFmtId="0" fontId="34" fillId="2" borderId="6" xfId="0" applyFont="1" applyFill="1" applyBorder="1" applyProtection="1"/>
    <xf numFmtId="0" fontId="34" fillId="2" borderId="14" xfId="0" applyFont="1" applyFill="1" applyBorder="1" applyProtection="1"/>
    <xf numFmtId="0" fontId="34" fillId="2" borderId="1" xfId="0" applyFont="1" applyFill="1" applyBorder="1" applyProtection="1"/>
    <xf numFmtId="10" fontId="34" fillId="2" borderId="7" xfId="0" applyNumberFormat="1" applyFont="1" applyFill="1" applyBorder="1" applyProtection="1"/>
    <xf numFmtId="10" fontId="34" fillId="2" borderId="0" xfId="0" applyNumberFormat="1" applyFont="1" applyFill="1" applyProtection="1"/>
    <xf numFmtId="10" fontId="34" fillId="2" borderId="2" xfId="0" applyNumberFormat="1" applyFont="1" applyFill="1" applyBorder="1" applyProtection="1"/>
    <xf numFmtId="168" fontId="34" fillId="2" borderId="12" xfId="0" applyNumberFormat="1" applyFont="1" applyFill="1" applyBorder="1" applyProtection="1"/>
    <xf numFmtId="10" fontId="34" fillId="2" borderId="11" xfId="0" applyNumberFormat="1" applyFont="1" applyFill="1" applyBorder="1" applyProtection="1"/>
    <xf numFmtId="10" fontId="34" fillId="2" borderId="12" xfId="0" applyNumberFormat="1" applyFont="1" applyFill="1" applyBorder="1" applyProtection="1"/>
    <xf numFmtId="171" fontId="34" fillId="2" borderId="7" xfId="0" applyNumberFormat="1" applyFont="1" applyFill="1" applyBorder="1" applyProtection="1"/>
    <xf numFmtId="171" fontId="34" fillId="2" borderId="11" xfId="0" applyNumberFormat="1" applyFont="1" applyFill="1" applyBorder="1" applyProtection="1"/>
    <xf numFmtId="171" fontId="34" fillId="2" borderId="12" xfId="0" applyNumberFormat="1" applyFont="1" applyFill="1" applyBorder="1" applyProtection="1"/>
    <xf numFmtId="10" fontId="34" fillId="2" borderId="6" xfId="0" applyNumberFormat="1" applyFont="1" applyFill="1" applyBorder="1" applyProtection="1"/>
    <xf numFmtId="10" fontId="34" fillId="2" borderId="14" xfId="0" applyNumberFormat="1" applyFont="1" applyFill="1" applyBorder="1" applyProtection="1"/>
    <xf numFmtId="10" fontId="34" fillId="2" borderId="1" xfId="0" applyNumberFormat="1" applyFont="1" applyFill="1" applyBorder="1" applyProtection="1"/>
    <xf numFmtId="171" fontId="34" fillId="2" borderId="14" xfId="0" applyNumberFormat="1" applyFont="1" applyFill="1" applyBorder="1" applyProtection="1"/>
    <xf numFmtId="171" fontId="34" fillId="2" borderId="1" xfId="0" applyNumberFormat="1" applyFont="1" applyFill="1" applyBorder="1" applyProtection="1"/>
    <xf numFmtId="171" fontId="34" fillId="2" borderId="6" xfId="0" applyNumberFormat="1" applyFont="1" applyFill="1" applyBorder="1" applyProtection="1"/>
    <xf numFmtId="167" fontId="34" fillId="2" borderId="6" xfId="0" applyNumberFormat="1" applyFont="1" applyFill="1" applyBorder="1" applyProtection="1"/>
    <xf numFmtId="167" fontId="34" fillId="2" borderId="7" xfId="0" applyNumberFormat="1" applyFont="1" applyFill="1" applyBorder="1" applyProtection="1"/>
    <xf numFmtId="167" fontId="34" fillId="2" borderId="8" xfId="0" applyNumberFormat="1" applyFont="1" applyFill="1" applyBorder="1" applyProtection="1"/>
    <xf numFmtId="0" fontId="34" fillId="2" borderId="0" xfId="0" applyFont="1" applyFill="1" applyProtection="1"/>
    <xf numFmtId="0" fontId="34" fillId="2" borderId="15" xfId="0" applyFont="1" applyFill="1" applyBorder="1" applyProtection="1"/>
    <xf numFmtId="0" fontId="34" fillId="2" borderId="2" xfId="0" applyFont="1" applyFill="1" applyBorder="1" applyProtection="1"/>
    <xf numFmtId="0" fontId="34" fillId="2" borderId="9" xfId="0" applyFont="1" applyFill="1" applyBorder="1" applyProtection="1"/>
    <xf numFmtId="0" fontId="34" fillId="0" borderId="11" xfId="0" applyFont="1" applyBorder="1" applyProtection="1"/>
    <xf numFmtId="10" fontId="34" fillId="0" borderId="15" xfId="0" applyNumberFormat="1" applyFont="1" applyBorder="1" applyProtection="1"/>
    <xf numFmtId="171" fontId="34" fillId="0" borderId="14" xfId="0" applyNumberFormat="1" applyFont="1" applyBorder="1" applyProtection="1"/>
    <xf numFmtId="171" fontId="34" fillId="0" borderId="0" xfId="0" applyNumberFormat="1" applyFont="1" applyProtection="1"/>
    <xf numFmtId="171" fontId="34" fillId="0" borderId="15" xfId="0" applyNumberFormat="1" applyFont="1" applyBorder="1" applyProtection="1"/>
    <xf numFmtId="0" fontId="34" fillId="0" borderId="12" xfId="0" applyFont="1" applyBorder="1" applyProtection="1"/>
    <xf numFmtId="10" fontId="34" fillId="0" borderId="0" xfId="0" applyNumberFormat="1" applyFont="1" applyProtection="1"/>
    <xf numFmtId="168" fontId="34" fillId="0" borderId="7" xfId="0" applyNumberFormat="1" applyFont="1" applyBorder="1" applyProtection="1"/>
    <xf numFmtId="168" fontId="34" fillId="0" borderId="2" xfId="0" applyNumberFormat="1" applyFont="1" applyBorder="1" applyProtection="1"/>
    <xf numFmtId="168" fontId="34" fillId="0" borderId="8" xfId="0" applyNumberFormat="1" applyFont="1" applyBorder="1" applyProtection="1"/>
    <xf numFmtId="168" fontId="34" fillId="0" borderId="9" xfId="0" applyNumberFormat="1" applyFont="1" applyBorder="1" applyProtection="1"/>
    <xf numFmtId="168" fontId="34" fillId="0" borderId="13" xfId="0" applyNumberFormat="1" applyFont="1" applyBorder="1" applyProtection="1"/>
    <xf numFmtId="168" fontId="34" fillId="0" borderId="11" xfId="0" applyNumberFormat="1" applyFont="1" applyBorder="1" applyProtection="1"/>
    <xf numFmtId="168" fontId="34" fillId="0" borderId="15" xfId="0" applyNumberFormat="1" applyFont="1" applyBorder="1" applyProtection="1"/>
    <xf numFmtId="168" fontId="34" fillId="0" borderId="12" xfId="0" applyNumberFormat="1" applyFont="1" applyBorder="1" applyProtection="1"/>
    <xf numFmtId="168" fontId="34" fillId="0" borderId="5" xfId="0" applyNumberFormat="1" applyFont="1" applyBorder="1" applyProtection="1"/>
    <xf numFmtId="168" fontId="34" fillId="0" borderId="4" xfId="0" applyNumberFormat="1" applyFont="1" applyBorder="1" applyProtection="1"/>
    <xf numFmtId="168" fontId="34" fillId="0" borderId="10" xfId="0" applyNumberFormat="1" applyFont="1" applyBorder="1" applyProtection="1"/>
    <xf numFmtId="168" fontId="34" fillId="0" borderId="6" xfId="0" applyNumberFormat="1" applyFont="1" applyBorder="1" applyProtection="1"/>
    <xf numFmtId="168" fontId="34" fillId="0" borderId="1" xfId="0" applyNumberFormat="1" applyFont="1" applyBorder="1" applyProtection="1"/>
    <xf numFmtId="168" fontId="34" fillId="0" borderId="14" xfId="0" applyNumberFormat="1" applyFont="1" applyBorder="1" applyProtection="1"/>
    <xf numFmtId="168" fontId="34" fillId="0" borderId="3" xfId="0" applyNumberFormat="1" applyFont="1" applyBorder="1" applyProtection="1"/>
    <xf numFmtId="0" fontId="17" fillId="0" borderId="0" xfId="0" applyFont="1" applyFill="1" applyAlignment="1">
      <alignment horizontal="center"/>
    </xf>
    <xf numFmtId="0" fontId="36" fillId="0" borderId="50" xfId="0" applyFont="1" applyBorder="1" applyAlignment="1">
      <alignment wrapText="1"/>
    </xf>
    <xf numFmtId="0" fontId="13" fillId="0" borderId="50" xfId="0" applyFont="1" applyBorder="1" applyAlignment="1">
      <alignment horizontal="left" wrapText="1"/>
    </xf>
    <xf numFmtId="0" fontId="17" fillId="0" borderId="14" xfId="0" applyFont="1" applyFill="1" applyBorder="1"/>
    <xf numFmtId="0" fontId="14" fillId="0" borderId="51" xfId="0" applyFont="1" applyBorder="1"/>
    <xf numFmtId="1" fontId="17" fillId="0" borderId="0" xfId="0" applyNumberFormat="1" applyFont="1"/>
    <xf numFmtId="1" fontId="12" fillId="0" borderId="0" xfId="0" applyNumberFormat="1" applyFont="1"/>
    <xf numFmtId="176" fontId="17" fillId="0" borderId="0" xfId="0" applyNumberFormat="1" applyFont="1" applyProtection="1"/>
    <xf numFmtId="3" fontId="12" fillId="0" borderId="14" xfId="0" applyNumberFormat="1" applyFont="1" applyBorder="1" applyAlignment="1" applyProtection="1">
      <alignment horizontal="right"/>
    </xf>
    <xf numFmtId="2" fontId="17" fillId="0" borderId="0" xfId="0" applyNumberFormat="1" applyFont="1" applyFill="1"/>
    <xf numFmtId="3" fontId="17" fillId="0" borderId="12" xfId="0" applyNumberFormat="1" applyFont="1" applyFill="1" applyBorder="1"/>
    <xf numFmtId="37" fontId="39" fillId="4" borderId="0" xfId="0" applyNumberFormat="1" applyFont="1" applyFill="1" applyProtection="1"/>
    <xf numFmtId="171" fontId="39" fillId="4" borderId="15" xfId="0" applyNumberFormat="1" applyFont="1" applyFill="1" applyBorder="1" applyProtection="1"/>
    <xf numFmtId="3" fontId="17" fillId="0" borderId="0" xfId="0" applyNumberFormat="1" applyFont="1" applyProtection="1"/>
    <xf numFmtId="37" fontId="12" fillId="0" borderId="0" xfId="0" applyNumberFormat="1" applyFont="1"/>
    <xf numFmtId="37" fontId="12" fillId="0" borderId="0" xfId="0" applyNumberFormat="1" applyFont="1" applyBorder="1"/>
    <xf numFmtId="0" fontId="18" fillId="0" borderId="52" xfId="0" applyFont="1" applyBorder="1"/>
    <xf numFmtId="0" fontId="46" fillId="0" borderId="14" xfId="0" applyFont="1" applyBorder="1" applyAlignment="1" applyProtection="1">
      <alignment horizontal="left"/>
    </xf>
    <xf numFmtId="0" fontId="47" fillId="0" borderId="0" xfId="0" applyFont="1" applyAlignment="1">
      <alignment horizontal="center"/>
    </xf>
    <xf numFmtId="3" fontId="17" fillId="0" borderId="0" xfId="0" applyNumberFormat="1" applyFont="1" applyBorder="1" applyAlignment="1" applyProtection="1">
      <alignment horizontal="right"/>
    </xf>
    <xf numFmtId="10" fontId="17" fillId="0" borderId="0" xfId="0" applyNumberFormat="1" applyFont="1" applyBorder="1" applyProtection="1"/>
    <xf numFmtId="168" fontId="12" fillId="0" borderId="0" xfId="0" applyNumberFormat="1" applyFont="1" applyBorder="1" applyAlignment="1" applyProtection="1">
      <alignment horizontal="right"/>
    </xf>
    <xf numFmtId="3" fontId="12" fillId="0" borderId="0" xfId="0" applyNumberFormat="1" applyFont="1" applyBorder="1" applyProtection="1"/>
    <xf numFmtId="167" fontId="12" fillId="0" borderId="0" xfId="0" applyNumberFormat="1" applyFont="1" applyBorder="1" applyProtection="1"/>
    <xf numFmtId="0" fontId="12" fillId="0" borderId="47" xfId="0" applyFont="1" applyBorder="1" applyProtection="1"/>
    <xf numFmtId="0" fontId="12" fillId="0" borderId="47" xfId="0" applyFont="1" applyBorder="1" applyAlignment="1" applyProtection="1">
      <alignment horizontal="center"/>
    </xf>
    <xf numFmtId="0" fontId="12" fillId="0" borderId="47" xfId="0" applyFont="1" applyBorder="1" applyAlignment="1" applyProtection="1">
      <alignment horizontal="right"/>
    </xf>
    <xf numFmtId="3" fontId="17" fillId="0" borderId="47" xfId="0" applyNumberFormat="1" applyFont="1" applyBorder="1" applyAlignment="1" applyProtection="1">
      <alignment horizontal="right"/>
    </xf>
    <xf numFmtId="10" fontId="17" fillId="0" borderId="47" xfId="0" applyNumberFormat="1" applyFont="1" applyBorder="1" applyProtection="1"/>
    <xf numFmtId="168" fontId="12" fillId="0" borderId="47" xfId="0" applyNumberFormat="1" applyFont="1" applyBorder="1" applyAlignment="1" applyProtection="1">
      <alignment horizontal="right"/>
    </xf>
    <xf numFmtId="10" fontId="12" fillId="0" borderId="47" xfId="0" applyNumberFormat="1" applyFont="1" applyBorder="1" applyProtection="1"/>
    <xf numFmtId="0" fontId="12" fillId="0" borderId="48" xfId="0" applyFont="1" applyBorder="1" applyProtection="1"/>
    <xf numFmtId="0" fontId="12" fillId="0" borderId="48" xfId="0" applyFont="1" applyBorder="1" applyAlignment="1" applyProtection="1">
      <alignment horizontal="center"/>
    </xf>
    <xf numFmtId="0" fontId="12" fillId="0" borderId="48" xfId="0" applyFont="1" applyBorder="1" applyAlignment="1" applyProtection="1">
      <alignment horizontal="left"/>
    </xf>
    <xf numFmtId="3" fontId="17" fillId="4" borderId="48" xfId="0" applyNumberFormat="1" applyFont="1" applyFill="1" applyBorder="1" applyProtection="1"/>
    <xf numFmtId="10" fontId="17" fillId="0" borderId="48" xfId="0" applyNumberFormat="1" applyFont="1" applyBorder="1" applyProtection="1"/>
    <xf numFmtId="0" fontId="12" fillId="0" borderId="48" xfId="0" applyFont="1" applyBorder="1" applyAlignment="1" applyProtection="1">
      <alignment horizontal="right"/>
    </xf>
    <xf numFmtId="37" fontId="12" fillId="0" borderId="48" xfId="0" applyNumberFormat="1" applyFont="1" applyBorder="1" applyProtection="1"/>
    <xf numFmtId="10" fontId="23" fillId="0" borderId="48" xfId="0" applyNumberFormat="1" applyFont="1" applyBorder="1" applyProtection="1"/>
    <xf numFmtId="0" fontId="12" fillId="0" borderId="48" xfId="0" applyFont="1" applyBorder="1"/>
    <xf numFmtId="0" fontId="12" fillId="6" borderId="47" xfId="0" applyFont="1" applyFill="1" applyBorder="1" applyProtection="1"/>
    <xf numFmtId="0" fontId="12" fillId="6" borderId="47" xfId="0" applyFont="1" applyFill="1" applyBorder="1" applyAlignment="1" applyProtection="1">
      <alignment horizontal="right"/>
    </xf>
    <xf numFmtId="10" fontId="17" fillId="6" borderId="47" xfId="0" applyNumberFormat="1" applyFont="1" applyFill="1" applyBorder="1" applyProtection="1"/>
    <xf numFmtId="0" fontId="12" fillId="6" borderId="0" xfId="0" applyFont="1" applyFill="1" applyBorder="1" applyProtection="1"/>
    <xf numFmtId="0" fontId="12" fillId="6" borderId="0" xfId="0" applyFont="1" applyFill="1" applyBorder="1" applyAlignment="1" applyProtection="1">
      <alignment horizontal="right"/>
    </xf>
    <xf numFmtId="3" fontId="17" fillId="6" borderId="0" xfId="0" applyNumberFormat="1" applyFont="1" applyFill="1" applyBorder="1" applyAlignment="1" applyProtection="1">
      <alignment horizontal="right"/>
    </xf>
    <xf numFmtId="10" fontId="17" fillId="6" borderId="0" xfId="0" applyNumberFormat="1" applyFont="1" applyFill="1" applyBorder="1" applyProtection="1"/>
    <xf numFmtId="3" fontId="12" fillId="6" borderId="0" xfId="0" applyNumberFormat="1" applyFont="1" applyFill="1" applyBorder="1" applyProtection="1"/>
    <xf numFmtId="0" fontId="12" fillId="6" borderId="48" xfId="0" applyFont="1" applyFill="1" applyBorder="1"/>
    <xf numFmtId="0" fontId="12" fillId="6" borderId="48" xfId="0" applyFont="1" applyFill="1" applyBorder="1" applyAlignment="1" applyProtection="1">
      <alignment horizontal="center"/>
    </xf>
    <xf numFmtId="0" fontId="12" fillId="6" borderId="48" xfId="0" applyFont="1" applyFill="1" applyBorder="1" applyAlignment="1" applyProtection="1">
      <alignment horizontal="left"/>
    </xf>
    <xf numFmtId="3" fontId="17" fillId="6" borderId="48" xfId="0" applyNumberFormat="1" applyFont="1" applyFill="1" applyBorder="1" applyProtection="1"/>
    <xf numFmtId="10" fontId="17" fillId="6" borderId="48" xfId="0" applyNumberFormat="1" applyFont="1" applyFill="1" applyBorder="1" applyProtection="1"/>
    <xf numFmtId="0" fontId="12" fillId="0" borderId="47" xfId="2" applyFont="1" applyFill="1" applyBorder="1"/>
    <xf numFmtId="0" fontId="12" fillId="0" borderId="0" xfId="2" applyFont="1" applyFill="1" applyBorder="1"/>
    <xf numFmtId="0" fontId="12" fillId="0" borderId="48" xfId="2" applyFont="1" applyFill="1" applyBorder="1" applyAlignment="1">
      <alignment horizontal="center" vertical="center" wrapText="1"/>
    </xf>
    <xf numFmtId="0" fontId="12" fillId="0" borderId="48" xfId="2" applyFont="1" applyFill="1" applyBorder="1" applyAlignment="1">
      <alignment horizontal="center" vertical="center"/>
    </xf>
    <xf numFmtId="0" fontId="12" fillId="0" borderId="0" xfId="2" applyNumberFormat="1" applyFont="1" applyFill="1" applyBorder="1" applyAlignment="1">
      <alignment horizontal="center"/>
    </xf>
    <xf numFmtId="3" fontId="12" fillId="0" borderId="0" xfId="1" applyNumberFormat="1" applyFont="1" applyFill="1" applyBorder="1" applyAlignment="1">
      <alignment horizontal="right"/>
    </xf>
    <xf numFmtId="3" fontId="12" fillId="0" borderId="0" xfId="2" applyNumberFormat="1" applyFont="1" applyFill="1" applyBorder="1" applyAlignment="1">
      <alignment horizontal="right"/>
    </xf>
    <xf numFmtId="1" fontId="12" fillId="0" borderId="0" xfId="2" applyNumberFormat="1" applyFont="1" applyFill="1" applyBorder="1" applyAlignment="1">
      <alignment horizontal="center"/>
    </xf>
    <xf numFmtId="0" fontId="12" fillId="0" borderId="0" xfId="2" applyFont="1" applyFill="1"/>
    <xf numFmtId="37" fontId="33" fillId="0" borderId="0" xfId="0" applyNumberFormat="1" applyFont="1" applyBorder="1" applyProtection="1"/>
    <xf numFmtId="177" fontId="17" fillId="0" borderId="0" xfId="0" applyNumberFormat="1" applyFont="1"/>
    <xf numFmtId="0" fontId="47" fillId="0" borderId="0" xfId="0" applyFont="1"/>
    <xf numFmtId="3" fontId="12" fillId="0" borderId="0" xfId="0" applyNumberFormat="1" applyFont="1" applyProtection="1"/>
    <xf numFmtId="178" fontId="17" fillId="0" borderId="15" xfId="0" applyNumberFormat="1" applyFont="1" applyFill="1" applyBorder="1" applyAlignment="1" applyProtection="1">
      <alignment horizontal="center"/>
    </xf>
    <xf numFmtId="178" fontId="12" fillId="0" borderId="0" xfId="0" applyNumberFormat="1" applyFont="1"/>
    <xf numFmtId="168" fontId="17" fillId="0" borderId="0" xfId="0" applyNumberFormat="1" applyFont="1" applyBorder="1" applyProtection="1"/>
    <xf numFmtId="171" fontId="12" fillId="0" borderId="7" xfId="0" applyNumberFormat="1" applyFont="1" applyBorder="1" applyAlignment="1" applyProtection="1">
      <alignment horizontal="center"/>
    </xf>
    <xf numFmtId="178" fontId="17" fillId="0" borderId="0" xfId="0" applyNumberFormat="1" applyFont="1" applyFill="1" applyBorder="1" applyAlignment="1" applyProtection="1">
      <alignment horizontal="center"/>
    </xf>
    <xf numFmtId="3" fontId="47" fillId="0" borderId="0" xfId="0" applyNumberFormat="1" applyFont="1"/>
    <xf numFmtId="0" fontId="30" fillId="0" borderId="0" xfId="0" applyFont="1" applyAlignment="1">
      <alignment wrapText="1"/>
    </xf>
    <xf numFmtId="0" fontId="48" fillId="0" borderId="0" xfId="0" applyFont="1"/>
    <xf numFmtId="0" fontId="49" fillId="0" borderId="0" xfId="0" applyFont="1" applyAlignment="1">
      <alignment wrapText="1"/>
    </xf>
    <xf numFmtId="3" fontId="48" fillId="0" borderId="0" xfId="0" applyNumberFormat="1" applyFont="1"/>
    <xf numFmtId="37" fontId="17" fillId="0" borderId="2" xfId="0" applyNumberFormat="1" applyFont="1" applyBorder="1"/>
    <xf numFmtId="37" fontId="47" fillId="0" borderId="27" xfId="0" applyNumberFormat="1" applyFont="1" applyFill="1" applyBorder="1" applyProtection="1"/>
    <xf numFmtId="179" fontId="12" fillId="0" borderId="0" xfId="3" applyNumberFormat="1" applyFont="1"/>
    <xf numFmtId="0" fontId="22" fillId="4" borderId="0" xfId="0" applyNumberFormat="1" applyFont="1" applyFill="1"/>
    <xf numFmtId="0" fontId="13" fillId="0" borderId="56" xfId="0" applyFont="1" applyBorder="1" applyAlignment="1" applyProtection="1">
      <alignment horizontal="center"/>
    </xf>
    <xf numFmtId="3" fontId="12" fillId="0" borderId="0" xfId="0" applyNumberFormat="1" applyFont="1" applyFill="1" applyAlignment="1">
      <alignment horizontal="center"/>
    </xf>
    <xf numFmtId="179" fontId="39" fillId="4" borderId="0" xfId="3" applyNumberFormat="1" applyFont="1" applyFill="1" applyProtection="1"/>
    <xf numFmtId="10" fontId="16" fillId="0" borderId="26" xfId="0" applyNumberFormat="1" applyFont="1" applyBorder="1" applyProtection="1"/>
    <xf numFmtId="0" fontId="30" fillId="7" borderId="0" xfId="0" applyFont="1" applyFill="1"/>
    <xf numFmtId="0" fontId="30" fillId="7" borderId="60" xfId="0" applyFont="1" applyFill="1" applyBorder="1"/>
    <xf numFmtId="0" fontId="30" fillId="7" borderId="60" xfId="0" applyFont="1" applyFill="1" applyBorder="1" applyAlignment="1">
      <alignment horizontal="right"/>
    </xf>
    <xf numFmtId="3" fontId="30" fillId="7" borderId="48" xfId="0" applyNumberFormat="1" applyFont="1" applyFill="1" applyBorder="1"/>
    <xf numFmtId="3" fontId="30" fillId="7" borderId="48" xfId="0" applyNumberFormat="1" applyFont="1" applyFill="1" applyBorder="1" applyAlignment="1">
      <alignment horizontal="center"/>
    </xf>
    <xf numFmtId="3" fontId="30" fillId="7" borderId="48" xfId="0" applyNumberFormat="1" applyFont="1" applyFill="1" applyBorder="1" applyAlignment="1">
      <alignment horizontal="right"/>
    </xf>
    <xf numFmtId="0" fontId="30" fillId="7" borderId="48" xfId="0" applyFont="1" applyFill="1" applyBorder="1"/>
    <xf numFmtId="0" fontId="30" fillId="7" borderId="0" xfId="0" applyFont="1" applyFill="1" applyBorder="1"/>
    <xf numFmtId="3" fontId="51" fillId="7" borderId="48" xfId="0" applyNumberFormat="1" applyFont="1" applyFill="1" applyBorder="1"/>
    <xf numFmtId="3" fontId="30" fillId="7" borderId="0" xfId="0" applyNumberFormat="1" applyFont="1" applyFill="1" applyBorder="1"/>
    <xf numFmtId="3" fontId="30" fillId="7" borderId="0" xfId="0" applyNumberFormat="1" applyFont="1" applyFill="1" applyBorder="1" applyAlignment="1">
      <alignment horizontal="center"/>
    </xf>
    <xf numFmtId="3" fontId="30" fillId="7" borderId="0" xfId="0" applyNumberFormat="1" applyFont="1" applyFill="1" applyBorder="1" applyAlignment="1">
      <alignment horizontal="right"/>
    </xf>
    <xf numFmtId="3" fontId="51" fillId="7" borderId="0" xfId="0" applyNumberFormat="1" applyFont="1" applyFill="1" applyBorder="1"/>
    <xf numFmtId="0" fontId="30" fillId="7" borderId="61" xfId="0" applyFont="1" applyFill="1" applyBorder="1"/>
    <xf numFmtId="0" fontId="30" fillId="7" borderId="62" xfId="0" applyFont="1" applyFill="1" applyBorder="1"/>
    <xf numFmtId="0" fontId="30" fillId="7" borderId="63" xfId="0" applyFont="1" applyFill="1" applyBorder="1"/>
    <xf numFmtId="0" fontId="30" fillId="7" borderId="64" xfId="0" applyFont="1" applyFill="1" applyBorder="1"/>
    <xf numFmtId="0" fontId="30" fillId="7" borderId="65" xfId="0" applyFont="1" applyFill="1" applyBorder="1"/>
    <xf numFmtId="0" fontId="30" fillId="7" borderId="66" xfId="0" applyFont="1" applyFill="1" applyBorder="1"/>
    <xf numFmtId="0" fontId="30" fillId="7" borderId="64" xfId="0" applyFont="1" applyFill="1" applyBorder="1" applyAlignment="1">
      <alignment horizontal="center"/>
    </xf>
    <xf numFmtId="3" fontId="51" fillId="7" borderId="65" xfId="0" applyNumberFormat="1" applyFont="1" applyFill="1" applyBorder="1"/>
    <xf numFmtId="0" fontId="30" fillId="7" borderId="67" xfId="0" applyFont="1" applyFill="1" applyBorder="1" applyAlignment="1">
      <alignment horizontal="center"/>
    </xf>
    <xf numFmtId="3" fontId="51" fillId="7" borderId="68" xfId="0" applyNumberFormat="1" applyFont="1" applyFill="1" applyBorder="1"/>
    <xf numFmtId="0" fontId="51" fillId="7" borderId="69" xfId="0" applyFont="1" applyFill="1" applyBorder="1" applyAlignment="1">
      <alignment horizontal="center"/>
    </xf>
    <xf numFmtId="3" fontId="51" fillId="7" borderId="70" xfId="0" applyNumberFormat="1" applyFont="1" applyFill="1" applyBorder="1"/>
    <xf numFmtId="0" fontId="51" fillId="7" borderId="70" xfId="0" applyFont="1" applyFill="1" applyBorder="1" applyAlignment="1">
      <alignment horizontal="center"/>
    </xf>
    <xf numFmtId="3" fontId="51" fillId="7" borderId="70" xfId="0" applyNumberFormat="1" applyFont="1" applyFill="1" applyBorder="1" applyAlignment="1">
      <alignment horizontal="right"/>
    </xf>
    <xf numFmtId="0" fontId="30" fillId="7" borderId="70" xfId="0" applyFont="1" applyFill="1" applyBorder="1"/>
    <xf numFmtId="3" fontId="51" fillId="7" borderId="71" xfId="0" applyNumberFormat="1" applyFont="1" applyFill="1" applyBorder="1"/>
    <xf numFmtId="0" fontId="19" fillId="0" borderId="0" xfId="0" applyFont="1" applyBorder="1" applyProtection="1"/>
    <xf numFmtId="37" fontId="24" fillId="0" borderId="0" xfId="0" applyNumberFormat="1" applyFont="1" applyBorder="1" applyProtection="1"/>
    <xf numFmtId="180" fontId="17" fillId="0" borderId="0" xfId="0" applyNumberFormat="1" applyFont="1" applyBorder="1" applyProtection="1"/>
    <xf numFmtId="171" fontId="17" fillId="0" borderId="0" xfId="0" applyNumberFormat="1" applyFont="1" applyBorder="1" applyProtection="1"/>
    <xf numFmtId="10" fontId="17" fillId="0" borderId="47" xfId="0" applyNumberFormat="1" applyFont="1" applyBorder="1" applyAlignment="1" applyProtection="1">
      <alignment horizontal="right"/>
    </xf>
    <xf numFmtId="0" fontId="13" fillId="0" borderId="14" xfId="0" applyFont="1" applyBorder="1" applyAlignment="1">
      <alignment horizontal="left"/>
    </xf>
    <xf numFmtId="0" fontId="12" fillId="0" borderId="72" xfId="0" applyFont="1" applyBorder="1" applyProtection="1"/>
    <xf numFmtId="0" fontId="12" fillId="0" borderId="73" xfId="0" applyFont="1" applyBorder="1" applyProtection="1"/>
    <xf numFmtId="168" fontId="17" fillId="0" borderId="74" xfId="0" applyNumberFormat="1" applyFont="1" applyBorder="1" applyProtection="1"/>
    <xf numFmtId="0" fontId="12" fillId="0" borderId="49" xfId="0" applyFont="1" applyBorder="1"/>
    <xf numFmtId="0" fontId="12" fillId="0" borderId="75" xfId="0" applyFont="1" applyBorder="1" applyAlignment="1" applyProtection="1">
      <alignment horizontal="right"/>
    </xf>
    <xf numFmtId="169" fontId="35" fillId="0" borderId="76" xfId="0" applyNumberFormat="1" applyFont="1" applyBorder="1" applyAlignment="1" applyProtection="1">
      <alignment horizontal="right"/>
    </xf>
    <xf numFmtId="0" fontId="39" fillId="0" borderId="0" xfId="0" applyFont="1"/>
    <xf numFmtId="0" fontId="39" fillId="0" borderId="0" xfId="0" applyFont="1" applyProtection="1"/>
    <xf numFmtId="0" fontId="16" fillId="0" borderId="33" xfId="0" applyFont="1" applyBorder="1" applyAlignment="1" applyProtection="1">
      <alignment horizontal="right"/>
    </xf>
    <xf numFmtId="0" fontId="17" fillId="0" borderId="57" xfId="0" applyFont="1" applyBorder="1" applyAlignment="1">
      <alignment horizontal="right"/>
    </xf>
    <xf numFmtId="0" fontId="17" fillId="0" borderId="57" xfId="0" applyFont="1" applyBorder="1"/>
    <xf numFmtId="37" fontId="17" fillId="0" borderId="30" xfId="0" applyNumberFormat="1" applyFont="1" applyBorder="1" applyProtection="1"/>
    <xf numFmtId="37" fontId="17" fillId="0" borderId="59" xfId="0" applyNumberFormat="1" applyFont="1" applyBorder="1" applyProtection="1"/>
    <xf numFmtId="37" fontId="17" fillId="0" borderId="58" xfId="0" applyNumberFormat="1" applyFont="1" applyBorder="1" applyProtection="1"/>
    <xf numFmtId="0" fontId="14" fillId="0" borderId="29" xfId="0" applyFont="1" applyBorder="1" applyProtection="1"/>
    <xf numFmtId="37" fontId="24" fillId="0" borderId="29" xfId="0" applyNumberFormat="1" applyFont="1" applyBorder="1" applyProtection="1"/>
    <xf numFmtId="37" fontId="24" fillId="0" borderId="14" xfId="0" applyNumberFormat="1" applyFont="1" applyBorder="1" applyProtection="1"/>
    <xf numFmtId="0" fontId="12" fillId="0" borderId="77" xfId="0" applyFont="1" applyBorder="1" applyAlignment="1" applyProtection="1">
      <alignment wrapText="1"/>
    </xf>
    <xf numFmtId="37" fontId="17" fillId="0" borderId="78" xfId="0" applyNumberFormat="1" applyFont="1" applyBorder="1" applyProtection="1"/>
    <xf numFmtId="37" fontId="47" fillId="0" borderId="0" xfId="0" applyNumberFormat="1" applyFont="1"/>
    <xf numFmtId="166" fontId="17" fillId="0" borderId="0" xfId="0" applyNumberFormat="1" applyFont="1"/>
    <xf numFmtId="2" fontId="12" fillId="0" borderId="0" xfId="0" applyNumberFormat="1" applyFont="1"/>
    <xf numFmtId="174" fontId="47" fillId="0" borderId="0" xfId="0" applyNumberFormat="1" applyFont="1"/>
    <xf numFmtId="2" fontId="47" fillId="0" borderId="0" xfId="0" applyNumberFormat="1" applyFont="1"/>
    <xf numFmtId="3" fontId="17" fillId="0" borderId="0" xfId="0" applyNumberFormat="1" applyFont="1" applyFill="1" applyBorder="1" applyAlignment="1" applyProtection="1">
      <alignment horizontal="right"/>
    </xf>
    <xf numFmtId="171" fontId="39" fillId="6" borderId="15" xfId="0" applyNumberFormat="1" applyFont="1" applyFill="1" applyBorder="1" applyProtection="1"/>
    <xf numFmtId="2" fontId="17" fillId="4" borderId="0" xfId="0" applyNumberFormat="1" applyFont="1" applyFill="1" applyAlignment="1" applyProtection="1">
      <alignment horizontal="right"/>
    </xf>
    <xf numFmtId="2" fontId="17" fillId="0" borderId="0" xfId="0" applyNumberFormat="1" applyFont="1" applyAlignment="1">
      <alignment horizontal="right"/>
    </xf>
    <xf numFmtId="2" fontId="17" fillId="0" borderId="0" xfId="0" applyNumberFormat="1" applyFont="1" applyAlignment="1" applyProtection="1">
      <alignment horizontal="right"/>
    </xf>
    <xf numFmtId="2" fontId="17" fillId="0" borderId="0" xfId="0" applyNumberFormat="1" applyFont="1" applyFill="1" applyAlignment="1" applyProtection="1">
      <alignment horizontal="right"/>
    </xf>
    <xf numFmtId="2" fontId="47" fillId="0" borderId="0" xfId="0" applyNumberFormat="1" applyFont="1" applyAlignment="1">
      <alignment horizontal="right"/>
    </xf>
    <xf numFmtId="2" fontId="17" fillId="0" borderId="0" xfId="0" applyNumberFormat="1" applyFont="1" applyProtection="1"/>
    <xf numFmtId="2" fontId="17" fillId="0" borderId="15" xfId="0" applyNumberFormat="1" applyFont="1" applyBorder="1" applyProtection="1"/>
    <xf numFmtId="2" fontId="17" fillId="0" borderId="15" xfId="0" applyNumberFormat="1" applyFont="1" applyBorder="1"/>
    <xf numFmtId="2" fontId="47" fillId="0" borderId="15" xfId="0" applyNumberFormat="1" applyFont="1" applyBorder="1"/>
    <xf numFmtId="2" fontId="12" fillId="0" borderId="15" xfId="0" applyNumberFormat="1" applyFont="1" applyBorder="1"/>
    <xf numFmtId="37" fontId="47" fillId="0" borderId="0" xfId="0" applyNumberFormat="1" applyFont="1" applyBorder="1"/>
    <xf numFmtId="0" fontId="47" fillId="0" borderId="14" xfId="0" applyFont="1" applyBorder="1"/>
    <xf numFmtId="37" fontId="20" fillId="6" borderId="0" xfId="0" applyNumberFormat="1" applyFont="1" applyFill="1" applyProtection="1"/>
    <xf numFmtId="37" fontId="53" fillId="6" borderId="52" xfId="0" applyNumberFormat="1" applyFont="1" applyFill="1" applyBorder="1" applyProtection="1"/>
    <xf numFmtId="37" fontId="39" fillId="6" borderId="0" xfId="0" applyNumberFormat="1" applyFont="1" applyFill="1" applyProtection="1"/>
    <xf numFmtId="3" fontId="39" fillId="6" borderId="0" xfId="0" applyNumberFormat="1" applyFont="1" applyFill="1" applyProtection="1"/>
    <xf numFmtId="37" fontId="57" fillId="0" borderId="14" xfId="0" applyNumberFormat="1" applyFont="1" applyBorder="1" applyProtection="1"/>
    <xf numFmtId="179" fontId="20" fillId="0" borderId="0" xfId="3" applyNumberFormat="1" applyFont="1" applyFill="1" applyAlignment="1" applyProtection="1">
      <alignment horizontal="right"/>
    </xf>
    <xf numFmtId="179" fontId="20" fillId="4" borderId="0" xfId="3" applyNumberFormat="1" applyFont="1" applyFill="1" applyAlignment="1" applyProtection="1">
      <alignment horizontal="right"/>
    </xf>
    <xf numFmtId="179" fontId="12" fillId="0" borderId="0" xfId="3" applyNumberFormat="1" applyFont="1" applyAlignment="1" applyProtection="1">
      <alignment horizontal="right"/>
    </xf>
    <xf numFmtId="179" fontId="12" fillId="0" borderId="0" xfId="3" applyNumberFormat="1" applyFont="1" applyAlignment="1">
      <alignment horizontal="right"/>
    </xf>
    <xf numFmtId="4" fontId="17" fillId="0" borderId="7" xfId="0" applyNumberFormat="1" applyFont="1" applyBorder="1" applyProtection="1"/>
    <xf numFmtId="0" fontId="19" fillId="8" borderId="45" xfId="0" applyFont="1" applyFill="1" applyBorder="1" applyAlignment="1" applyProtection="1">
      <alignment horizontal="right"/>
    </xf>
    <xf numFmtId="3" fontId="52" fillId="8" borderId="53" xfId="0" applyNumberFormat="1" applyFont="1" applyFill="1" applyBorder="1"/>
    <xf numFmtId="0" fontId="19" fillId="8" borderId="0" xfId="0" applyFont="1" applyFill="1" applyBorder="1" applyAlignment="1" applyProtection="1">
      <alignment horizontal="right"/>
    </xf>
    <xf numFmtId="3" fontId="52" fillId="8" borderId="54" xfId="0" applyNumberFormat="1" applyFont="1" applyFill="1" applyBorder="1"/>
    <xf numFmtId="0" fontId="19" fillId="8" borderId="46" xfId="0" applyFont="1" applyFill="1" applyBorder="1" applyAlignment="1" applyProtection="1">
      <alignment horizontal="right"/>
    </xf>
    <xf numFmtId="3" fontId="52" fillId="8" borderId="55" xfId="0" applyNumberFormat="1" applyFont="1" applyFill="1" applyBorder="1"/>
    <xf numFmtId="0" fontId="12" fillId="0" borderId="47" xfId="2" applyFont="1" applyFill="1" applyBorder="1" applyAlignment="1">
      <alignment horizontal="center"/>
    </xf>
    <xf numFmtId="0" fontId="12" fillId="0" borderId="48" xfId="2" applyFont="1" applyFill="1" applyBorder="1" applyAlignment="1">
      <alignment horizontal="center"/>
    </xf>
  </cellXfs>
  <cellStyles count="4">
    <cellStyle name="Comma" xfId="3" builtinId="3"/>
    <cellStyle name="Comma 2" xfId="1"/>
    <cellStyle name="Normal" xfId="0" builtinId="0"/>
    <cellStyle name="Normal 2" xfId="2"/>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41367222859"/>
          <c:y val="0.022955688383643"/>
          <c:w val="0.819256717772769"/>
          <c:h val="0.876476284363028"/>
        </c:manualLayout>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dLbls>
            <c:dLbl>
              <c:idx val="0"/>
              <c:tx>
                <c:strRef>
                  <c:f>BroodTab!$K$92</c:f>
                  <c:strCache>
                    <c:ptCount val="1"/>
                    <c:pt idx="0">
                      <c:v>1966</c:v>
                    </c:pt>
                  </c:strCache>
                </c:strRef>
              </c:tx>
              <c:spPr/>
              <c:txPr>
                <a:bodyPr/>
                <a:lstStyle/>
                <a:p>
                  <a:pPr>
                    <a:defRPr/>
                  </a:pPr>
                  <a:endParaRPr lang="en-US"/>
                </a:p>
              </c:txPr>
              <c:dLblPos val="r"/>
              <c:showLegendKey val="0"/>
              <c:showVal val="0"/>
              <c:showCatName val="0"/>
              <c:showSerName val="0"/>
              <c:showPercent val="0"/>
              <c:showBubbleSize val="0"/>
            </c:dLbl>
            <c:dLbl>
              <c:idx val="1"/>
              <c:tx>
                <c:strRef>
                  <c:f>BroodTab!$K$93</c:f>
                  <c:strCache>
                    <c:ptCount val="1"/>
                    <c:pt idx="0">
                      <c:v>1967</c:v>
                    </c:pt>
                  </c:strCache>
                </c:strRef>
              </c:tx>
              <c:spPr/>
              <c:txPr>
                <a:bodyPr/>
                <a:lstStyle/>
                <a:p>
                  <a:pPr>
                    <a:defRPr/>
                  </a:pPr>
                  <a:endParaRPr lang="en-US"/>
                </a:p>
              </c:txPr>
              <c:dLblPos val="r"/>
              <c:showLegendKey val="0"/>
              <c:showVal val="0"/>
              <c:showCatName val="0"/>
              <c:showSerName val="0"/>
              <c:showPercent val="0"/>
              <c:showBubbleSize val="0"/>
            </c:dLbl>
            <c:dLbl>
              <c:idx val="2"/>
              <c:tx>
                <c:strRef>
                  <c:f>BroodTab!$K$94</c:f>
                  <c:strCache>
                    <c:ptCount val="1"/>
                    <c:pt idx="0">
                      <c:v>1968</c:v>
                    </c:pt>
                  </c:strCache>
                </c:strRef>
              </c:tx>
              <c:spPr/>
              <c:txPr>
                <a:bodyPr/>
                <a:lstStyle/>
                <a:p>
                  <a:pPr>
                    <a:defRPr/>
                  </a:pPr>
                  <a:endParaRPr lang="en-US"/>
                </a:p>
              </c:txPr>
              <c:dLblPos val="r"/>
              <c:showLegendKey val="0"/>
              <c:showVal val="0"/>
              <c:showCatName val="0"/>
              <c:showSerName val="0"/>
              <c:showPercent val="0"/>
              <c:showBubbleSize val="0"/>
            </c:dLbl>
            <c:dLbl>
              <c:idx val="3"/>
              <c:tx>
                <c:strRef>
                  <c:f>BroodTab!$K$95</c:f>
                  <c:strCache>
                    <c:ptCount val="1"/>
                    <c:pt idx="0">
                      <c:v>1969</c:v>
                    </c:pt>
                  </c:strCache>
                </c:strRef>
              </c:tx>
              <c:spPr/>
              <c:txPr>
                <a:bodyPr/>
                <a:lstStyle/>
                <a:p>
                  <a:pPr>
                    <a:defRPr/>
                  </a:pPr>
                  <a:endParaRPr lang="en-US"/>
                </a:p>
              </c:txPr>
              <c:dLblPos val="r"/>
              <c:showLegendKey val="0"/>
              <c:showVal val="0"/>
              <c:showCatName val="0"/>
              <c:showSerName val="0"/>
              <c:showPercent val="0"/>
              <c:showBubbleSize val="0"/>
            </c:dLbl>
            <c:dLbl>
              <c:idx val="4"/>
              <c:tx>
                <c:strRef>
                  <c:f>BroodTab!$K$96</c:f>
                  <c:strCache>
                    <c:ptCount val="1"/>
                    <c:pt idx="0">
                      <c:v>1970</c:v>
                    </c:pt>
                  </c:strCache>
                </c:strRef>
              </c:tx>
              <c:spPr/>
              <c:txPr>
                <a:bodyPr/>
                <a:lstStyle/>
                <a:p>
                  <a:pPr>
                    <a:defRPr/>
                  </a:pPr>
                  <a:endParaRPr lang="en-US"/>
                </a:p>
              </c:txPr>
              <c:dLblPos val="r"/>
              <c:showLegendKey val="0"/>
              <c:showVal val="0"/>
              <c:showCatName val="0"/>
              <c:showSerName val="0"/>
              <c:showPercent val="0"/>
              <c:showBubbleSize val="0"/>
            </c:dLbl>
            <c:dLbl>
              <c:idx val="5"/>
              <c:tx>
                <c:strRef>
                  <c:f>BroodTab!$K$97</c:f>
                  <c:strCache>
                    <c:ptCount val="1"/>
                    <c:pt idx="0">
                      <c:v>1971</c:v>
                    </c:pt>
                  </c:strCache>
                </c:strRef>
              </c:tx>
              <c:spPr/>
              <c:txPr>
                <a:bodyPr/>
                <a:lstStyle/>
                <a:p>
                  <a:pPr>
                    <a:defRPr/>
                  </a:pPr>
                  <a:endParaRPr lang="en-US"/>
                </a:p>
              </c:txPr>
              <c:dLblPos val="r"/>
              <c:showLegendKey val="0"/>
              <c:showVal val="0"/>
              <c:showCatName val="0"/>
              <c:showSerName val="0"/>
              <c:showPercent val="0"/>
              <c:showBubbleSize val="0"/>
            </c:dLbl>
            <c:dLbl>
              <c:idx val="6"/>
              <c:tx>
                <c:strRef>
                  <c:f>BroodTab!$K$98</c:f>
                  <c:strCache>
                    <c:ptCount val="1"/>
                    <c:pt idx="0">
                      <c:v>1972</c:v>
                    </c:pt>
                  </c:strCache>
                </c:strRef>
              </c:tx>
              <c:spPr/>
              <c:txPr>
                <a:bodyPr/>
                <a:lstStyle/>
                <a:p>
                  <a:pPr>
                    <a:defRPr/>
                  </a:pPr>
                  <a:endParaRPr lang="en-US"/>
                </a:p>
              </c:txPr>
              <c:dLblPos val="r"/>
              <c:showLegendKey val="0"/>
              <c:showVal val="0"/>
              <c:showCatName val="0"/>
              <c:showSerName val="0"/>
              <c:showPercent val="0"/>
              <c:showBubbleSize val="0"/>
            </c:dLbl>
            <c:dLbl>
              <c:idx val="7"/>
              <c:tx>
                <c:strRef>
                  <c:f>BroodTab!$K$99</c:f>
                  <c:strCache>
                    <c:ptCount val="1"/>
                    <c:pt idx="0">
                      <c:v>1973</c:v>
                    </c:pt>
                  </c:strCache>
                </c:strRef>
              </c:tx>
              <c:spPr/>
              <c:txPr>
                <a:bodyPr/>
                <a:lstStyle/>
                <a:p>
                  <a:pPr>
                    <a:defRPr/>
                  </a:pPr>
                  <a:endParaRPr lang="en-US"/>
                </a:p>
              </c:txPr>
              <c:dLblPos val="r"/>
              <c:showLegendKey val="0"/>
              <c:showVal val="0"/>
              <c:showCatName val="0"/>
              <c:showSerName val="0"/>
              <c:showPercent val="0"/>
              <c:showBubbleSize val="0"/>
            </c:dLbl>
            <c:dLbl>
              <c:idx val="8"/>
              <c:tx>
                <c:strRef>
                  <c:f>BroodTab!$K$100</c:f>
                  <c:strCache>
                    <c:ptCount val="1"/>
                    <c:pt idx="0">
                      <c:v>1974</c:v>
                    </c:pt>
                  </c:strCache>
                </c:strRef>
              </c:tx>
              <c:spPr/>
              <c:txPr>
                <a:bodyPr/>
                <a:lstStyle/>
                <a:p>
                  <a:pPr>
                    <a:defRPr/>
                  </a:pPr>
                  <a:endParaRPr lang="en-US"/>
                </a:p>
              </c:txPr>
              <c:dLblPos val="r"/>
              <c:showLegendKey val="0"/>
              <c:showVal val="0"/>
              <c:showCatName val="0"/>
              <c:showSerName val="0"/>
              <c:showPercent val="0"/>
              <c:showBubbleSize val="0"/>
            </c:dLbl>
            <c:dLbl>
              <c:idx val="9"/>
              <c:tx>
                <c:strRef>
                  <c:f>BroodTab!$K$101</c:f>
                  <c:strCache>
                    <c:ptCount val="1"/>
                    <c:pt idx="0">
                      <c:v>1975</c:v>
                    </c:pt>
                  </c:strCache>
                </c:strRef>
              </c:tx>
              <c:spPr/>
              <c:txPr>
                <a:bodyPr/>
                <a:lstStyle/>
                <a:p>
                  <a:pPr>
                    <a:defRPr/>
                  </a:pPr>
                  <a:endParaRPr lang="en-US"/>
                </a:p>
              </c:txPr>
              <c:dLblPos val="r"/>
              <c:showLegendKey val="0"/>
              <c:showVal val="0"/>
              <c:showCatName val="0"/>
              <c:showSerName val="0"/>
              <c:showPercent val="0"/>
              <c:showBubbleSize val="0"/>
            </c:dLbl>
            <c:dLbl>
              <c:idx val="10"/>
              <c:tx>
                <c:strRef>
                  <c:f>BroodTab!$K$102</c:f>
                  <c:strCache>
                    <c:ptCount val="1"/>
                    <c:pt idx="0">
                      <c:v>1976</c:v>
                    </c:pt>
                  </c:strCache>
                </c:strRef>
              </c:tx>
              <c:spPr/>
              <c:txPr>
                <a:bodyPr/>
                <a:lstStyle/>
                <a:p>
                  <a:pPr>
                    <a:defRPr/>
                  </a:pPr>
                  <a:endParaRPr lang="en-US"/>
                </a:p>
              </c:txPr>
              <c:dLblPos val="r"/>
              <c:showLegendKey val="0"/>
              <c:showVal val="0"/>
              <c:showCatName val="0"/>
              <c:showSerName val="0"/>
              <c:showPercent val="0"/>
              <c:showBubbleSize val="0"/>
            </c:dLbl>
            <c:dLbl>
              <c:idx val="11"/>
              <c:tx>
                <c:strRef>
                  <c:f>BroodTab!$K$103</c:f>
                  <c:strCache>
                    <c:ptCount val="1"/>
                    <c:pt idx="0">
                      <c:v>1977</c:v>
                    </c:pt>
                  </c:strCache>
                </c:strRef>
              </c:tx>
              <c:spPr/>
              <c:txPr>
                <a:bodyPr/>
                <a:lstStyle/>
                <a:p>
                  <a:pPr>
                    <a:defRPr/>
                  </a:pPr>
                  <a:endParaRPr lang="en-US"/>
                </a:p>
              </c:txPr>
              <c:dLblPos val="r"/>
              <c:showLegendKey val="0"/>
              <c:showVal val="0"/>
              <c:showCatName val="0"/>
              <c:showSerName val="0"/>
              <c:showPercent val="0"/>
              <c:showBubbleSize val="0"/>
            </c:dLbl>
            <c:dLbl>
              <c:idx val="12"/>
              <c:tx>
                <c:strRef>
                  <c:f>BroodTab!$K$104</c:f>
                  <c:strCache>
                    <c:ptCount val="1"/>
                    <c:pt idx="0">
                      <c:v>1978</c:v>
                    </c:pt>
                  </c:strCache>
                </c:strRef>
              </c:tx>
              <c:spPr/>
              <c:txPr>
                <a:bodyPr/>
                <a:lstStyle/>
                <a:p>
                  <a:pPr>
                    <a:defRPr/>
                  </a:pPr>
                  <a:endParaRPr lang="en-US"/>
                </a:p>
              </c:txPr>
              <c:dLblPos val="r"/>
              <c:showLegendKey val="0"/>
              <c:showVal val="0"/>
              <c:showCatName val="0"/>
              <c:showSerName val="0"/>
              <c:showPercent val="0"/>
              <c:showBubbleSize val="0"/>
            </c:dLbl>
            <c:dLbl>
              <c:idx val="13"/>
              <c:tx>
                <c:strRef>
                  <c:f>BroodTab!$K$105</c:f>
                  <c:strCache>
                    <c:ptCount val="1"/>
                    <c:pt idx="0">
                      <c:v>1979</c:v>
                    </c:pt>
                  </c:strCache>
                </c:strRef>
              </c:tx>
              <c:spPr/>
              <c:txPr>
                <a:bodyPr/>
                <a:lstStyle/>
                <a:p>
                  <a:pPr>
                    <a:defRPr/>
                  </a:pPr>
                  <a:endParaRPr lang="en-US"/>
                </a:p>
              </c:txPr>
              <c:dLblPos val="r"/>
              <c:showLegendKey val="0"/>
              <c:showVal val="0"/>
              <c:showCatName val="0"/>
              <c:showSerName val="0"/>
              <c:showPercent val="0"/>
              <c:showBubbleSize val="0"/>
            </c:dLbl>
            <c:dLbl>
              <c:idx val="14"/>
              <c:tx>
                <c:strRef>
                  <c:f>BroodTab!$K$106</c:f>
                  <c:strCache>
                    <c:ptCount val="1"/>
                    <c:pt idx="0">
                      <c:v>1980</c:v>
                    </c:pt>
                  </c:strCache>
                </c:strRef>
              </c:tx>
              <c:spPr/>
              <c:txPr>
                <a:bodyPr/>
                <a:lstStyle/>
                <a:p>
                  <a:pPr>
                    <a:defRPr/>
                  </a:pPr>
                  <a:endParaRPr lang="en-US"/>
                </a:p>
              </c:txPr>
              <c:dLblPos val="r"/>
              <c:showLegendKey val="0"/>
              <c:showVal val="0"/>
              <c:showCatName val="0"/>
              <c:showSerName val="0"/>
              <c:showPercent val="0"/>
              <c:showBubbleSize val="0"/>
            </c:dLbl>
            <c:dLbl>
              <c:idx val="15"/>
              <c:tx>
                <c:strRef>
                  <c:f>BroodTab!$K$107</c:f>
                  <c:strCache>
                    <c:ptCount val="1"/>
                    <c:pt idx="0">
                      <c:v>1981</c:v>
                    </c:pt>
                  </c:strCache>
                </c:strRef>
              </c:tx>
              <c:spPr/>
              <c:txPr>
                <a:bodyPr/>
                <a:lstStyle/>
                <a:p>
                  <a:pPr>
                    <a:defRPr/>
                  </a:pPr>
                  <a:endParaRPr lang="en-US"/>
                </a:p>
              </c:txPr>
              <c:dLblPos val="r"/>
              <c:showLegendKey val="0"/>
              <c:showVal val="0"/>
              <c:showCatName val="0"/>
              <c:showSerName val="0"/>
              <c:showPercent val="0"/>
              <c:showBubbleSize val="0"/>
            </c:dLbl>
            <c:dLbl>
              <c:idx val="16"/>
              <c:tx>
                <c:strRef>
                  <c:f>BroodTab!$K$108</c:f>
                  <c:strCache>
                    <c:ptCount val="1"/>
                    <c:pt idx="0">
                      <c:v>1982</c:v>
                    </c:pt>
                  </c:strCache>
                </c:strRef>
              </c:tx>
              <c:spPr/>
              <c:txPr>
                <a:bodyPr/>
                <a:lstStyle/>
                <a:p>
                  <a:pPr>
                    <a:defRPr/>
                  </a:pPr>
                  <a:endParaRPr lang="en-US"/>
                </a:p>
              </c:txPr>
              <c:dLblPos val="r"/>
              <c:showLegendKey val="0"/>
              <c:showVal val="0"/>
              <c:showCatName val="0"/>
              <c:showSerName val="0"/>
              <c:showPercent val="0"/>
              <c:showBubbleSize val="0"/>
            </c:dLbl>
            <c:dLbl>
              <c:idx val="17"/>
              <c:tx>
                <c:strRef>
                  <c:f>BroodTab!$K$109</c:f>
                  <c:strCache>
                    <c:ptCount val="1"/>
                    <c:pt idx="0">
                      <c:v>1983</c:v>
                    </c:pt>
                  </c:strCache>
                </c:strRef>
              </c:tx>
              <c:spPr/>
              <c:txPr>
                <a:bodyPr/>
                <a:lstStyle/>
                <a:p>
                  <a:pPr>
                    <a:defRPr/>
                  </a:pPr>
                  <a:endParaRPr lang="en-US"/>
                </a:p>
              </c:txPr>
              <c:dLblPos val="r"/>
              <c:showLegendKey val="0"/>
              <c:showVal val="0"/>
              <c:showCatName val="0"/>
              <c:showSerName val="0"/>
              <c:showPercent val="0"/>
              <c:showBubbleSize val="0"/>
            </c:dLbl>
            <c:dLbl>
              <c:idx val="18"/>
              <c:tx>
                <c:strRef>
                  <c:f>BroodTab!$K$110</c:f>
                  <c:strCache>
                    <c:ptCount val="1"/>
                    <c:pt idx="0">
                      <c:v>1984</c:v>
                    </c:pt>
                  </c:strCache>
                </c:strRef>
              </c:tx>
              <c:spPr/>
              <c:txPr>
                <a:bodyPr/>
                <a:lstStyle/>
                <a:p>
                  <a:pPr>
                    <a:defRPr/>
                  </a:pPr>
                  <a:endParaRPr lang="en-US"/>
                </a:p>
              </c:txPr>
              <c:dLblPos val="r"/>
              <c:showLegendKey val="0"/>
              <c:showVal val="0"/>
              <c:showCatName val="0"/>
              <c:showSerName val="0"/>
              <c:showPercent val="0"/>
              <c:showBubbleSize val="0"/>
            </c:dLbl>
            <c:dLbl>
              <c:idx val="19"/>
              <c:tx>
                <c:strRef>
                  <c:f>BroodTab!$K$111</c:f>
                  <c:strCache>
                    <c:ptCount val="1"/>
                    <c:pt idx="0">
                      <c:v>1985</c:v>
                    </c:pt>
                  </c:strCache>
                </c:strRef>
              </c:tx>
              <c:spPr/>
              <c:txPr>
                <a:bodyPr/>
                <a:lstStyle/>
                <a:p>
                  <a:pPr>
                    <a:defRPr/>
                  </a:pPr>
                  <a:endParaRPr lang="en-US"/>
                </a:p>
              </c:txPr>
              <c:dLblPos val="r"/>
              <c:showLegendKey val="0"/>
              <c:showVal val="0"/>
              <c:showCatName val="0"/>
              <c:showSerName val="0"/>
              <c:showPercent val="0"/>
              <c:showBubbleSize val="0"/>
            </c:dLbl>
            <c:dLbl>
              <c:idx val="20"/>
              <c:tx>
                <c:strRef>
                  <c:f>BroodTab!$K$112</c:f>
                  <c:strCache>
                    <c:ptCount val="1"/>
                    <c:pt idx="0">
                      <c:v>1986</c:v>
                    </c:pt>
                  </c:strCache>
                </c:strRef>
              </c:tx>
              <c:spPr/>
              <c:txPr>
                <a:bodyPr/>
                <a:lstStyle/>
                <a:p>
                  <a:pPr>
                    <a:defRPr/>
                  </a:pPr>
                  <a:endParaRPr lang="en-US"/>
                </a:p>
              </c:txPr>
              <c:dLblPos val="r"/>
              <c:showLegendKey val="0"/>
              <c:showVal val="0"/>
              <c:showCatName val="0"/>
              <c:showSerName val="0"/>
              <c:showPercent val="0"/>
              <c:showBubbleSize val="0"/>
            </c:dLbl>
            <c:dLbl>
              <c:idx val="21"/>
              <c:tx>
                <c:strRef>
                  <c:f>BroodTab!$K$113</c:f>
                  <c:strCache>
                    <c:ptCount val="1"/>
                    <c:pt idx="0">
                      <c:v>1987</c:v>
                    </c:pt>
                  </c:strCache>
                </c:strRef>
              </c:tx>
              <c:spPr/>
              <c:txPr>
                <a:bodyPr/>
                <a:lstStyle/>
                <a:p>
                  <a:pPr>
                    <a:defRPr/>
                  </a:pPr>
                  <a:endParaRPr lang="en-US"/>
                </a:p>
              </c:txPr>
              <c:dLblPos val="r"/>
              <c:showLegendKey val="0"/>
              <c:showVal val="0"/>
              <c:showCatName val="0"/>
              <c:showSerName val="0"/>
              <c:showPercent val="0"/>
              <c:showBubbleSize val="0"/>
            </c:dLbl>
            <c:dLbl>
              <c:idx val="22"/>
              <c:tx>
                <c:strRef>
                  <c:f>BroodTab!$K$114</c:f>
                  <c:strCache>
                    <c:ptCount val="1"/>
                    <c:pt idx="0">
                      <c:v>1988</c:v>
                    </c:pt>
                  </c:strCache>
                </c:strRef>
              </c:tx>
              <c:spPr/>
              <c:txPr>
                <a:bodyPr/>
                <a:lstStyle/>
                <a:p>
                  <a:pPr>
                    <a:defRPr/>
                  </a:pPr>
                  <a:endParaRPr lang="en-US"/>
                </a:p>
              </c:txPr>
              <c:dLblPos val="r"/>
              <c:showLegendKey val="0"/>
              <c:showVal val="0"/>
              <c:showCatName val="0"/>
              <c:showSerName val="0"/>
              <c:showPercent val="0"/>
              <c:showBubbleSize val="0"/>
            </c:dLbl>
            <c:dLbl>
              <c:idx val="23"/>
              <c:tx>
                <c:strRef>
                  <c:f>BroodTab!$K$115</c:f>
                  <c:strCache>
                    <c:ptCount val="1"/>
                    <c:pt idx="0">
                      <c:v>1989</c:v>
                    </c:pt>
                  </c:strCache>
                </c:strRef>
              </c:tx>
              <c:spPr/>
              <c:txPr>
                <a:bodyPr/>
                <a:lstStyle/>
                <a:p>
                  <a:pPr>
                    <a:defRPr/>
                  </a:pPr>
                  <a:endParaRPr lang="en-US"/>
                </a:p>
              </c:txPr>
              <c:dLblPos val="r"/>
              <c:showLegendKey val="0"/>
              <c:showVal val="0"/>
              <c:showCatName val="0"/>
              <c:showSerName val="0"/>
              <c:showPercent val="0"/>
              <c:showBubbleSize val="0"/>
            </c:dLbl>
            <c:dLbl>
              <c:idx val="24"/>
              <c:tx>
                <c:strRef>
                  <c:f>BroodTab!$K$116</c:f>
                  <c:strCache>
                    <c:ptCount val="1"/>
                    <c:pt idx="0">
                      <c:v>1990</c:v>
                    </c:pt>
                  </c:strCache>
                </c:strRef>
              </c:tx>
              <c:spPr/>
              <c:txPr>
                <a:bodyPr/>
                <a:lstStyle/>
                <a:p>
                  <a:pPr>
                    <a:defRPr/>
                  </a:pPr>
                  <a:endParaRPr lang="en-US"/>
                </a:p>
              </c:txPr>
              <c:dLblPos val="r"/>
              <c:showLegendKey val="0"/>
              <c:showVal val="0"/>
              <c:showCatName val="0"/>
              <c:showSerName val="0"/>
              <c:showPercent val="0"/>
              <c:showBubbleSize val="0"/>
            </c:dLbl>
            <c:dLbl>
              <c:idx val="25"/>
              <c:tx>
                <c:strRef>
                  <c:f>BroodTab!$K$117</c:f>
                  <c:strCache>
                    <c:ptCount val="1"/>
                    <c:pt idx="0">
                      <c:v>1991</c:v>
                    </c:pt>
                  </c:strCache>
                </c:strRef>
              </c:tx>
              <c:spPr/>
              <c:txPr>
                <a:bodyPr/>
                <a:lstStyle/>
                <a:p>
                  <a:pPr>
                    <a:defRPr/>
                  </a:pPr>
                  <a:endParaRPr lang="en-US"/>
                </a:p>
              </c:txPr>
              <c:dLblPos val="r"/>
              <c:showLegendKey val="0"/>
              <c:showVal val="0"/>
              <c:showCatName val="0"/>
              <c:showSerName val="0"/>
              <c:showPercent val="0"/>
              <c:showBubbleSize val="0"/>
            </c:dLbl>
            <c:dLbl>
              <c:idx val="26"/>
              <c:tx>
                <c:strRef>
                  <c:f>BroodTab!$K$118</c:f>
                  <c:strCache>
                    <c:ptCount val="1"/>
                    <c:pt idx="0">
                      <c:v>1992</c:v>
                    </c:pt>
                  </c:strCache>
                </c:strRef>
              </c:tx>
              <c:spPr/>
              <c:txPr>
                <a:bodyPr/>
                <a:lstStyle/>
                <a:p>
                  <a:pPr>
                    <a:defRPr/>
                  </a:pPr>
                  <a:endParaRPr lang="en-US"/>
                </a:p>
              </c:txPr>
              <c:dLblPos val="r"/>
              <c:showLegendKey val="0"/>
              <c:showVal val="0"/>
              <c:showCatName val="0"/>
              <c:showSerName val="0"/>
              <c:showPercent val="0"/>
              <c:showBubbleSize val="0"/>
            </c:dLbl>
            <c:dLbl>
              <c:idx val="27"/>
              <c:tx>
                <c:strRef>
                  <c:f>BroodTab!$K$119</c:f>
                  <c:strCache>
                    <c:ptCount val="1"/>
                    <c:pt idx="0">
                      <c:v>1993</c:v>
                    </c:pt>
                  </c:strCache>
                </c:strRef>
              </c:tx>
              <c:spPr/>
              <c:txPr>
                <a:bodyPr/>
                <a:lstStyle/>
                <a:p>
                  <a:pPr>
                    <a:defRPr/>
                  </a:pPr>
                  <a:endParaRPr lang="en-US"/>
                </a:p>
              </c:txPr>
              <c:dLblPos val="r"/>
              <c:showLegendKey val="0"/>
              <c:showVal val="0"/>
              <c:showCatName val="0"/>
              <c:showSerName val="0"/>
              <c:showPercent val="0"/>
              <c:showBubbleSize val="0"/>
            </c:dLbl>
            <c:dLbl>
              <c:idx val="28"/>
              <c:tx>
                <c:strRef>
                  <c:f>BroodTab!$K$120</c:f>
                  <c:strCache>
                    <c:ptCount val="1"/>
                    <c:pt idx="0">
                      <c:v>1994</c:v>
                    </c:pt>
                  </c:strCache>
                </c:strRef>
              </c:tx>
              <c:spPr/>
              <c:txPr>
                <a:bodyPr/>
                <a:lstStyle/>
                <a:p>
                  <a:pPr>
                    <a:defRPr/>
                  </a:pPr>
                  <a:endParaRPr lang="en-US"/>
                </a:p>
              </c:txPr>
              <c:dLblPos val="r"/>
              <c:showLegendKey val="0"/>
              <c:showVal val="0"/>
              <c:showCatName val="0"/>
              <c:showSerName val="0"/>
              <c:showPercent val="0"/>
              <c:showBubbleSize val="0"/>
            </c:dLbl>
            <c:dLbl>
              <c:idx val="29"/>
              <c:tx>
                <c:strRef>
                  <c:f>BroodTab!$K$121</c:f>
                  <c:strCache>
                    <c:ptCount val="1"/>
                    <c:pt idx="0">
                      <c:v>1995</c:v>
                    </c:pt>
                  </c:strCache>
                </c:strRef>
              </c:tx>
              <c:spPr/>
              <c:txPr>
                <a:bodyPr/>
                <a:lstStyle/>
                <a:p>
                  <a:pPr>
                    <a:defRPr/>
                  </a:pPr>
                  <a:endParaRPr lang="en-US"/>
                </a:p>
              </c:txPr>
              <c:dLblPos val="r"/>
              <c:showLegendKey val="0"/>
              <c:showVal val="0"/>
              <c:showCatName val="0"/>
              <c:showSerName val="0"/>
              <c:showPercent val="0"/>
              <c:showBubbleSize val="0"/>
            </c:dLbl>
            <c:dLbl>
              <c:idx val="30"/>
              <c:tx>
                <c:strRef>
                  <c:f>BroodTab!$K$122</c:f>
                  <c:strCache>
                    <c:ptCount val="1"/>
                    <c:pt idx="0">
                      <c:v>1996</c:v>
                    </c:pt>
                  </c:strCache>
                </c:strRef>
              </c:tx>
              <c:spPr/>
              <c:txPr>
                <a:bodyPr/>
                <a:lstStyle/>
                <a:p>
                  <a:pPr>
                    <a:defRPr/>
                  </a:pPr>
                  <a:endParaRPr lang="en-US"/>
                </a:p>
              </c:txPr>
              <c:dLblPos val="r"/>
              <c:showLegendKey val="0"/>
              <c:showVal val="0"/>
              <c:showCatName val="0"/>
              <c:showSerName val="0"/>
              <c:showPercent val="0"/>
              <c:showBubbleSize val="0"/>
            </c:dLbl>
            <c:dLbl>
              <c:idx val="31"/>
              <c:tx>
                <c:strRef>
                  <c:f>BroodTab!$K$123</c:f>
                  <c:strCache>
                    <c:ptCount val="1"/>
                    <c:pt idx="0">
                      <c:v>1997</c:v>
                    </c:pt>
                  </c:strCache>
                </c:strRef>
              </c:tx>
              <c:spPr/>
              <c:txPr>
                <a:bodyPr/>
                <a:lstStyle/>
                <a:p>
                  <a:pPr>
                    <a:defRPr/>
                  </a:pPr>
                  <a:endParaRPr lang="en-US"/>
                </a:p>
              </c:txPr>
              <c:dLblPos val="r"/>
              <c:showLegendKey val="0"/>
              <c:showVal val="0"/>
              <c:showCatName val="0"/>
              <c:showSerName val="0"/>
              <c:showPercent val="0"/>
              <c:showBubbleSize val="0"/>
            </c:dLbl>
            <c:dLbl>
              <c:idx val="32"/>
              <c:tx>
                <c:strRef>
                  <c:f>BroodTab!$K$124</c:f>
                  <c:strCache>
                    <c:ptCount val="1"/>
                    <c:pt idx="0">
                      <c:v>1998</c:v>
                    </c:pt>
                  </c:strCache>
                </c:strRef>
              </c:tx>
              <c:spPr/>
              <c:txPr>
                <a:bodyPr/>
                <a:lstStyle/>
                <a:p>
                  <a:pPr>
                    <a:defRPr/>
                  </a:pPr>
                  <a:endParaRPr lang="en-US"/>
                </a:p>
              </c:txPr>
              <c:dLblPos val="r"/>
              <c:showLegendKey val="0"/>
              <c:showVal val="0"/>
              <c:showCatName val="0"/>
              <c:showSerName val="0"/>
              <c:showPercent val="0"/>
              <c:showBubbleSize val="0"/>
            </c:dLbl>
            <c:dLbl>
              <c:idx val="33"/>
              <c:tx>
                <c:strRef>
                  <c:f>BroodTab!$K$125</c:f>
                  <c:strCache>
                    <c:ptCount val="1"/>
                    <c:pt idx="0">
                      <c:v>1999</c:v>
                    </c:pt>
                  </c:strCache>
                </c:strRef>
              </c:tx>
              <c:spPr/>
              <c:txPr>
                <a:bodyPr/>
                <a:lstStyle/>
                <a:p>
                  <a:pPr>
                    <a:defRPr/>
                  </a:pPr>
                  <a:endParaRPr lang="en-US"/>
                </a:p>
              </c:txPr>
              <c:dLblPos val="r"/>
              <c:showLegendKey val="0"/>
              <c:showVal val="0"/>
              <c:showCatName val="0"/>
              <c:showSerName val="0"/>
              <c:showPercent val="0"/>
              <c:showBubbleSize val="0"/>
            </c:dLbl>
            <c:dLbl>
              <c:idx val="34"/>
              <c:tx>
                <c:strRef>
                  <c:f>BroodTab!$K$126</c:f>
                  <c:strCache>
                    <c:ptCount val="1"/>
                    <c:pt idx="0">
                      <c:v>2000</c:v>
                    </c:pt>
                  </c:strCache>
                </c:strRef>
              </c:tx>
              <c:spPr/>
              <c:txPr>
                <a:bodyPr/>
                <a:lstStyle/>
                <a:p>
                  <a:pPr>
                    <a:defRPr/>
                  </a:pPr>
                  <a:endParaRPr lang="en-US"/>
                </a:p>
              </c:txPr>
              <c:dLblPos val="r"/>
              <c:showLegendKey val="0"/>
              <c:showVal val="0"/>
              <c:showCatName val="0"/>
              <c:showSerName val="0"/>
              <c:showPercent val="0"/>
              <c:showBubbleSize val="0"/>
            </c:dLbl>
            <c:dLbl>
              <c:idx val="35"/>
              <c:tx>
                <c:strRef>
                  <c:f>BroodTab!$K$127</c:f>
                  <c:strCache>
                    <c:ptCount val="1"/>
                    <c:pt idx="0">
                      <c:v>2001</c:v>
                    </c:pt>
                  </c:strCache>
                </c:strRef>
              </c:tx>
              <c:spPr/>
              <c:txPr>
                <a:bodyPr/>
                <a:lstStyle/>
                <a:p>
                  <a:pPr>
                    <a:defRPr/>
                  </a:pPr>
                  <a:endParaRPr lang="en-US"/>
                </a:p>
              </c:txPr>
              <c:dLblPos val="r"/>
              <c:showLegendKey val="0"/>
              <c:showVal val="0"/>
              <c:showCatName val="0"/>
              <c:showSerName val="0"/>
              <c:showPercent val="0"/>
              <c:showBubbleSize val="0"/>
            </c:dLbl>
            <c:dLbl>
              <c:idx val="36"/>
              <c:tx>
                <c:strRef>
                  <c:f>BroodTab!$K$128</c:f>
                  <c:strCache>
                    <c:ptCount val="1"/>
                    <c:pt idx="0">
                      <c:v>2002</c:v>
                    </c:pt>
                  </c:strCache>
                </c:strRef>
              </c:tx>
              <c:spPr/>
              <c:txPr>
                <a:bodyPr/>
                <a:lstStyle/>
                <a:p>
                  <a:pPr>
                    <a:defRPr/>
                  </a:pPr>
                  <a:endParaRPr lang="en-US"/>
                </a:p>
              </c:txPr>
              <c:dLblPos val="r"/>
              <c:showLegendKey val="0"/>
              <c:showVal val="0"/>
              <c:showCatName val="0"/>
              <c:showSerName val="0"/>
              <c:showPercent val="0"/>
              <c:showBubbleSize val="0"/>
            </c:dLbl>
            <c:dLbl>
              <c:idx val="37"/>
              <c:tx>
                <c:strRef>
                  <c:f>BroodTab!$K$129</c:f>
                  <c:strCache>
                    <c:ptCount val="1"/>
                    <c:pt idx="0">
                      <c:v>2003</c:v>
                    </c:pt>
                  </c:strCache>
                </c:strRef>
              </c:tx>
              <c:spPr/>
              <c:txPr>
                <a:bodyPr/>
                <a:lstStyle/>
                <a:p>
                  <a:pPr>
                    <a:defRPr/>
                  </a:pPr>
                  <a:endParaRPr lang="en-US"/>
                </a:p>
              </c:txPr>
              <c:dLblPos val="r"/>
              <c:showLegendKey val="0"/>
              <c:showVal val="0"/>
              <c:showCatName val="0"/>
              <c:showSerName val="0"/>
              <c:showPercent val="0"/>
              <c:showBubbleSize val="0"/>
            </c:dLbl>
            <c:dLbl>
              <c:idx val="38"/>
              <c:tx>
                <c:strRef>
                  <c:f>BroodTab!$K$130</c:f>
                  <c:strCache>
                    <c:ptCount val="1"/>
                    <c:pt idx="0">
                      <c:v>2004</c:v>
                    </c:pt>
                  </c:strCache>
                </c:strRef>
              </c:tx>
              <c:spPr/>
              <c:txPr>
                <a:bodyPr/>
                <a:lstStyle/>
                <a:p>
                  <a:pPr>
                    <a:defRPr/>
                  </a:pPr>
                  <a:endParaRPr lang="en-US"/>
                </a:p>
              </c:txPr>
              <c:dLblPos val="r"/>
              <c:showLegendKey val="0"/>
              <c:showVal val="0"/>
              <c:showCatName val="0"/>
              <c:showSerName val="0"/>
              <c:showPercent val="0"/>
              <c:showBubbleSize val="0"/>
            </c:dLbl>
            <c:dLbl>
              <c:idx val="39"/>
              <c:tx>
                <c:strRef>
                  <c:f>BroodTab!$K$131</c:f>
                  <c:strCache>
                    <c:ptCount val="1"/>
                    <c:pt idx="0">
                      <c:v>2005</c:v>
                    </c:pt>
                  </c:strCache>
                </c:strRef>
              </c:tx>
              <c:spPr/>
              <c:txPr>
                <a:bodyPr/>
                <a:lstStyle/>
                <a:p>
                  <a:pPr>
                    <a:defRPr/>
                  </a:pPr>
                  <a:endParaRPr lang="en-US"/>
                </a:p>
              </c:txPr>
              <c:dLblPos val="r"/>
              <c:showLegendKey val="0"/>
              <c:showVal val="0"/>
              <c:showCatName val="0"/>
              <c:showSerName val="0"/>
              <c:showPercent val="0"/>
              <c:showBubbleSize val="0"/>
            </c:dLbl>
            <c:dLbl>
              <c:idx val="40"/>
              <c:tx>
                <c:strRef>
                  <c:f>BroodTab!$K$132</c:f>
                  <c:strCache>
                    <c:ptCount val="1"/>
                    <c:pt idx="0">
                      <c:v>2006</c:v>
                    </c:pt>
                  </c:strCache>
                </c:strRef>
              </c:tx>
              <c:spPr/>
              <c:txPr>
                <a:bodyPr/>
                <a:lstStyle/>
                <a:p>
                  <a:pPr>
                    <a:defRPr/>
                  </a:pPr>
                  <a:endParaRPr lang="en-US"/>
                </a:p>
              </c:txPr>
              <c:dLblPos val="r"/>
              <c:showLegendKey val="0"/>
              <c:showVal val="0"/>
              <c:showCatName val="0"/>
              <c:showSerName val="0"/>
              <c:showPercent val="0"/>
              <c:showBubbleSize val="0"/>
            </c:dLbl>
            <c:dLbl>
              <c:idx val="41"/>
              <c:tx>
                <c:strRef>
                  <c:f>BroodTab!$K$133</c:f>
                  <c:strCache>
                    <c:ptCount val="1"/>
                    <c:pt idx="0">
                      <c:v>2007</c:v>
                    </c:pt>
                  </c:strCache>
                </c:strRef>
              </c:tx>
              <c:spPr/>
              <c:txPr>
                <a:bodyPr/>
                <a:lstStyle/>
                <a:p>
                  <a:pPr>
                    <a:defRPr/>
                  </a:pPr>
                  <a:endParaRPr lang="en-US"/>
                </a:p>
              </c:txPr>
              <c:dLblPos val="r"/>
              <c:showLegendKey val="0"/>
              <c:showVal val="0"/>
              <c:showCatName val="0"/>
              <c:showSerName val="0"/>
              <c:showPercent val="0"/>
              <c:showBubbleSize val="0"/>
            </c:dLbl>
            <c:dLbl>
              <c:idx val="42"/>
              <c:tx>
                <c:strRef>
                  <c:f>BroodTab!$K$134</c:f>
                  <c:strCache>
                    <c:ptCount val="1"/>
                    <c:pt idx="0">
                      <c:v>2008</c:v>
                    </c:pt>
                  </c:strCache>
                </c:strRef>
              </c:tx>
              <c:spPr/>
              <c:txPr>
                <a:bodyPr/>
                <a:lstStyle/>
                <a:p>
                  <a:pPr>
                    <a:defRPr/>
                  </a:pPr>
                  <a:endParaRPr lang="en-US"/>
                </a:p>
              </c:txPr>
              <c:dLblPos val="r"/>
              <c:showLegendKey val="0"/>
              <c:showVal val="0"/>
              <c:showCatName val="0"/>
              <c:showSerName val="0"/>
              <c:showPercent val="0"/>
              <c:showBubbleSize val="0"/>
            </c:dLbl>
            <c:dLbl>
              <c:idx val="43"/>
              <c:tx>
                <c:strRef>
                  <c:f>BroodTab!$K$135</c:f>
                  <c:strCache>
                    <c:ptCount val="1"/>
                    <c:pt idx="0">
                      <c:v>2009</c:v>
                    </c:pt>
                  </c:strCache>
                </c:strRef>
              </c:tx>
              <c:spPr/>
              <c:txPr>
                <a:bodyPr/>
                <a:lstStyle/>
                <a:p>
                  <a:pPr>
                    <a:defRPr/>
                  </a:pPr>
                  <a:endParaRPr lang="en-US"/>
                </a:p>
              </c:txPr>
              <c:dLblPos val="r"/>
              <c:showLegendKey val="0"/>
              <c:showVal val="0"/>
              <c:showCatName val="0"/>
              <c:showSerName val="0"/>
              <c:showPercent val="0"/>
              <c:showBubbleSize val="0"/>
            </c:dLbl>
            <c:showLegendKey val="0"/>
            <c:showVal val="1"/>
            <c:showCatName val="0"/>
            <c:showSerName val="0"/>
            <c:showPercent val="0"/>
            <c:showBubbleSize val="0"/>
            <c:showLeaderLines val="0"/>
          </c:dLbls>
          <c:trendline>
            <c:spPr>
              <a:ln w="25400">
                <a:solidFill>
                  <a:srgbClr val="000000"/>
                </a:solidFill>
                <a:prstDash val="solid"/>
              </a:ln>
            </c:spPr>
            <c:trendlineType val="linear"/>
            <c:forward val="20000.0"/>
            <c:dispRSqr val="1"/>
            <c:dispEq val="1"/>
            <c:trendlineLbl>
              <c:layout>
                <c:manualLayout>
                  <c:x val="-0.416651795525796"/>
                  <c:y val="-0.377556353097236"/>
                </c:manualLayout>
              </c:layout>
              <c:numFmt formatCode="General" sourceLinked="0"/>
              <c:spPr>
                <a:noFill/>
                <a:ln w="25400">
                  <a:noFill/>
                </a:ln>
              </c:spPr>
              <c:txPr>
                <a:bodyPr/>
                <a:lstStyle/>
                <a:p>
                  <a:pPr>
                    <a:defRPr sz="1200" b="0" i="0" u="none" strike="noStrike" baseline="0">
                      <a:solidFill>
                        <a:srgbClr val="000000"/>
                      </a:solidFill>
                      <a:latin typeface="Tahoma"/>
                      <a:ea typeface="Tahoma"/>
                      <a:cs typeface="Tahoma"/>
                    </a:defRPr>
                  </a:pPr>
                  <a:endParaRPr lang="en-US"/>
                </a:p>
              </c:txPr>
            </c:trendlineLbl>
          </c:trendline>
          <c:xVal>
            <c:numRef>
              <c:f>BroodTab!$L$92:$L$136</c:f>
              <c:numCache>
                <c:formatCode>General</c:formatCode>
                <c:ptCount val="45"/>
                <c:pt idx="0">
                  <c:v>17815.0</c:v>
                </c:pt>
                <c:pt idx="1">
                  <c:v>4391.0</c:v>
                </c:pt>
                <c:pt idx="2">
                  <c:v>32538.0</c:v>
                </c:pt>
                <c:pt idx="3">
                  <c:v>25199.0</c:v>
                </c:pt>
                <c:pt idx="4">
                  <c:v>9913.00000000001</c:v>
                </c:pt>
                <c:pt idx="5">
                  <c:v>3751.0</c:v>
                </c:pt>
                <c:pt idx="6">
                  <c:v>22525.617322209</c:v>
                </c:pt>
                <c:pt idx="7">
                  <c:v>12896.1913585018</c:v>
                </c:pt>
                <c:pt idx="8">
                  <c:v>49280.0</c:v>
                </c:pt>
                <c:pt idx="9">
                  <c:v>5604.0</c:v>
                </c:pt>
                <c:pt idx="10">
                  <c:v>29452.0</c:v>
                </c:pt>
                <c:pt idx="11">
                  <c:v>25454.0</c:v>
                </c:pt>
                <c:pt idx="12">
                  <c:v>21031.0</c:v>
                </c:pt>
                <c:pt idx="13">
                  <c:v>38347.0</c:v>
                </c:pt>
                <c:pt idx="14">
                  <c:v>52433.7306</c:v>
                </c:pt>
                <c:pt idx="15">
                  <c:v>137082.7729</c:v>
                </c:pt>
                <c:pt idx="16">
                  <c:v>8798.806100000011</c:v>
                </c:pt>
                <c:pt idx="17">
                  <c:v>17439.0</c:v>
                </c:pt>
                <c:pt idx="18">
                  <c:v>37780.0</c:v>
                </c:pt>
                <c:pt idx="19">
                  <c:v>92478.0740000001</c:v>
                </c:pt>
                <c:pt idx="20">
                  <c:v>58604.13537</c:v>
                </c:pt>
                <c:pt idx="21">
                  <c:v>11755.0</c:v>
                </c:pt>
                <c:pt idx="22">
                  <c:v>64775.0</c:v>
                </c:pt>
                <c:pt idx="23">
                  <c:v>1682.0</c:v>
                </c:pt>
                <c:pt idx="24">
                  <c:v>4371.612</c:v>
                </c:pt>
                <c:pt idx="25">
                  <c:v>2168.592755632403</c:v>
                </c:pt>
                <c:pt idx="26">
                  <c:v>6913.123</c:v>
                </c:pt>
                <c:pt idx="27">
                  <c:v>2596.0</c:v>
                </c:pt>
                <c:pt idx="28">
                  <c:v>3519.0</c:v>
                </c:pt>
                <c:pt idx="29">
                  <c:v>38575.0</c:v>
                </c:pt>
                <c:pt idx="30">
                  <c:v>14841.0</c:v>
                </c:pt>
                <c:pt idx="31">
                  <c:v>8466.983</c:v>
                </c:pt>
                <c:pt idx="32">
                  <c:v>2313.0</c:v>
                </c:pt>
                <c:pt idx="33">
                  <c:v>133941.0</c:v>
                </c:pt>
                <c:pt idx="34">
                  <c:v>22334.0</c:v>
                </c:pt>
                <c:pt idx="35">
                  <c:v>12566.0</c:v>
                </c:pt>
                <c:pt idx="36">
                  <c:v>21013.0</c:v>
                </c:pt>
                <c:pt idx="37">
                  <c:v>99869.0</c:v>
                </c:pt>
                <c:pt idx="38">
                  <c:v>55977.0</c:v>
                </c:pt>
                <c:pt idx="39">
                  <c:v>6618.0</c:v>
                </c:pt>
                <c:pt idx="40">
                  <c:v>27264.0</c:v>
                </c:pt>
                <c:pt idx="41">
                  <c:v>29262.0</c:v>
                </c:pt>
                <c:pt idx="42" formatCode="#,##0_);\(#,##0\)">
                  <c:v>45985.0</c:v>
                </c:pt>
                <c:pt idx="43" formatCode="#,##0_);\(#,##0\)">
                  <c:v>2810.0</c:v>
                </c:pt>
                <c:pt idx="44" formatCode="#,##0_);\(#,##0\)">
                  <c:v>37325.0</c:v>
                </c:pt>
              </c:numCache>
            </c:numRef>
          </c:xVal>
          <c:yVal>
            <c:numRef>
              <c:f>BroodTab!$M$92:$M$136</c:f>
              <c:numCache>
                <c:formatCode>General</c:formatCode>
                <c:ptCount val="45"/>
                <c:pt idx="0">
                  <c:v>34021.0</c:v>
                </c:pt>
                <c:pt idx="1">
                  <c:v>53756.0</c:v>
                </c:pt>
                <c:pt idx="2">
                  <c:v>124343.0</c:v>
                </c:pt>
                <c:pt idx="3">
                  <c:v>48915.0</c:v>
                </c:pt>
                <c:pt idx="4">
                  <c:v>54766.0</c:v>
                </c:pt>
                <c:pt idx="5">
                  <c:v>140137.954628526</c:v>
                </c:pt>
                <c:pt idx="6">
                  <c:v>108119.716904254</c:v>
                </c:pt>
                <c:pt idx="7">
                  <c:v>60811.0</c:v>
                </c:pt>
                <c:pt idx="8">
                  <c:v>158164.0</c:v>
                </c:pt>
                <c:pt idx="9">
                  <c:v>32566.0</c:v>
                </c:pt>
                <c:pt idx="10">
                  <c:v>164079.0</c:v>
                </c:pt>
                <c:pt idx="11">
                  <c:v>203097.0</c:v>
                </c:pt>
                <c:pt idx="12">
                  <c:v>76250.0</c:v>
                </c:pt>
                <c:pt idx="13">
                  <c:v>136669.5862</c:v>
                </c:pt>
                <c:pt idx="14">
                  <c:v>99913.3924999999</c:v>
                </c:pt>
                <c:pt idx="15">
                  <c:v>1.10825629E6</c:v>
                </c:pt>
                <c:pt idx="16">
                  <c:v>51329.0</c:v>
                </c:pt>
                <c:pt idx="17">
                  <c:v>105297.0</c:v>
                </c:pt>
                <c:pt idx="18">
                  <c:v>344020.063</c:v>
                </c:pt>
                <c:pt idx="19">
                  <c:v>355917.2286</c:v>
                </c:pt>
                <c:pt idx="20">
                  <c:v>546985.0</c:v>
                </c:pt>
                <c:pt idx="21">
                  <c:v>86810.0</c:v>
                </c:pt>
                <c:pt idx="22">
                  <c:v>133744.0</c:v>
                </c:pt>
                <c:pt idx="23">
                  <c:v>12950.644</c:v>
                </c:pt>
                <c:pt idx="24">
                  <c:v>17266.1289877018</c:v>
                </c:pt>
                <c:pt idx="25">
                  <c:v>53696.974</c:v>
                </c:pt>
                <c:pt idx="26">
                  <c:v>41717.0</c:v>
                </c:pt>
                <c:pt idx="27">
                  <c:v>4662.0</c:v>
                </c:pt>
                <c:pt idx="28">
                  <c:v>19808.0</c:v>
                </c:pt>
                <c:pt idx="29">
                  <c:v>113543.0</c:v>
                </c:pt>
                <c:pt idx="30">
                  <c:v>97317.0</c:v>
                </c:pt>
                <c:pt idx="31">
                  <c:v>58365.0</c:v>
                </c:pt>
                <c:pt idx="32">
                  <c:v>9645.0</c:v>
                </c:pt>
                <c:pt idx="33">
                  <c:v>177119.0</c:v>
                </c:pt>
                <c:pt idx="34">
                  <c:v>108519.0</c:v>
                </c:pt>
                <c:pt idx="35">
                  <c:v>30255.0</c:v>
                </c:pt>
                <c:pt idx="36">
                  <c:v>67785.0</c:v>
                </c:pt>
                <c:pt idx="37">
                  <c:v>132588.0</c:v>
                </c:pt>
                <c:pt idx="38">
                  <c:v>86862.0</c:v>
                </c:pt>
                <c:pt idx="39">
                  <c:v>4192.0</c:v>
                </c:pt>
                <c:pt idx="40">
                  <c:v>149002.0</c:v>
                </c:pt>
                <c:pt idx="41">
                  <c:v>66271.0</c:v>
                </c:pt>
                <c:pt idx="42" formatCode="#,##0_);\(#,##0\)">
                  <c:v>105257.0</c:v>
                </c:pt>
                <c:pt idx="43" formatCode="#,##0_);\(#,##0\)">
                  <c:v>6835.0</c:v>
                </c:pt>
              </c:numCache>
            </c:numRef>
          </c:yVal>
          <c:smooth val="0"/>
        </c:ser>
        <c:dLbls>
          <c:showLegendKey val="0"/>
          <c:showVal val="0"/>
          <c:showCatName val="0"/>
          <c:showSerName val="0"/>
          <c:showPercent val="0"/>
          <c:showBubbleSize val="0"/>
        </c:dLbls>
        <c:axId val="-2093830040"/>
        <c:axId val="-2091292200"/>
      </c:scatterChart>
      <c:valAx>
        <c:axId val="-2093830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ahoma"/>
                <a:ea typeface="Tahoma"/>
                <a:cs typeface="Tahoma"/>
              </a:defRPr>
            </a:pPr>
            <a:endParaRPr lang="en-US"/>
          </a:p>
        </c:txPr>
        <c:crossAx val="-2091292200"/>
        <c:crosses val="autoZero"/>
        <c:crossBetween val="midCat"/>
      </c:valAx>
      <c:valAx>
        <c:axId val="-209129220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Tahoma"/>
                <a:ea typeface="Tahoma"/>
                <a:cs typeface="Tahoma"/>
              </a:defRPr>
            </a:pPr>
            <a:endParaRPr lang="en-US"/>
          </a:p>
        </c:txPr>
        <c:crossAx val="-209383004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Tahoma"/>
          <a:ea typeface="Tahoma"/>
          <a:cs typeface="Tahoma"/>
        </a:defRPr>
      </a:pPr>
      <a:endParaRPr lang="en-US"/>
    </a:p>
  </c:txPr>
  <c:printSettings>
    <c:headerFooter alignWithMargins="0"/>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985295349634224"/>
          <c:y val="0.053231470033188"/>
          <c:w val="0.861636999834988"/>
          <c:h val="0.880482071972408"/>
        </c:manualLayout>
      </c:layout>
      <c:scatterChart>
        <c:scatterStyle val="lineMarker"/>
        <c:varyColors val="0"/>
        <c:ser>
          <c:idx val="0"/>
          <c:order val="0"/>
          <c:spPr>
            <a:ln w="28575">
              <a:noFill/>
            </a:ln>
          </c:spPr>
          <c:trendline>
            <c:trendlineType val="linear"/>
            <c:dispRSqr val="1"/>
            <c:dispEq val="1"/>
            <c:trendlineLbl>
              <c:layout>
                <c:manualLayout>
                  <c:x val="-0.092270940608512"/>
                  <c:y val="-0.0631909936877725"/>
                </c:manualLayout>
              </c:layout>
              <c:numFmt formatCode="General" sourceLinked="0"/>
            </c:trendlineLbl>
          </c:trendline>
          <c:xVal>
            <c:numRef>
              <c:f>BroodTab!$O$104:$O$139</c:f>
              <c:numCache>
                <c:formatCode>0.00_)</c:formatCode>
                <c:ptCount val="36"/>
                <c:pt idx="0">
                  <c:v>9.953752818683678</c:v>
                </c:pt>
                <c:pt idx="1">
                  <c:v>10.55443157687763</c:v>
                </c:pt>
                <c:pt idx="2">
                  <c:v>10.86730537695477</c:v>
                </c:pt>
                <c:pt idx="3">
                  <c:v>11.82834020411777</c:v>
                </c:pt>
                <c:pt idx="4">
                  <c:v>9.082371320807685</c:v>
                </c:pt>
                <c:pt idx="5">
                  <c:v>9.76646435636946</c:v>
                </c:pt>
                <c:pt idx="6">
                  <c:v>10.5395351410555</c:v>
                </c:pt>
                <c:pt idx="7">
                  <c:v>11.43472685756477</c:v>
                </c:pt>
                <c:pt idx="8">
                  <c:v>10.97856054252912</c:v>
                </c:pt>
                <c:pt idx="9">
                  <c:v>9.37203396097417</c:v>
                </c:pt>
                <c:pt idx="10">
                  <c:v>11.07867500543031</c:v>
                </c:pt>
                <c:pt idx="11">
                  <c:v>7.427738840532894</c:v>
                </c:pt>
                <c:pt idx="12">
                  <c:v>8.38288709878914</c:v>
                </c:pt>
                <c:pt idx="13">
                  <c:v>7.681833736459046</c:v>
                </c:pt>
                <c:pt idx="14">
                  <c:v>8.841176768351712</c:v>
                </c:pt>
                <c:pt idx="15">
                  <c:v>7.86172707782398</c:v>
                </c:pt>
                <c:pt idx="16">
                  <c:v>8.165932137321584</c:v>
                </c:pt>
                <c:pt idx="17">
                  <c:v>10.56035967723136</c:v>
                </c:pt>
                <c:pt idx="18">
                  <c:v>9.605148899895818</c:v>
                </c:pt>
                <c:pt idx="19">
                  <c:v>9.043929525845292</c:v>
                </c:pt>
                <c:pt idx="20">
                  <c:v>7.74630066223144</c:v>
                </c:pt>
                <c:pt idx="21">
                  <c:v>11.80445263554827</c:v>
                </c:pt>
                <c:pt idx="22">
                  <c:v>10.01386546000574</c:v>
                </c:pt>
                <c:pt idx="23">
                  <c:v>9.438750032962891</c:v>
                </c:pt>
                <c:pt idx="24">
                  <c:v>9.95289657279367</c:v>
                </c:pt>
                <c:pt idx="25">
                  <c:v>11.51161460617013</c:v>
                </c:pt>
                <c:pt idx="26">
                  <c:v>10.93269617106536</c:v>
                </c:pt>
                <c:pt idx="27">
                  <c:v>8.797548488481558</c:v>
                </c:pt>
                <c:pt idx="28">
                  <c:v>10.21332242962904</c:v>
                </c:pt>
                <c:pt idx="29">
                  <c:v>10.28404502493811</c:v>
                </c:pt>
                <c:pt idx="30">
                  <c:v>10.7360705353368</c:v>
                </c:pt>
                <c:pt idx="31">
                  <c:v>7.940939762327791</c:v>
                </c:pt>
                <c:pt idx="32">
                  <c:v>10.5274186224074</c:v>
                </c:pt>
                <c:pt idx="33">
                  <c:v>11.56051490856314</c:v>
                </c:pt>
                <c:pt idx="34">
                  <c:v>10.31510039123053</c:v>
                </c:pt>
                <c:pt idx="35">
                  <c:v>10.4724877403532</c:v>
                </c:pt>
              </c:numCache>
            </c:numRef>
          </c:xVal>
          <c:yVal>
            <c:numRef>
              <c:f>BroodTab!$P$104:$P$139</c:f>
              <c:numCache>
                <c:formatCode>0.00_)</c:formatCode>
                <c:ptCount val="36"/>
                <c:pt idx="0">
                  <c:v>11.24177269446966</c:v>
                </c:pt>
                <c:pt idx="1">
                  <c:v>11.82532151222323</c:v>
                </c:pt>
                <c:pt idx="2">
                  <c:v>11.5120590147106</c:v>
                </c:pt>
                <c:pt idx="3">
                  <c:v>13.9182984282059</c:v>
                </c:pt>
                <c:pt idx="4">
                  <c:v>10.84601117358005</c:v>
                </c:pt>
                <c:pt idx="5">
                  <c:v>11.56454020768773</c:v>
                </c:pt>
                <c:pt idx="6">
                  <c:v>12.74845525732925</c:v>
                </c:pt>
                <c:pt idx="7">
                  <c:v>12.78245347886835</c:v>
                </c:pt>
                <c:pt idx="8">
                  <c:v>13.21217665872465</c:v>
                </c:pt>
                <c:pt idx="9">
                  <c:v>11.37147710138585</c:v>
                </c:pt>
                <c:pt idx="10">
                  <c:v>11.80368280393894</c:v>
                </c:pt>
                <c:pt idx="11">
                  <c:v>9.468900795620932</c:v>
                </c:pt>
                <c:pt idx="12">
                  <c:v>9.756501999386223</c:v>
                </c:pt>
                <c:pt idx="13">
                  <c:v>10.89111192881612</c:v>
                </c:pt>
                <c:pt idx="14">
                  <c:v>10.63866399857139</c:v>
                </c:pt>
                <c:pt idx="15">
                  <c:v>8.447199819595702</c:v>
                </c:pt>
                <c:pt idx="16">
                  <c:v>9.893841175484322</c:v>
                </c:pt>
                <c:pt idx="17">
                  <c:v>11.63993689878185</c:v>
                </c:pt>
                <c:pt idx="18">
                  <c:v>11.48572897028176</c:v>
                </c:pt>
                <c:pt idx="19">
                  <c:v>10.97447167408676</c:v>
                </c:pt>
                <c:pt idx="20">
                  <c:v>9.17419492533983</c:v>
                </c:pt>
                <c:pt idx="21">
                  <c:v>12.08457710203673</c:v>
                </c:pt>
                <c:pt idx="22">
                  <c:v>11.59468055183915</c:v>
                </c:pt>
                <c:pt idx="23">
                  <c:v>10.31741673905642</c:v>
                </c:pt>
                <c:pt idx="24">
                  <c:v>11.12409621051349</c:v>
                </c:pt>
                <c:pt idx="25">
                  <c:v>11.79500185490117</c:v>
                </c:pt>
                <c:pt idx="26">
                  <c:v>11.3720759313821</c:v>
                </c:pt>
                <c:pt idx="27">
                  <c:v>8.340933226000878</c:v>
                </c:pt>
                <c:pt idx="28">
                  <c:v>11.9117150076563</c:v>
                </c:pt>
                <c:pt idx="29">
                  <c:v>11.12577658589784</c:v>
                </c:pt>
                <c:pt idx="30">
                  <c:v>11.58444580637908</c:v>
                </c:pt>
                <c:pt idx="31">
                  <c:v>9.444621667700849</c:v>
                </c:pt>
                <c:pt idx="32">
                  <c:v>11.71403606366077</c:v>
                </c:pt>
                <c:pt idx="33">
                  <c:v>13.19029862313561</c:v>
                </c:pt>
                <c:pt idx="34">
                  <c:v>10.61336893208724</c:v>
                </c:pt>
                <c:pt idx="35">
                  <c:v>11.32795640663486</c:v>
                </c:pt>
              </c:numCache>
            </c:numRef>
          </c:yVal>
          <c:smooth val="0"/>
        </c:ser>
        <c:dLbls>
          <c:showLegendKey val="0"/>
          <c:showVal val="0"/>
          <c:showCatName val="0"/>
          <c:showSerName val="0"/>
          <c:showPercent val="0"/>
          <c:showBubbleSize val="0"/>
        </c:dLbls>
        <c:axId val="-2093797208"/>
        <c:axId val="-2099289656"/>
      </c:scatterChart>
      <c:valAx>
        <c:axId val="-2093797208"/>
        <c:scaling>
          <c:orientation val="minMax"/>
        </c:scaling>
        <c:delete val="0"/>
        <c:axPos val="b"/>
        <c:numFmt formatCode="0.00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99289656"/>
        <c:crosses val="autoZero"/>
        <c:crossBetween val="midCat"/>
      </c:valAx>
      <c:valAx>
        <c:axId val="-2099289656"/>
        <c:scaling>
          <c:orientation val="minMax"/>
          <c:min val="6.0"/>
        </c:scaling>
        <c:delete val="0"/>
        <c:axPos val="l"/>
        <c:majorGridlines/>
        <c:numFmt formatCode="0.00_)" sourceLinked="1"/>
        <c:majorTickMark val="out"/>
        <c:minorTickMark val="none"/>
        <c:tickLblPos val="nextTo"/>
        <c:crossAx val="-2093797208"/>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4000"/>
            </a:pPr>
            <a:r>
              <a:rPr lang="en-US" sz="4000"/>
              <a:t>Coghill Lake Sockeye Salmon:</a:t>
            </a:r>
          </a:p>
          <a:p>
            <a:pPr>
              <a:defRPr sz="4000"/>
            </a:pPr>
            <a:r>
              <a:rPr lang="en-US" sz="4000"/>
              <a:t>Return</a:t>
            </a:r>
            <a:r>
              <a:rPr lang="en-US" sz="4000" baseline="0"/>
              <a:t> Year Total Run and Escapement</a:t>
            </a:r>
            <a:endParaRPr lang="en-US" sz="4000"/>
          </a:p>
          <a:p>
            <a:pPr>
              <a:defRPr sz="4000"/>
            </a:pPr>
            <a:r>
              <a:rPr lang="en-US" sz="3200"/>
              <a:t>*harvest</a:t>
            </a:r>
            <a:r>
              <a:rPr lang="en-US" sz="3200" baseline="0"/>
              <a:t> rate label on bars</a:t>
            </a:r>
            <a:endParaRPr lang="en-US" sz="3200"/>
          </a:p>
        </c:rich>
      </c:tx>
      <c:layout>
        <c:manualLayout>
          <c:xMode val="edge"/>
          <c:yMode val="edge"/>
          <c:x val="0.30490120647601"/>
          <c:y val="0.0572862020566013"/>
        </c:manualLayout>
      </c:layout>
      <c:overlay val="1"/>
    </c:title>
    <c:autoTitleDeleted val="0"/>
    <c:plotArea>
      <c:layout>
        <c:manualLayout>
          <c:layoutTarget val="inner"/>
          <c:xMode val="edge"/>
          <c:yMode val="edge"/>
          <c:x val="0.0693449920969823"/>
          <c:y val="0.0168469659576135"/>
          <c:w val="0.916842853206885"/>
          <c:h val="0.91627893994594"/>
        </c:manualLayout>
      </c:layout>
      <c:barChart>
        <c:barDir val="col"/>
        <c:grouping val="clustered"/>
        <c:varyColors val="0"/>
        <c:ser>
          <c:idx val="0"/>
          <c:order val="0"/>
          <c:invertIfNegative val="0"/>
          <c:cat>
            <c:numRef>
              <c:f>BroodTab!$AJ$14:$AJ$60</c:f>
              <c:numCache>
                <c:formatCode>General</c:formatCode>
                <c:ptCount val="47"/>
                <c:pt idx="0">
                  <c:v>1968.0</c:v>
                </c:pt>
                <c:pt idx="1">
                  <c:v>1969.0</c:v>
                </c:pt>
                <c:pt idx="2">
                  <c:v>1970.0</c:v>
                </c:pt>
                <c:pt idx="3">
                  <c:v>1971.0</c:v>
                </c:pt>
                <c:pt idx="4">
                  <c:v>1972.0</c:v>
                </c:pt>
                <c:pt idx="5">
                  <c:v>1973.0</c:v>
                </c:pt>
                <c:pt idx="6">
                  <c:v>1974.0</c:v>
                </c:pt>
                <c:pt idx="7">
                  <c:v>1975.0</c:v>
                </c:pt>
                <c:pt idx="8">
                  <c:v>1976.0</c:v>
                </c:pt>
                <c:pt idx="9">
                  <c:v>1977.0</c:v>
                </c:pt>
                <c:pt idx="10">
                  <c:v>1978.0</c:v>
                </c:pt>
                <c:pt idx="11">
                  <c:v>1979.0</c:v>
                </c:pt>
                <c:pt idx="12">
                  <c:v>1980.0</c:v>
                </c:pt>
                <c:pt idx="13">
                  <c:v>1981.0</c:v>
                </c:pt>
                <c:pt idx="14">
                  <c:v>1982.0</c:v>
                </c:pt>
                <c:pt idx="15">
                  <c:v>1983.0</c:v>
                </c:pt>
                <c:pt idx="16">
                  <c:v>1984.0</c:v>
                </c:pt>
                <c:pt idx="17">
                  <c:v>1985.0</c:v>
                </c:pt>
                <c:pt idx="18">
                  <c:v>1986.0</c:v>
                </c:pt>
                <c:pt idx="19">
                  <c:v>1987.0</c:v>
                </c:pt>
                <c:pt idx="20">
                  <c:v>1988.0</c:v>
                </c:pt>
                <c:pt idx="21">
                  <c:v>1989.0</c:v>
                </c:pt>
                <c:pt idx="22">
                  <c:v>1990.0</c:v>
                </c:pt>
                <c:pt idx="23">
                  <c:v>1991.0</c:v>
                </c:pt>
                <c:pt idx="24">
                  <c:v>1992.0</c:v>
                </c:pt>
                <c:pt idx="25">
                  <c:v>1993.0</c:v>
                </c:pt>
                <c:pt idx="26">
                  <c:v>1994.0</c:v>
                </c:pt>
                <c:pt idx="27">
                  <c:v>1995.0</c:v>
                </c:pt>
                <c:pt idx="28">
                  <c:v>1996.0</c:v>
                </c:pt>
                <c:pt idx="29">
                  <c:v>1997.0</c:v>
                </c:pt>
                <c:pt idx="30">
                  <c:v>1998.0</c:v>
                </c:pt>
                <c:pt idx="31">
                  <c:v>1999.0</c:v>
                </c:pt>
                <c:pt idx="32">
                  <c:v>2000.0</c:v>
                </c:pt>
                <c:pt idx="33">
                  <c:v>2001.0</c:v>
                </c:pt>
                <c:pt idx="34">
                  <c:v>2002.0</c:v>
                </c:pt>
                <c:pt idx="35">
                  <c:v>2003.0</c:v>
                </c:pt>
                <c:pt idx="36">
                  <c:v>2004.0</c:v>
                </c:pt>
                <c:pt idx="37">
                  <c:v>2005.0</c:v>
                </c:pt>
                <c:pt idx="38">
                  <c:v>2006.0</c:v>
                </c:pt>
                <c:pt idx="39">
                  <c:v>2007.0</c:v>
                </c:pt>
                <c:pt idx="40">
                  <c:v>2008.0</c:v>
                </c:pt>
                <c:pt idx="41">
                  <c:v>2009.0</c:v>
                </c:pt>
                <c:pt idx="42">
                  <c:v>2010.0</c:v>
                </c:pt>
                <c:pt idx="43">
                  <c:v>2011.0</c:v>
                </c:pt>
                <c:pt idx="44">
                  <c:v>2012.0</c:v>
                </c:pt>
                <c:pt idx="45">
                  <c:v>2013.0</c:v>
                </c:pt>
                <c:pt idx="46">
                  <c:v>2014.0</c:v>
                </c:pt>
              </c:numCache>
            </c:numRef>
          </c:cat>
          <c:val>
            <c:numRef>
              <c:f>BroodTab!$AK$14:$AK$60</c:f>
              <c:numCache>
                <c:formatCode>#,##0_);\(#,##0\)</c:formatCode>
                <c:ptCount val="47"/>
                <c:pt idx="0">
                  <c:v>87325.0</c:v>
                </c:pt>
                <c:pt idx="1">
                  <c:v>159288.0</c:v>
                </c:pt>
                <c:pt idx="2">
                  <c:v>62559.00000000001</c:v>
                </c:pt>
                <c:pt idx="3">
                  <c:v>60516.0</c:v>
                </c:pt>
                <c:pt idx="4">
                  <c:v>184971.1693285658</c:v>
                </c:pt>
                <c:pt idx="5">
                  <c:v>132283.9999999995</c:v>
                </c:pt>
                <c:pt idx="6">
                  <c:v>121757.0</c:v>
                </c:pt>
                <c:pt idx="7">
                  <c:v>182706.0</c:v>
                </c:pt>
                <c:pt idx="8">
                  <c:v>69421.0</c:v>
                </c:pt>
                <c:pt idx="9">
                  <c:v>202340.0</c:v>
                </c:pt>
                <c:pt idx="10">
                  <c:v>245808.0</c:v>
                </c:pt>
                <c:pt idx="11">
                  <c:v>126991.0</c:v>
                </c:pt>
                <c:pt idx="12">
                  <c:v>201387</c:v>
                </c:pt>
                <c:pt idx="13">
                  <c:v>259166.9999999999</c:v>
                </c:pt>
                <c:pt idx="14">
                  <c:v>1.1274752721E6</c:v>
                </c:pt>
                <c:pt idx="15">
                  <c:v>73025.0</c:v>
                </c:pt>
                <c:pt idx="16">
                  <c:v>157245.0</c:v>
                </c:pt>
                <c:pt idx="17">
                  <c:v>509273.83158215</c:v>
                </c:pt>
                <c:pt idx="18">
                  <c:v>469304.6575699999</c:v>
                </c:pt>
                <c:pt idx="19">
                  <c:v>598733.0</c:v>
                </c:pt>
                <c:pt idx="20">
                  <c:v>152650.0</c:v>
                </c:pt>
                <c:pt idx="21">
                  <c:v>144785.0</c:v>
                </c:pt>
                <c:pt idx="22">
                  <c:v>19620.42</c:v>
                </c:pt>
                <c:pt idx="23">
                  <c:v>20302.15884558716</c:v>
                </c:pt>
                <c:pt idx="24">
                  <c:v>67203.278</c:v>
                </c:pt>
                <c:pt idx="25">
                  <c:v>48357.0</c:v>
                </c:pt>
                <c:pt idx="26">
                  <c:v>9291.0</c:v>
                </c:pt>
                <c:pt idx="27">
                  <c:v>61296.0</c:v>
                </c:pt>
                <c:pt idx="28">
                  <c:v>131181.0</c:v>
                </c:pt>
                <c:pt idx="29">
                  <c:v>106750.983</c:v>
                </c:pt>
                <c:pt idx="30">
                  <c:v>63370.0</c:v>
                </c:pt>
                <c:pt idx="31">
                  <c:v>148052.0</c:v>
                </c:pt>
                <c:pt idx="32">
                  <c:v>213816.0</c:v>
                </c:pt>
                <c:pt idx="33">
                  <c:v>126026.0</c:v>
                </c:pt>
                <c:pt idx="34">
                  <c:v>52603.0</c:v>
                </c:pt>
                <c:pt idx="35">
                  <c:v>170013.0</c:v>
                </c:pt>
                <c:pt idx="36">
                  <c:v>190475.0</c:v>
                </c:pt>
                <c:pt idx="37">
                  <c:v>94282.0</c:v>
                </c:pt>
                <c:pt idx="38">
                  <c:v>32870.0</c:v>
                </c:pt>
                <c:pt idx="39">
                  <c:v>183026.0</c:v>
                </c:pt>
                <c:pt idx="40">
                  <c:v>120574.0</c:v>
                </c:pt>
                <c:pt idx="41">
                  <c:v>113040.0</c:v>
                </c:pt>
                <c:pt idx="42">
                  <c:v>66793.0</c:v>
                </c:pt>
                <c:pt idx="43">
                  <c:v>234022.0</c:v>
                </c:pt>
                <c:pt idx="44">
                  <c:v>573938.0</c:v>
                </c:pt>
                <c:pt idx="45">
                  <c:v>79944.0</c:v>
                </c:pt>
                <c:pt idx="46">
                  <c:v>104806.0</c:v>
                </c:pt>
              </c:numCache>
            </c:numRef>
          </c:val>
        </c:ser>
        <c:dLbls>
          <c:showLegendKey val="0"/>
          <c:showVal val="0"/>
          <c:showCatName val="0"/>
          <c:showSerName val="0"/>
          <c:showPercent val="0"/>
          <c:showBubbleSize val="0"/>
        </c:dLbls>
        <c:gapWidth val="150"/>
        <c:axId val="-2091610920"/>
        <c:axId val="-2090995224"/>
      </c:barChart>
      <c:lineChart>
        <c:grouping val="standard"/>
        <c:varyColors val="0"/>
        <c:ser>
          <c:idx val="1"/>
          <c:order val="1"/>
          <c:spPr>
            <a:ln w="38100">
              <a:prstDash val="sysDash"/>
            </a:ln>
          </c:spPr>
          <c:marker>
            <c:spPr>
              <a:solidFill>
                <a:schemeClr val="bg1">
                  <a:lumMod val="95000"/>
                </a:schemeClr>
              </a:solidFill>
            </c:spPr>
          </c:marker>
          <c:val>
            <c:numRef>
              <c:f>BroodTab!$B$18:$B$64</c:f>
              <c:numCache>
                <c:formatCode>#,##0_);\(#,##0\)</c:formatCode>
                <c:ptCount val="47"/>
                <c:pt idx="0">
                  <c:v>11800.0</c:v>
                </c:pt>
                <c:pt idx="1">
                  <c:v>81000.0</c:v>
                </c:pt>
                <c:pt idx="2">
                  <c:v>35200.0</c:v>
                </c:pt>
                <c:pt idx="3">
                  <c:v>15000.0</c:v>
                </c:pt>
                <c:pt idx="4">
                  <c:v>51000.0</c:v>
                </c:pt>
                <c:pt idx="5">
                  <c:v>55000.0</c:v>
                </c:pt>
                <c:pt idx="6">
                  <c:v>22334.0</c:v>
                </c:pt>
                <c:pt idx="7">
                  <c:v>34855.0</c:v>
                </c:pt>
                <c:pt idx="8">
                  <c:v>9056.0</c:v>
                </c:pt>
                <c:pt idx="9">
                  <c:v>31562.0</c:v>
                </c:pt>
                <c:pt idx="10">
                  <c:v>42284.0</c:v>
                </c:pt>
                <c:pt idx="11">
                  <c:v>48281.0</c:v>
                </c:pt>
                <c:pt idx="12">
                  <c:v>142253.0</c:v>
                </c:pt>
                <c:pt idx="13">
                  <c:v>156112.0</c:v>
                </c:pt>
                <c:pt idx="14">
                  <c:v>180314.0</c:v>
                </c:pt>
                <c:pt idx="15">
                  <c:v>38783.0</c:v>
                </c:pt>
                <c:pt idx="16">
                  <c:v>63622.0</c:v>
                </c:pt>
                <c:pt idx="17">
                  <c:v>163342.0</c:v>
                </c:pt>
                <c:pt idx="18">
                  <c:v>74135.0</c:v>
                </c:pt>
                <c:pt idx="19">
                  <c:v>187263.0</c:v>
                </c:pt>
                <c:pt idx="20">
                  <c:v>72023.0</c:v>
                </c:pt>
                <c:pt idx="21">
                  <c:v>36881.0</c:v>
                </c:pt>
                <c:pt idx="22">
                  <c:v>8250.0</c:v>
                </c:pt>
                <c:pt idx="23">
                  <c:v>9701.0</c:v>
                </c:pt>
                <c:pt idx="24">
                  <c:v>29642.0</c:v>
                </c:pt>
                <c:pt idx="25">
                  <c:v>9232.0</c:v>
                </c:pt>
                <c:pt idx="26">
                  <c:v>7264.0</c:v>
                </c:pt>
                <c:pt idx="27">
                  <c:v>30382.0</c:v>
                </c:pt>
                <c:pt idx="28">
                  <c:v>38693.0</c:v>
                </c:pt>
                <c:pt idx="29">
                  <c:v>35010.0</c:v>
                </c:pt>
                <c:pt idx="30">
                  <c:v>28963.0</c:v>
                </c:pt>
                <c:pt idx="31">
                  <c:v>59311.0</c:v>
                </c:pt>
                <c:pt idx="32">
                  <c:v>28416.0</c:v>
                </c:pt>
                <c:pt idx="33">
                  <c:v>38547.0</c:v>
                </c:pt>
                <c:pt idx="34">
                  <c:v>28323.0</c:v>
                </c:pt>
                <c:pt idx="35">
                  <c:v>75427.0</c:v>
                </c:pt>
                <c:pt idx="36">
                  <c:v>30569.0</c:v>
                </c:pt>
                <c:pt idx="37">
                  <c:v>30313.0</c:v>
                </c:pt>
                <c:pt idx="38">
                  <c:v>23479.0</c:v>
                </c:pt>
                <c:pt idx="39">
                  <c:v>70001.0</c:v>
                </c:pt>
                <c:pt idx="40">
                  <c:v>29298.0</c:v>
                </c:pt>
                <c:pt idx="41">
                  <c:v>23186.0</c:v>
                </c:pt>
                <c:pt idx="42">
                  <c:v>24312.0</c:v>
                </c:pt>
                <c:pt idx="43" formatCode="#,##0">
                  <c:v>102359.0</c:v>
                </c:pt>
                <c:pt idx="44">
                  <c:v>74978.0</c:v>
                </c:pt>
                <c:pt idx="45">
                  <c:v>17231.0</c:v>
                </c:pt>
                <c:pt idx="46">
                  <c:v>21836.0</c:v>
                </c:pt>
              </c:numCache>
            </c:numRef>
          </c:val>
          <c:smooth val="0"/>
        </c:ser>
        <c:dLbls>
          <c:showLegendKey val="0"/>
          <c:showVal val="0"/>
          <c:showCatName val="0"/>
          <c:showSerName val="0"/>
          <c:showPercent val="0"/>
          <c:showBubbleSize val="0"/>
        </c:dLbls>
        <c:marker val="1"/>
        <c:smooth val="0"/>
        <c:axId val="-2091610920"/>
        <c:axId val="-2090995224"/>
      </c:lineChart>
      <c:catAx>
        <c:axId val="-2091610920"/>
        <c:scaling>
          <c:orientation val="minMax"/>
        </c:scaling>
        <c:delete val="0"/>
        <c:axPos val="b"/>
        <c:numFmt formatCode="General" sourceLinked="1"/>
        <c:majorTickMark val="out"/>
        <c:minorTickMark val="none"/>
        <c:tickLblPos val="nextTo"/>
        <c:txPr>
          <a:bodyPr rot="-5400000"/>
          <a:lstStyle/>
          <a:p>
            <a:pPr>
              <a:defRPr sz="1400"/>
            </a:pPr>
            <a:endParaRPr lang="en-US"/>
          </a:p>
        </c:txPr>
        <c:crossAx val="-2090995224"/>
        <c:crosses val="autoZero"/>
        <c:auto val="1"/>
        <c:lblAlgn val="ctr"/>
        <c:lblOffset val="100"/>
        <c:noMultiLvlLbl val="0"/>
      </c:catAx>
      <c:valAx>
        <c:axId val="-2090995224"/>
        <c:scaling>
          <c:orientation val="minMax"/>
        </c:scaling>
        <c:delete val="0"/>
        <c:axPos val="l"/>
        <c:majorGridlines/>
        <c:numFmt formatCode="#,##0_);\(#,##0\)" sourceLinked="1"/>
        <c:majorTickMark val="out"/>
        <c:minorTickMark val="none"/>
        <c:tickLblPos val="nextTo"/>
        <c:txPr>
          <a:bodyPr/>
          <a:lstStyle/>
          <a:p>
            <a:pPr>
              <a:defRPr sz="1400"/>
            </a:pPr>
            <a:endParaRPr lang="en-US"/>
          </a:p>
        </c:txPr>
        <c:crossAx val="-2091610920"/>
        <c:crosses val="autoZero"/>
        <c:crossBetween val="between"/>
      </c:valAx>
    </c:plotArea>
    <c:legend>
      <c:legendPos val="r"/>
      <c:layout>
        <c:manualLayout>
          <c:xMode val="edge"/>
          <c:yMode val="edge"/>
          <c:x val="0.563052159916474"/>
          <c:y val="0.396663043052454"/>
          <c:w val="0.153071156160729"/>
          <c:h val="0.0690427782348102"/>
        </c:manualLayout>
      </c:layout>
      <c:overlay val="1"/>
      <c:txPr>
        <a:bodyPr/>
        <a:lstStyle/>
        <a:p>
          <a:pPr>
            <a:defRPr sz="1800"/>
          </a:pPr>
          <a:endParaRPr lang="en-US"/>
        </a:p>
      </c:txPr>
    </c:legend>
    <c:plotVisOnly val="1"/>
    <c:dispBlanksAs val="gap"/>
    <c:showDLblsOverMax val="0"/>
  </c:chart>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4000"/>
            </a:pPr>
            <a:r>
              <a:rPr lang="en-US" sz="4000"/>
              <a:t>Coghill Lake Sockeye Salmon:</a:t>
            </a:r>
          </a:p>
          <a:p>
            <a:pPr>
              <a:defRPr sz="4000"/>
            </a:pPr>
            <a:r>
              <a:rPr lang="en-US" sz="4000" baseline="0"/>
              <a:t>BY Escapement and BY Total Return</a:t>
            </a:r>
            <a:endParaRPr lang="en-US" sz="4000"/>
          </a:p>
          <a:p>
            <a:pPr>
              <a:defRPr sz="4000"/>
            </a:pPr>
            <a:r>
              <a:rPr lang="en-US" sz="3200"/>
              <a:t>*harvest</a:t>
            </a:r>
            <a:r>
              <a:rPr lang="en-US" sz="3200" baseline="0"/>
              <a:t> rate label on bars</a:t>
            </a:r>
            <a:endParaRPr lang="en-US" sz="3200"/>
          </a:p>
        </c:rich>
      </c:tx>
      <c:layout>
        <c:manualLayout>
          <c:xMode val="edge"/>
          <c:yMode val="edge"/>
          <c:x val="0.379178794178794"/>
          <c:y val="0.0372340446291797"/>
        </c:manualLayout>
      </c:layout>
      <c:overlay val="1"/>
    </c:title>
    <c:autoTitleDeleted val="0"/>
    <c:plotArea>
      <c:layout>
        <c:manualLayout>
          <c:layoutTarget val="inner"/>
          <c:xMode val="edge"/>
          <c:yMode val="edge"/>
          <c:x val="0.0693449920969823"/>
          <c:y val="0.0168469659576135"/>
          <c:w val="0.916842853206885"/>
          <c:h val="0.91627893994594"/>
        </c:manualLayout>
      </c:layout>
      <c:barChart>
        <c:barDir val="col"/>
        <c:grouping val="clustered"/>
        <c:varyColors val="0"/>
        <c:ser>
          <c:idx val="0"/>
          <c:order val="0"/>
          <c:invertIfNegative val="0"/>
          <c:cat>
            <c:numRef>
              <c:f>BroodTab!$AH$12:$AH$58</c:f>
              <c:numCache>
                <c:formatCode>General</c:formatCode>
                <c:ptCount val="47"/>
                <c:pt idx="0">
                  <c:v>1962.0</c:v>
                </c:pt>
                <c:pt idx="1">
                  <c:v>1963.0</c:v>
                </c:pt>
                <c:pt idx="2">
                  <c:v>1964.0</c:v>
                </c:pt>
                <c:pt idx="3">
                  <c:v>1965.0</c:v>
                </c:pt>
                <c:pt idx="4">
                  <c:v>1966.0</c:v>
                </c:pt>
                <c:pt idx="5">
                  <c:v>1967.0</c:v>
                </c:pt>
                <c:pt idx="6">
                  <c:v>1968.0</c:v>
                </c:pt>
                <c:pt idx="7">
                  <c:v>1969.0</c:v>
                </c:pt>
                <c:pt idx="8">
                  <c:v>1970.0</c:v>
                </c:pt>
                <c:pt idx="9">
                  <c:v>1971.0</c:v>
                </c:pt>
                <c:pt idx="10">
                  <c:v>1972.0</c:v>
                </c:pt>
                <c:pt idx="11">
                  <c:v>1973.0</c:v>
                </c:pt>
                <c:pt idx="12">
                  <c:v>1974.0</c:v>
                </c:pt>
                <c:pt idx="13">
                  <c:v>1975.0</c:v>
                </c:pt>
                <c:pt idx="14">
                  <c:v>1976.0</c:v>
                </c:pt>
                <c:pt idx="15">
                  <c:v>1977.0</c:v>
                </c:pt>
                <c:pt idx="16">
                  <c:v>1978.0</c:v>
                </c:pt>
                <c:pt idx="17">
                  <c:v>1979.0</c:v>
                </c:pt>
                <c:pt idx="18">
                  <c:v>1980.0</c:v>
                </c:pt>
                <c:pt idx="19">
                  <c:v>1981.0</c:v>
                </c:pt>
                <c:pt idx="20">
                  <c:v>1982.0</c:v>
                </c:pt>
                <c:pt idx="21">
                  <c:v>1983.0</c:v>
                </c:pt>
                <c:pt idx="22">
                  <c:v>1984.0</c:v>
                </c:pt>
                <c:pt idx="23">
                  <c:v>1985.0</c:v>
                </c:pt>
                <c:pt idx="24">
                  <c:v>1986.0</c:v>
                </c:pt>
                <c:pt idx="25">
                  <c:v>1987.0</c:v>
                </c:pt>
                <c:pt idx="26">
                  <c:v>1988.0</c:v>
                </c:pt>
                <c:pt idx="27">
                  <c:v>1989.0</c:v>
                </c:pt>
                <c:pt idx="28">
                  <c:v>1990.0</c:v>
                </c:pt>
                <c:pt idx="29">
                  <c:v>1991.0</c:v>
                </c:pt>
                <c:pt idx="30">
                  <c:v>1992.0</c:v>
                </c:pt>
                <c:pt idx="31">
                  <c:v>1993.0</c:v>
                </c:pt>
                <c:pt idx="32">
                  <c:v>1994.0</c:v>
                </c:pt>
                <c:pt idx="33">
                  <c:v>1995.0</c:v>
                </c:pt>
                <c:pt idx="34">
                  <c:v>1996.0</c:v>
                </c:pt>
                <c:pt idx="35">
                  <c:v>1997.0</c:v>
                </c:pt>
                <c:pt idx="36">
                  <c:v>1998.0</c:v>
                </c:pt>
                <c:pt idx="37">
                  <c:v>1999.0</c:v>
                </c:pt>
                <c:pt idx="38">
                  <c:v>2000.0</c:v>
                </c:pt>
                <c:pt idx="39">
                  <c:v>2001.0</c:v>
                </c:pt>
                <c:pt idx="40">
                  <c:v>2002.0</c:v>
                </c:pt>
                <c:pt idx="41">
                  <c:v>2003.0</c:v>
                </c:pt>
                <c:pt idx="42">
                  <c:v>2004.0</c:v>
                </c:pt>
                <c:pt idx="43">
                  <c:v>2005.0</c:v>
                </c:pt>
                <c:pt idx="44">
                  <c:v>2006.0</c:v>
                </c:pt>
                <c:pt idx="45">
                  <c:v>2007.0</c:v>
                </c:pt>
                <c:pt idx="46">
                  <c:v>2008.0</c:v>
                </c:pt>
              </c:numCache>
            </c:numRef>
          </c:cat>
          <c:val>
            <c:numRef>
              <c:f>BroodTab!$AI$12:$AI$58</c:f>
              <c:numCache>
                <c:formatCode>#,##0_);\(#,##0\)</c:formatCode>
                <c:ptCount val="47"/>
                <c:pt idx="0">
                  <c:v>54522.0</c:v>
                </c:pt>
                <c:pt idx="1">
                  <c:v>63949.0</c:v>
                </c:pt>
                <c:pt idx="2">
                  <c:v>163132.0</c:v>
                </c:pt>
                <c:pt idx="3">
                  <c:v>77666.0</c:v>
                </c:pt>
                <c:pt idx="4">
                  <c:v>86158.2696861343</c:v>
                </c:pt>
                <c:pt idx="5">
                  <c:v>153334.0733717556</c:v>
                </c:pt>
                <c:pt idx="6">
                  <c:v>137509.6349121735</c:v>
                </c:pt>
                <c:pt idx="7">
                  <c:v>91750.1913585018</c:v>
                </c:pt>
                <c:pt idx="8">
                  <c:v>220868.0</c:v>
                </c:pt>
                <c:pt idx="9">
                  <c:v>46728.0</c:v>
                </c:pt>
                <c:pt idx="10">
                  <c:v>218570.0</c:v>
                </c:pt>
                <c:pt idx="11">
                  <c:v>233690.0</c:v>
                </c:pt>
                <c:pt idx="12">
                  <c:v>110824.7026</c:v>
                </c:pt>
                <c:pt idx="13">
                  <c:v>191530.4687</c:v>
                </c:pt>
                <c:pt idx="14">
                  <c:v>173530.8656999999</c:v>
                </c:pt>
                <c:pt idx="15">
                  <c:v>1.2510482876E6</c:v>
                </c:pt>
                <c:pt idx="16">
                  <c:v>70303.47650000002</c:v>
                </c:pt>
                <c:pt idx="17">
                  <c:v>150406.907</c:v>
                </c:pt>
                <c:pt idx="18">
                  <c:v>473655.808</c:v>
                </c:pt>
                <c:pt idx="19">
                  <c:v>496238.2592</c:v>
                </c:pt>
                <c:pt idx="20">
                  <c:v>612158.89095215</c:v>
                </c:pt>
                <c:pt idx="21">
                  <c:v>106297.095</c:v>
                </c:pt>
                <c:pt idx="22">
                  <c:v>203086.296</c:v>
                </c:pt>
                <c:pt idx="23">
                  <c:v>16597.68278055618</c:v>
                </c:pt>
                <c:pt idx="24">
                  <c:v>26917.98304505922</c:v>
                </c:pt>
                <c:pt idx="25">
                  <c:v>60053.1187556324</c:v>
                </c:pt>
                <c:pt idx="26">
                  <c:v>50494.77626433936</c:v>
                </c:pt>
                <c:pt idx="27">
                  <c:v>9410.0</c:v>
                </c:pt>
                <c:pt idx="28">
                  <c:v>26127.0</c:v>
                </c:pt>
                <c:pt idx="29">
                  <c:v>153809.0</c:v>
                </c:pt>
                <c:pt idx="30">
                  <c:v>114128.0</c:v>
                </c:pt>
                <c:pt idx="31">
                  <c:v>67500.98300000001</c:v>
                </c:pt>
                <c:pt idx="32">
                  <c:v>27941.0</c:v>
                </c:pt>
                <c:pt idx="33">
                  <c:v>317407.0</c:v>
                </c:pt>
                <c:pt idx="34" formatCode="#,##0">
                  <c:v>133377.0</c:v>
                </c:pt>
                <c:pt idx="35" formatCode="#,##0">
                  <c:v>44736.0</c:v>
                </c:pt>
                <c:pt idx="36" formatCode="#,##0">
                  <c:v>89490.0</c:v>
                </c:pt>
                <c:pt idx="37" formatCode="#,##0">
                  <c:v>234831.0</c:v>
                </c:pt>
                <c:pt idx="38" formatCode="#,##0">
                  <c:v>143849.0</c:v>
                </c:pt>
                <c:pt idx="39" formatCode="#,##0">
                  <c:v>15616.0</c:v>
                </c:pt>
                <c:pt idx="40" formatCode="#,##0">
                  <c:v>180332.0</c:v>
                </c:pt>
                <c:pt idx="41" formatCode="#,##0">
                  <c:v>102397.0</c:v>
                </c:pt>
                <c:pt idx="42" formatCode="#,##0">
                  <c:v>154110.0</c:v>
                </c:pt>
                <c:pt idx="43" formatCode="#,##0">
                  <c:v>35754.0</c:v>
                </c:pt>
                <c:pt idx="44" formatCode="#,##0">
                  <c:v>164495.0</c:v>
                </c:pt>
                <c:pt idx="45" formatCode="#,##0">
                  <c:v>649042.0</c:v>
                </c:pt>
                <c:pt idx="46" formatCode="#,##0">
                  <c:v>71784.0</c:v>
                </c:pt>
              </c:numCache>
            </c:numRef>
          </c:val>
        </c:ser>
        <c:dLbls>
          <c:showLegendKey val="0"/>
          <c:showVal val="0"/>
          <c:showCatName val="0"/>
          <c:showSerName val="0"/>
          <c:showPercent val="0"/>
          <c:showBubbleSize val="0"/>
        </c:dLbls>
        <c:gapWidth val="150"/>
        <c:axId val="-2091744856"/>
        <c:axId val="-2091740232"/>
      </c:barChart>
      <c:lineChart>
        <c:grouping val="standard"/>
        <c:varyColors val="0"/>
        <c:ser>
          <c:idx val="1"/>
          <c:order val="1"/>
          <c:spPr>
            <a:ln w="38100">
              <a:prstDash val="sysDash"/>
            </a:ln>
          </c:spPr>
          <c:marker>
            <c:spPr>
              <a:solidFill>
                <a:schemeClr val="bg1">
                  <a:lumMod val="95000"/>
                </a:schemeClr>
              </a:solidFill>
            </c:spPr>
          </c:marker>
          <c:val>
            <c:numRef>
              <c:f>BroodTab!$B$12:$B$58</c:f>
              <c:numCache>
                <c:formatCode>#,##0_);\(#,##0\)</c:formatCode>
                <c:ptCount val="47"/>
                <c:pt idx="0">
                  <c:v>26866.0</c:v>
                </c:pt>
                <c:pt idx="1">
                  <c:v>1.0</c:v>
                </c:pt>
                <c:pt idx="2">
                  <c:v>22200.0</c:v>
                </c:pt>
                <c:pt idx="3">
                  <c:v>62500.0</c:v>
                </c:pt>
                <c:pt idx="4">
                  <c:v>82500.0</c:v>
                </c:pt>
                <c:pt idx="5">
                  <c:v>33000.0</c:v>
                </c:pt>
                <c:pt idx="6">
                  <c:v>11800.0</c:v>
                </c:pt>
                <c:pt idx="7">
                  <c:v>81000.0</c:v>
                </c:pt>
                <c:pt idx="8">
                  <c:v>35200.0</c:v>
                </c:pt>
                <c:pt idx="9">
                  <c:v>15000.0</c:v>
                </c:pt>
                <c:pt idx="10">
                  <c:v>51000.0</c:v>
                </c:pt>
                <c:pt idx="11">
                  <c:v>55000.0</c:v>
                </c:pt>
                <c:pt idx="12">
                  <c:v>22334.0</c:v>
                </c:pt>
                <c:pt idx="13">
                  <c:v>34855.0</c:v>
                </c:pt>
                <c:pt idx="14">
                  <c:v>9056.0</c:v>
                </c:pt>
                <c:pt idx="15">
                  <c:v>31562.0</c:v>
                </c:pt>
                <c:pt idx="16">
                  <c:v>42284.0</c:v>
                </c:pt>
                <c:pt idx="17">
                  <c:v>48281.0</c:v>
                </c:pt>
                <c:pt idx="18">
                  <c:v>142253.0</c:v>
                </c:pt>
                <c:pt idx="19">
                  <c:v>156112.0</c:v>
                </c:pt>
                <c:pt idx="20">
                  <c:v>180314.0</c:v>
                </c:pt>
                <c:pt idx="21">
                  <c:v>38783.0</c:v>
                </c:pt>
                <c:pt idx="22">
                  <c:v>63622.0</c:v>
                </c:pt>
                <c:pt idx="23">
                  <c:v>163342.0</c:v>
                </c:pt>
                <c:pt idx="24">
                  <c:v>74135.0</c:v>
                </c:pt>
                <c:pt idx="25">
                  <c:v>187263.0</c:v>
                </c:pt>
                <c:pt idx="26">
                  <c:v>72023.0</c:v>
                </c:pt>
                <c:pt idx="27">
                  <c:v>36881.0</c:v>
                </c:pt>
                <c:pt idx="28">
                  <c:v>8250.0</c:v>
                </c:pt>
                <c:pt idx="29">
                  <c:v>9701.0</c:v>
                </c:pt>
                <c:pt idx="30">
                  <c:v>29642.0</c:v>
                </c:pt>
                <c:pt idx="31">
                  <c:v>9232.0</c:v>
                </c:pt>
                <c:pt idx="32">
                  <c:v>7264.0</c:v>
                </c:pt>
                <c:pt idx="33">
                  <c:v>30382.0</c:v>
                </c:pt>
                <c:pt idx="34">
                  <c:v>38693.0</c:v>
                </c:pt>
                <c:pt idx="35">
                  <c:v>35010.0</c:v>
                </c:pt>
                <c:pt idx="36">
                  <c:v>28963.0</c:v>
                </c:pt>
                <c:pt idx="37">
                  <c:v>59311.0</c:v>
                </c:pt>
                <c:pt idx="38">
                  <c:v>28416.0</c:v>
                </c:pt>
                <c:pt idx="39">
                  <c:v>38547.0</c:v>
                </c:pt>
                <c:pt idx="40">
                  <c:v>28323.0</c:v>
                </c:pt>
                <c:pt idx="41">
                  <c:v>75427.0</c:v>
                </c:pt>
                <c:pt idx="42">
                  <c:v>30569.0</c:v>
                </c:pt>
                <c:pt idx="43">
                  <c:v>30313.0</c:v>
                </c:pt>
                <c:pt idx="44">
                  <c:v>23479.0</c:v>
                </c:pt>
                <c:pt idx="45">
                  <c:v>70001.0</c:v>
                </c:pt>
                <c:pt idx="46">
                  <c:v>29298.0</c:v>
                </c:pt>
              </c:numCache>
            </c:numRef>
          </c:val>
          <c:smooth val="0"/>
        </c:ser>
        <c:dLbls>
          <c:showLegendKey val="0"/>
          <c:showVal val="0"/>
          <c:showCatName val="0"/>
          <c:showSerName val="0"/>
          <c:showPercent val="0"/>
          <c:showBubbleSize val="0"/>
        </c:dLbls>
        <c:marker val="1"/>
        <c:smooth val="0"/>
        <c:axId val="-2091744856"/>
        <c:axId val="-2091740232"/>
      </c:lineChart>
      <c:catAx>
        <c:axId val="-2091744856"/>
        <c:scaling>
          <c:orientation val="minMax"/>
        </c:scaling>
        <c:delete val="0"/>
        <c:axPos val="b"/>
        <c:numFmt formatCode="General" sourceLinked="1"/>
        <c:majorTickMark val="out"/>
        <c:minorTickMark val="none"/>
        <c:tickLblPos val="nextTo"/>
        <c:txPr>
          <a:bodyPr rot="-5400000"/>
          <a:lstStyle/>
          <a:p>
            <a:pPr>
              <a:defRPr sz="1400"/>
            </a:pPr>
            <a:endParaRPr lang="en-US"/>
          </a:p>
        </c:txPr>
        <c:crossAx val="-2091740232"/>
        <c:crosses val="autoZero"/>
        <c:auto val="1"/>
        <c:lblAlgn val="ctr"/>
        <c:lblOffset val="100"/>
        <c:noMultiLvlLbl val="0"/>
      </c:catAx>
      <c:valAx>
        <c:axId val="-2091740232"/>
        <c:scaling>
          <c:orientation val="minMax"/>
        </c:scaling>
        <c:delete val="0"/>
        <c:axPos val="l"/>
        <c:majorGridlines/>
        <c:numFmt formatCode="#,##0_);\(#,##0\)" sourceLinked="1"/>
        <c:majorTickMark val="out"/>
        <c:minorTickMark val="none"/>
        <c:tickLblPos val="nextTo"/>
        <c:txPr>
          <a:bodyPr/>
          <a:lstStyle/>
          <a:p>
            <a:pPr>
              <a:defRPr sz="1400"/>
            </a:pPr>
            <a:endParaRPr lang="en-US"/>
          </a:p>
        </c:txPr>
        <c:crossAx val="-2091744856"/>
        <c:crosses val="autoZero"/>
        <c:crossBetween val="between"/>
      </c:valAx>
    </c:plotArea>
    <c:legend>
      <c:legendPos val="r"/>
      <c:layout>
        <c:manualLayout>
          <c:xMode val="edge"/>
          <c:yMode val="edge"/>
          <c:x val="0.563052159916474"/>
          <c:y val="0.396663043052454"/>
          <c:w val="0.153071156160729"/>
          <c:h val="0.0690427782348102"/>
        </c:manualLayout>
      </c:layout>
      <c:overlay val="1"/>
      <c:txPr>
        <a:bodyPr/>
        <a:lstStyle/>
        <a:p>
          <a:pPr>
            <a:defRPr sz="1800"/>
          </a:pPr>
          <a:endParaRPr lang="en-US"/>
        </a:p>
      </c:txPr>
    </c:legend>
    <c:plotVisOnly val="1"/>
    <c:dispBlanksAs val="gap"/>
    <c:showDLblsOverMax val="0"/>
  </c:chart>
  <c:printSettings>
    <c:headerFooter/>
    <c:pageMargins b="0.75" l="0.7" r="0.7" t="0.75" header="0.3" footer="0.3"/>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dLbls>
            <c:showLegendKey val="0"/>
            <c:showVal val="1"/>
            <c:showCatName val="0"/>
            <c:showSerName val="0"/>
            <c:showPercent val="0"/>
            <c:showBubbleSize val="0"/>
            <c:showLeaderLines val="0"/>
          </c:dLbls>
          <c:xVal>
            <c:numRef>
              <c:f>Performance!$D$12:$D$38</c:f>
              <c:numCache>
                <c:formatCode>#,##0</c:formatCode>
                <c:ptCount val="27"/>
                <c:pt idx="0">
                  <c:v>152650.0</c:v>
                </c:pt>
                <c:pt idx="1">
                  <c:v>144785.0</c:v>
                </c:pt>
                <c:pt idx="2">
                  <c:v>19620.42</c:v>
                </c:pt>
                <c:pt idx="3">
                  <c:v>20302.15884558716</c:v>
                </c:pt>
                <c:pt idx="4">
                  <c:v>67203.278</c:v>
                </c:pt>
                <c:pt idx="5">
                  <c:v>48357.0</c:v>
                </c:pt>
                <c:pt idx="6">
                  <c:v>9291.0</c:v>
                </c:pt>
                <c:pt idx="7">
                  <c:v>61296.0</c:v>
                </c:pt>
                <c:pt idx="8">
                  <c:v>131181.0</c:v>
                </c:pt>
                <c:pt idx="9">
                  <c:v>106750.983</c:v>
                </c:pt>
                <c:pt idx="10">
                  <c:v>63370.0</c:v>
                </c:pt>
                <c:pt idx="11">
                  <c:v>148052.0</c:v>
                </c:pt>
                <c:pt idx="12">
                  <c:v>213816.0</c:v>
                </c:pt>
                <c:pt idx="13">
                  <c:v>126026.0</c:v>
                </c:pt>
                <c:pt idx="14">
                  <c:v>52603.0</c:v>
                </c:pt>
                <c:pt idx="15">
                  <c:v>170013.0</c:v>
                </c:pt>
                <c:pt idx="16">
                  <c:v>191049.0</c:v>
                </c:pt>
                <c:pt idx="17">
                  <c:v>94521.0</c:v>
                </c:pt>
                <c:pt idx="18">
                  <c:v>33290.0</c:v>
                </c:pt>
                <c:pt idx="19">
                  <c:v>183025.0</c:v>
                </c:pt>
                <c:pt idx="20">
                  <c:v>120574.0</c:v>
                </c:pt>
                <c:pt idx="21">
                  <c:v>113040.0</c:v>
                </c:pt>
                <c:pt idx="22">
                  <c:v>66793.0</c:v>
                </c:pt>
                <c:pt idx="23">
                  <c:v>234022.0</c:v>
                </c:pt>
                <c:pt idx="24">
                  <c:v>573938.0</c:v>
                </c:pt>
                <c:pt idx="25">
                  <c:v>79944.0</c:v>
                </c:pt>
                <c:pt idx="26">
                  <c:v>104806.0</c:v>
                </c:pt>
              </c:numCache>
            </c:numRef>
          </c:xVal>
          <c:yVal>
            <c:numRef>
              <c:f>Performance!$G$12:$G$38</c:f>
              <c:numCache>
                <c:formatCode>#,##0</c:formatCode>
                <c:ptCount val="27"/>
                <c:pt idx="0">
                  <c:v>1.9140625E9</c:v>
                </c:pt>
                <c:pt idx="1">
                  <c:v>6.6933451225E10</c:v>
                </c:pt>
                <c:pt idx="2">
                  <c:v>9.412366289764E8</c:v>
                </c:pt>
                <c:pt idx="3">
                  <c:v>1.97116829917248E9</c:v>
                </c:pt>
                <c:pt idx="4">
                  <c:v>2.37200928794528E9</c:v>
                </c:pt>
                <c:pt idx="5">
                  <c:v>7.6440049E7</c:v>
                </c:pt>
                <c:pt idx="6">
                  <c:v>6.40545481E8</c:v>
                </c:pt>
                <c:pt idx="7">
                  <c:v>8.16702084E8</c:v>
                </c:pt>
                <c:pt idx="8">
                  <c:v>8.248090761E9</c:v>
                </c:pt>
                <c:pt idx="9">
                  <c:v>1.05082652466289E8</c:v>
                </c:pt>
                <c:pt idx="10">
                  <c:v>4.05769E7</c:v>
                </c:pt>
                <c:pt idx="11">
                  <c:v>5.662863504E9</c:v>
                </c:pt>
                <c:pt idx="12">
                  <c:v>1.40613000256E11</c:v>
                </c:pt>
                <c:pt idx="13">
                  <c:v>8.6192656E7</c:v>
                </c:pt>
                <c:pt idx="14">
                  <c:v>1.845733444E9</c:v>
                </c:pt>
                <c:pt idx="15">
                  <c:v>7.72506436E8</c:v>
                </c:pt>
                <c:pt idx="16">
                  <c:v>4.2436824004E10</c:v>
                </c:pt>
                <c:pt idx="17">
                  <c:v>2.274064E10</c:v>
                </c:pt>
                <c:pt idx="18">
                  <c:v>4.34222244E8</c:v>
                </c:pt>
                <c:pt idx="19">
                  <c:v>1.882258225E9</c:v>
                </c:pt>
                <c:pt idx="20">
                  <c:v>306916.0</c:v>
                </c:pt>
                <c:pt idx="21">
                  <c:v>1.2283510561E10</c:v>
                </c:pt>
                <c:pt idx="22">
                  <c:v>1.65649E7</c:v>
                </c:pt>
                <c:pt idx="23">
                  <c:v>3.8353249E9</c:v>
                </c:pt>
                <c:pt idx="24">
                  <c:v>6.39027841E10</c:v>
                </c:pt>
                <c:pt idx="25">
                  <c:v>5.828711716E9</c:v>
                </c:pt>
                <c:pt idx="26">
                  <c:v>3.936433081E9</c:v>
                </c:pt>
              </c:numCache>
            </c:numRef>
          </c:yVal>
          <c:smooth val="0"/>
        </c:ser>
        <c:dLbls>
          <c:showLegendKey val="0"/>
          <c:showVal val="0"/>
          <c:showCatName val="0"/>
          <c:showSerName val="0"/>
          <c:showPercent val="0"/>
          <c:showBubbleSize val="0"/>
        </c:dLbls>
        <c:axId val="-2099958184"/>
        <c:axId val="-2099658520"/>
      </c:scatterChart>
      <c:valAx>
        <c:axId val="-2099958184"/>
        <c:scaling>
          <c:orientation val="minMax"/>
        </c:scaling>
        <c:delete val="0"/>
        <c:axPos val="b"/>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099658520"/>
        <c:crosses val="autoZero"/>
        <c:crossBetween val="midCat"/>
      </c:valAx>
      <c:valAx>
        <c:axId val="-2099658520"/>
        <c:scaling>
          <c:orientation val="minMax"/>
        </c:scaling>
        <c:delete val="0"/>
        <c:axPos val="l"/>
        <c:majorGridlines/>
        <c:numFmt formatCode="#,##0" sourceLinked="1"/>
        <c:majorTickMark val="out"/>
        <c:minorTickMark val="none"/>
        <c:tickLblPos val="nextTo"/>
        <c:crossAx val="-209995818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LN R/S AGED 1.2 FROM BYE</a:t>
            </a:r>
          </a:p>
        </c:rich>
      </c:tx>
      <c:layout>
        <c:manualLayout>
          <c:xMode val="edge"/>
          <c:yMode val="edge"/>
          <c:x val="0.355340156948467"/>
          <c:y val="0.0321570517970968"/>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07067563896974"/>
          <c:y val="0.156191603437702"/>
          <c:w val="0.834816657631477"/>
          <c:h val="0.622469478406135"/>
        </c:manualLayout>
      </c:layout>
      <c:scatterChart>
        <c:scatterStyle val="lineMarker"/>
        <c:varyColors val="0"/>
        <c:ser>
          <c:idx val="0"/>
          <c:order val="0"/>
          <c:tx>
            <c:v>ACTUAL</c:v>
          </c:tx>
          <c:spPr>
            <a:ln w="28575">
              <a:noFill/>
            </a:ln>
          </c:spPr>
          <c:marker>
            <c:symbol val="diamond"/>
            <c:size val="6"/>
            <c:spPr>
              <a:solidFill>
                <a:srgbClr val="00FF00"/>
              </a:solidFill>
              <a:ln>
                <a:solidFill>
                  <a:srgbClr val="000000"/>
                </a:solidFill>
                <a:prstDash val="solid"/>
              </a:ln>
            </c:spPr>
          </c:marker>
          <c:dPt>
            <c:idx val="13"/>
            <c:bubble3D val="0"/>
          </c:dPt>
          <c:dLbls>
            <c:dLbl>
              <c:idx val="0"/>
              <c:tx>
                <c:strRef>
                  <c:f>'ln12rps x BYE'!$B$26</c:f>
                  <c:strCache>
                    <c:ptCount val="1"/>
                    <c:pt idx="0">
                      <c:v>1978</c:v>
                    </c:pt>
                  </c:strCache>
                </c:strRef>
              </c:tx>
              <c:spPr/>
              <c:txPr>
                <a:bodyPr/>
                <a:lstStyle/>
                <a:p>
                  <a:pPr>
                    <a:defRPr/>
                  </a:pPr>
                  <a:endParaRPr lang="en-US"/>
                </a:p>
              </c:txPr>
              <c:dLblPos val="t"/>
              <c:showLegendKey val="0"/>
              <c:showVal val="1"/>
              <c:showCatName val="0"/>
              <c:showSerName val="0"/>
              <c:showPercent val="0"/>
              <c:showBubbleSize val="0"/>
            </c:dLbl>
            <c:dLbl>
              <c:idx val="1"/>
              <c:tx>
                <c:strRef>
                  <c:f>'ln12rps x BYE'!$B$27</c:f>
                  <c:strCache>
                    <c:ptCount val="1"/>
                    <c:pt idx="0">
                      <c:v>1979</c:v>
                    </c:pt>
                  </c:strCache>
                </c:strRef>
              </c:tx>
              <c:spPr/>
              <c:txPr>
                <a:bodyPr/>
                <a:lstStyle/>
                <a:p>
                  <a:pPr>
                    <a:defRPr/>
                  </a:pPr>
                  <a:endParaRPr lang="en-US"/>
                </a:p>
              </c:txPr>
              <c:dLblPos val="t"/>
              <c:showLegendKey val="0"/>
              <c:showVal val="1"/>
              <c:showCatName val="0"/>
              <c:showSerName val="0"/>
              <c:showPercent val="0"/>
              <c:showBubbleSize val="0"/>
            </c:dLbl>
            <c:dLbl>
              <c:idx val="2"/>
              <c:tx>
                <c:strRef>
                  <c:f>'ln12rps x BYE'!$B$28</c:f>
                  <c:strCache>
                    <c:ptCount val="1"/>
                    <c:pt idx="0">
                      <c:v>1980</c:v>
                    </c:pt>
                  </c:strCache>
                </c:strRef>
              </c:tx>
              <c:spPr/>
              <c:txPr>
                <a:bodyPr/>
                <a:lstStyle/>
                <a:p>
                  <a:pPr>
                    <a:defRPr/>
                  </a:pPr>
                  <a:endParaRPr lang="en-US"/>
                </a:p>
              </c:txPr>
              <c:dLblPos val="t"/>
              <c:showLegendKey val="0"/>
              <c:showVal val="1"/>
              <c:showCatName val="0"/>
              <c:showSerName val="0"/>
              <c:showPercent val="0"/>
              <c:showBubbleSize val="0"/>
            </c:dLbl>
            <c:dLbl>
              <c:idx val="3"/>
              <c:tx>
                <c:strRef>
                  <c:f>'ln12rps x BYE'!$B$29</c:f>
                  <c:strCache>
                    <c:ptCount val="1"/>
                    <c:pt idx="0">
                      <c:v>1981</c:v>
                    </c:pt>
                  </c:strCache>
                </c:strRef>
              </c:tx>
              <c:spPr/>
              <c:txPr>
                <a:bodyPr/>
                <a:lstStyle/>
                <a:p>
                  <a:pPr>
                    <a:defRPr/>
                  </a:pPr>
                  <a:endParaRPr lang="en-US"/>
                </a:p>
              </c:txPr>
              <c:dLblPos val="t"/>
              <c:showLegendKey val="0"/>
              <c:showVal val="1"/>
              <c:showCatName val="0"/>
              <c:showSerName val="0"/>
              <c:showPercent val="0"/>
              <c:showBubbleSize val="0"/>
            </c:dLbl>
            <c:dLbl>
              <c:idx val="4"/>
              <c:tx>
                <c:strRef>
                  <c:f>'ln12rps x BYE'!$B$30</c:f>
                  <c:strCache>
                    <c:ptCount val="1"/>
                    <c:pt idx="0">
                      <c:v>1982</c:v>
                    </c:pt>
                  </c:strCache>
                </c:strRef>
              </c:tx>
              <c:spPr/>
              <c:txPr>
                <a:bodyPr/>
                <a:lstStyle/>
                <a:p>
                  <a:pPr>
                    <a:defRPr/>
                  </a:pPr>
                  <a:endParaRPr lang="en-US"/>
                </a:p>
              </c:txPr>
              <c:dLblPos val="t"/>
              <c:showLegendKey val="0"/>
              <c:showVal val="1"/>
              <c:showCatName val="0"/>
              <c:showSerName val="0"/>
              <c:showPercent val="0"/>
              <c:showBubbleSize val="0"/>
            </c:dLbl>
            <c:dLbl>
              <c:idx val="5"/>
              <c:tx>
                <c:strRef>
                  <c:f>'ln12rps x BYE'!$B$31</c:f>
                  <c:strCache>
                    <c:ptCount val="1"/>
                    <c:pt idx="0">
                      <c:v>1983</c:v>
                    </c:pt>
                  </c:strCache>
                </c:strRef>
              </c:tx>
              <c:spPr/>
              <c:txPr>
                <a:bodyPr/>
                <a:lstStyle/>
                <a:p>
                  <a:pPr>
                    <a:defRPr/>
                  </a:pPr>
                  <a:endParaRPr lang="en-US"/>
                </a:p>
              </c:txPr>
              <c:dLblPos val="t"/>
              <c:showLegendKey val="0"/>
              <c:showVal val="1"/>
              <c:showCatName val="0"/>
              <c:showSerName val="0"/>
              <c:showPercent val="0"/>
              <c:showBubbleSize val="0"/>
            </c:dLbl>
            <c:dLbl>
              <c:idx val="6"/>
              <c:tx>
                <c:strRef>
                  <c:f>'ln12rps x BYE'!$B$32</c:f>
                  <c:strCache>
                    <c:ptCount val="1"/>
                    <c:pt idx="0">
                      <c:v>1984</c:v>
                    </c:pt>
                  </c:strCache>
                </c:strRef>
              </c:tx>
              <c:spPr/>
              <c:txPr>
                <a:bodyPr/>
                <a:lstStyle/>
                <a:p>
                  <a:pPr>
                    <a:defRPr/>
                  </a:pPr>
                  <a:endParaRPr lang="en-US"/>
                </a:p>
              </c:txPr>
              <c:dLblPos val="t"/>
              <c:showLegendKey val="0"/>
              <c:showVal val="1"/>
              <c:showCatName val="0"/>
              <c:showSerName val="0"/>
              <c:showPercent val="0"/>
              <c:showBubbleSize val="0"/>
            </c:dLbl>
            <c:dLbl>
              <c:idx val="7"/>
              <c:tx>
                <c:strRef>
                  <c:f>'ln12rps x BYE'!$B$33</c:f>
                  <c:strCache>
                    <c:ptCount val="1"/>
                    <c:pt idx="0">
                      <c:v>1985</c:v>
                    </c:pt>
                  </c:strCache>
                </c:strRef>
              </c:tx>
              <c:spPr/>
              <c:txPr>
                <a:bodyPr/>
                <a:lstStyle/>
                <a:p>
                  <a:pPr>
                    <a:defRPr/>
                  </a:pPr>
                  <a:endParaRPr lang="en-US"/>
                </a:p>
              </c:txPr>
              <c:dLblPos val="t"/>
              <c:showLegendKey val="0"/>
              <c:showVal val="1"/>
              <c:showCatName val="0"/>
              <c:showSerName val="0"/>
              <c:showPercent val="0"/>
              <c:showBubbleSize val="0"/>
            </c:dLbl>
            <c:dLbl>
              <c:idx val="8"/>
              <c:tx>
                <c:strRef>
                  <c:f>'ln12rps x BYE'!$B$34</c:f>
                  <c:strCache>
                    <c:ptCount val="1"/>
                    <c:pt idx="0">
                      <c:v>1986</c:v>
                    </c:pt>
                  </c:strCache>
                </c:strRef>
              </c:tx>
              <c:spPr/>
              <c:txPr>
                <a:bodyPr/>
                <a:lstStyle/>
                <a:p>
                  <a:pPr>
                    <a:defRPr/>
                  </a:pPr>
                  <a:endParaRPr lang="en-US"/>
                </a:p>
              </c:txPr>
              <c:dLblPos val="t"/>
              <c:showLegendKey val="0"/>
              <c:showVal val="1"/>
              <c:showCatName val="0"/>
              <c:showSerName val="0"/>
              <c:showPercent val="0"/>
              <c:showBubbleSize val="0"/>
            </c:dLbl>
            <c:dLbl>
              <c:idx val="9"/>
              <c:tx>
                <c:strRef>
                  <c:f>'ln12rps x BYE'!$B$35</c:f>
                  <c:strCache>
                    <c:ptCount val="1"/>
                    <c:pt idx="0">
                      <c:v>1987</c:v>
                    </c:pt>
                  </c:strCache>
                </c:strRef>
              </c:tx>
              <c:spPr/>
              <c:txPr>
                <a:bodyPr/>
                <a:lstStyle/>
                <a:p>
                  <a:pPr>
                    <a:defRPr/>
                  </a:pPr>
                  <a:endParaRPr lang="en-US"/>
                </a:p>
              </c:txPr>
              <c:dLblPos val="t"/>
              <c:showLegendKey val="0"/>
              <c:showVal val="1"/>
              <c:showCatName val="0"/>
              <c:showSerName val="0"/>
              <c:showPercent val="0"/>
              <c:showBubbleSize val="0"/>
            </c:dLbl>
            <c:dLbl>
              <c:idx val="10"/>
              <c:tx>
                <c:strRef>
                  <c:f>'ln12rps x BYE'!$B$36</c:f>
                  <c:strCache>
                    <c:ptCount val="1"/>
                    <c:pt idx="0">
                      <c:v>1988</c:v>
                    </c:pt>
                  </c:strCache>
                </c:strRef>
              </c:tx>
              <c:spPr/>
              <c:txPr>
                <a:bodyPr/>
                <a:lstStyle/>
                <a:p>
                  <a:pPr>
                    <a:defRPr/>
                  </a:pPr>
                  <a:endParaRPr lang="en-US"/>
                </a:p>
              </c:txPr>
              <c:dLblPos val="t"/>
              <c:showLegendKey val="0"/>
              <c:showVal val="1"/>
              <c:showCatName val="0"/>
              <c:showSerName val="0"/>
              <c:showPercent val="0"/>
              <c:showBubbleSize val="0"/>
            </c:dLbl>
            <c:dLbl>
              <c:idx val="11"/>
              <c:tx>
                <c:strRef>
                  <c:f>'ln12rps x BYE'!$B$37</c:f>
                  <c:strCache>
                    <c:ptCount val="1"/>
                    <c:pt idx="0">
                      <c:v>1989</c:v>
                    </c:pt>
                  </c:strCache>
                </c:strRef>
              </c:tx>
              <c:spPr/>
              <c:txPr>
                <a:bodyPr/>
                <a:lstStyle/>
                <a:p>
                  <a:pPr>
                    <a:defRPr/>
                  </a:pPr>
                  <a:endParaRPr lang="en-US"/>
                </a:p>
              </c:txPr>
              <c:dLblPos val="t"/>
              <c:showLegendKey val="0"/>
              <c:showVal val="1"/>
              <c:showCatName val="0"/>
              <c:showSerName val="0"/>
              <c:showPercent val="0"/>
              <c:showBubbleSize val="0"/>
            </c:dLbl>
            <c:dLbl>
              <c:idx val="12"/>
              <c:tx>
                <c:strRef>
                  <c:f>'ln12rps x BYE'!$B$38</c:f>
                  <c:strCache>
                    <c:ptCount val="1"/>
                    <c:pt idx="0">
                      <c:v>1990</c:v>
                    </c:pt>
                  </c:strCache>
                </c:strRef>
              </c:tx>
              <c:spPr/>
              <c:txPr>
                <a:bodyPr/>
                <a:lstStyle/>
                <a:p>
                  <a:pPr>
                    <a:defRPr/>
                  </a:pPr>
                  <a:endParaRPr lang="en-US"/>
                </a:p>
              </c:txPr>
              <c:dLblPos val="t"/>
              <c:showLegendKey val="0"/>
              <c:showVal val="1"/>
              <c:showCatName val="0"/>
              <c:showSerName val="0"/>
              <c:showPercent val="0"/>
              <c:showBubbleSize val="0"/>
            </c:dLbl>
            <c:dLbl>
              <c:idx val="13"/>
              <c:tx>
                <c:strRef>
                  <c:f>'ln12rps x BYE'!$B$39</c:f>
                  <c:strCache>
                    <c:ptCount val="1"/>
                    <c:pt idx="0">
                      <c:v>1991</c:v>
                    </c:pt>
                  </c:strCache>
                </c:strRef>
              </c:tx>
              <c:spPr/>
              <c:txPr>
                <a:bodyPr/>
                <a:lstStyle/>
                <a:p>
                  <a:pPr>
                    <a:defRPr/>
                  </a:pPr>
                  <a:endParaRPr lang="en-US"/>
                </a:p>
              </c:txPr>
              <c:dLblPos val="t"/>
              <c:showLegendKey val="0"/>
              <c:showVal val="1"/>
              <c:showCatName val="0"/>
              <c:showSerName val="0"/>
              <c:showPercent val="0"/>
              <c:showBubbleSize val="0"/>
            </c:dLbl>
            <c:dLbl>
              <c:idx val="14"/>
              <c:tx>
                <c:strRef>
                  <c:f>'ln12rps x BYE'!$B$40</c:f>
                  <c:strCache>
                    <c:ptCount val="1"/>
                    <c:pt idx="0">
                      <c:v>1992</c:v>
                    </c:pt>
                  </c:strCache>
                </c:strRef>
              </c:tx>
              <c:spPr/>
              <c:txPr>
                <a:bodyPr/>
                <a:lstStyle/>
                <a:p>
                  <a:pPr>
                    <a:defRPr/>
                  </a:pPr>
                  <a:endParaRPr lang="en-US"/>
                </a:p>
              </c:txPr>
              <c:dLblPos val="t"/>
              <c:showLegendKey val="0"/>
              <c:showVal val="1"/>
              <c:showCatName val="0"/>
              <c:showSerName val="0"/>
              <c:showPercent val="0"/>
              <c:showBubbleSize val="0"/>
            </c:dLbl>
            <c:dLbl>
              <c:idx val="15"/>
              <c:tx>
                <c:strRef>
                  <c:f>'ln12rps x BYE'!$B$41</c:f>
                  <c:strCache>
                    <c:ptCount val="1"/>
                    <c:pt idx="0">
                      <c:v>1993</c:v>
                    </c:pt>
                  </c:strCache>
                </c:strRef>
              </c:tx>
              <c:spPr/>
              <c:txPr>
                <a:bodyPr/>
                <a:lstStyle/>
                <a:p>
                  <a:pPr>
                    <a:defRPr/>
                  </a:pPr>
                  <a:endParaRPr lang="en-US"/>
                </a:p>
              </c:txPr>
              <c:dLblPos val="t"/>
              <c:showLegendKey val="0"/>
              <c:showVal val="1"/>
              <c:showCatName val="0"/>
              <c:showSerName val="0"/>
              <c:showPercent val="0"/>
              <c:showBubbleSize val="0"/>
            </c:dLbl>
            <c:dLbl>
              <c:idx val="16"/>
              <c:tx>
                <c:strRef>
                  <c:f>'ln12rps x BYE'!$B$42</c:f>
                  <c:strCache>
                    <c:ptCount val="1"/>
                    <c:pt idx="0">
                      <c:v>1994</c:v>
                    </c:pt>
                  </c:strCache>
                </c:strRef>
              </c:tx>
              <c:spPr/>
              <c:txPr>
                <a:bodyPr/>
                <a:lstStyle/>
                <a:p>
                  <a:pPr>
                    <a:defRPr/>
                  </a:pPr>
                  <a:endParaRPr lang="en-US"/>
                </a:p>
              </c:txPr>
              <c:dLblPos val="t"/>
              <c:showLegendKey val="0"/>
              <c:showVal val="1"/>
              <c:showCatName val="0"/>
              <c:showSerName val="0"/>
              <c:showPercent val="0"/>
              <c:showBubbleSize val="0"/>
            </c:dLbl>
            <c:dLbl>
              <c:idx val="17"/>
              <c:tx>
                <c:strRef>
                  <c:f>'ln12rps x BYE'!$B$43</c:f>
                  <c:strCache>
                    <c:ptCount val="1"/>
                    <c:pt idx="0">
                      <c:v>1995</c:v>
                    </c:pt>
                  </c:strCache>
                </c:strRef>
              </c:tx>
              <c:spPr/>
              <c:txPr>
                <a:bodyPr/>
                <a:lstStyle/>
                <a:p>
                  <a:pPr>
                    <a:defRPr/>
                  </a:pPr>
                  <a:endParaRPr lang="en-US"/>
                </a:p>
              </c:txPr>
              <c:dLblPos val="t"/>
              <c:showLegendKey val="0"/>
              <c:showVal val="1"/>
              <c:showCatName val="0"/>
              <c:showSerName val="0"/>
              <c:showPercent val="0"/>
              <c:showBubbleSize val="0"/>
            </c:dLbl>
            <c:dLbl>
              <c:idx val="18"/>
              <c:tx>
                <c:strRef>
                  <c:f>'ln12rps x BYE'!$B$44</c:f>
                  <c:strCache>
                    <c:ptCount val="1"/>
                    <c:pt idx="0">
                      <c:v>1996</c:v>
                    </c:pt>
                  </c:strCache>
                </c:strRef>
              </c:tx>
              <c:spPr/>
              <c:txPr>
                <a:bodyPr/>
                <a:lstStyle/>
                <a:p>
                  <a:pPr>
                    <a:defRPr/>
                  </a:pPr>
                  <a:endParaRPr lang="en-US"/>
                </a:p>
              </c:txPr>
              <c:dLblPos val="t"/>
              <c:showLegendKey val="0"/>
              <c:showVal val="1"/>
              <c:showCatName val="0"/>
              <c:showSerName val="0"/>
              <c:showPercent val="0"/>
              <c:showBubbleSize val="0"/>
            </c:dLbl>
            <c:dLbl>
              <c:idx val="19"/>
              <c:tx>
                <c:strRef>
                  <c:f>'ln12rps x BYE'!$B$45</c:f>
                  <c:strCache>
                    <c:ptCount val="1"/>
                    <c:pt idx="0">
                      <c:v>1997</c:v>
                    </c:pt>
                  </c:strCache>
                </c:strRef>
              </c:tx>
              <c:spPr/>
              <c:txPr>
                <a:bodyPr/>
                <a:lstStyle/>
                <a:p>
                  <a:pPr>
                    <a:defRPr/>
                  </a:pPr>
                  <a:endParaRPr lang="en-US"/>
                </a:p>
              </c:txPr>
              <c:dLblPos val="t"/>
              <c:showLegendKey val="0"/>
              <c:showVal val="1"/>
              <c:showCatName val="0"/>
              <c:showSerName val="0"/>
              <c:showPercent val="0"/>
              <c:showBubbleSize val="0"/>
            </c:dLbl>
            <c:dLbl>
              <c:idx val="20"/>
              <c:tx>
                <c:strRef>
                  <c:f>'ln12rps x BYE'!$B$46</c:f>
                  <c:strCache>
                    <c:ptCount val="1"/>
                    <c:pt idx="0">
                      <c:v>1998</c:v>
                    </c:pt>
                  </c:strCache>
                </c:strRef>
              </c:tx>
              <c:spPr/>
              <c:txPr>
                <a:bodyPr/>
                <a:lstStyle/>
                <a:p>
                  <a:pPr>
                    <a:defRPr/>
                  </a:pPr>
                  <a:endParaRPr lang="en-US"/>
                </a:p>
              </c:txPr>
              <c:dLblPos val="t"/>
              <c:showLegendKey val="0"/>
              <c:showVal val="1"/>
              <c:showCatName val="0"/>
              <c:showSerName val="0"/>
              <c:showPercent val="0"/>
              <c:showBubbleSize val="0"/>
            </c:dLbl>
            <c:dLbl>
              <c:idx val="21"/>
              <c:tx>
                <c:strRef>
                  <c:f>'ln12rps x BYE'!$B$47</c:f>
                  <c:strCache>
                    <c:ptCount val="1"/>
                    <c:pt idx="0">
                      <c:v>1999</c:v>
                    </c:pt>
                  </c:strCache>
                </c:strRef>
              </c:tx>
              <c:spPr/>
              <c:txPr>
                <a:bodyPr/>
                <a:lstStyle/>
                <a:p>
                  <a:pPr>
                    <a:defRPr/>
                  </a:pPr>
                  <a:endParaRPr lang="en-US"/>
                </a:p>
              </c:txPr>
              <c:dLblPos val="t"/>
              <c:showLegendKey val="0"/>
              <c:showVal val="1"/>
              <c:showCatName val="0"/>
              <c:showSerName val="0"/>
              <c:showPercent val="0"/>
              <c:showBubbleSize val="0"/>
            </c:dLbl>
            <c:dLbl>
              <c:idx val="22"/>
              <c:tx>
                <c:strRef>
                  <c:f>'ln12rps x BYE'!$B$48</c:f>
                  <c:strCache>
                    <c:ptCount val="1"/>
                    <c:pt idx="0">
                      <c:v>2000</c:v>
                    </c:pt>
                  </c:strCache>
                </c:strRef>
              </c:tx>
              <c:spPr/>
              <c:txPr>
                <a:bodyPr/>
                <a:lstStyle/>
                <a:p>
                  <a:pPr>
                    <a:defRPr/>
                  </a:pPr>
                  <a:endParaRPr lang="en-US"/>
                </a:p>
              </c:txPr>
              <c:dLblPos val="t"/>
              <c:showLegendKey val="0"/>
              <c:showVal val="1"/>
              <c:showCatName val="0"/>
              <c:showSerName val="0"/>
              <c:showPercent val="0"/>
              <c:showBubbleSize val="0"/>
            </c:dLbl>
            <c:dLbl>
              <c:idx val="23"/>
              <c:tx>
                <c:strRef>
                  <c:f>'ln12rps x BYE'!$B$49</c:f>
                  <c:strCache>
                    <c:ptCount val="1"/>
                    <c:pt idx="0">
                      <c:v>2001</c:v>
                    </c:pt>
                  </c:strCache>
                </c:strRef>
              </c:tx>
              <c:spPr/>
              <c:txPr>
                <a:bodyPr/>
                <a:lstStyle/>
                <a:p>
                  <a:pPr>
                    <a:defRPr/>
                  </a:pPr>
                  <a:endParaRPr lang="en-US"/>
                </a:p>
              </c:txPr>
              <c:dLblPos val="t"/>
              <c:showLegendKey val="0"/>
              <c:showVal val="1"/>
              <c:showCatName val="0"/>
              <c:showSerName val="0"/>
              <c:showPercent val="0"/>
              <c:showBubbleSize val="0"/>
            </c:dLbl>
            <c:dLbl>
              <c:idx val="24"/>
              <c:tx>
                <c:strRef>
                  <c:f>'ln12rps x BYE'!$B$50</c:f>
                  <c:strCache>
                    <c:ptCount val="1"/>
                    <c:pt idx="0">
                      <c:v>2002</c:v>
                    </c:pt>
                  </c:strCache>
                </c:strRef>
              </c:tx>
              <c:spPr/>
              <c:txPr>
                <a:bodyPr/>
                <a:lstStyle/>
                <a:p>
                  <a:pPr>
                    <a:defRPr/>
                  </a:pPr>
                  <a:endParaRPr lang="en-US"/>
                </a:p>
              </c:txPr>
              <c:dLblPos val="t"/>
              <c:showLegendKey val="0"/>
              <c:showVal val="1"/>
              <c:showCatName val="0"/>
              <c:showSerName val="0"/>
              <c:showPercent val="0"/>
              <c:showBubbleSize val="0"/>
            </c:dLbl>
            <c:dLbl>
              <c:idx val="25"/>
              <c:tx>
                <c:strRef>
                  <c:f>'ln12rps x BYE'!$B$51</c:f>
                  <c:strCache>
                    <c:ptCount val="1"/>
                    <c:pt idx="0">
                      <c:v>2003</c:v>
                    </c:pt>
                  </c:strCache>
                </c:strRef>
              </c:tx>
              <c:spPr/>
              <c:txPr>
                <a:bodyPr/>
                <a:lstStyle/>
                <a:p>
                  <a:pPr>
                    <a:defRPr/>
                  </a:pPr>
                  <a:endParaRPr lang="en-US"/>
                </a:p>
              </c:txPr>
              <c:dLblPos val="t"/>
              <c:showLegendKey val="0"/>
              <c:showVal val="1"/>
              <c:showCatName val="0"/>
              <c:showSerName val="0"/>
              <c:showPercent val="0"/>
              <c:showBubbleSize val="0"/>
            </c:dLbl>
            <c:dLbl>
              <c:idx val="26"/>
              <c:tx>
                <c:strRef>
                  <c:f>'ln12rps x BYE'!$B$52</c:f>
                  <c:strCache>
                    <c:ptCount val="1"/>
                    <c:pt idx="0">
                      <c:v>2004</c:v>
                    </c:pt>
                  </c:strCache>
                </c:strRef>
              </c:tx>
              <c:spPr/>
              <c:txPr>
                <a:bodyPr/>
                <a:lstStyle/>
                <a:p>
                  <a:pPr>
                    <a:defRPr/>
                  </a:pPr>
                  <a:endParaRPr lang="en-US"/>
                </a:p>
              </c:txPr>
              <c:dLblPos val="t"/>
              <c:showLegendKey val="0"/>
              <c:showVal val="1"/>
              <c:showCatName val="0"/>
              <c:showSerName val="0"/>
              <c:showPercent val="0"/>
              <c:showBubbleSize val="0"/>
            </c:dLbl>
            <c:dLbl>
              <c:idx val="27"/>
              <c:tx>
                <c:strRef>
                  <c:f>'ln12rps x BYE'!$B$53</c:f>
                  <c:strCache>
                    <c:ptCount val="1"/>
                    <c:pt idx="0">
                      <c:v>2005</c:v>
                    </c:pt>
                  </c:strCache>
                </c:strRef>
              </c:tx>
              <c:spPr/>
              <c:txPr>
                <a:bodyPr/>
                <a:lstStyle/>
                <a:p>
                  <a:pPr>
                    <a:defRPr/>
                  </a:pPr>
                  <a:endParaRPr lang="en-US"/>
                </a:p>
              </c:txPr>
              <c:dLblPos val="t"/>
              <c:showLegendKey val="0"/>
              <c:showVal val="1"/>
              <c:showCatName val="0"/>
              <c:showSerName val="0"/>
              <c:showPercent val="0"/>
              <c:showBubbleSize val="0"/>
            </c:dLbl>
            <c:dLbl>
              <c:idx val="28"/>
              <c:tx>
                <c:strRef>
                  <c:f>'ln12rps x BYE'!$B$54</c:f>
                  <c:strCache>
                    <c:ptCount val="1"/>
                    <c:pt idx="0">
                      <c:v>2006</c:v>
                    </c:pt>
                  </c:strCache>
                </c:strRef>
              </c:tx>
              <c:spPr/>
              <c:txPr>
                <a:bodyPr/>
                <a:lstStyle/>
                <a:p>
                  <a:pPr>
                    <a:defRPr/>
                  </a:pPr>
                  <a:endParaRPr lang="en-US"/>
                </a:p>
              </c:txPr>
              <c:dLblPos val="t"/>
              <c:showLegendKey val="0"/>
              <c:showVal val="1"/>
              <c:showCatName val="0"/>
              <c:showSerName val="0"/>
              <c:showPercent val="0"/>
              <c:showBubbleSize val="0"/>
            </c:dLbl>
            <c:dLbl>
              <c:idx val="29"/>
              <c:tx>
                <c:strRef>
                  <c:f>'ln12rps x BYE'!$B$55</c:f>
                  <c:strCache>
                    <c:ptCount val="1"/>
                    <c:pt idx="0">
                      <c:v>2007</c:v>
                    </c:pt>
                  </c:strCache>
                </c:strRef>
              </c:tx>
              <c:spPr/>
              <c:txPr>
                <a:bodyPr/>
                <a:lstStyle/>
                <a:p>
                  <a:pPr>
                    <a:defRPr/>
                  </a:pPr>
                  <a:endParaRPr lang="en-US"/>
                </a:p>
              </c:txPr>
              <c:dLblPos val="t"/>
              <c:showLegendKey val="0"/>
              <c:showVal val="1"/>
              <c:showCatName val="0"/>
              <c:showSerName val="0"/>
              <c:showPercent val="0"/>
              <c:showBubbleSize val="0"/>
            </c:dLbl>
            <c:dLbl>
              <c:idx val="30"/>
              <c:tx>
                <c:strRef>
                  <c:f>'ln12rps x BYE'!$B$56</c:f>
                  <c:strCache>
                    <c:ptCount val="1"/>
                    <c:pt idx="0">
                      <c:v>2008</c:v>
                    </c:pt>
                  </c:strCache>
                </c:strRef>
              </c:tx>
              <c:spPr/>
              <c:txPr>
                <a:bodyPr/>
                <a:lstStyle/>
                <a:p>
                  <a:pPr>
                    <a:defRPr/>
                  </a:pPr>
                  <a:endParaRPr lang="en-US"/>
                </a:p>
              </c:txPr>
              <c:dLblPos val="t"/>
              <c:showLegendKey val="0"/>
              <c:showVal val="1"/>
              <c:showCatName val="0"/>
              <c:showSerName val="0"/>
              <c:showPercent val="0"/>
              <c:showBubbleSize val="0"/>
            </c:dLbl>
            <c:dLbl>
              <c:idx val="31"/>
              <c:tx>
                <c:strRef>
                  <c:f>'ln12rps x BYE'!$B$57</c:f>
                  <c:strCache>
                    <c:ptCount val="1"/>
                    <c:pt idx="0">
                      <c:v>2009</c:v>
                    </c:pt>
                  </c:strCache>
                </c:strRef>
              </c:tx>
              <c:spPr/>
              <c:txPr>
                <a:bodyPr/>
                <a:lstStyle/>
                <a:p>
                  <a:pPr>
                    <a:defRPr/>
                  </a:pPr>
                  <a:endParaRPr lang="en-US"/>
                </a:p>
              </c:txPr>
              <c:dLblPos val="t"/>
              <c:showLegendKey val="0"/>
              <c:showVal val="1"/>
              <c:showCatName val="0"/>
              <c:showSerName val="0"/>
              <c:showPercent val="0"/>
              <c:showBubbleSize val="0"/>
            </c:dLbl>
            <c:dLbl>
              <c:idx val="32"/>
              <c:tx>
                <c:strRef>
                  <c:f>'ln12rps x BYE'!$B$58</c:f>
                  <c:strCache>
                    <c:ptCount val="1"/>
                    <c:pt idx="0">
                      <c:v>2010</c:v>
                    </c:pt>
                  </c:strCache>
                </c:strRef>
              </c:tx>
              <c:spPr/>
              <c:txPr>
                <a:bodyPr/>
                <a:lstStyle/>
                <a:p>
                  <a:pPr>
                    <a:defRPr/>
                  </a:pPr>
                  <a:endParaRPr lang="en-US"/>
                </a:p>
              </c:txPr>
              <c:dLblPos val="t"/>
              <c:showLegendKey val="0"/>
              <c:showVal val="1"/>
              <c:showCatName val="0"/>
              <c:showSerName val="0"/>
              <c:showPercent val="0"/>
              <c:showBubbleSize val="0"/>
            </c:dLbl>
            <c:dLbl>
              <c:idx val="33"/>
              <c:tx>
                <c:strRef>
                  <c:f>'ln12rps x BYE'!$B$59</c:f>
                  <c:strCache>
                    <c:ptCount val="1"/>
                    <c:pt idx="0">
                      <c:v>2011</c:v>
                    </c:pt>
                  </c:strCache>
                </c:strRef>
              </c:tx>
              <c:spPr/>
              <c:txPr>
                <a:bodyPr/>
                <a:lstStyle/>
                <a:p>
                  <a:pPr>
                    <a:defRPr/>
                  </a:pPr>
                  <a:endParaRPr lang="en-US"/>
                </a:p>
              </c:txPr>
              <c:dLblPos val="t"/>
              <c:showLegendKey val="0"/>
              <c:showVal val="1"/>
              <c:showCatName val="0"/>
              <c:showSerName val="0"/>
              <c:showPercent val="0"/>
              <c:showBubbleSize val="0"/>
            </c:dLbl>
            <c:dLbl>
              <c:idx val="34"/>
              <c:tx>
                <c:strRef>
                  <c:f>'ln12rps x BYE'!$B$60</c:f>
                  <c:strCache>
                    <c:ptCount val="1"/>
                    <c:pt idx="0">
                      <c:v>2012</c:v>
                    </c:pt>
                  </c:strCache>
                </c:strRef>
              </c:tx>
              <c:spPr/>
              <c:txPr>
                <a:bodyPr/>
                <a:lstStyle/>
                <a:p>
                  <a:pPr>
                    <a:defRPr/>
                  </a:pPr>
                  <a:endParaRPr lang="en-US"/>
                </a:p>
              </c:txPr>
              <c:dLblPos val="t"/>
              <c:showLegendKey val="0"/>
              <c:showVal val="1"/>
              <c:showCatName val="0"/>
              <c:showSerName val="0"/>
              <c:showPercent val="0"/>
              <c:showBubbleSize val="0"/>
            </c:dLbl>
            <c:dLbl>
              <c:idx val="35"/>
              <c:tx>
                <c:strRef>
                  <c:f>'ln12rps x BYE'!$B$61</c:f>
                  <c:strCache>
                    <c:ptCount val="1"/>
                    <c:pt idx="0">
                      <c:v>2013</c:v>
                    </c:pt>
                  </c:strCache>
                </c:strRef>
              </c:tx>
              <c:spPr/>
              <c:txPr>
                <a:bodyPr/>
                <a:lstStyle/>
                <a:p>
                  <a:pPr>
                    <a:defRPr/>
                  </a:pPr>
                  <a:endParaRPr lang="en-US"/>
                </a:p>
              </c:txPr>
              <c:dLblPos val="t"/>
              <c:showLegendKey val="0"/>
              <c:showVal val="1"/>
              <c:showCatName val="0"/>
              <c:showSerName val="0"/>
              <c:showPercent val="0"/>
              <c:showBubbleSize val="0"/>
            </c:dLbl>
            <c:dLbl>
              <c:idx val="36"/>
              <c:tx>
                <c:strRef>
                  <c:f>'ln12rps x BYE'!$B$62</c:f>
                  <c:strCache>
                    <c:ptCount val="1"/>
                    <c:pt idx="0">
                      <c:v>2014</c:v>
                    </c:pt>
                  </c:strCache>
                </c:strRef>
              </c:tx>
              <c:spPr/>
              <c:txPr>
                <a:bodyPr/>
                <a:lstStyle/>
                <a:p>
                  <a:pPr>
                    <a:defRPr/>
                  </a:pPr>
                  <a:endParaRPr lang="en-US"/>
                </a:p>
              </c:txPr>
              <c:dLblPos val="t"/>
              <c:showLegendKey val="0"/>
              <c:showVal val="1"/>
              <c:showCatName val="0"/>
              <c:showSerName val="0"/>
              <c:showPercent val="0"/>
              <c:showBubbleSize val="0"/>
            </c:dLbl>
            <c:dLbl>
              <c:idx val="37"/>
              <c:tx>
                <c:strRef>
                  <c:f>'ln12rps x BYE'!$B$63</c:f>
                  <c:strCache>
                    <c:ptCount val="1"/>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8"/>
              <c:tx>
                <c:strRef>
                  <c:f>'ln12rps x BYE'!$B$64</c:f>
                  <c:strCache>
                    <c:ptCount val="1"/>
                    <c:pt idx="0">
                      <c:v>2015</c:v>
                    </c:pt>
                  </c:strCache>
                </c:strRef>
              </c:tx>
              <c:spPr/>
              <c:txPr>
                <a:bodyPr/>
                <a:lstStyle/>
                <a:p>
                  <a:pPr>
                    <a:defRPr/>
                  </a:pPr>
                  <a:endParaRPr lang="en-US"/>
                </a:p>
              </c:txPr>
              <c:dLblPos val="t"/>
              <c:showLegendKey val="0"/>
              <c:showVal val="1"/>
              <c:showCatName val="0"/>
              <c:showSerName val="0"/>
              <c:showPercent val="0"/>
              <c:showBubbleSize val="0"/>
            </c:dLbl>
            <c:numFmt formatCode="yyyy" sourceLinked="0"/>
            <c:showLegendKey val="0"/>
            <c:showVal val="1"/>
            <c:showCatName val="0"/>
            <c:showSerName val="0"/>
            <c:showPercent val="0"/>
            <c:showBubbleSize val="0"/>
            <c:showLeaderLines val="0"/>
          </c:dLbls>
          <c:trendline>
            <c:spPr>
              <a:ln w="25400">
                <a:solidFill>
                  <a:srgbClr val="000000"/>
                </a:solidFill>
                <a:prstDash val="solid"/>
              </a:ln>
            </c:spPr>
            <c:trendlineType val="linear"/>
            <c:dispRSqr val="1"/>
            <c:dispEq val="1"/>
            <c:trendlineLbl>
              <c:layout>
                <c:manualLayout>
                  <c:x val="-0.177236599360165"/>
                  <c:y val="0.120568280072535"/>
                </c:manualLayout>
              </c:layout>
              <c:numFmt formatCode="General" sourceLinked="0"/>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trendlineLbl>
          </c:trendline>
          <c:xVal>
            <c:numRef>
              <c:f>'ln12rps x BYE'!$Z$26:$Z$64</c:f>
              <c:numCache>
                <c:formatCode>General</c:formatCode>
                <c:ptCount val="39"/>
                <c:pt idx="0">
                  <c:v>22334.0</c:v>
                </c:pt>
                <c:pt idx="1">
                  <c:v>34855.0</c:v>
                </c:pt>
                <c:pt idx="2">
                  <c:v>9056.0</c:v>
                </c:pt>
                <c:pt idx="3">
                  <c:v>31562.0</c:v>
                </c:pt>
                <c:pt idx="4">
                  <c:v>42284.0</c:v>
                </c:pt>
                <c:pt idx="5">
                  <c:v>48281.0</c:v>
                </c:pt>
                <c:pt idx="6">
                  <c:v>142253.0</c:v>
                </c:pt>
                <c:pt idx="7">
                  <c:v>156112.0</c:v>
                </c:pt>
                <c:pt idx="8">
                  <c:v>180314.0</c:v>
                </c:pt>
                <c:pt idx="9">
                  <c:v>38783.0</c:v>
                </c:pt>
                <c:pt idx="10">
                  <c:v>63622.0</c:v>
                </c:pt>
                <c:pt idx="11">
                  <c:v>163342.0</c:v>
                </c:pt>
                <c:pt idx="12">
                  <c:v>74135.0</c:v>
                </c:pt>
                <c:pt idx="13">
                  <c:v>187263.0</c:v>
                </c:pt>
                <c:pt idx="14">
                  <c:v>72023.0</c:v>
                </c:pt>
                <c:pt idx="15">
                  <c:v>36881.0</c:v>
                </c:pt>
                <c:pt idx="16">
                  <c:v>8250.0</c:v>
                </c:pt>
                <c:pt idx="17">
                  <c:v>9701.0</c:v>
                </c:pt>
                <c:pt idx="18">
                  <c:v>29642.0</c:v>
                </c:pt>
                <c:pt idx="19">
                  <c:v>9232.0</c:v>
                </c:pt>
                <c:pt idx="20">
                  <c:v>7264.0</c:v>
                </c:pt>
                <c:pt idx="21">
                  <c:v>30382.0</c:v>
                </c:pt>
                <c:pt idx="22">
                  <c:v>38693.0</c:v>
                </c:pt>
                <c:pt idx="23">
                  <c:v>35010.0</c:v>
                </c:pt>
                <c:pt idx="24">
                  <c:v>28963.0</c:v>
                </c:pt>
                <c:pt idx="25">
                  <c:v>59311.0</c:v>
                </c:pt>
                <c:pt idx="26">
                  <c:v>28416.0</c:v>
                </c:pt>
                <c:pt idx="27">
                  <c:v>38547.0</c:v>
                </c:pt>
                <c:pt idx="28">
                  <c:v>28323.0</c:v>
                </c:pt>
                <c:pt idx="29">
                  <c:v>75427.0</c:v>
                </c:pt>
                <c:pt idx="30">
                  <c:v>30569.0</c:v>
                </c:pt>
                <c:pt idx="31">
                  <c:v>30313.0</c:v>
                </c:pt>
                <c:pt idx="32">
                  <c:v>23479.0</c:v>
                </c:pt>
                <c:pt idx="33">
                  <c:v>70001.0</c:v>
                </c:pt>
                <c:pt idx="34">
                  <c:v>29298.0</c:v>
                </c:pt>
                <c:pt idx="35">
                  <c:v>23186.0</c:v>
                </c:pt>
                <c:pt idx="36">
                  <c:v>24312.0</c:v>
                </c:pt>
                <c:pt idx="38">
                  <c:v>102359.0</c:v>
                </c:pt>
              </c:numCache>
            </c:numRef>
          </c:xVal>
          <c:yVal>
            <c:numRef>
              <c:f>'ln12rps x BYE'!$AB$26:$AB$64</c:f>
              <c:numCache>
                <c:formatCode>General</c:formatCode>
                <c:ptCount val="39"/>
                <c:pt idx="0">
                  <c:v>-0.0601126413220592</c:v>
                </c:pt>
                <c:pt idx="1">
                  <c:v>0.095479698957135</c:v>
                </c:pt>
                <c:pt idx="2">
                  <c:v>1.756122576511806</c:v>
                </c:pt>
                <c:pt idx="3">
                  <c:v>1.468631059809697</c:v>
                </c:pt>
                <c:pt idx="4">
                  <c:v>-1.569792722080869</c:v>
                </c:pt>
                <c:pt idx="5">
                  <c:v>-1.018329031137863</c:v>
                </c:pt>
                <c:pt idx="6">
                  <c:v>-1.325827300341625</c:v>
                </c:pt>
                <c:pt idx="7">
                  <c:v>-0.52360211978296</c:v>
                </c:pt>
                <c:pt idx="8">
                  <c:v>-1.123894512011646</c:v>
                </c:pt>
                <c:pt idx="9">
                  <c:v>-1.193703324294025</c:v>
                </c:pt>
                <c:pt idx="10">
                  <c:v>0.0179604039661569</c:v>
                </c:pt>
                <c:pt idx="11">
                  <c:v>-4.5758626007026</c:v>
                </c:pt>
                <c:pt idx="12">
                  <c:v>-2.830755935662983</c:v>
                </c:pt>
                <c:pt idx="13">
                  <c:v>-4.458435588411755</c:v>
                </c:pt>
                <c:pt idx="14">
                  <c:v>-2.343564023079411</c:v>
                </c:pt>
                <c:pt idx="15">
                  <c:v>-2.653724714446407</c:v>
                </c:pt>
                <c:pt idx="16">
                  <c:v>-0.852036342007141</c:v>
                </c:pt>
                <c:pt idx="17">
                  <c:v>1.380375425270078</c:v>
                </c:pt>
                <c:pt idx="18">
                  <c:v>-0.691798653621042</c:v>
                </c:pt>
                <c:pt idx="19">
                  <c:v>-0.0865014629025879</c:v>
                </c:pt>
                <c:pt idx="20">
                  <c:v>-1.14438525804969</c:v>
                </c:pt>
                <c:pt idx="21">
                  <c:v>1.482847028780665</c:v>
                </c:pt>
                <c:pt idx="22">
                  <c:v>-0.549548524098666</c:v>
                </c:pt>
                <c:pt idx="23">
                  <c:v>-1.024638980985819</c:v>
                </c:pt>
                <c:pt idx="24">
                  <c:v>-0.320877859501009</c:v>
                </c:pt>
                <c:pt idx="25">
                  <c:v>0.52106454091635</c:v>
                </c:pt>
                <c:pt idx="26">
                  <c:v>0.677988525273462</c:v>
                </c:pt>
                <c:pt idx="27">
                  <c:v>-1.762085066470033</c:v>
                </c:pt>
                <c:pt idx="28">
                  <c:v>-0.0381070447715839</c:v>
                </c:pt>
                <c:pt idx="29">
                  <c:v>-0.946875555144627</c:v>
                </c:pt>
                <c:pt idx="30">
                  <c:v>0.408328832795924</c:v>
                </c:pt>
                <c:pt idx="31">
                  <c:v>-2.37839218006137</c:v>
                </c:pt>
                <c:pt idx="32">
                  <c:v>0.463556938810134</c:v>
                </c:pt>
                <c:pt idx="33">
                  <c:v>0.4042501019194</c:v>
                </c:pt>
                <c:pt idx="34">
                  <c:v>0.0298258579408113</c:v>
                </c:pt>
                <c:pt idx="35">
                  <c:v>0.421183813122844</c:v>
                </c:pt>
                <c:pt idx="36">
                  <c:v>-0.147162158828938</c:v>
                </c:pt>
              </c:numCache>
            </c:numRef>
          </c:yVal>
          <c:smooth val="0"/>
        </c:ser>
        <c:ser>
          <c:idx val="1"/>
          <c:order val="1"/>
          <c:spPr>
            <a:ln w="3175">
              <a:solidFill>
                <a:srgbClr val="0000FF"/>
              </a:solidFill>
              <a:prstDash val="solid"/>
            </a:ln>
          </c:spPr>
          <c:marker>
            <c:symbol val="none"/>
          </c:marker>
          <c:xVal>
            <c:numRef>
              <c:f>'ln12rps x BYE'!$Z$26:$Z$64</c:f>
              <c:numCache>
                <c:formatCode>General</c:formatCode>
                <c:ptCount val="39"/>
                <c:pt idx="0">
                  <c:v>22334.0</c:v>
                </c:pt>
                <c:pt idx="1">
                  <c:v>34855.0</c:v>
                </c:pt>
                <c:pt idx="2">
                  <c:v>9056.0</c:v>
                </c:pt>
                <c:pt idx="3">
                  <c:v>31562.0</c:v>
                </c:pt>
                <c:pt idx="4">
                  <c:v>42284.0</c:v>
                </c:pt>
                <c:pt idx="5">
                  <c:v>48281.0</c:v>
                </c:pt>
                <c:pt idx="6">
                  <c:v>142253.0</c:v>
                </c:pt>
                <c:pt idx="7">
                  <c:v>156112.0</c:v>
                </c:pt>
                <c:pt idx="8">
                  <c:v>180314.0</c:v>
                </c:pt>
                <c:pt idx="9">
                  <c:v>38783.0</c:v>
                </c:pt>
                <c:pt idx="10">
                  <c:v>63622.0</c:v>
                </c:pt>
                <c:pt idx="11">
                  <c:v>163342.0</c:v>
                </c:pt>
                <c:pt idx="12">
                  <c:v>74135.0</c:v>
                </c:pt>
                <c:pt idx="13">
                  <c:v>187263.0</c:v>
                </c:pt>
                <c:pt idx="14">
                  <c:v>72023.0</c:v>
                </c:pt>
                <c:pt idx="15">
                  <c:v>36881.0</c:v>
                </c:pt>
                <c:pt idx="16">
                  <c:v>8250.0</c:v>
                </c:pt>
                <c:pt idx="17">
                  <c:v>9701.0</c:v>
                </c:pt>
                <c:pt idx="18">
                  <c:v>29642.0</c:v>
                </c:pt>
                <c:pt idx="19">
                  <c:v>9232.0</c:v>
                </c:pt>
                <c:pt idx="20">
                  <c:v>7264.0</c:v>
                </c:pt>
                <c:pt idx="21">
                  <c:v>30382.0</c:v>
                </c:pt>
                <c:pt idx="22">
                  <c:v>38693.0</c:v>
                </c:pt>
                <c:pt idx="23">
                  <c:v>35010.0</c:v>
                </c:pt>
                <c:pt idx="24">
                  <c:v>28963.0</c:v>
                </c:pt>
                <c:pt idx="25">
                  <c:v>59311.0</c:v>
                </c:pt>
                <c:pt idx="26">
                  <c:v>28416.0</c:v>
                </c:pt>
                <c:pt idx="27">
                  <c:v>38547.0</c:v>
                </c:pt>
                <c:pt idx="28">
                  <c:v>28323.0</c:v>
                </c:pt>
                <c:pt idx="29">
                  <c:v>75427.0</c:v>
                </c:pt>
                <c:pt idx="30">
                  <c:v>30569.0</c:v>
                </c:pt>
                <c:pt idx="31">
                  <c:v>30313.0</c:v>
                </c:pt>
                <c:pt idx="32">
                  <c:v>23479.0</c:v>
                </c:pt>
                <c:pt idx="33">
                  <c:v>70001.0</c:v>
                </c:pt>
                <c:pt idx="34">
                  <c:v>29298.0</c:v>
                </c:pt>
                <c:pt idx="35">
                  <c:v>23186.0</c:v>
                </c:pt>
                <c:pt idx="36">
                  <c:v>24312.0</c:v>
                </c:pt>
                <c:pt idx="38">
                  <c:v>102359.0</c:v>
                </c:pt>
              </c:numCache>
            </c:numRef>
          </c:xVal>
          <c:yVal>
            <c:numRef>
              <c:f>'ln12rps x BYE'!$AD$26:$AD$64</c:f>
              <c:numCache>
                <c:formatCode>General</c:formatCode>
                <c:ptCount val="39"/>
                <c:pt idx="0">
                  <c:v>-1.862188748460674</c:v>
                </c:pt>
                <c:pt idx="1">
                  <c:v>-2.075775862742522</c:v>
                </c:pt>
                <c:pt idx="2">
                  <c:v>-1.635688492615742</c:v>
                </c:pt>
                <c:pt idx="3">
                  <c:v>-2.019602844027553</c:v>
                </c:pt>
                <c:pt idx="4">
                  <c:v>-2.202502056497002</c:v>
                </c:pt>
                <c:pt idx="5">
                  <c:v>-2.304800748642058</c:v>
                </c:pt>
                <c:pt idx="6">
                  <c:v>-3.907804366827016</c:v>
                </c:pt>
                <c:pt idx="7">
                  <c:v>-4.144215501467391</c:v>
                </c:pt>
                <c:pt idx="8">
                  <c:v>-4.557060748640085</c:v>
                </c:pt>
                <c:pt idx="9">
                  <c:v>-2.142780909056643</c:v>
                </c:pt>
                <c:pt idx="10">
                  <c:v>-2.566492300450847</c:v>
                </c:pt>
                <c:pt idx="11">
                  <c:v>-4.267547091297098</c:v>
                </c:pt>
                <c:pt idx="12">
                  <c:v>-2.745826325883725</c:v>
                </c:pt>
                <c:pt idx="13">
                  <c:v>-4.675598953028277</c:v>
                </c:pt>
                <c:pt idx="14">
                  <c:v>-2.70979917267206</c:v>
                </c:pt>
                <c:pt idx="15">
                  <c:v>-2.110336001192728</c:v>
                </c:pt>
                <c:pt idx="16">
                  <c:v>-1.621939493804851</c:v>
                </c:pt>
                <c:pt idx="17">
                  <c:v>-1.646691103326691</c:v>
                </c:pt>
                <c:pt idx="18">
                  <c:v>-1.986850886562403</c:v>
                </c:pt>
                <c:pt idx="19">
                  <c:v>-1.638690755383381</c:v>
                </c:pt>
                <c:pt idx="20">
                  <c:v>-1.605119998981602</c:v>
                </c:pt>
                <c:pt idx="21">
                  <c:v>-1.999474036835429</c:v>
                </c:pt>
                <c:pt idx="22">
                  <c:v>-2.141245661050463</c:v>
                </c:pt>
                <c:pt idx="23">
                  <c:v>-2.078419900975386</c:v>
                </c:pt>
                <c:pt idx="24">
                  <c:v>-1.975268293271341</c:v>
                </c:pt>
                <c:pt idx="25">
                  <c:v>-2.492953920954876</c:v>
                </c:pt>
                <c:pt idx="26">
                  <c:v>-1.96593739705601</c:v>
                </c:pt>
                <c:pt idx="27">
                  <c:v>-2.138755147618218</c:v>
                </c:pt>
                <c:pt idx="28">
                  <c:v>-1.964350974116291</c:v>
                </c:pt>
                <c:pt idx="29">
                  <c:v>-2.767865663927982</c:v>
                </c:pt>
                <c:pt idx="30">
                  <c:v>-2.002663941026046</c:v>
                </c:pt>
                <c:pt idx="31">
                  <c:v>-1.998297013364025</c:v>
                </c:pt>
                <c:pt idx="32">
                  <c:v>-1.881720514761505</c:v>
                </c:pt>
                <c:pt idx="33">
                  <c:v>-2.675307267466572</c:v>
                </c:pt>
                <c:pt idx="34">
                  <c:v>-1.980982827516563</c:v>
                </c:pt>
                <c:pt idx="35">
                  <c:v>-1.876722429585834</c:v>
                </c:pt>
                <c:pt idx="36">
                  <c:v>-1.89593008797425</c:v>
                </c:pt>
                <c:pt idx="38">
                  <c:v>-3.227280100621436</c:v>
                </c:pt>
              </c:numCache>
            </c:numRef>
          </c:yVal>
          <c:smooth val="0"/>
        </c:ser>
        <c:ser>
          <c:idx val="2"/>
          <c:order val="2"/>
          <c:spPr>
            <a:ln w="3175">
              <a:solidFill>
                <a:srgbClr val="FFFF00"/>
              </a:solidFill>
              <a:prstDash val="solid"/>
            </a:ln>
          </c:spPr>
          <c:marker>
            <c:symbol val="none"/>
          </c:marker>
          <c:xVal>
            <c:numRef>
              <c:f>'ln12rps x BYE'!$Z$26:$Z$64</c:f>
              <c:numCache>
                <c:formatCode>General</c:formatCode>
                <c:ptCount val="39"/>
                <c:pt idx="0">
                  <c:v>22334.0</c:v>
                </c:pt>
                <c:pt idx="1">
                  <c:v>34855.0</c:v>
                </c:pt>
                <c:pt idx="2">
                  <c:v>9056.0</c:v>
                </c:pt>
                <c:pt idx="3">
                  <c:v>31562.0</c:v>
                </c:pt>
                <c:pt idx="4">
                  <c:v>42284.0</c:v>
                </c:pt>
                <c:pt idx="5">
                  <c:v>48281.0</c:v>
                </c:pt>
                <c:pt idx="6">
                  <c:v>142253.0</c:v>
                </c:pt>
                <c:pt idx="7">
                  <c:v>156112.0</c:v>
                </c:pt>
                <c:pt idx="8">
                  <c:v>180314.0</c:v>
                </c:pt>
                <c:pt idx="9">
                  <c:v>38783.0</c:v>
                </c:pt>
                <c:pt idx="10">
                  <c:v>63622.0</c:v>
                </c:pt>
                <c:pt idx="11">
                  <c:v>163342.0</c:v>
                </c:pt>
                <c:pt idx="12">
                  <c:v>74135.0</c:v>
                </c:pt>
                <c:pt idx="13">
                  <c:v>187263.0</c:v>
                </c:pt>
                <c:pt idx="14">
                  <c:v>72023.0</c:v>
                </c:pt>
                <c:pt idx="15">
                  <c:v>36881.0</c:v>
                </c:pt>
                <c:pt idx="16">
                  <c:v>8250.0</c:v>
                </c:pt>
                <c:pt idx="17">
                  <c:v>9701.0</c:v>
                </c:pt>
                <c:pt idx="18">
                  <c:v>29642.0</c:v>
                </c:pt>
                <c:pt idx="19">
                  <c:v>9232.0</c:v>
                </c:pt>
                <c:pt idx="20">
                  <c:v>7264.0</c:v>
                </c:pt>
                <c:pt idx="21">
                  <c:v>30382.0</c:v>
                </c:pt>
                <c:pt idx="22">
                  <c:v>38693.0</c:v>
                </c:pt>
                <c:pt idx="23">
                  <c:v>35010.0</c:v>
                </c:pt>
                <c:pt idx="24">
                  <c:v>28963.0</c:v>
                </c:pt>
                <c:pt idx="25">
                  <c:v>59311.0</c:v>
                </c:pt>
                <c:pt idx="26">
                  <c:v>28416.0</c:v>
                </c:pt>
                <c:pt idx="27">
                  <c:v>38547.0</c:v>
                </c:pt>
                <c:pt idx="28">
                  <c:v>28323.0</c:v>
                </c:pt>
                <c:pt idx="29">
                  <c:v>75427.0</c:v>
                </c:pt>
                <c:pt idx="30">
                  <c:v>30569.0</c:v>
                </c:pt>
                <c:pt idx="31">
                  <c:v>30313.0</c:v>
                </c:pt>
                <c:pt idx="32">
                  <c:v>23479.0</c:v>
                </c:pt>
                <c:pt idx="33">
                  <c:v>70001.0</c:v>
                </c:pt>
                <c:pt idx="34">
                  <c:v>29298.0</c:v>
                </c:pt>
                <c:pt idx="35">
                  <c:v>23186.0</c:v>
                </c:pt>
                <c:pt idx="36">
                  <c:v>24312.0</c:v>
                </c:pt>
                <c:pt idx="38">
                  <c:v>102359.0</c:v>
                </c:pt>
              </c:numCache>
            </c:numRef>
          </c:xVal>
          <c:yVal>
            <c:numRef>
              <c:f>'ln12rps x BYE'!$AE$26:$AE$64</c:f>
              <c:numCache>
                <c:formatCode>General</c:formatCode>
                <c:ptCount val="39"/>
                <c:pt idx="0">
                  <c:v>1.584881989021428</c:v>
                </c:pt>
                <c:pt idx="1">
                  <c:v>1.37129487473958</c:v>
                </c:pt>
                <c:pt idx="2">
                  <c:v>1.81138224486636</c:v>
                </c:pt>
                <c:pt idx="3">
                  <c:v>1.427467893454549</c:v>
                </c:pt>
                <c:pt idx="4">
                  <c:v>1.2445686809851</c:v>
                </c:pt>
                <c:pt idx="5">
                  <c:v>1.142269988840044</c:v>
                </c:pt>
                <c:pt idx="6">
                  <c:v>-0.460733629344914</c:v>
                </c:pt>
                <c:pt idx="7">
                  <c:v>-0.697144763985289</c:v>
                </c:pt>
                <c:pt idx="8">
                  <c:v>-1.109990011157982</c:v>
                </c:pt>
                <c:pt idx="9">
                  <c:v>1.30428982842546</c:v>
                </c:pt>
                <c:pt idx="10">
                  <c:v>0.880578437031255</c:v>
                </c:pt>
                <c:pt idx="11">
                  <c:v>-0.820476353814996</c:v>
                </c:pt>
                <c:pt idx="12">
                  <c:v>0.701244411598377</c:v>
                </c:pt>
                <c:pt idx="13">
                  <c:v>-1.228528215546175</c:v>
                </c:pt>
                <c:pt idx="14">
                  <c:v>0.737271564810042</c:v>
                </c:pt>
                <c:pt idx="15">
                  <c:v>1.336734736289374</c:v>
                </c:pt>
                <c:pt idx="16">
                  <c:v>1.825131243677251</c:v>
                </c:pt>
                <c:pt idx="17">
                  <c:v>1.800379634155411</c:v>
                </c:pt>
                <c:pt idx="18">
                  <c:v>1.460219850919699</c:v>
                </c:pt>
                <c:pt idx="19">
                  <c:v>1.808379982098721</c:v>
                </c:pt>
                <c:pt idx="20">
                  <c:v>1.8419507385005</c:v>
                </c:pt>
                <c:pt idx="21">
                  <c:v>1.447596700646673</c:v>
                </c:pt>
                <c:pt idx="22">
                  <c:v>1.305825076431639</c:v>
                </c:pt>
                <c:pt idx="23">
                  <c:v>1.368650836506716</c:v>
                </c:pt>
                <c:pt idx="24">
                  <c:v>1.471802444210761</c:v>
                </c:pt>
                <c:pt idx="25">
                  <c:v>0.954116816527226</c:v>
                </c:pt>
                <c:pt idx="26">
                  <c:v>1.481133340426092</c:v>
                </c:pt>
                <c:pt idx="27">
                  <c:v>1.308315589863884</c:v>
                </c:pt>
                <c:pt idx="28">
                  <c:v>1.482719763365811</c:v>
                </c:pt>
                <c:pt idx="29">
                  <c:v>0.679205073554119</c:v>
                </c:pt>
                <c:pt idx="30">
                  <c:v>1.444406796456056</c:v>
                </c:pt>
                <c:pt idx="31">
                  <c:v>1.448773724118077</c:v>
                </c:pt>
                <c:pt idx="32">
                  <c:v>1.565350222720597</c:v>
                </c:pt>
                <c:pt idx="33">
                  <c:v>0.771763470015529</c:v>
                </c:pt>
                <c:pt idx="34">
                  <c:v>1.46608790996554</c:v>
                </c:pt>
                <c:pt idx="35">
                  <c:v>1.570348307896268</c:v>
                </c:pt>
                <c:pt idx="36">
                  <c:v>1.551140649507852</c:v>
                </c:pt>
                <c:pt idx="38">
                  <c:v>0.219790636860665</c:v>
                </c:pt>
              </c:numCache>
            </c:numRef>
          </c:yVal>
          <c:smooth val="0"/>
        </c:ser>
        <c:ser>
          <c:idx val="3"/>
          <c:order val="3"/>
          <c:tx>
            <c:v>Forecast</c:v>
          </c:tx>
          <c:spPr>
            <a:ln w="3175">
              <a:solidFill>
                <a:srgbClr val="FF00FF"/>
              </a:solidFill>
              <a:prstDash val="solid"/>
            </a:ln>
          </c:spPr>
          <c:marker>
            <c:symbol val="diamond"/>
            <c:size val="5"/>
            <c:spPr>
              <a:noFill/>
              <a:ln>
                <a:solidFill>
                  <a:srgbClr val="FF00FF"/>
                </a:solidFill>
                <a:prstDash val="solid"/>
              </a:ln>
            </c:spPr>
          </c:marker>
          <c:dPt>
            <c:idx val="34"/>
            <c:marker>
              <c:symbol val="diamond"/>
              <c:size val="10"/>
              <c:spPr>
                <a:solidFill>
                  <a:srgbClr val="E88F88"/>
                </a:solidFill>
                <a:ln>
                  <a:solidFill>
                    <a:srgbClr val="FF00FF"/>
                  </a:solidFill>
                  <a:prstDash val="solid"/>
                </a:ln>
              </c:spPr>
            </c:marker>
            <c:bubble3D val="0"/>
          </c:dPt>
          <c:dLbls>
            <c:dLbl>
              <c:idx val="0"/>
              <c:tx>
                <c:strRef>
                  <c:f>'ln12rps x BYE'!$AG$26</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
              <c:tx>
                <c:strRef>
                  <c:f>'ln12rps x BYE'!$AG$27</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2"/>
              <c:tx>
                <c:strRef>
                  <c:f>'ln12rps x BYE'!$AG$28</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3"/>
              <c:tx>
                <c:strRef>
                  <c:f>'ln12rps x BYE'!$AG$29</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4"/>
              <c:tx>
                <c:strRef>
                  <c:f>'ln12rps x BYE'!$AG$30</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5"/>
              <c:tx>
                <c:strRef>
                  <c:f>'ln12rps x BYE'!$AG$31</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6"/>
              <c:tx>
                <c:strRef>
                  <c:f>'ln12rps x BYE'!$AG$32</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7"/>
              <c:tx>
                <c:strRef>
                  <c:f>'ln12rps x BYE'!$AG$33</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8"/>
              <c:tx>
                <c:strRef>
                  <c:f>'ln12rps x BYE'!$AG$34</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9"/>
              <c:tx>
                <c:strRef>
                  <c:f>'ln12rps x BYE'!$AG$35</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0"/>
              <c:tx>
                <c:strRef>
                  <c:f>'ln12rps x BYE'!$AG$36</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1"/>
              <c:tx>
                <c:strRef>
                  <c:f>'ln12rps x BYE'!$AG$37</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2"/>
              <c:tx>
                <c:strRef>
                  <c:f>'ln12rps x BYE'!$AG$38</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3"/>
              <c:tx>
                <c:strRef>
                  <c:f>'ln12rps x BYE'!$AG$39</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4"/>
              <c:tx>
                <c:strRef>
                  <c:f>'ln12rps x BYE'!$AG$40</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5"/>
              <c:tx>
                <c:strRef>
                  <c:f>'ln12rps x BYE'!$AG$41</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6"/>
              <c:tx>
                <c:strRef>
                  <c:f>'ln12rps x BYE'!$AG$42</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7"/>
              <c:tx>
                <c:strRef>
                  <c:f>'ln12rps x BYE'!$AG$43</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8"/>
              <c:tx>
                <c:strRef>
                  <c:f>'ln12rps x BYE'!$AG$44</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9"/>
              <c:tx>
                <c:strRef>
                  <c:f>'ln12rps x BYE'!$AG$45</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20"/>
              <c:tx>
                <c:strRef>
                  <c:f>'ln12rps x BYE'!$AG$46</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21"/>
              <c:tx>
                <c:strRef>
                  <c:f>'ln12rps x BYE'!$AG$47</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22"/>
              <c:tx>
                <c:strRef>
                  <c:f>'ln12rps x BYE'!$AG$62</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23"/>
              <c:tx>
                <c:strRef>
                  <c:f>'ln12rps x BYE'!$AG$63</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24"/>
              <c:tx>
                <c:strRef>
                  <c:f>'ln12rps x BYE'!$AG$64</c:f>
                  <c:strCache>
                    <c:ptCount val="1"/>
                    <c:pt idx="0">
                      <c:v>99</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showLegendKey val="0"/>
            <c:showVal val="0"/>
            <c:showCatName val="0"/>
            <c:showSerName val="0"/>
            <c:showPercent val="0"/>
            <c:showBubbleSize val="0"/>
          </c:dLbls>
          <c:xVal>
            <c:numRef>
              <c:f>'ln12rps x BYE'!$Z$26:$Z$64</c:f>
              <c:numCache>
                <c:formatCode>General</c:formatCode>
                <c:ptCount val="39"/>
                <c:pt idx="0">
                  <c:v>22334.0</c:v>
                </c:pt>
                <c:pt idx="1">
                  <c:v>34855.0</c:v>
                </c:pt>
                <c:pt idx="2">
                  <c:v>9056.0</c:v>
                </c:pt>
                <c:pt idx="3">
                  <c:v>31562.0</c:v>
                </c:pt>
                <c:pt idx="4">
                  <c:v>42284.0</c:v>
                </c:pt>
                <c:pt idx="5">
                  <c:v>48281.0</c:v>
                </c:pt>
                <c:pt idx="6">
                  <c:v>142253.0</c:v>
                </c:pt>
                <c:pt idx="7">
                  <c:v>156112.0</c:v>
                </c:pt>
                <c:pt idx="8">
                  <c:v>180314.0</c:v>
                </c:pt>
                <c:pt idx="9">
                  <c:v>38783.0</c:v>
                </c:pt>
                <c:pt idx="10">
                  <c:v>63622.0</c:v>
                </c:pt>
                <c:pt idx="11">
                  <c:v>163342.0</c:v>
                </c:pt>
                <c:pt idx="12">
                  <c:v>74135.0</c:v>
                </c:pt>
                <c:pt idx="13">
                  <c:v>187263.0</c:v>
                </c:pt>
                <c:pt idx="14">
                  <c:v>72023.0</c:v>
                </c:pt>
                <c:pt idx="15">
                  <c:v>36881.0</c:v>
                </c:pt>
                <c:pt idx="16">
                  <c:v>8250.0</c:v>
                </c:pt>
                <c:pt idx="17">
                  <c:v>9701.0</c:v>
                </c:pt>
                <c:pt idx="18">
                  <c:v>29642.0</c:v>
                </c:pt>
                <c:pt idx="19">
                  <c:v>9232.0</c:v>
                </c:pt>
                <c:pt idx="20">
                  <c:v>7264.0</c:v>
                </c:pt>
                <c:pt idx="21">
                  <c:v>30382.0</c:v>
                </c:pt>
                <c:pt idx="22">
                  <c:v>38693.0</c:v>
                </c:pt>
                <c:pt idx="23">
                  <c:v>35010.0</c:v>
                </c:pt>
                <c:pt idx="24">
                  <c:v>28963.0</c:v>
                </c:pt>
                <c:pt idx="25">
                  <c:v>59311.0</c:v>
                </c:pt>
                <c:pt idx="26">
                  <c:v>28416.0</c:v>
                </c:pt>
                <c:pt idx="27">
                  <c:v>38547.0</c:v>
                </c:pt>
                <c:pt idx="28">
                  <c:v>28323.0</c:v>
                </c:pt>
                <c:pt idx="29">
                  <c:v>75427.0</c:v>
                </c:pt>
                <c:pt idx="30">
                  <c:v>30569.0</c:v>
                </c:pt>
                <c:pt idx="31">
                  <c:v>30313.0</c:v>
                </c:pt>
                <c:pt idx="32">
                  <c:v>23479.0</c:v>
                </c:pt>
                <c:pt idx="33">
                  <c:v>70001.0</c:v>
                </c:pt>
                <c:pt idx="34">
                  <c:v>29298.0</c:v>
                </c:pt>
                <c:pt idx="35">
                  <c:v>23186.0</c:v>
                </c:pt>
                <c:pt idx="36">
                  <c:v>24312.0</c:v>
                </c:pt>
                <c:pt idx="38">
                  <c:v>102359.0</c:v>
                </c:pt>
              </c:numCache>
            </c:numRef>
          </c:xVal>
          <c:yVal>
            <c:numRef>
              <c:f>'ln12rps x BYE'!$AF$26:$AF$64</c:f>
              <c:numCache>
                <c:formatCode>General</c:formatCode>
                <c:ptCount val="39"/>
                <c:pt idx="38">
                  <c:v>-1.503744731880386</c:v>
                </c:pt>
              </c:numCache>
            </c:numRef>
          </c:yVal>
          <c:smooth val="0"/>
        </c:ser>
        <c:dLbls>
          <c:showLegendKey val="0"/>
          <c:showVal val="0"/>
          <c:showCatName val="0"/>
          <c:showSerName val="0"/>
          <c:showPercent val="0"/>
          <c:showBubbleSize val="0"/>
        </c:dLbls>
        <c:axId val="-2076796312"/>
        <c:axId val="-2076790104"/>
      </c:scatterChart>
      <c:valAx>
        <c:axId val="-2076796312"/>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BROOD YEAR ESCAPEMENT</a:t>
                </a:r>
              </a:p>
            </c:rich>
          </c:tx>
          <c:layout>
            <c:manualLayout>
              <c:xMode val="edge"/>
              <c:yMode val="edge"/>
              <c:x val="0.381719093623935"/>
              <c:y val="0.847569155896329"/>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76790104"/>
        <c:crosses val="autoZero"/>
        <c:crossBetween val="midCat"/>
      </c:valAx>
      <c:valAx>
        <c:axId val="-2076790104"/>
        <c:scaling>
          <c:orientation val="minMax"/>
        </c:scaling>
        <c:delete val="0"/>
        <c:axPos val="l"/>
        <c:title>
          <c:tx>
            <c:rich>
              <a:bodyPr/>
              <a:lstStyle/>
              <a:p>
                <a:pPr>
                  <a:defRPr sz="1000" b="0" i="0" u="none" strike="noStrike" baseline="0">
                    <a:solidFill>
                      <a:srgbClr val="000000"/>
                    </a:solidFill>
                    <a:latin typeface="Arial"/>
                    <a:ea typeface="Arial"/>
                    <a:cs typeface="Arial"/>
                  </a:defRPr>
                </a:pPr>
                <a:r>
                  <a:rPr lang="en-US"/>
                  <a:t>LN R/S AGED 1.2</a:t>
                </a:r>
              </a:p>
            </c:rich>
          </c:tx>
          <c:layout>
            <c:manualLayout>
              <c:xMode val="edge"/>
              <c:yMode val="edge"/>
              <c:x val="0.0248272157469678"/>
              <c:y val="0.342243291017194"/>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76796312"/>
        <c:crosses val="autoZero"/>
        <c:crossBetween val="midCat"/>
      </c:valAx>
      <c:spPr>
        <a:solidFill>
          <a:srgbClr val="FFFFFF"/>
        </a:solidFill>
        <a:ln w="12700">
          <a:solidFill>
            <a:srgbClr val="000000"/>
          </a:solidFill>
          <a:prstDash val="solid"/>
        </a:ln>
      </c:spPr>
    </c:plotArea>
    <c:legend>
      <c:legendPos val="b"/>
      <c:layout>
        <c:manualLayout>
          <c:xMode val="edge"/>
          <c:yMode val="edge"/>
          <c:x val="0.158273726422495"/>
          <c:y val="0.927961708868024"/>
          <c:w val="0.730852473228081"/>
          <c:h val="0.055126527551403"/>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 r="0.75" t="1.0"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SIBLING LN 1.2 FROM LN 1.1</a:t>
            </a:r>
          </a:p>
        </c:rich>
      </c:tx>
      <c:layout>
        <c:manualLayout>
          <c:xMode val="edge"/>
          <c:yMode val="edge"/>
          <c:x val="0.356547740854427"/>
          <c:y val="0.0318556242522191"/>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0209519349092"/>
          <c:y val="0.164179402115258"/>
          <c:w val="0.868594492315059"/>
          <c:h val="0.597907076360046"/>
        </c:manualLayout>
      </c:layout>
      <c:scatterChart>
        <c:scatterStyle val="lineMarker"/>
        <c:varyColors val="0"/>
        <c:ser>
          <c:idx val="0"/>
          <c:order val="0"/>
          <c:spPr>
            <a:ln w="28575">
              <a:noFill/>
            </a:ln>
          </c:spPr>
          <c:marker>
            <c:symbol val="diamond"/>
            <c:size val="6"/>
            <c:spPr>
              <a:solidFill>
                <a:srgbClr val="00FF00"/>
              </a:solidFill>
              <a:ln>
                <a:solidFill>
                  <a:srgbClr val="000000"/>
                </a:solidFill>
                <a:prstDash val="solid"/>
              </a:ln>
            </c:spPr>
          </c:marker>
          <c:dLbls>
            <c:dLbl>
              <c:idx val="0"/>
              <c:tx>
                <c:strRef>
                  <c:f>'ln 12 x ln 11'!$B$26</c:f>
                  <c:strCache>
                    <c:ptCount val="1"/>
                    <c:pt idx="0">
                      <c:v>1980</c:v>
                    </c:pt>
                  </c:strCache>
                </c:strRef>
              </c:tx>
              <c:dLblPos val="t"/>
              <c:showLegendKey val="0"/>
              <c:showVal val="1"/>
              <c:showCatName val="0"/>
              <c:showSerName val="0"/>
              <c:showPercent val="0"/>
              <c:showBubbleSize val="0"/>
            </c:dLbl>
            <c:dLbl>
              <c:idx val="1"/>
              <c:tx>
                <c:strRef>
                  <c:f>'ln 12 x ln 11'!$B$27</c:f>
                  <c:strCache>
                    <c:ptCount val="1"/>
                    <c:pt idx="0">
                      <c:v>1981</c:v>
                    </c:pt>
                  </c:strCache>
                </c:strRef>
              </c:tx>
              <c:dLblPos val="t"/>
              <c:showLegendKey val="0"/>
              <c:showVal val="1"/>
              <c:showCatName val="0"/>
              <c:showSerName val="0"/>
              <c:showPercent val="0"/>
              <c:showBubbleSize val="0"/>
            </c:dLbl>
            <c:dLbl>
              <c:idx val="2"/>
              <c:tx>
                <c:strRef>
                  <c:f>'ln 12 x ln 11'!$B$28</c:f>
                  <c:strCache>
                    <c:ptCount val="1"/>
                    <c:pt idx="0">
                      <c:v>1982</c:v>
                    </c:pt>
                  </c:strCache>
                </c:strRef>
              </c:tx>
              <c:dLblPos val="t"/>
              <c:showLegendKey val="0"/>
              <c:showVal val="1"/>
              <c:showCatName val="0"/>
              <c:showSerName val="0"/>
              <c:showPercent val="0"/>
              <c:showBubbleSize val="0"/>
            </c:dLbl>
            <c:dLbl>
              <c:idx val="3"/>
              <c:tx>
                <c:strRef>
                  <c:f>'ln 12 x ln 11'!$B$29</c:f>
                  <c:strCache>
                    <c:ptCount val="1"/>
                    <c:pt idx="0">
                      <c:v>1983</c:v>
                    </c:pt>
                  </c:strCache>
                </c:strRef>
              </c:tx>
              <c:dLblPos val="t"/>
              <c:showLegendKey val="0"/>
              <c:showVal val="1"/>
              <c:showCatName val="0"/>
              <c:showSerName val="0"/>
              <c:showPercent val="0"/>
              <c:showBubbleSize val="0"/>
            </c:dLbl>
            <c:dLbl>
              <c:idx val="4"/>
              <c:tx>
                <c:strRef>
                  <c:f>'ln 12 x ln 11'!$B$30</c:f>
                  <c:strCache>
                    <c:ptCount val="1"/>
                    <c:pt idx="0">
                      <c:v>1984</c:v>
                    </c:pt>
                  </c:strCache>
                </c:strRef>
              </c:tx>
              <c:dLblPos val="t"/>
              <c:showLegendKey val="0"/>
              <c:showVal val="1"/>
              <c:showCatName val="0"/>
              <c:showSerName val="0"/>
              <c:showPercent val="0"/>
              <c:showBubbleSize val="0"/>
            </c:dLbl>
            <c:dLbl>
              <c:idx val="5"/>
              <c:tx>
                <c:strRef>
                  <c:f>'ln 12 x ln 11'!$B$31</c:f>
                  <c:strCache>
                    <c:ptCount val="1"/>
                    <c:pt idx="0">
                      <c:v>1985</c:v>
                    </c:pt>
                  </c:strCache>
                </c:strRef>
              </c:tx>
              <c:dLblPos val="t"/>
              <c:showLegendKey val="0"/>
              <c:showVal val="1"/>
              <c:showCatName val="0"/>
              <c:showSerName val="0"/>
              <c:showPercent val="0"/>
              <c:showBubbleSize val="0"/>
            </c:dLbl>
            <c:dLbl>
              <c:idx val="6"/>
              <c:tx>
                <c:strRef>
                  <c:f>'ln 12 x ln 11'!$B$32</c:f>
                  <c:strCache>
                    <c:ptCount val="1"/>
                    <c:pt idx="0">
                      <c:v>1986</c:v>
                    </c:pt>
                  </c:strCache>
                </c:strRef>
              </c:tx>
              <c:dLblPos val="t"/>
              <c:showLegendKey val="0"/>
              <c:showVal val="1"/>
              <c:showCatName val="0"/>
              <c:showSerName val="0"/>
              <c:showPercent val="0"/>
              <c:showBubbleSize val="0"/>
            </c:dLbl>
            <c:dLbl>
              <c:idx val="7"/>
              <c:tx>
                <c:strRef>
                  <c:f>'ln 12 x ln 11'!$B$33</c:f>
                  <c:strCache>
                    <c:ptCount val="1"/>
                    <c:pt idx="0">
                      <c:v>1987</c:v>
                    </c:pt>
                  </c:strCache>
                </c:strRef>
              </c:tx>
              <c:dLblPos val="t"/>
              <c:showLegendKey val="0"/>
              <c:showVal val="1"/>
              <c:showCatName val="0"/>
              <c:showSerName val="0"/>
              <c:showPercent val="0"/>
              <c:showBubbleSize val="0"/>
            </c:dLbl>
            <c:dLbl>
              <c:idx val="8"/>
              <c:tx>
                <c:strRef>
                  <c:f>'ln 12 x ln 11'!$B$34</c:f>
                  <c:strCache>
                    <c:ptCount val="1"/>
                    <c:pt idx="0">
                      <c:v>1988</c:v>
                    </c:pt>
                  </c:strCache>
                </c:strRef>
              </c:tx>
              <c:dLblPos val="t"/>
              <c:showLegendKey val="0"/>
              <c:showVal val="1"/>
              <c:showCatName val="0"/>
              <c:showSerName val="0"/>
              <c:showPercent val="0"/>
              <c:showBubbleSize val="0"/>
            </c:dLbl>
            <c:dLbl>
              <c:idx val="9"/>
              <c:tx>
                <c:strRef>
                  <c:f>'ln 12 x ln 11'!$B$35</c:f>
                  <c:strCache>
                    <c:ptCount val="1"/>
                    <c:pt idx="0">
                      <c:v>1989</c:v>
                    </c:pt>
                  </c:strCache>
                </c:strRef>
              </c:tx>
              <c:dLblPos val="t"/>
              <c:showLegendKey val="0"/>
              <c:showVal val="1"/>
              <c:showCatName val="0"/>
              <c:showSerName val="0"/>
              <c:showPercent val="0"/>
              <c:showBubbleSize val="0"/>
            </c:dLbl>
            <c:dLbl>
              <c:idx val="10"/>
              <c:tx>
                <c:strRef>
                  <c:f>'ln 12 x ln 11'!$B$36</c:f>
                  <c:strCache>
                    <c:ptCount val="1"/>
                    <c:pt idx="0">
                      <c:v>1990</c:v>
                    </c:pt>
                  </c:strCache>
                </c:strRef>
              </c:tx>
              <c:dLblPos val="t"/>
              <c:showLegendKey val="0"/>
              <c:showVal val="1"/>
              <c:showCatName val="0"/>
              <c:showSerName val="0"/>
              <c:showPercent val="0"/>
              <c:showBubbleSize val="0"/>
            </c:dLbl>
            <c:dLbl>
              <c:idx val="11"/>
              <c:tx>
                <c:strRef>
                  <c:f>'ln 12 x ln 11'!$B$37</c:f>
                  <c:strCache>
                    <c:ptCount val="1"/>
                    <c:pt idx="0">
                      <c:v>1991</c:v>
                    </c:pt>
                  </c:strCache>
                </c:strRef>
              </c:tx>
              <c:dLblPos val="t"/>
              <c:showLegendKey val="0"/>
              <c:showVal val="1"/>
              <c:showCatName val="0"/>
              <c:showSerName val="0"/>
              <c:showPercent val="0"/>
              <c:showBubbleSize val="0"/>
            </c:dLbl>
            <c:dLbl>
              <c:idx val="12"/>
              <c:tx>
                <c:strRef>
                  <c:f>'ln 12 x ln 11'!$B$38</c:f>
                  <c:strCache>
                    <c:ptCount val="1"/>
                    <c:pt idx="0">
                      <c:v>1992</c:v>
                    </c:pt>
                  </c:strCache>
                </c:strRef>
              </c:tx>
              <c:dLblPos val="t"/>
              <c:showLegendKey val="0"/>
              <c:showVal val="1"/>
              <c:showCatName val="0"/>
              <c:showSerName val="0"/>
              <c:showPercent val="0"/>
              <c:showBubbleSize val="0"/>
            </c:dLbl>
            <c:dLbl>
              <c:idx val="13"/>
              <c:tx>
                <c:strRef>
                  <c:f>'ln 12 x ln 11'!$B$39</c:f>
                  <c:strCache>
                    <c:ptCount val="1"/>
                    <c:pt idx="0">
                      <c:v>1993</c:v>
                    </c:pt>
                  </c:strCache>
                </c:strRef>
              </c:tx>
              <c:dLblPos val="t"/>
              <c:showLegendKey val="0"/>
              <c:showVal val="1"/>
              <c:showCatName val="0"/>
              <c:showSerName val="0"/>
              <c:showPercent val="0"/>
              <c:showBubbleSize val="0"/>
            </c:dLbl>
            <c:dLbl>
              <c:idx val="14"/>
              <c:tx>
                <c:strRef>
                  <c:f>'ln 12 x ln 11'!$B$40</c:f>
                  <c:strCache>
                    <c:ptCount val="1"/>
                    <c:pt idx="0">
                      <c:v>1994</c:v>
                    </c:pt>
                  </c:strCache>
                </c:strRef>
              </c:tx>
              <c:dLblPos val="t"/>
              <c:showLegendKey val="0"/>
              <c:showVal val="1"/>
              <c:showCatName val="0"/>
              <c:showSerName val="0"/>
              <c:showPercent val="0"/>
              <c:showBubbleSize val="0"/>
            </c:dLbl>
            <c:dLbl>
              <c:idx val="15"/>
              <c:tx>
                <c:strRef>
                  <c:f>'ln 12 x ln 11'!$B$41</c:f>
                  <c:strCache>
                    <c:ptCount val="1"/>
                    <c:pt idx="0">
                      <c:v>1995</c:v>
                    </c:pt>
                  </c:strCache>
                </c:strRef>
              </c:tx>
              <c:dLblPos val="t"/>
              <c:showLegendKey val="0"/>
              <c:showVal val="1"/>
              <c:showCatName val="0"/>
              <c:showSerName val="0"/>
              <c:showPercent val="0"/>
              <c:showBubbleSize val="0"/>
            </c:dLbl>
            <c:dLbl>
              <c:idx val="16"/>
              <c:tx>
                <c:strRef>
                  <c:f>'ln 12 x ln 11'!$B$42</c:f>
                  <c:strCache>
                    <c:ptCount val="1"/>
                    <c:pt idx="0">
                      <c:v>1996</c:v>
                    </c:pt>
                  </c:strCache>
                </c:strRef>
              </c:tx>
              <c:dLblPos val="t"/>
              <c:showLegendKey val="0"/>
              <c:showVal val="1"/>
              <c:showCatName val="0"/>
              <c:showSerName val="0"/>
              <c:showPercent val="0"/>
              <c:showBubbleSize val="0"/>
            </c:dLbl>
            <c:dLbl>
              <c:idx val="17"/>
              <c:tx>
                <c:strRef>
                  <c:f>'ln 12 x ln 11'!$B$43</c:f>
                  <c:strCache>
                    <c:ptCount val="1"/>
                    <c:pt idx="0">
                      <c:v>1997</c:v>
                    </c:pt>
                  </c:strCache>
                </c:strRef>
              </c:tx>
              <c:dLblPos val="t"/>
              <c:showLegendKey val="0"/>
              <c:showVal val="1"/>
              <c:showCatName val="0"/>
              <c:showSerName val="0"/>
              <c:showPercent val="0"/>
              <c:showBubbleSize val="0"/>
            </c:dLbl>
            <c:dLbl>
              <c:idx val="18"/>
              <c:tx>
                <c:strRef>
                  <c:f>'ln 12 x ln 11'!$B$44</c:f>
                  <c:strCache>
                    <c:ptCount val="1"/>
                    <c:pt idx="0">
                      <c:v>1998</c:v>
                    </c:pt>
                  </c:strCache>
                </c:strRef>
              </c:tx>
              <c:dLblPos val="t"/>
              <c:showLegendKey val="0"/>
              <c:showVal val="1"/>
              <c:showCatName val="0"/>
              <c:showSerName val="0"/>
              <c:showPercent val="0"/>
              <c:showBubbleSize val="0"/>
            </c:dLbl>
            <c:dLbl>
              <c:idx val="19"/>
              <c:tx>
                <c:strRef>
                  <c:f>'ln 12 x ln 11'!$B$45</c:f>
                  <c:strCache>
                    <c:ptCount val="1"/>
                    <c:pt idx="0">
                      <c:v>1999</c:v>
                    </c:pt>
                  </c:strCache>
                </c:strRef>
              </c:tx>
              <c:dLblPos val="t"/>
              <c:showLegendKey val="0"/>
              <c:showVal val="1"/>
              <c:showCatName val="0"/>
              <c:showSerName val="0"/>
              <c:showPercent val="0"/>
              <c:showBubbleSize val="0"/>
            </c:dLbl>
            <c:dLbl>
              <c:idx val="20"/>
              <c:tx>
                <c:strRef>
                  <c:f>'ln 12 x ln 11'!$B$46</c:f>
                  <c:strCache>
                    <c:ptCount val="1"/>
                    <c:pt idx="0">
                      <c:v>2000</c:v>
                    </c:pt>
                  </c:strCache>
                </c:strRef>
              </c:tx>
              <c:dLblPos val="t"/>
              <c:showLegendKey val="0"/>
              <c:showVal val="1"/>
              <c:showCatName val="0"/>
              <c:showSerName val="0"/>
              <c:showPercent val="0"/>
              <c:showBubbleSize val="0"/>
            </c:dLbl>
            <c:dLbl>
              <c:idx val="21"/>
              <c:tx>
                <c:strRef>
                  <c:f>'ln 12 x ln 11'!$B$47</c:f>
                  <c:strCache>
                    <c:ptCount val="1"/>
                    <c:pt idx="0">
                      <c:v>2001</c:v>
                    </c:pt>
                  </c:strCache>
                </c:strRef>
              </c:tx>
              <c:dLblPos val="t"/>
              <c:showLegendKey val="0"/>
              <c:showVal val="1"/>
              <c:showCatName val="0"/>
              <c:showSerName val="0"/>
              <c:showPercent val="0"/>
              <c:showBubbleSize val="0"/>
            </c:dLbl>
            <c:dLbl>
              <c:idx val="22"/>
              <c:tx>
                <c:strRef>
                  <c:f>'ln 12 x ln 11'!$B$48</c:f>
                  <c:strCache>
                    <c:ptCount val="1"/>
                    <c:pt idx="0">
                      <c:v>2002</c:v>
                    </c:pt>
                  </c:strCache>
                </c:strRef>
              </c:tx>
              <c:dLblPos val="t"/>
              <c:showLegendKey val="0"/>
              <c:showVal val="1"/>
              <c:showCatName val="0"/>
              <c:showSerName val="0"/>
              <c:showPercent val="0"/>
              <c:showBubbleSize val="0"/>
            </c:dLbl>
            <c:dLbl>
              <c:idx val="23"/>
              <c:tx>
                <c:strRef>
                  <c:f>'ln 12 x ln 11'!$B$49</c:f>
                  <c:strCache>
                    <c:ptCount val="1"/>
                    <c:pt idx="0">
                      <c:v>2003</c:v>
                    </c:pt>
                  </c:strCache>
                </c:strRef>
              </c:tx>
              <c:dLblPos val="t"/>
              <c:showLegendKey val="0"/>
              <c:showVal val="1"/>
              <c:showCatName val="0"/>
              <c:showSerName val="0"/>
              <c:showPercent val="0"/>
              <c:showBubbleSize val="0"/>
            </c:dLbl>
            <c:dLbl>
              <c:idx val="24"/>
              <c:tx>
                <c:strRef>
                  <c:f>'ln 12 x ln 11'!$B$50</c:f>
                  <c:strCache>
                    <c:ptCount val="1"/>
                    <c:pt idx="0">
                      <c:v>2004</c:v>
                    </c:pt>
                  </c:strCache>
                </c:strRef>
              </c:tx>
              <c:dLblPos val="t"/>
              <c:showLegendKey val="0"/>
              <c:showVal val="1"/>
              <c:showCatName val="0"/>
              <c:showSerName val="0"/>
              <c:showPercent val="0"/>
              <c:showBubbleSize val="0"/>
            </c:dLbl>
            <c:dLbl>
              <c:idx val="25"/>
              <c:tx>
                <c:strRef>
                  <c:f>'ln 12 x ln 11'!$B$51</c:f>
                  <c:strCache>
                    <c:ptCount val="1"/>
                    <c:pt idx="0">
                      <c:v>2005</c:v>
                    </c:pt>
                  </c:strCache>
                </c:strRef>
              </c:tx>
              <c:dLblPos val="t"/>
              <c:showLegendKey val="0"/>
              <c:showVal val="1"/>
              <c:showCatName val="0"/>
              <c:showSerName val="0"/>
              <c:showPercent val="0"/>
              <c:showBubbleSize val="0"/>
            </c:dLbl>
            <c:dLbl>
              <c:idx val="26"/>
              <c:tx>
                <c:strRef>
                  <c:f>'ln 12 x ln 11'!$B$52</c:f>
                  <c:strCache>
                    <c:ptCount val="1"/>
                    <c:pt idx="0">
                      <c:v>2006</c:v>
                    </c:pt>
                  </c:strCache>
                </c:strRef>
              </c:tx>
              <c:dLblPos val="t"/>
              <c:showLegendKey val="0"/>
              <c:showVal val="1"/>
              <c:showCatName val="0"/>
              <c:showSerName val="0"/>
              <c:showPercent val="0"/>
              <c:showBubbleSize val="0"/>
            </c:dLbl>
            <c:dLbl>
              <c:idx val="27"/>
              <c:tx>
                <c:strRef>
                  <c:f>'ln 12 x ln 11'!$B$53</c:f>
                  <c:strCache>
                    <c:ptCount val="1"/>
                    <c:pt idx="0">
                      <c:v>2007</c:v>
                    </c:pt>
                  </c:strCache>
                </c:strRef>
              </c:tx>
              <c:dLblPos val="t"/>
              <c:showLegendKey val="0"/>
              <c:showVal val="1"/>
              <c:showCatName val="0"/>
              <c:showSerName val="0"/>
              <c:showPercent val="0"/>
              <c:showBubbleSize val="0"/>
            </c:dLbl>
            <c:dLbl>
              <c:idx val="28"/>
              <c:tx>
                <c:strRef>
                  <c:f>'ln 12 x ln 11'!$B$54</c:f>
                  <c:strCache>
                    <c:ptCount val="1"/>
                    <c:pt idx="0">
                      <c:v>2008</c:v>
                    </c:pt>
                  </c:strCache>
                </c:strRef>
              </c:tx>
              <c:dLblPos val="t"/>
              <c:showLegendKey val="0"/>
              <c:showVal val="1"/>
              <c:showCatName val="0"/>
              <c:showSerName val="0"/>
              <c:showPercent val="0"/>
              <c:showBubbleSize val="0"/>
            </c:dLbl>
            <c:dLbl>
              <c:idx val="29"/>
              <c:tx>
                <c:strRef>
                  <c:f>'ln 12 x ln 11'!$B$55</c:f>
                  <c:strCache>
                    <c:ptCount val="1"/>
                    <c:pt idx="0">
                      <c:v>2009</c:v>
                    </c:pt>
                  </c:strCache>
                </c:strRef>
              </c:tx>
              <c:dLblPos val="t"/>
              <c:showLegendKey val="0"/>
              <c:showVal val="1"/>
              <c:showCatName val="0"/>
              <c:showSerName val="0"/>
              <c:showPercent val="0"/>
              <c:showBubbleSize val="0"/>
            </c:dLbl>
            <c:dLbl>
              <c:idx val="30"/>
              <c:tx>
                <c:strRef>
                  <c:f>'ln 12 x ln 11'!$B$56</c:f>
                  <c:strCache>
                    <c:ptCount val="1"/>
                    <c:pt idx="0">
                      <c:v>2010</c:v>
                    </c:pt>
                  </c:strCache>
                </c:strRef>
              </c:tx>
              <c:dLblPos val="t"/>
              <c:showLegendKey val="0"/>
              <c:showVal val="1"/>
              <c:showCatName val="0"/>
              <c:showSerName val="0"/>
              <c:showPercent val="0"/>
              <c:showBubbleSize val="0"/>
            </c:dLbl>
            <c:dLbl>
              <c:idx val="31"/>
              <c:tx>
                <c:strRef>
                  <c:f>'ln 12 x ln 11'!$B$57</c:f>
                  <c:strCache>
                    <c:ptCount val="1"/>
                    <c:pt idx="0">
                      <c:v>2011</c:v>
                    </c:pt>
                  </c:strCache>
                </c:strRef>
              </c:tx>
              <c:dLblPos val="t"/>
              <c:showLegendKey val="0"/>
              <c:showVal val="1"/>
              <c:showCatName val="0"/>
              <c:showSerName val="0"/>
              <c:showPercent val="0"/>
              <c:showBubbleSize val="0"/>
            </c:dLbl>
            <c:dLbl>
              <c:idx val="32"/>
              <c:tx>
                <c:strRef>
                  <c:f>'ln 12 x ln 11'!$B$58</c:f>
                  <c:strCache>
                    <c:ptCount val="1"/>
                    <c:pt idx="0">
                      <c:v>2012</c:v>
                    </c:pt>
                  </c:strCache>
                </c:strRef>
              </c:tx>
              <c:dLblPos val="t"/>
              <c:showLegendKey val="0"/>
              <c:showVal val="1"/>
              <c:showCatName val="0"/>
              <c:showSerName val="0"/>
              <c:showPercent val="0"/>
              <c:showBubbleSize val="0"/>
            </c:dLbl>
            <c:dLbl>
              <c:idx val="33"/>
              <c:tx>
                <c:strRef>
                  <c:f>'ln 12 x ln 11'!$B$59</c:f>
                  <c:strCache>
                    <c:ptCount val="1"/>
                    <c:pt idx="0">
                      <c:v>2013</c:v>
                    </c:pt>
                  </c:strCache>
                </c:strRef>
              </c:tx>
              <c:dLblPos val="t"/>
              <c:showLegendKey val="0"/>
              <c:showVal val="1"/>
              <c:showCatName val="0"/>
              <c:showSerName val="0"/>
              <c:showPercent val="0"/>
              <c:showBubbleSize val="0"/>
            </c:dLbl>
            <c:dLbl>
              <c:idx val="34"/>
              <c:tx>
                <c:strRef>
                  <c:f>'ln 12 x ln 11'!$B$60</c:f>
                  <c:strCache>
                    <c:ptCount val="1"/>
                    <c:pt idx="0">
                      <c:v>2014</c:v>
                    </c:pt>
                  </c:strCache>
                </c:strRef>
              </c:tx>
              <c:dLblPos val="t"/>
              <c:showLegendKey val="0"/>
              <c:showVal val="1"/>
              <c:showCatName val="0"/>
              <c:showSerName val="0"/>
              <c:showPercent val="0"/>
              <c:showBubbleSize val="0"/>
            </c:dLbl>
            <c:dLbl>
              <c:idx val="35"/>
              <c:tx>
                <c:strRef>
                  <c:f>'ln 12 x ln 11'!$B$61</c:f>
                  <c:strCache>
                    <c:ptCount val="1"/>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6"/>
              <c:tx>
                <c:strRef>
                  <c:f>'ln 12 x ln 11'!$B$62</c:f>
                  <c:strCache>
                    <c:ptCount val="1"/>
                    <c:pt idx="0">
                      <c:v>2015</c:v>
                    </c:pt>
                  </c:strCache>
                </c:strRef>
              </c:tx>
              <c:dLblPos val="t"/>
              <c:showLegendKey val="0"/>
              <c:showVal val="1"/>
              <c:showCatName val="0"/>
              <c:showSerName val="0"/>
              <c:showPercent val="0"/>
              <c:showBubbleSize val="0"/>
            </c:dLbl>
            <c:showLegendKey val="0"/>
            <c:showVal val="1"/>
            <c:showCatName val="0"/>
            <c:showSerName val="0"/>
            <c:showPercent val="0"/>
            <c:showBubbleSize val="0"/>
            <c:showLeaderLines val="0"/>
          </c:dLbls>
          <c:trendline>
            <c:spPr>
              <a:ln w="25400">
                <a:solidFill>
                  <a:srgbClr val="000000"/>
                </a:solidFill>
                <a:prstDash val="solid"/>
              </a:ln>
            </c:spPr>
            <c:trendlineType val="linear"/>
            <c:dispRSqr val="0"/>
            <c:dispEq val="0"/>
          </c:trendline>
          <c:trendline>
            <c:trendlineType val="linear"/>
            <c:dispRSqr val="1"/>
            <c:dispEq val="1"/>
            <c:trendlineLbl>
              <c:layout>
                <c:manualLayout>
                  <c:x val="-0.467550009638626"/>
                  <c:y val="-0.100659112121725"/>
                </c:manualLayout>
              </c:layout>
              <c:numFmt formatCode="General" sourceLinked="0"/>
            </c:trendlineLbl>
          </c:trendline>
          <c:xVal>
            <c:numRef>
              <c:f>'ln 12 x ln 11'!$Y$26:$Y$62</c:f>
              <c:numCache>
                <c:formatCode>General</c:formatCode>
                <c:ptCount val="37"/>
                <c:pt idx="0">
                  <c:v>4.499809670330264</c:v>
                </c:pt>
                <c:pt idx="1">
                  <c:v>7.591166417727378</c:v>
                </c:pt>
                <c:pt idx="2">
                  <c:v>6.485658223654916</c:v>
                </c:pt>
                <c:pt idx="3">
                  <c:v>5.600164883666796</c:v>
                </c:pt>
                <c:pt idx="4">
                  <c:v>5.087596335232384</c:v>
                </c:pt>
                <c:pt idx="5">
                  <c:v>6.077642243349034</c:v>
                </c:pt>
                <c:pt idx="6">
                  <c:v>5.04184698296582</c:v>
                </c:pt>
                <c:pt idx="7">
                  <c:v>4.264017010848338</c:v>
                </c:pt>
                <c:pt idx="8">
                  <c:v>7.205635176410364</c:v>
                </c:pt>
                <c:pt idx="9">
                  <c:v>3.433987204485146</c:v>
                </c:pt>
                <c:pt idx="10">
                  <c:v>3.526360524616162</c:v>
                </c:pt>
                <c:pt idx="11">
                  <c:v>2.995732273553991</c:v>
                </c:pt>
                <c:pt idx="12">
                  <c:v>3.027873386301522</c:v>
                </c:pt>
                <c:pt idx="13">
                  <c:v>2.397895272798371</c:v>
                </c:pt>
                <c:pt idx="14">
                  <c:v>3.891820298110626</c:v>
                </c:pt>
                <c:pt idx="15">
                  <c:v>4.663439094112066</c:v>
                </c:pt>
                <c:pt idx="16">
                  <c:v>5.075173815233826</c:v>
                </c:pt>
                <c:pt idx="17">
                  <c:v>4.804021044733257</c:v>
                </c:pt>
                <c:pt idx="18">
                  <c:v>0.693147180559945</c:v>
                </c:pt>
                <c:pt idx="19">
                  <c:v>6.881411303642534</c:v>
                </c:pt>
                <c:pt idx="20">
                  <c:v>5.497168225293202</c:v>
                </c:pt>
                <c:pt idx="21">
                  <c:v>1.386294361119891</c:v>
                </c:pt>
                <c:pt idx="22">
                  <c:v>5.03695260241363</c:v>
                </c:pt>
                <c:pt idx="23">
                  <c:v>6.073044534100405</c:v>
                </c:pt>
                <c:pt idx="24">
                  <c:v>6.037870919922137</c:v>
                </c:pt>
                <c:pt idx="25">
                  <c:v>5.945420608606575</c:v>
                </c:pt>
                <c:pt idx="26">
                  <c:v>3.401197381662155</c:v>
                </c:pt>
                <c:pt idx="27">
                  <c:v>5.638354669333745</c:v>
                </c:pt>
                <c:pt idx="28">
                  <c:v>0.693147180559945</c:v>
                </c:pt>
                <c:pt idx="29">
                  <c:v>6.230481447578482</c:v>
                </c:pt>
                <c:pt idx="30">
                  <c:v>6.29156913955832</c:v>
                </c:pt>
                <c:pt idx="31">
                  <c:v>8.044626279767337</c:v>
                </c:pt>
                <c:pt idx="32">
                  <c:v>3.688879454113936</c:v>
                </c:pt>
                <c:pt idx="33">
                  <c:v>7.576609766973037</c:v>
                </c:pt>
                <c:pt idx="34" formatCode="0.0000_)">
                  <c:v>3.891820298110626</c:v>
                </c:pt>
                <c:pt idx="36" formatCode="0.0000_)">
                  <c:v>5.293304824724492</c:v>
                </c:pt>
              </c:numCache>
            </c:numRef>
          </c:xVal>
          <c:yVal>
            <c:numRef>
              <c:f>'ln 12 x ln 11'!$AA$26:$AA$62</c:f>
              <c:numCache>
                <c:formatCode>General</c:formatCode>
                <c:ptCount val="37"/>
                <c:pt idx="0">
                  <c:v>10.86730537695477</c:v>
                </c:pt>
                <c:pt idx="1">
                  <c:v>11.82834020411777</c:v>
                </c:pt>
                <c:pt idx="2">
                  <c:v>9.082371320807685</c:v>
                </c:pt>
                <c:pt idx="3">
                  <c:v>9.76646435636946</c:v>
                </c:pt>
                <c:pt idx="4">
                  <c:v>10.5395351410555</c:v>
                </c:pt>
                <c:pt idx="5">
                  <c:v>11.43472685756477</c:v>
                </c:pt>
                <c:pt idx="6">
                  <c:v>10.97856054252912</c:v>
                </c:pt>
                <c:pt idx="7">
                  <c:v>9.37203396097417</c:v>
                </c:pt>
                <c:pt idx="8">
                  <c:v>11.07867500543031</c:v>
                </c:pt>
                <c:pt idx="9">
                  <c:v>7.427738840532894</c:v>
                </c:pt>
                <c:pt idx="10">
                  <c:v>8.38288709878914</c:v>
                </c:pt>
                <c:pt idx="11">
                  <c:v>7.681833736459046</c:v>
                </c:pt>
                <c:pt idx="12">
                  <c:v>8.841176768351712</c:v>
                </c:pt>
                <c:pt idx="13">
                  <c:v>7.86172707782398</c:v>
                </c:pt>
                <c:pt idx="14">
                  <c:v>8.165932137321584</c:v>
                </c:pt>
                <c:pt idx="15">
                  <c:v>10.56035967723136</c:v>
                </c:pt>
                <c:pt idx="16">
                  <c:v>9.605148899895818</c:v>
                </c:pt>
                <c:pt idx="17">
                  <c:v>9.043929525845292</c:v>
                </c:pt>
                <c:pt idx="18">
                  <c:v>7.74630066223144</c:v>
                </c:pt>
                <c:pt idx="19">
                  <c:v>11.80445263554827</c:v>
                </c:pt>
                <c:pt idx="20">
                  <c:v>10.01386546000574</c:v>
                </c:pt>
                <c:pt idx="21">
                  <c:v>9.438750032962891</c:v>
                </c:pt>
                <c:pt idx="22">
                  <c:v>9.95289657279367</c:v>
                </c:pt>
                <c:pt idx="23">
                  <c:v>11.51161460617013</c:v>
                </c:pt>
                <c:pt idx="24">
                  <c:v>10.93269617106536</c:v>
                </c:pt>
                <c:pt idx="25">
                  <c:v>8.797548488481558</c:v>
                </c:pt>
                <c:pt idx="26">
                  <c:v>10.21332242962904</c:v>
                </c:pt>
                <c:pt idx="27">
                  <c:v>10.28404502493811</c:v>
                </c:pt>
                <c:pt idx="28">
                  <c:v>10.7360705353368</c:v>
                </c:pt>
                <c:pt idx="29">
                  <c:v>7.940939762327791</c:v>
                </c:pt>
                <c:pt idx="30">
                  <c:v>10.5274186224074</c:v>
                </c:pt>
                <c:pt idx="31">
                  <c:v>11.56051490856314</c:v>
                </c:pt>
                <c:pt idx="32">
                  <c:v>10.31510039123053</c:v>
                </c:pt>
                <c:pt idx="33">
                  <c:v>10.4724877403532</c:v>
                </c:pt>
                <c:pt idx="34">
                  <c:v>9.95156317576769</c:v>
                </c:pt>
              </c:numCache>
            </c:numRef>
          </c:yVal>
          <c:smooth val="0"/>
        </c:ser>
        <c:ser>
          <c:idx val="1"/>
          <c:order val="1"/>
          <c:spPr>
            <a:ln w="3175">
              <a:solidFill>
                <a:srgbClr val="0000FF"/>
              </a:solidFill>
              <a:prstDash val="solid"/>
            </a:ln>
          </c:spPr>
          <c:marker>
            <c:symbol val="none"/>
          </c:marker>
          <c:xVal>
            <c:numRef>
              <c:f>'ln 12 x ln 11'!$Y$26:$Y$62</c:f>
              <c:numCache>
                <c:formatCode>General</c:formatCode>
                <c:ptCount val="37"/>
                <c:pt idx="0">
                  <c:v>4.499809670330264</c:v>
                </c:pt>
                <c:pt idx="1">
                  <c:v>7.591166417727378</c:v>
                </c:pt>
                <c:pt idx="2">
                  <c:v>6.485658223654916</c:v>
                </c:pt>
                <c:pt idx="3">
                  <c:v>5.600164883666796</c:v>
                </c:pt>
                <c:pt idx="4">
                  <c:v>5.087596335232384</c:v>
                </c:pt>
                <c:pt idx="5">
                  <c:v>6.077642243349034</c:v>
                </c:pt>
                <c:pt idx="6">
                  <c:v>5.04184698296582</c:v>
                </c:pt>
                <c:pt idx="7">
                  <c:v>4.264017010848338</c:v>
                </c:pt>
                <c:pt idx="8">
                  <c:v>7.205635176410364</c:v>
                </c:pt>
                <c:pt idx="9">
                  <c:v>3.433987204485146</c:v>
                </c:pt>
                <c:pt idx="10">
                  <c:v>3.526360524616162</c:v>
                </c:pt>
                <c:pt idx="11">
                  <c:v>2.995732273553991</c:v>
                </c:pt>
                <c:pt idx="12">
                  <c:v>3.027873386301522</c:v>
                </c:pt>
                <c:pt idx="13">
                  <c:v>2.397895272798371</c:v>
                </c:pt>
                <c:pt idx="14">
                  <c:v>3.891820298110626</c:v>
                </c:pt>
                <c:pt idx="15">
                  <c:v>4.663439094112066</c:v>
                </c:pt>
                <c:pt idx="16">
                  <c:v>5.075173815233826</c:v>
                </c:pt>
                <c:pt idx="17">
                  <c:v>4.804021044733257</c:v>
                </c:pt>
                <c:pt idx="18">
                  <c:v>0.693147180559945</c:v>
                </c:pt>
                <c:pt idx="19">
                  <c:v>6.881411303642534</c:v>
                </c:pt>
                <c:pt idx="20">
                  <c:v>5.497168225293202</c:v>
                </c:pt>
                <c:pt idx="21">
                  <c:v>1.386294361119891</c:v>
                </c:pt>
                <c:pt idx="22">
                  <c:v>5.03695260241363</c:v>
                </c:pt>
                <c:pt idx="23">
                  <c:v>6.073044534100405</c:v>
                </c:pt>
                <c:pt idx="24">
                  <c:v>6.037870919922137</c:v>
                </c:pt>
                <c:pt idx="25">
                  <c:v>5.945420608606575</c:v>
                </c:pt>
                <c:pt idx="26">
                  <c:v>3.401197381662155</c:v>
                </c:pt>
                <c:pt idx="27">
                  <c:v>5.638354669333745</c:v>
                </c:pt>
                <c:pt idx="28">
                  <c:v>0.693147180559945</c:v>
                </c:pt>
                <c:pt idx="29">
                  <c:v>6.230481447578482</c:v>
                </c:pt>
                <c:pt idx="30">
                  <c:v>6.29156913955832</c:v>
                </c:pt>
                <c:pt idx="31">
                  <c:v>8.044626279767337</c:v>
                </c:pt>
                <c:pt idx="32">
                  <c:v>3.688879454113936</c:v>
                </c:pt>
                <c:pt idx="33">
                  <c:v>7.576609766973037</c:v>
                </c:pt>
                <c:pt idx="34" formatCode="0.0000_)">
                  <c:v>3.891820298110626</c:v>
                </c:pt>
                <c:pt idx="36" formatCode="0.0000_)">
                  <c:v>5.293304824724492</c:v>
                </c:pt>
              </c:numCache>
            </c:numRef>
          </c:xVal>
          <c:yVal>
            <c:numRef>
              <c:f>'ln 12 x ln 11'!$AC$26:$AC$62</c:f>
              <c:numCache>
                <c:formatCode>General</c:formatCode>
                <c:ptCount val="37"/>
                <c:pt idx="0">
                  <c:v>8.220621432871901</c:v>
                </c:pt>
                <c:pt idx="1">
                  <c:v>9.382476622127334</c:v>
                </c:pt>
                <c:pt idx="2">
                  <c:v>8.966982540724735</c:v>
                </c:pt>
                <c:pt idx="3">
                  <c:v>8.63417881854593</c:v>
                </c:pt>
                <c:pt idx="4">
                  <c:v>8.441535110132438</c:v>
                </c:pt>
                <c:pt idx="5">
                  <c:v>8.81363385833255</c:v>
                </c:pt>
                <c:pt idx="6">
                  <c:v>8.42434067847044</c:v>
                </c:pt>
                <c:pt idx="7">
                  <c:v>8.13200114495525</c:v>
                </c:pt>
                <c:pt idx="8">
                  <c:v>9.237578601631508</c:v>
                </c:pt>
                <c:pt idx="9">
                  <c:v>7.820042831321033</c:v>
                </c:pt>
                <c:pt idx="10">
                  <c:v>7.854760410077785</c:v>
                </c:pt>
                <c:pt idx="11">
                  <c:v>7.655329144960545</c:v>
                </c:pt>
                <c:pt idx="12">
                  <c:v>7.667409057337402</c:v>
                </c:pt>
                <c:pt idx="13">
                  <c:v>7.430638150547925</c:v>
                </c:pt>
                <c:pt idx="14">
                  <c:v>7.992114772254255</c:v>
                </c:pt>
                <c:pt idx="15">
                  <c:v>8.28211989800241</c:v>
                </c:pt>
                <c:pt idx="16">
                  <c:v>8.43686623154503</c:v>
                </c:pt>
                <c:pt idx="17">
                  <c:v>8.33495620328565</c:v>
                </c:pt>
                <c:pt idx="18">
                  <c:v>6.78992580992007</c:v>
                </c:pt>
                <c:pt idx="19">
                  <c:v>9.115722335973078</c:v>
                </c:pt>
                <c:pt idx="20">
                  <c:v>8.59546856548048</c:v>
                </c:pt>
                <c:pt idx="21">
                  <c:v>7.050438172114899</c:v>
                </c:pt>
                <c:pt idx="22">
                  <c:v>8.42250117500726</c:v>
                </c:pt>
                <c:pt idx="23">
                  <c:v>8.81190585578037</c:v>
                </c:pt>
                <c:pt idx="24">
                  <c:v>8.798686208390176</c:v>
                </c:pt>
                <c:pt idx="25">
                  <c:v>8.76393969327486</c:v>
                </c:pt>
                <c:pt idx="26">
                  <c:v>7.807719107818809</c:v>
                </c:pt>
                <c:pt idx="27">
                  <c:v>8.648532063505787</c:v>
                </c:pt>
                <c:pt idx="28">
                  <c:v>6.78992580992007</c:v>
                </c:pt>
                <c:pt idx="29">
                  <c:v>8.871076928500745</c:v>
                </c:pt>
                <c:pt idx="30">
                  <c:v>8.894036120119821</c:v>
                </c:pt>
                <c:pt idx="31">
                  <c:v>9.552904928169265</c:v>
                </c:pt>
                <c:pt idx="32">
                  <c:v>7.915841507155375</c:v>
                </c:pt>
                <c:pt idx="33">
                  <c:v>9.377005652064966</c:v>
                </c:pt>
                <c:pt idx="34">
                  <c:v>7.992114772254255</c:v>
                </c:pt>
                <c:pt idx="36">
                  <c:v>8.536947571714081</c:v>
                </c:pt>
              </c:numCache>
            </c:numRef>
          </c:yVal>
          <c:smooth val="0"/>
        </c:ser>
        <c:ser>
          <c:idx val="2"/>
          <c:order val="2"/>
          <c:spPr>
            <a:ln w="3175">
              <a:solidFill>
                <a:srgbClr val="FFFF00"/>
              </a:solidFill>
              <a:prstDash val="solid"/>
            </a:ln>
          </c:spPr>
          <c:marker>
            <c:symbol val="none"/>
          </c:marker>
          <c:xVal>
            <c:numRef>
              <c:f>'ln 12 x ln 11'!$Y$26:$Y$62</c:f>
              <c:numCache>
                <c:formatCode>General</c:formatCode>
                <c:ptCount val="37"/>
                <c:pt idx="0">
                  <c:v>4.499809670330264</c:v>
                </c:pt>
                <c:pt idx="1">
                  <c:v>7.591166417727378</c:v>
                </c:pt>
                <c:pt idx="2">
                  <c:v>6.485658223654916</c:v>
                </c:pt>
                <c:pt idx="3">
                  <c:v>5.600164883666796</c:v>
                </c:pt>
                <c:pt idx="4">
                  <c:v>5.087596335232384</c:v>
                </c:pt>
                <c:pt idx="5">
                  <c:v>6.077642243349034</c:v>
                </c:pt>
                <c:pt idx="6">
                  <c:v>5.04184698296582</c:v>
                </c:pt>
                <c:pt idx="7">
                  <c:v>4.264017010848338</c:v>
                </c:pt>
                <c:pt idx="8">
                  <c:v>7.205635176410364</c:v>
                </c:pt>
                <c:pt idx="9">
                  <c:v>3.433987204485146</c:v>
                </c:pt>
                <c:pt idx="10">
                  <c:v>3.526360524616162</c:v>
                </c:pt>
                <c:pt idx="11">
                  <c:v>2.995732273553991</c:v>
                </c:pt>
                <c:pt idx="12">
                  <c:v>3.027873386301522</c:v>
                </c:pt>
                <c:pt idx="13">
                  <c:v>2.397895272798371</c:v>
                </c:pt>
                <c:pt idx="14">
                  <c:v>3.891820298110626</c:v>
                </c:pt>
                <c:pt idx="15">
                  <c:v>4.663439094112066</c:v>
                </c:pt>
                <c:pt idx="16">
                  <c:v>5.075173815233826</c:v>
                </c:pt>
                <c:pt idx="17">
                  <c:v>4.804021044733257</c:v>
                </c:pt>
                <c:pt idx="18">
                  <c:v>0.693147180559945</c:v>
                </c:pt>
                <c:pt idx="19">
                  <c:v>6.881411303642534</c:v>
                </c:pt>
                <c:pt idx="20">
                  <c:v>5.497168225293202</c:v>
                </c:pt>
                <c:pt idx="21">
                  <c:v>1.386294361119891</c:v>
                </c:pt>
                <c:pt idx="22">
                  <c:v>5.03695260241363</c:v>
                </c:pt>
                <c:pt idx="23">
                  <c:v>6.073044534100405</c:v>
                </c:pt>
                <c:pt idx="24">
                  <c:v>6.037870919922137</c:v>
                </c:pt>
                <c:pt idx="25">
                  <c:v>5.945420608606575</c:v>
                </c:pt>
                <c:pt idx="26">
                  <c:v>3.401197381662155</c:v>
                </c:pt>
                <c:pt idx="27">
                  <c:v>5.638354669333745</c:v>
                </c:pt>
                <c:pt idx="28">
                  <c:v>0.693147180559945</c:v>
                </c:pt>
                <c:pt idx="29">
                  <c:v>6.230481447578482</c:v>
                </c:pt>
                <c:pt idx="30">
                  <c:v>6.29156913955832</c:v>
                </c:pt>
                <c:pt idx="31">
                  <c:v>8.044626279767337</c:v>
                </c:pt>
                <c:pt idx="32">
                  <c:v>3.688879454113936</c:v>
                </c:pt>
                <c:pt idx="33">
                  <c:v>7.576609766973037</c:v>
                </c:pt>
                <c:pt idx="34" formatCode="0.0000_)">
                  <c:v>3.891820298110626</c:v>
                </c:pt>
                <c:pt idx="36" formatCode="0.0000_)">
                  <c:v>5.293304824724492</c:v>
                </c:pt>
              </c:numCache>
            </c:numRef>
          </c:xVal>
          <c:yVal>
            <c:numRef>
              <c:f>'ln 12 x ln 11'!$AD$26:$AD$62</c:f>
              <c:numCache>
                <c:formatCode>General</c:formatCode>
                <c:ptCount val="37"/>
                <c:pt idx="0">
                  <c:v>11.23736449203149</c:v>
                </c:pt>
                <c:pt idx="1">
                  <c:v>12.39921968128692</c:v>
                </c:pt>
                <c:pt idx="2">
                  <c:v>11.98372559988432</c:v>
                </c:pt>
                <c:pt idx="3">
                  <c:v>11.65092187770551</c:v>
                </c:pt>
                <c:pt idx="4">
                  <c:v>11.45827816929203</c:v>
                </c:pt>
                <c:pt idx="5">
                  <c:v>11.83037691749214</c:v>
                </c:pt>
                <c:pt idx="6">
                  <c:v>11.44108373763002</c:v>
                </c:pt>
                <c:pt idx="7">
                  <c:v>11.14874420411483</c:v>
                </c:pt>
                <c:pt idx="8">
                  <c:v>12.25432166079109</c:v>
                </c:pt>
                <c:pt idx="9">
                  <c:v>10.83678589048062</c:v>
                </c:pt>
                <c:pt idx="10">
                  <c:v>10.87150346923737</c:v>
                </c:pt>
                <c:pt idx="11">
                  <c:v>10.67207220412013</c:v>
                </c:pt>
                <c:pt idx="12">
                  <c:v>10.68415211649699</c:v>
                </c:pt>
                <c:pt idx="13">
                  <c:v>10.44738120970751</c:v>
                </c:pt>
                <c:pt idx="14">
                  <c:v>11.00885783141384</c:v>
                </c:pt>
                <c:pt idx="15">
                  <c:v>11.29886295716199</c:v>
                </c:pt>
                <c:pt idx="16">
                  <c:v>11.45360929070462</c:v>
                </c:pt>
                <c:pt idx="17">
                  <c:v>11.35169926244524</c:v>
                </c:pt>
                <c:pt idx="18">
                  <c:v>9.806668869079654</c:v>
                </c:pt>
                <c:pt idx="19">
                  <c:v>12.13246539513267</c:v>
                </c:pt>
                <c:pt idx="20">
                  <c:v>11.61221162464006</c:v>
                </c:pt>
                <c:pt idx="21">
                  <c:v>10.06718123127449</c:v>
                </c:pt>
                <c:pt idx="22">
                  <c:v>11.43924423416685</c:v>
                </c:pt>
                <c:pt idx="23">
                  <c:v>11.82864891493995</c:v>
                </c:pt>
                <c:pt idx="24">
                  <c:v>11.81542926754976</c:v>
                </c:pt>
                <c:pt idx="25">
                  <c:v>11.78068275243444</c:v>
                </c:pt>
                <c:pt idx="26">
                  <c:v>10.8244621669784</c:v>
                </c:pt>
                <c:pt idx="27">
                  <c:v>11.66527512266537</c:v>
                </c:pt>
                <c:pt idx="28">
                  <c:v>9.806668869079654</c:v>
                </c:pt>
                <c:pt idx="29">
                  <c:v>11.88781998766033</c:v>
                </c:pt>
                <c:pt idx="30">
                  <c:v>11.91077917927941</c:v>
                </c:pt>
                <c:pt idx="31">
                  <c:v>12.56964798732885</c:v>
                </c:pt>
                <c:pt idx="32">
                  <c:v>10.93258456631496</c:v>
                </c:pt>
                <c:pt idx="33">
                  <c:v>12.39374871122455</c:v>
                </c:pt>
                <c:pt idx="34">
                  <c:v>11.00885783141384</c:v>
                </c:pt>
                <c:pt idx="36">
                  <c:v>11.51749262108202</c:v>
                </c:pt>
              </c:numCache>
            </c:numRef>
          </c:yVal>
          <c:smooth val="0"/>
        </c:ser>
        <c:ser>
          <c:idx val="3"/>
          <c:order val="3"/>
          <c:tx>
            <c:v>Forecast</c:v>
          </c:tx>
          <c:spPr>
            <a:ln w="3175">
              <a:solidFill>
                <a:srgbClr val="FF00FF"/>
              </a:solidFill>
              <a:prstDash val="solid"/>
            </a:ln>
          </c:spPr>
          <c:marker>
            <c:symbol val="diamond"/>
            <c:size val="5"/>
            <c:spPr>
              <a:noFill/>
              <a:ln>
                <a:solidFill>
                  <a:srgbClr val="FF00FF"/>
                </a:solidFill>
                <a:prstDash val="solid"/>
              </a:ln>
            </c:spPr>
          </c:marker>
          <c:xVal>
            <c:numRef>
              <c:f>'ln 12 x ln 11'!$Y$26:$Y$62</c:f>
              <c:numCache>
                <c:formatCode>General</c:formatCode>
                <c:ptCount val="37"/>
                <c:pt idx="0">
                  <c:v>4.499809670330264</c:v>
                </c:pt>
                <c:pt idx="1">
                  <c:v>7.591166417727378</c:v>
                </c:pt>
                <c:pt idx="2">
                  <c:v>6.485658223654916</c:v>
                </c:pt>
                <c:pt idx="3">
                  <c:v>5.600164883666796</c:v>
                </c:pt>
                <c:pt idx="4">
                  <c:v>5.087596335232384</c:v>
                </c:pt>
                <c:pt idx="5">
                  <c:v>6.077642243349034</c:v>
                </c:pt>
                <c:pt idx="6">
                  <c:v>5.04184698296582</c:v>
                </c:pt>
                <c:pt idx="7">
                  <c:v>4.264017010848338</c:v>
                </c:pt>
                <c:pt idx="8">
                  <c:v>7.205635176410364</c:v>
                </c:pt>
                <c:pt idx="9">
                  <c:v>3.433987204485146</c:v>
                </c:pt>
                <c:pt idx="10">
                  <c:v>3.526360524616162</c:v>
                </c:pt>
                <c:pt idx="11">
                  <c:v>2.995732273553991</c:v>
                </c:pt>
                <c:pt idx="12">
                  <c:v>3.027873386301522</c:v>
                </c:pt>
                <c:pt idx="13">
                  <c:v>2.397895272798371</c:v>
                </c:pt>
                <c:pt idx="14">
                  <c:v>3.891820298110626</c:v>
                </c:pt>
                <c:pt idx="15">
                  <c:v>4.663439094112066</c:v>
                </c:pt>
                <c:pt idx="16">
                  <c:v>5.075173815233826</c:v>
                </c:pt>
                <c:pt idx="17">
                  <c:v>4.804021044733257</c:v>
                </c:pt>
                <c:pt idx="18">
                  <c:v>0.693147180559945</c:v>
                </c:pt>
                <c:pt idx="19">
                  <c:v>6.881411303642534</c:v>
                </c:pt>
                <c:pt idx="20">
                  <c:v>5.497168225293202</c:v>
                </c:pt>
                <c:pt idx="21">
                  <c:v>1.386294361119891</c:v>
                </c:pt>
                <c:pt idx="22">
                  <c:v>5.03695260241363</c:v>
                </c:pt>
                <c:pt idx="23">
                  <c:v>6.073044534100405</c:v>
                </c:pt>
                <c:pt idx="24">
                  <c:v>6.037870919922137</c:v>
                </c:pt>
                <c:pt idx="25">
                  <c:v>5.945420608606575</c:v>
                </c:pt>
                <c:pt idx="26">
                  <c:v>3.401197381662155</c:v>
                </c:pt>
                <c:pt idx="27">
                  <c:v>5.638354669333745</c:v>
                </c:pt>
                <c:pt idx="28">
                  <c:v>0.693147180559945</c:v>
                </c:pt>
                <c:pt idx="29">
                  <c:v>6.230481447578482</c:v>
                </c:pt>
                <c:pt idx="30">
                  <c:v>6.29156913955832</c:v>
                </c:pt>
                <c:pt idx="31">
                  <c:v>8.044626279767337</c:v>
                </c:pt>
                <c:pt idx="32">
                  <c:v>3.688879454113936</c:v>
                </c:pt>
                <c:pt idx="33">
                  <c:v>7.576609766973037</c:v>
                </c:pt>
                <c:pt idx="34" formatCode="0.0000_)">
                  <c:v>3.891820298110626</c:v>
                </c:pt>
                <c:pt idx="36" formatCode="0.0000_)">
                  <c:v>5.293304824724492</c:v>
                </c:pt>
              </c:numCache>
            </c:numRef>
          </c:xVal>
          <c:yVal>
            <c:numRef>
              <c:f>'ln 12 x ln 11'!$AE$26:$AE$62</c:f>
              <c:numCache>
                <c:formatCode>General</c:formatCode>
                <c:ptCount val="37"/>
                <c:pt idx="36" formatCode="0.0000_)">
                  <c:v>10.02722009639805</c:v>
                </c:pt>
              </c:numCache>
            </c:numRef>
          </c:yVal>
          <c:smooth val="0"/>
        </c:ser>
        <c:dLbls>
          <c:showLegendKey val="0"/>
          <c:showVal val="0"/>
          <c:showCatName val="0"/>
          <c:showSerName val="0"/>
          <c:showPercent val="0"/>
          <c:showBubbleSize val="0"/>
        </c:dLbls>
        <c:axId val="-2079424568"/>
        <c:axId val="-2079720760"/>
      </c:scatterChart>
      <c:valAx>
        <c:axId val="-2079424568"/>
        <c:scaling>
          <c:orientation val="minMax"/>
          <c:max val="10.0"/>
          <c:min val="1.0"/>
        </c:scaling>
        <c:delete val="0"/>
        <c:axPos val="b"/>
        <c:title>
          <c:tx>
            <c:rich>
              <a:bodyPr/>
              <a:lstStyle/>
              <a:p>
                <a:pPr>
                  <a:defRPr sz="1000" b="0" i="0" u="none" strike="noStrike" baseline="0">
                    <a:solidFill>
                      <a:srgbClr val="000000"/>
                    </a:solidFill>
                    <a:latin typeface="Arial"/>
                    <a:ea typeface="Arial"/>
                    <a:cs typeface="Arial"/>
                  </a:defRPr>
                </a:pPr>
                <a:r>
                  <a:rPr lang="en-US"/>
                  <a:t>LN AGED 1.1</a:t>
                </a:r>
              </a:p>
            </c:rich>
          </c:tx>
          <c:layout>
            <c:manualLayout>
              <c:xMode val="edge"/>
              <c:yMode val="edge"/>
              <c:x val="0.471208535373756"/>
              <c:y val="0.838050100539342"/>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79720760"/>
        <c:crosses val="autoZero"/>
        <c:crossBetween val="midCat"/>
      </c:valAx>
      <c:valAx>
        <c:axId val="-2079720760"/>
        <c:scaling>
          <c:orientation val="minMax"/>
          <c:min val="6.0"/>
        </c:scaling>
        <c:delete val="0"/>
        <c:axPos val="l"/>
        <c:title>
          <c:tx>
            <c:rich>
              <a:bodyPr/>
              <a:lstStyle/>
              <a:p>
                <a:pPr>
                  <a:defRPr sz="1000" b="0" i="0" u="none" strike="noStrike" baseline="0">
                    <a:solidFill>
                      <a:srgbClr val="000000"/>
                    </a:solidFill>
                    <a:latin typeface="Arial"/>
                    <a:ea typeface="Arial"/>
                    <a:cs typeface="Arial"/>
                  </a:defRPr>
                </a:pPr>
                <a:r>
                  <a:rPr lang="en-US"/>
                  <a:t>LN SIBLINGS AGED 1.2</a:t>
                </a:r>
              </a:p>
            </c:rich>
          </c:tx>
          <c:layout>
            <c:manualLayout>
              <c:xMode val="edge"/>
              <c:yMode val="edge"/>
              <c:x val="0.0251311594525261"/>
              <c:y val="0.284250840959916"/>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79424568"/>
        <c:crosses val="autoZero"/>
        <c:crossBetween val="midCat"/>
      </c:valAx>
      <c:spPr>
        <a:solidFill>
          <a:srgbClr val="FFFFFF"/>
        </a:solidFill>
        <a:ln w="12700">
          <a:solidFill>
            <a:srgbClr val="000000"/>
          </a:solidFill>
          <a:prstDash val="solid"/>
        </a:ln>
      </c:spPr>
    </c:plotArea>
    <c:legend>
      <c:legendPos val="b"/>
      <c:layout>
        <c:manualLayout>
          <c:xMode val="edge"/>
          <c:yMode val="edge"/>
          <c:x val="0.166493616264069"/>
          <c:y val="0.923815358402396"/>
          <c:w val="0.739797440574166"/>
          <c:h val="0.0588104410576363"/>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 r="0.75" t="1.0"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SIBLING LN 1.3 FROM LN 1.2</a:t>
            </a:r>
          </a:p>
        </c:rich>
      </c:tx>
      <c:layout>
        <c:manualLayout>
          <c:xMode val="edge"/>
          <c:yMode val="edge"/>
          <c:x val="0.376565915467463"/>
          <c:y val="0.0318555894798864"/>
        </c:manualLayout>
      </c:layout>
      <c:overlay val="0"/>
      <c:spPr>
        <a:solidFill>
          <a:srgbClr val="FFFFFF"/>
        </a:solidFill>
        <a:ln w="25400">
          <a:noFill/>
        </a:ln>
      </c:spPr>
    </c:title>
    <c:autoTitleDeleted val="0"/>
    <c:plotArea>
      <c:layout>
        <c:manualLayout>
          <c:layoutTarget val="inner"/>
          <c:xMode val="edge"/>
          <c:yMode val="edge"/>
          <c:x val="0.0896585740613812"/>
          <c:y val="0.159278524440176"/>
          <c:w val="0.878654025801536"/>
          <c:h val="0.612609709385293"/>
        </c:manualLayout>
      </c:layout>
      <c:scatterChart>
        <c:scatterStyle val="lineMarker"/>
        <c:varyColors val="0"/>
        <c:ser>
          <c:idx val="0"/>
          <c:order val="0"/>
          <c:tx>
            <c:v>ACTUAL</c:v>
          </c:tx>
          <c:spPr>
            <a:ln w="28575">
              <a:noFill/>
            </a:ln>
          </c:spPr>
          <c:marker>
            <c:symbol val="diamond"/>
            <c:size val="5"/>
            <c:spPr>
              <a:solidFill>
                <a:srgbClr val="00FF00"/>
              </a:solidFill>
              <a:ln>
                <a:solidFill>
                  <a:srgbClr val="000000"/>
                </a:solidFill>
                <a:prstDash val="solid"/>
              </a:ln>
            </c:spPr>
          </c:marker>
          <c:dLbls>
            <c:dLbl>
              <c:idx val="0"/>
              <c:tx>
                <c:strRef>
                  <c:f>'ln 13 x ln 12'!$B$26</c:f>
                  <c:strCache>
                    <c:ptCount val="1"/>
                    <c:pt idx="0">
                      <c:v>1979</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1"/>
              <c:tx>
                <c:strRef>
                  <c:f>'ln 13 x ln 12'!$B$27</c:f>
                  <c:strCache>
                    <c:ptCount val="1"/>
                    <c:pt idx="0">
                      <c:v>1980</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2"/>
              <c:tx>
                <c:strRef>
                  <c:f>'ln 13 x ln 12'!$B$28</c:f>
                  <c:strCache>
                    <c:ptCount val="1"/>
                    <c:pt idx="0">
                      <c:v>1981</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3"/>
              <c:tx>
                <c:strRef>
                  <c:f>'ln 13 x ln 12'!$B$29</c:f>
                  <c:strCache>
                    <c:ptCount val="1"/>
                    <c:pt idx="0">
                      <c:v>1982</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4"/>
              <c:tx>
                <c:strRef>
                  <c:f>'ln 13 x ln 12'!$B$30</c:f>
                  <c:strCache>
                    <c:ptCount val="1"/>
                    <c:pt idx="0">
                      <c:v>1983</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5"/>
              <c:tx>
                <c:strRef>
                  <c:f>'ln 13 x ln 12'!$B$31</c:f>
                  <c:strCache>
                    <c:ptCount val="1"/>
                    <c:pt idx="0">
                      <c:v>1984</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6"/>
              <c:tx>
                <c:strRef>
                  <c:f>'ln 13 x ln 12'!$B$32</c:f>
                  <c:strCache>
                    <c:ptCount val="1"/>
                    <c:pt idx="0">
                      <c:v>1985</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7"/>
              <c:tx>
                <c:strRef>
                  <c:f>'ln 13 x ln 12'!$B$33</c:f>
                  <c:strCache>
                    <c:ptCount val="1"/>
                    <c:pt idx="0">
                      <c:v>1986</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8"/>
              <c:tx>
                <c:strRef>
                  <c:f>'ln 13 x ln 12'!$B$34</c:f>
                  <c:strCache>
                    <c:ptCount val="1"/>
                    <c:pt idx="0">
                      <c:v>1987</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9"/>
              <c:tx>
                <c:strRef>
                  <c:f>'ln 13 x ln 12'!$B$35</c:f>
                  <c:strCache>
                    <c:ptCount val="1"/>
                    <c:pt idx="0">
                      <c:v>1988</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10"/>
              <c:tx>
                <c:strRef>
                  <c:f>'ln 13 x ln 12'!$B$36</c:f>
                  <c:strCache>
                    <c:ptCount val="1"/>
                    <c:pt idx="0">
                      <c:v>1989</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11"/>
              <c:tx>
                <c:strRef>
                  <c:f>'ln 13 x ln 12'!$B$37</c:f>
                  <c:strCache>
                    <c:ptCount val="1"/>
                    <c:pt idx="0">
                      <c:v>1990</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12"/>
              <c:tx>
                <c:strRef>
                  <c:f>'ln 13 x ln 12'!$B$38</c:f>
                  <c:strCache>
                    <c:ptCount val="1"/>
                    <c:pt idx="0">
                      <c:v>1991</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13"/>
              <c:tx>
                <c:strRef>
                  <c:f>'ln 13 x ln 12'!$B$39</c:f>
                  <c:strCache>
                    <c:ptCount val="1"/>
                    <c:pt idx="0">
                      <c:v>1992</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14"/>
              <c:tx>
                <c:strRef>
                  <c:f>'ln 13 x ln 12'!$B$40</c:f>
                  <c:strCache>
                    <c:ptCount val="1"/>
                    <c:pt idx="0">
                      <c:v>1993</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15"/>
              <c:tx>
                <c:strRef>
                  <c:f>'ln 13 x ln 12'!$B$41</c:f>
                  <c:strCache>
                    <c:ptCount val="1"/>
                    <c:pt idx="0">
                      <c:v>1994</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16"/>
              <c:tx>
                <c:strRef>
                  <c:f>'ln 13 x ln 12'!$B$42</c:f>
                  <c:strCache>
                    <c:ptCount val="1"/>
                    <c:pt idx="0">
                      <c:v>1995</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17"/>
              <c:tx>
                <c:strRef>
                  <c:f>'ln 13 x ln 12'!$B$43</c:f>
                  <c:strCache>
                    <c:ptCount val="1"/>
                    <c:pt idx="0">
                      <c:v>1996</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18"/>
              <c:tx>
                <c:strRef>
                  <c:f>'ln 13 x ln 12'!$B$44</c:f>
                  <c:strCache>
                    <c:ptCount val="1"/>
                    <c:pt idx="0">
                      <c:v>1997</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19"/>
              <c:tx>
                <c:strRef>
                  <c:f>'ln 13 x ln 12'!$B$45</c:f>
                  <c:strCache>
                    <c:ptCount val="1"/>
                    <c:pt idx="0">
                      <c:v>1998</c:v>
                    </c:pt>
                  </c:strCache>
                </c:strRef>
              </c:tx>
              <c:spPr>
                <a:noFill/>
                <a:ln w="25400">
                  <a:noFill/>
                </a:ln>
              </c:spPr>
              <c:txPr>
                <a:bodyPr/>
                <a:lstStyle/>
                <a:p>
                  <a:pPr algn="ctr" rtl="1">
                    <a:defRPr sz="1200" b="0" i="0" u="none" strike="noStrike" baseline="0">
                      <a:solidFill>
                        <a:srgbClr val="000000"/>
                      </a:solidFill>
                      <a:latin typeface="Times New Roman"/>
                      <a:ea typeface="Arial"/>
                      <a:cs typeface="Arial"/>
                    </a:defRPr>
                  </a:pPr>
                  <a:endParaRPr lang="en-US"/>
                </a:p>
              </c:txPr>
              <c:dLblPos val="t"/>
              <c:showLegendKey val="0"/>
              <c:showVal val="1"/>
              <c:showCatName val="0"/>
              <c:showSerName val="0"/>
              <c:showPercent val="0"/>
              <c:showBubbleSize val="0"/>
            </c:dLbl>
            <c:dLbl>
              <c:idx val="20"/>
              <c:tx>
                <c:strRef>
                  <c:f>'ln 13 x ln 12'!$B$46</c:f>
                  <c:strCache>
                    <c:ptCount val="1"/>
                    <c:pt idx="0">
                      <c:v>1999</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1"/>
              <c:tx>
                <c:strRef>
                  <c:f>'ln 13 x ln 12'!$B$47</c:f>
                  <c:strCache>
                    <c:ptCount val="1"/>
                    <c:pt idx="0">
                      <c:v>2000</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2"/>
              <c:tx>
                <c:strRef>
                  <c:f>'ln 13 x ln 12'!$B$48</c:f>
                  <c:strCache>
                    <c:ptCount val="1"/>
                    <c:pt idx="0">
                      <c:v>2001</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3"/>
              <c:tx>
                <c:strRef>
                  <c:f>'ln 13 x ln 12'!$B$49</c:f>
                  <c:strCache>
                    <c:ptCount val="1"/>
                    <c:pt idx="0">
                      <c:v>2002</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4"/>
              <c:tx>
                <c:strRef>
                  <c:f>'ln 13 x ln 12'!$B$50</c:f>
                  <c:strCache>
                    <c:ptCount val="1"/>
                    <c:pt idx="0">
                      <c:v>2003</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5"/>
              <c:tx>
                <c:strRef>
                  <c:f>'ln 13 x ln 12'!$B$51</c:f>
                  <c:strCache>
                    <c:ptCount val="1"/>
                    <c:pt idx="0">
                      <c:v>2004</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6"/>
              <c:tx>
                <c:strRef>
                  <c:f>'ln 13 x ln 12'!$B$52</c:f>
                  <c:strCache>
                    <c:ptCount val="1"/>
                    <c:pt idx="0">
                      <c:v>2005</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7"/>
              <c:tx>
                <c:strRef>
                  <c:f>'ln 13 x ln 12'!$B$53</c:f>
                  <c:strCache>
                    <c:ptCount val="1"/>
                    <c:pt idx="0">
                      <c:v>2006</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8"/>
              <c:tx>
                <c:strRef>
                  <c:f>'ln 13 x ln 12'!$B$54</c:f>
                  <c:strCache>
                    <c:ptCount val="1"/>
                    <c:pt idx="0">
                      <c:v>2007</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9"/>
              <c:tx>
                <c:strRef>
                  <c:f>'ln 13 x ln 12'!$B$55</c:f>
                  <c:strCache>
                    <c:ptCount val="1"/>
                    <c:pt idx="0">
                      <c:v>2008</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0"/>
              <c:tx>
                <c:strRef>
                  <c:f>'ln 13 x ln 12'!$B$56</c:f>
                  <c:strCache>
                    <c:ptCount val="1"/>
                    <c:pt idx="0">
                      <c:v>2009</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1"/>
              <c:tx>
                <c:strRef>
                  <c:f>'ln 13 x ln 12'!$B$57</c:f>
                  <c:strCache>
                    <c:ptCount val="1"/>
                    <c:pt idx="0">
                      <c:v>2010</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2"/>
              <c:tx>
                <c:strRef>
                  <c:f>'ln 13 x ln 12'!$B$58</c:f>
                  <c:strCache>
                    <c:ptCount val="1"/>
                    <c:pt idx="0">
                      <c:v>2011</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3"/>
              <c:tx>
                <c:strRef>
                  <c:f>'ln 13 x ln 12'!$B$59</c:f>
                  <c:strCache>
                    <c:ptCount val="1"/>
                    <c:pt idx="0">
                      <c:v>2012</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4"/>
              <c:tx>
                <c:strRef>
                  <c:f>'ln 13 x ln 12'!$B$60</c:f>
                  <c:strCache>
                    <c:ptCount val="1"/>
                    <c:pt idx="0">
                      <c:v>2013</c:v>
                    </c:pt>
                  </c:strCache>
                </c:strRef>
              </c:tx>
              <c:dLblPos val="t"/>
              <c:showLegendKey val="0"/>
              <c:showVal val="1"/>
              <c:showCatName val="0"/>
              <c:showSerName val="0"/>
              <c:showPercent val="0"/>
              <c:showBubbleSize val="0"/>
            </c:dLbl>
            <c:dLbl>
              <c:idx val="35"/>
              <c:tx>
                <c:strRef>
                  <c:f>'ln 13 x ln 12'!$B$61</c:f>
                  <c:strCache>
                    <c:ptCount val="1"/>
                    <c:pt idx="0">
                      <c:v>2014</c:v>
                    </c:pt>
                  </c:strCache>
                </c:strRef>
              </c:tx>
              <c:dLblPos val="t"/>
              <c:showLegendKey val="0"/>
              <c:showVal val="1"/>
              <c:showCatName val="0"/>
              <c:showSerName val="0"/>
              <c:showPercent val="0"/>
              <c:showBubbleSize val="0"/>
            </c:dLbl>
            <c:dLbl>
              <c:idx val="36"/>
              <c:tx>
                <c:strRef>
                  <c:f>'ln 13 x ln 12'!$B$62</c:f>
                  <c:strCache>
                    <c:ptCount val="1"/>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7"/>
              <c:tx>
                <c:strRef>
                  <c:f>'ln 13 x ln 12'!$B$63</c:f>
                  <c:strCache>
                    <c:ptCount val="1"/>
                    <c:pt idx="0">
                      <c:v>2015</c:v>
                    </c:pt>
                  </c:strCache>
                </c:strRef>
              </c:tx>
              <c:dLblPos val="t"/>
              <c:showLegendKey val="0"/>
              <c:showVal val="1"/>
              <c:showCatName val="0"/>
              <c:showSerName val="0"/>
              <c:showPercent val="0"/>
              <c:showBubbleSize val="0"/>
            </c:dLbl>
            <c:showLegendKey val="0"/>
            <c:showVal val="1"/>
            <c:showCatName val="0"/>
            <c:showSerName val="0"/>
            <c:showPercent val="0"/>
            <c:showBubbleSize val="0"/>
            <c:showLeaderLines val="0"/>
          </c:dLbls>
          <c:trendline>
            <c:spPr>
              <a:ln w="25400">
                <a:solidFill>
                  <a:srgbClr val="000000"/>
                </a:solidFill>
                <a:prstDash val="solid"/>
              </a:ln>
            </c:spPr>
            <c:trendlineType val="linear"/>
            <c:dispRSqr val="1"/>
            <c:dispEq val="1"/>
            <c:trendlineLbl>
              <c:layout>
                <c:manualLayout>
                  <c:x val="-0.512362667596503"/>
                  <c:y val="-0.141135493236426"/>
                </c:manualLayout>
              </c:layout>
              <c:numFmt formatCode="General"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trendlineLbl>
          </c:trendline>
          <c:xVal>
            <c:numRef>
              <c:f>'ln 13 x ln 12'!$Y$26:$Y$63</c:f>
              <c:numCache>
                <c:formatCode>General</c:formatCode>
                <c:ptCount val="38"/>
                <c:pt idx="0">
                  <c:v>9.953752818683678</c:v>
                </c:pt>
                <c:pt idx="1">
                  <c:v>10.55443157687763</c:v>
                </c:pt>
                <c:pt idx="2">
                  <c:v>10.86730537695477</c:v>
                </c:pt>
                <c:pt idx="3">
                  <c:v>11.82834020411777</c:v>
                </c:pt>
                <c:pt idx="4">
                  <c:v>9.082371320807685</c:v>
                </c:pt>
                <c:pt idx="5">
                  <c:v>9.76646435636946</c:v>
                </c:pt>
                <c:pt idx="6">
                  <c:v>10.5395351410555</c:v>
                </c:pt>
                <c:pt idx="7">
                  <c:v>11.43472685756477</c:v>
                </c:pt>
                <c:pt idx="8">
                  <c:v>10.97856054252912</c:v>
                </c:pt>
                <c:pt idx="9">
                  <c:v>9.37203396097417</c:v>
                </c:pt>
                <c:pt idx="10">
                  <c:v>11.07867500543031</c:v>
                </c:pt>
                <c:pt idx="11">
                  <c:v>7.427738840532894</c:v>
                </c:pt>
                <c:pt idx="12">
                  <c:v>8.38288709878914</c:v>
                </c:pt>
                <c:pt idx="13">
                  <c:v>7.681833736459046</c:v>
                </c:pt>
                <c:pt idx="14">
                  <c:v>8.841176768351712</c:v>
                </c:pt>
                <c:pt idx="15">
                  <c:v>7.86172707782398</c:v>
                </c:pt>
                <c:pt idx="16">
                  <c:v>8.165932137321584</c:v>
                </c:pt>
                <c:pt idx="17">
                  <c:v>10.56035967723136</c:v>
                </c:pt>
                <c:pt idx="18">
                  <c:v>9.605148899895818</c:v>
                </c:pt>
                <c:pt idx="19">
                  <c:v>9.043929525845292</c:v>
                </c:pt>
                <c:pt idx="20">
                  <c:v>7.74630066223144</c:v>
                </c:pt>
                <c:pt idx="21">
                  <c:v>11.80445263554827</c:v>
                </c:pt>
                <c:pt idx="22">
                  <c:v>10.01386546000574</c:v>
                </c:pt>
                <c:pt idx="23">
                  <c:v>9.438750032962891</c:v>
                </c:pt>
                <c:pt idx="24">
                  <c:v>9.95289657279367</c:v>
                </c:pt>
                <c:pt idx="25">
                  <c:v>11.51161460617013</c:v>
                </c:pt>
                <c:pt idx="26">
                  <c:v>10.93269617106536</c:v>
                </c:pt>
                <c:pt idx="27">
                  <c:v>8.797548488481558</c:v>
                </c:pt>
                <c:pt idx="28">
                  <c:v>10.21332242962904</c:v>
                </c:pt>
                <c:pt idx="29">
                  <c:v>10.28404502493811</c:v>
                </c:pt>
                <c:pt idx="30">
                  <c:v>10.7360705353368</c:v>
                </c:pt>
                <c:pt idx="31">
                  <c:v>7.940939762327791</c:v>
                </c:pt>
                <c:pt idx="32">
                  <c:v>10.5274186224074</c:v>
                </c:pt>
                <c:pt idx="33">
                  <c:v>11.56051490856314</c:v>
                </c:pt>
                <c:pt idx="34">
                  <c:v>10.31510039123053</c:v>
                </c:pt>
                <c:pt idx="35">
                  <c:v>10.4724877403532</c:v>
                </c:pt>
                <c:pt idx="37">
                  <c:v>9.95156317576769</c:v>
                </c:pt>
              </c:numCache>
            </c:numRef>
          </c:xVal>
          <c:yVal>
            <c:numRef>
              <c:f>'ln 13 x ln 12'!$AA$26:$AA$63</c:f>
              <c:numCache>
                <c:formatCode>General</c:formatCode>
                <c:ptCount val="38"/>
                <c:pt idx="0">
                  <c:v>11.24177269446966</c:v>
                </c:pt>
                <c:pt idx="1">
                  <c:v>11.82532151222323</c:v>
                </c:pt>
                <c:pt idx="2">
                  <c:v>11.5120590147106</c:v>
                </c:pt>
                <c:pt idx="3">
                  <c:v>13.9182984282059</c:v>
                </c:pt>
                <c:pt idx="4">
                  <c:v>10.84601117358005</c:v>
                </c:pt>
                <c:pt idx="5">
                  <c:v>11.56454020768773</c:v>
                </c:pt>
                <c:pt idx="6">
                  <c:v>12.74845525732925</c:v>
                </c:pt>
                <c:pt idx="7">
                  <c:v>12.78245347886835</c:v>
                </c:pt>
                <c:pt idx="8">
                  <c:v>13.21217665872465</c:v>
                </c:pt>
                <c:pt idx="9">
                  <c:v>11.37147710138585</c:v>
                </c:pt>
                <c:pt idx="10">
                  <c:v>11.80368280393894</c:v>
                </c:pt>
                <c:pt idx="11">
                  <c:v>9.468900795620932</c:v>
                </c:pt>
                <c:pt idx="12">
                  <c:v>9.756501999386223</c:v>
                </c:pt>
                <c:pt idx="13">
                  <c:v>10.89111192881612</c:v>
                </c:pt>
                <c:pt idx="14">
                  <c:v>10.63866399857139</c:v>
                </c:pt>
                <c:pt idx="15">
                  <c:v>8.447199819595702</c:v>
                </c:pt>
                <c:pt idx="16">
                  <c:v>9.893841175484322</c:v>
                </c:pt>
                <c:pt idx="17">
                  <c:v>11.63993689878185</c:v>
                </c:pt>
                <c:pt idx="18">
                  <c:v>11.48572897028176</c:v>
                </c:pt>
                <c:pt idx="19">
                  <c:v>10.97447167408676</c:v>
                </c:pt>
                <c:pt idx="20">
                  <c:v>9.17419492533983</c:v>
                </c:pt>
                <c:pt idx="21">
                  <c:v>12.08457710203673</c:v>
                </c:pt>
                <c:pt idx="22">
                  <c:v>11.59468055183915</c:v>
                </c:pt>
                <c:pt idx="23">
                  <c:v>10.31741673905642</c:v>
                </c:pt>
                <c:pt idx="24" formatCode="0.0000_)">
                  <c:v>11.12409621051349</c:v>
                </c:pt>
                <c:pt idx="25">
                  <c:v>11.79500185490117</c:v>
                </c:pt>
                <c:pt idx="26">
                  <c:v>11.3720759313821</c:v>
                </c:pt>
                <c:pt idx="27">
                  <c:v>8.340933226000878</c:v>
                </c:pt>
                <c:pt idx="28" formatCode="0.0000_)">
                  <c:v>11.9117150076563</c:v>
                </c:pt>
                <c:pt idx="29" formatCode="0.0000_)">
                  <c:v>11.12577658589784</c:v>
                </c:pt>
                <c:pt idx="30" formatCode="0.0000_)">
                  <c:v>11.58444580637908</c:v>
                </c:pt>
                <c:pt idx="31" formatCode="0.0000_)">
                  <c:v>9.444621667700849</c:v>
                </c:pt>
                <c:pt idx="32" formatCode="0.0000_)">
                  <c:v>11.71403606366077</c:v>
                </c:pt>
                <c:pt idx="33" formatCode="0.0000_)">
                  <c:v>13.19029862313561</c:v>
                </c:pt>
                <c:pt idx="34" formatCode="0.0000_)">
                  <c:v>10.61336893208724</c:v>
                </c:pt>
                <c:pt idx="35">
                  <c:v>11.32795640663486</c:v>
                </c:pt>
              </c:numCache>
            </c:numRef>
          </c:yVal>
          <c:smooth val="0"/>
        </c:ser>
        <c:ser>
          <c:idx val="1"/>
          <c:order val="1"/>
          <c:spPr>
            <a:ln w="3175">
              <a:solidFill>
                <a:srgbClr val="0000FF"/>
              </a:solidFill>
              <a:prstDash val="sysDash"/>
            </a:ln>
          </c:spPr>
          <c:marker>
            <c:symbol val="none"/>
          </c:marker>
          <c:xVal>
            <c:numRef>
              <c:f>'ln 13 x ln 12'!$Y$26:$Y$63</c:f>
              <c:numCache>
                <c:formatCode>General</c:formatCode>
                <c:ptCount val="38"/>
                <c:pt idx="0">
                  <c:v>9.953752818683678</c:v>
                </c:pt>
                <c:pt idx="1">
                  <c:v>10.55443157687763</c:v>
                </c:pt>
                <c:pt idx="2">
                  <c:v>10.86730537695477</c:v>
                </c:pt>
                <c:pt idx="3">
                  <c:v>11.82834020411777</c:v>
                </c:pt>
                <c:pt idx="4">
                  <c:v>9.082371320807685</c:v>
                </c:pt>
                <c:pt idx="5">
                  <c:v>9.76646435636946</c:v>
                </c:pt>
                <c:pt idx="6">
                  <c:v>10.5395351410555</c:v>
                </c:pt>
                <c:pt idx="7">
                  <c:v>11.43472685756477</c:v>
                </c:pt>
                <c:pt idx="8">
                  <c:v>10.97856054252912</c:v>
                </c:pt>
                <c:pt idx="9">
                  <c:v>9.37203396097417</c:v>
                </c:pt>
                <c:pt idx="10">
                  <c:v>11.07867500543031</c:v>
                </c:pt>
                <c:pt idx="11">
                  <c:v>7.427738840532894</c:v>
                </c:pt>
                <c:pt idx="12">
                  <c:v>8.38288709878914</c:v>
                </c:pt>
                <c:pt idx="13">
                  <c:v>7.681833736459046</c:v>
                </c:pt>
                <c:pt idx="14">
                  <c:v>8.841176768351712</c:v>
                </c:pt>
                <c:pt idx="15">
                  <c:v>7.86172707782398</c:v>
                </c:pt>
                <c:pt idx="16">
                  <c:v>8.165932137321584</c:v>
                </c:pt>
                <c:pt idx="17">
                  <c:v>10.56035967723136</c:v>
                </c:pt>
                <c:pt idx="18">
                  <c:v>9.605148899895818</c:v>
                </c:pt>
                <c:pt idx="19">
                  <c:v>9.043929525845292</c:v>
                </c:pt>
                <c:pt idx="20">
                  <c:v>7.74630066223144</c:v>
                </c:pt>
                <c:pt idx="21">
                  <c:v>11.80445263554827</c:v>
                </c:pt>
                <c:pt idx="22">
                  <c:v>10.01386546000574</c:v>
                </c:pt>
                <c:pt idx="23">
                  <c:v>9.438750032962891</c:v>
                </c:pt>
                <c:pt idx="24">
                  <c:v>9.95289657279367</c:v>
                </c:pt>
                <c:pt idx="25">
                  <c:v>11.51161460617013</c:v>
                </c:pt>
                <c:pt idx="26">
                  <c:v>10.93269617106536</c:v>
                </c:pt>
                <c:pt idx="27">
                  <c:v>8.797548488481558</c:v>
                </c:pt>
                <c:pt idx="28">
                  <c:v>10.21332242962904</c:v>
                </c:pt>
                <c:pt idx="29">
                  <c:v>10.28404502493811</c:v>
                </c:pt>
                <c:pt idx="30">
                  <c:v>10.7360705353368</c:v>
                </c:pt>
                <c:pt idx="31">
                  <c:v>7.940939762327791</c:v>
                </c:pt>
                <c:pt idx="32">
                  <c:v>10.5274186224074</c:v>
                </c:pt>
                <c:pt idx="33">
                  <c:v>11.56051490856314</c:v>
                </c:pt>
                <c:pt idx="34">
                  <c:v>10.31510039123053</c:v>
                </c:pt>
                <c:pt idx="35">
                  <c:v>10.4724877403532</c:v>
                </c:pt>
                <c:pt idx="37">
                  <c:v>9.95156317576769</c:v>
                </c:pt>
              </c:numCache>
            </c:numRef>
          </c:xVal>
          <c:yVal>
            <c:numRef>
              <c:f>'ln 13 x ln 12'!$AC$26:$AC$63</c:f>
              <c:numCache>
                <c:formatCode>General</c:formatCode>
                <c:ptCount val="38"/>
                <c:pt idx="0">
                  <c:v>10.29809598257477</c:v>
                </c:pt>
                <c:pt idx="1">
                  <c:v>10.79797698589391</c:v>
                </c:pt>
                <c:pt idx="2">
                  <c:v>11.05834855216183</c:v>
                </c:pt>
                <c:pt idx="3">
                  <c:v>11.85811556085595</c:v>
                </c:pt>
                <c:pt idx="4">
                  <c:v>9.57293789850724</c:v>
                </c:pt>
                <c:pt idx="5">
                  <c:v>10.14223572753059</c:v>
                </c:pt>
                <c:pt idx="6">
                  <c:v>10.78558026770957</c:v>
                </c:pt>
                <c:pt idx="7">
                  <c:v>11.53055306274746</c:v>
                </c:pt>
                <c:pt idx="8">
                  <c:v>11.15093438615895</c:v>
                </c:pt>
                <c:pt idx="9">
                  <c:v>9.81399328662493</c:v>
                </c:pt>
                <c:pt idx="10">
                  <c:v>11.23424899896843</c:v>
                </c:pt>
                <c:pt idx="11">
                  <c:v>8.19596337913007</c:v>
                </c:pt>
                <c:pt idx="12">
                  <c:v>8.990831623000108</c:v>
                </c:pt>
                <c:pt idx="13">
                  <c:v>8.407419519007127</c:v>
                </c:pt>
                <c:pt idx="14">
                  <c:v>9.372217341583752</c:v>
                </c:pt>
                <c:pt idx="15">
                  <c:v>8.557125601909595</c:v>
                </c:pt>
                <c:pt idx="16">
                  <c:v>8.810283097962287</c:v>
                </c:pt>
                <c:pt idx="17">
                  <c:v>10.80291031292133</c:v>
                </c:pt>
                <c:pt idx="18">
                  <c:v>10.00799004107518</c:v>
                </c:pt>
                <c:pt idx="19">
                  <c:v>9.540946883720962</c:v>
                </c:pt>
                <c:pt idx="20">
                  <c:v>8.461068480446844</c:v>
                </c:pt>
                <c:pt idx="21">
                  <c:v>11.83823647976562</c:v>
                </c:pt>
                <c:pt idx="22">
                  <c:v>10.34812133647039</c:v>
                </c:pt>
                <c:pt idx="23">
                  <c:v>9.869513973095528</c:v>
                </c:pt>
                <c:pt idx="24">
                  <c:v>10.29738342024633</c:v>
                </c:pt>
                <c:pt idx="25">
                  <c:v>11.59453855314728</c:v>
                </c:pt>
                <c:pt idx="26">
                  <c:v>11.11276635089691</c:v>
                </c:pt>
                <c:pt idx="27">
                  <c:v>9.335910167379437</c:v>
                </c:pt>
                <c:pt idx="28">
                  <c:v>10.51410814511678</c:v>
                </c:pt>
                <c:pt idx="29">
                  <c:v>10.5729630345534</c:v>
                </c:pt>
                <c:pt idx="30">
                  <c:v>10.94913576012693</c:v>
                </c:pt>
                <c:pt idx="31">
                  <c:v>8.623045889026827</c:v>
                </c:pt>
                <c:pt idx="32">
                  <c:v>10.77549697873701</c:v>
                </c:pt>
                <c:pt idx="33">
                  <c:v>11.63523307062335</c:v>
                </c:pt>
                <c:pt idx="34">
                  <c:v>10.59880711085697</c:v>
                </c:pt>
                <c:pt idx="35">
                  <c:v>10.72978385161225</c:v>
                </c:pt>
                <c:pt idx="37">
                  <c:v>10.30617316714364</c:v>
                </c:pt>
              </c:numCache>
            </c:numRef>
          </c:yVal>
          <c:smooth val="0"/>
        </c:ser>
        <c:ser>
          <c:idx val="2"/>
          <c:order val="2"/>
          <c:spPr>
            <a:ln w="3175">
              <a:solidFill>
                <a:srgbClr val="FFFF00"/>
              </a:solidFill>
              <a:prstDash val="sysDash"/>
            </a:ln>
          </c:spPr>
          <c:marker>
            <c:symbol val="none"/>
          </c:marker>
          <c:xVal>
            <c:numRef>
              <c:f>'ln 13 x ln 12'!$Y$26:$Y$63</c:f>
              <c:numCache>
                <c:formatCode>General</c:formatCode>
                <c:ptCount val="38"/>
                <c:pt idx="0">
                  <c:v>9.953752818683678</c:v>
                </c:pt>
                <c:pt idx="1">
                  <c:v>10.55443157687763</c:v>
                </c:pt>
                <c:pt idx="2">
                  <c:v>10.86730537695477</c:v>
                </c:pt>
                <c:pt idx="3">
                  <c:v>11.82834020411777</c:v>
                </c:pt>
                <c:pt idx="4">
                  <c:v>9.082371320807685</c:v>
                </c:pt>
                <c:pt idx="5">
                  <c:v>9.76646435636946</c:v>
                </c:pt>
                <c:pt idx="6">
                  <c:v>10.5395351410555</c:v>
                </c:pt>
                <c:pt idx="7">
                  <c:v>11.43472685756477</c:v>
                </c:pt>
                <c:pt idx="8">
                  <c:v>10.97856054252912</c:v>
                </c:pt>
                <c:pt idx="9">
                  <c:v>9.37203396097417</c:v>
                </c:pt>
                <c:pt idx="10">
                  <c:v>11.07867500543031</c:v>
                </c:pt>
                <c:pt idx="11">
                  <c:v>7.427738840532894</c:v>
                </c:pt>
                <c:pt idx="12">
                  <c:v>8.38288709878914</c:v>
                </c:pt>
                <c:pt idx="13">
                  <c:v>7.681833736459046</c:v>
                </c:pt>
                <c:pt idx="14">
                  <c:v>8.841176768351712</c:v>
                </c:pt>
                <c:pt idx="15">
                  <c:v>7.86172707782398</c:v>
                </c:pt>
                <c:pt idx="16">
                  <c:v>8.165932137321584</c:v>
                </c:pt>
                <c:pt idx="17">
                  <c:v>10.56035967723136</c:v>
                </c:pt>
                <c:pt idx="18">
                  <c:v>9.605148899895818</c:v>
                </c:pt>
                <c:pt idx="19">
                  <c:v>9.043929525845292</c:v>
                </c:pt>
                <c:pt idx="20">
                  <c:v>7.74630066223144</c:v>
                </c:pt>
                <c:pt idx="21">
                  <c:v>11.80445263554827</c:v>
                </c:pt>
                <c:pt idx="22">
                  <c:v>10.01386546000574</c:v>
                </c:pt>
                <c:pt idx="23">
                  <c:v>9.438750032962891</c:v>
                </c:pt>
                <c:pt idx="24">
                  <c:v>9.95289657279367</c:v>
                </c:pt>
                <c:pt idx="25">
                  <c:v>11.51161460617013</c:v>
                </c:pt>
                <c:pt idx="26">
                  <c:v>10.93269617106536</c:v>
                </c:pt>
                <c:pt idx="27">
                  <c:v>8.797548488481558</c:v>
                </c:pt>
                <c:pt idx="28">
                  <c:v>10.21332242962904</c:v>
                </c:pt>
                <c:pt idx="29">
                  <c:v>10.28404502493811</c:v>
                </c:pt>
                <c:pt idx="30">
                  <c:v>10.7360705353368</c:v>
                </c:pt>
                <c:pt idx="31">
                  <c:v>7.940939762327791</c:v>
                </c:pt>
                <c:pt idx="32">
                  <c:v>10.5274186224074</c:v>
                </c:pt>
                <c:pt idx="33">
                  <c:v>11.56051490856314</c:v>
                </c:pt>
                <c:pt idx="34">
                  <c:v>10.31510039123053</c:v>
                </c:pt>
                <c:pt idx="35">
                  <c:v>10.4724877403532</c:v>
                </c:pt>
                <c:pt idx="37">
                  <c:v>9.95156317576769</c:v>
                </c:pt>
              </c:numCache>
            </c:numRef>
          </c:xVal>
          <c:yVal>
            <c:numRef>
              <c:f>'ln 13 x ln 12'!$AD$26:$AD$63</c:f>
              <c:numCache>
                <c:formatCode>General</c:formatCode>
                <c:ptCount val="38"/>
                <c:pt idx="0">
                  <c:v>12.21770598889841</c:v>
                </c:pt>
                <c:pt idx="1">
                  <c:v>12.71758699221755</c:v>
                </c:pt>
                <c:pt idx="2">
                  <c:v>12.97795855848548</c:v>
                </c:pt>
                <c:pt idx="3">
                  <c:v>13.7777255671796</c:v>
                </c:pt>
                <c:pt idx="4">
                  <c:v>11.49254790483089</c:v>
                </c:pt>
                <c:pt idx="5">
                  <c:v>12.06184573385423</c:v>
                </c:pt>
                <c:pt idx="6">
                  <c:v>12.70519027403322</c:v>
                </c:pt>
                <c:pt idx="7">
                  <c:v>13.4501630690711</c:v>
                </c:pt>
                <c:pt idx="8">
                  <c:v>13.0705443924826</c:v>
                </c:pt>
                <c:pt idx="9">
                  <c:v>11.73360329294858</c:v>
                </c:pt>
                <c:pt idx="10">
                  <c:v>13.15385900529207</c:v>
                </c:pt>
                <c:pt idx="11">
                  <c:v>10.11557338545371</c:v>
                </c:pt>
                <c:pt idx="12">
                  <c:v>10.91044162932375</c:v>
                </c:pt>
                <c:pt idx="13">
                  <c:v>10.32702952533077</c:v>
                </c:pt>
                <c:pt idx="14">
                  <c:v>11.2918273479074</c:v>
                </c:pt>
                <c:pt idx="15">
                  <c:v>10.47673560823324</c:v>
                </c:pt>
                <c:pt idx="16">
                  <c:v>10.72989310428593</c:v>
                </c:pt>
                <c:pt idx="17">
                  <c:v>12.72252031924498</c:v>
                </c:pt>
                <c:pt idx="18">
                  <c:v>11.92760004739883</c:v>
                </c:pt>
                <c:pt idx="19">
                  <c:v>11.46055689004461</c:v>
                </c:pt>
                <c:pt idx="20">
                  <c:v>10.38067848677049</c:v>
                </c:pt>
                <c:pt idx="21">
                  <c:v>13.75784648608927</c:v>
                </c:pt>
                <c:pt idx="22">
                  <c:v>12.26773134279403</c:v>
                </c:pt>
                <c:pt idx="23">
                  <c:v>11.78912397941917</c:v>
                </c:pt>
                <c:pt idx="24">
                  <c:v>12.21699342656997</c:v>
                </c:pt>
                <c:pt idx="25">
                  <c:v>13.51414855947092</c:v>
                </c:pt>
                <c:pt idx="26">
                  <c:v>13.03237635722056</c:v>
                </c:pt>
                <c:pt idx="27">
                  <c:v>11.25552017370308</c:v>
                </c:pt>
                <c:pt idx="28">
                  <c:v>12.43371815144043</c:v>
                </c:pt>
                <c:pt idx="29">
                  <c:v>12.49257304087704</c:v>
                </c:pt>
                <c:pt idx="30">
                  <c:v>12.86874576645057</c:v>
                </c:pt>
                <c:pt idx="31">
                  <c:v>10.54265589535047</c:v>
                </c:pt>
                <c:pt idx="32">
                  <c:v>12.69510698506065</c:v>
                </c:pt>
                <c:pt idx="33">
                  <c:v>13.554843076947</c:v>
                </c:pt>
                <c:pt idx="34">
                  <c:v>12.51841711718061</c:v>
                </c:pt>
                <c:pt idx="35">
                  <c:v>12.6493938579359</c:v>
                </c:pt>
                <c:pt idx="37">
                  <c:v>12.20598439079628</c:v>
                </c:pt>
              </c:numCache>
            </c:numRef>
          </c:yVal>
          <c:smooth val="0"/>
        </c:ser>
        <c:ser>
          <c:idx val="3"/>
          <c:order val="3"/>
          <c:tx>
            <c:v>Forecast</c:v>
          </c:tx>
          <c:spPr>
            <a:ln w="3175">
              <a:solidFill>
                <a:srgbClr val="FF00FF"/>
              </a:solidFill>
              <a:prstDash val="solid"/>
            </a:ln>
          </c:spPr>
          <c:marker>
            <c:symbol val="diamond"/>
            <c:size val="5"/>
            <c:spPr>
              <a:noFill/>
              <a:ln>
                <a:solidFill>
                  <a:srgbClr val="FF00FF"/>
                </a:solidFill>
                <a:prstDash val="solid"/>
              </a:ln>
            </c:spPr>
          </c:marker>
          <c:dLbls>
            <c:dLbl>
              <c:idx val="0"/>
              <c:tx>
                <c:strRef>
                  <c:f>'ln 13 x ln 12'!$AF$26</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
              <c:tx>
                <c:strRef>
                  <c:f>'ln 13 x ln 12'!$AF$27</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2"/>
              <c:tx>
                <c:strRef>
                  <c:f>'ln 13 x ln 12'!$AF$28</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3"/>
              <c:tx>
                <c:strRef>
                  <c:f>'ln 13 x ln 12'!$AF$29</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4"/>
              <c:tx>
                <c:strRef>
                  <c:f>'ln 13 x ln 12'!$AF$30</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5"/>
              <c:tx>
                <c:strRef>
                  <c:f>'ln 13 x ln 12'!$AF$31</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6"/>
              <c:tx>
                <c:strRef>
                  <c:f>'ln 13 x ln 12'!$AF$32</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7"/>
              <c:tx>
                <c:strRef>
                  <c:f>'ln 13 x ln 12'!$AF$33</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8"/>
              <c:tx>
                <c:strRef>
                  <c:f>'ln 13 x ln 12'!$AF$34</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9"/>
              <c:tx>
                <c:strRef>
                  <c:f>'ln 13 x ln 12'!$AF$35</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0"/>
              <c:tx>
                <c:strRef>
                  <c:f>'ln 13 x ln 12'!$AF$36</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1"/>
              <c:tx>
                <c:strRef>
                  <c:f>'ln 13 x ln 12'!$AF$37</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2"/>
              <c:tx>
                <c:strRef>
                  <c:f>'ln 13 x ln 12'!$AF$38</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3"/>
              <c:tx>
                <c:strRef>
                  <c:f>'ln 13 x ln 12'!$AF$39</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4"/>
              <c:tx>
                <c:strRef>
                  <c:f>'ln 13 x ln 12'!$AF$40</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5"/>
              <c:tx>
                <c:strRef>
                  <c:f>'ln 13 x ln 12'!$AF$41</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6"/>
              <c:tx>
                <c:strRef>
                  <c:f>'ln 13 x ln 12'!$AF$42</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7"/>
              <c:tx>
                <c:strRef>
                  <c:f>'ln 13 x ln 12'!$AF$43</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8"/>
              <c:tx>
                <c:strRef>
                  <c:f>'ln 13 x ln 12'!$AF$44</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19"/>
              <c:tx>
                <c:strRef>
                  <c:f>'ln 13 x ln 12'!$AF$45</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20"/>
              <c:tx>
                <c:strRef>
                  <c:f>'ln 13 x ln 12'!$AF$46</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21"/>
              <c:tx>
                <c:strRef>
                  <c:f>'ln 13 x ln 12'!$AF$61</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22"/>
              <c:tx>
                <c:strRef>
                  <c:f>'ln 13 x ln 12'!$AF$62</c:f>
                  <c:strCache>
                    <c:ptCount val="1"/>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dLbl>
              <c:idx val="23"/>
              <c:tx>
                <c:strRef>
                  <c:f>'ln 13 x ln 12'!$AF$63</c:f>
                  <c:strCache>
                    <c:ptCount val="1"/>
                    <c:pt idx="0">
                      <c:v>99</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0"/>
              <c:showBubbleSize val="0"/>
            </c:dLbl>
            <c:showLegendKey val="0"/>
            <c:showVal val="0"/>
            <c:showCatName val="0"/>
            <c:showSerName val="0"/>
            <c:showPercent val="0"/>
            <c:showBubbleSize val="0"/>
          </c:dLbls>
          <c:xVal>
            <c:numRef>
              <c:f>'ln 13 x ln 12'!$Y$26:$Y$63</c:f>
              <c:numCache>
                <c:formatCode>General</c:formatCode>
                <c:ptCount val="38"/>
                <c:pt idx="0">
                  <c:v>9.953752818683678</c:v>
                </c:pt>
                <c:pt idx="1">
                  <c:v>10.55443157687763</c:v>
                </c:pt>
                <c:pt idx="2">
                  <c:v>10.86730537695477</c:v>
                </c:pt>
                <c:pt idx="3">
                  <c:v>11.82834020411777</c:v>
                </c:pt>
                <c:pt idx="4">
                  <c:v>9.082371320807685</c:v>
                </c:pt>
                <c:pt idx="5">
                  <c:v>9.76646435636946</c:v>
                </c:pt>
                <c:pt idx="6">
                  <c:v>10.5395351410555</c:v>
                </c:pt>
                <c:pt idx="7">
                  <c:v>11.43472685756477</c:v>
                </c:pt>
                <c:pt idx="8">
                  <c:v>10.97856054252912</c:v>
                </c:pt>
                <c:pt idx="9">
                  <c:v>9.37203396097417</c:v>
                </c:pt>
                <c:pt idx="10">
                  <c:v>11.07867500543031</c:v>
                </c:pt>
                <c:pt idx="11">
                  <c:v>7.427738840532894</c:v>
                </c:pt>
                <c:pt idx="12">
                  <c:v>8.38288709878914</c:v>
                </c:pt>
                <c:pt idx="13">
                  <c:v>7.681833736459046</c:v>
                </c:pt>
                <c:pt idx="14">
                  <c:v>8.841176768351712</c:v>
                </c:pt>
                <c:pt idx="15">
                  <c:v>7.86172707782398</c:v>
                </c:pt>
                <c:pt idx="16">
                  <c:v>8.165932137321584</c:v>
                </c:pt>
                <c:pt idx="17">
                  <c:v>10.56035967723136</c:v>
                </c:pt>
                <c:pt idx="18">
                  <c:v>9.605148899895818</c:v>
                </c:pt>
                <c:pt idx="19">
                  <c:v>9.043929525845292</c:v>
                </c:pt>
                <c:pt idx="20">
                  <c:v>7.74630066223144</c:v>
                </c:pt>
                <c:pt idx="21">
                  <c:v>11.80445263554827</c:v>
                </c:pt>
                <c:pt idx="22">
                  <c:v>10.01386546000574</c:v>
                </c:pt>
                <c:pt idx="23">
                  <c:v>9.438750032962891</c:v>
                </c:pt>
                <c:pt idx="24">
                  <c:v>9.95289657279367</c:v>
                </c:pt>
                <c:pt idx="25">
                  <c:v>11.51161460617013</c:v>
                </c:pt>
                <c:pt idx="26">
                  <c:v>10.93269617106536</c:v>
                </c:pt>
                <c:pt idx="27">
                  <c:v>8.797548488481558</c:v>
                </c:pt>
                <c:pt idx="28">
                  <c:v>10.21332242962904</c:v>
                </c:pt>
                <c:pt idx="29">
                  <c:v>10.28404502493811</c:v>
                </c:pt>
                <c:pt idx="30">
                  <c:v>10.7360705353368</c:v>
                </c:pt>
                <c:pt idx="31">
                  <c:v>7.940939762327791</c:v>
                </c:pt>
                <c:pt idx="32">
                  <c:v>10.5274186224074</c:v>
                </c:pt>
                <c:pt idx="33">
                  <c:v>11.56051490856314</c:v>
                </c:pt>
                <c:pt idx="34">
                  <c:v>10.31510039123053</c:v>
                </c:pt>
                <c:pt idx="35">
                  <c:v>10.4724877403532</c:v>
                </c:pt>
                <c:pt idx="37">
                  <c:v>9.95156317576769</c:v>
                </c:pt>
              </c:numCache>
            </c:numRef>
          </c:xVal>
          <c:yVal>
            <c:numRef>
              <c:f>'ln 13 x ln 12'!$AE$26:$AE$63</c:f>
              <c:numCache>
                <c:formatCode>General</c:formatCode>
                <c:ptCount val="38"/>
                <c:pt idx="37" formatCode="0.0000_)">
                  <c:v>11.25607877896996</c:v>
                </c:pt>
              </c:numCache>
            </c:numRef>
          </c:yVal>
          <c:smooth val="0"/>
        </c:ser>
        <c:dLbls>
          <c:showLegendKey val="0"/>
          <c:showVal val="0"/>
          <c:showCatName val="0"/>
          <c:showSerName val="0"/>
          <c:showPercent val="0"/>
          <c:showBubbleSize val="0"/>
        </c:dLbls>
        <c:axId val="-2090801128"/>
        <c:axId val="-2090832888"/>
      </c:scatterChart>
      <c:valAx>
        <c:axId val="-2090801128"/>
        <c:scaling>
          <c:orientation val="minMax"/>
          <c:min val="6.0"/>
        </c:scaling>
        <c:delete val="0"/>
        <c:axPos val="b"/>
        <c:title>
          <c:tx>
            <c:rich>
              <a:bodyPr/>
              <a:lstStyle/>
              <a:p>
                <a:pPr>
                  <a:defRPr sz="1000" b="0" i="0" u="none" strike="noStrike" baseline="0">
                    <a:solidFill>
                      <a:srgbClr val="000000"/>
                    </a:solidFill>
                    <a:latin typeface="Arial"/>
                    <a:ea typeface="Arial"/>
                    <a:cs typeface="Arial"/>
                  </a:defRPr>
                </a:pPr>
                <a:r>
                  <a:rPr lang="en-US"/>
                  <a:t>LN AGED 1.2</a:t>
                </a:r>
              </a:p>
            </c:rich>
          </c:tx>
          <c:layout>
            <c:manualLayout>
              <c:xMode val="edge"/>
              <c:yMode val="edge"/>
              <c:x val="0.471741949497692"/>
              <c:y val="0.845401253414752"/>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90832888"/>
        <c:crosses val="autoZero"/>
        <c:crossBetween val="midCat"/>
      </c:valAx>
      <c:valAx>
        <c:axId val="-2090832888"/>
        <c:scaling>
          <c:orientation val="minMax"/>
          <c:min val="8.0"/>
        </c:scaling>
        <c:delete val="0"/>
        <c:axPos val="l"/>
        <c:title>
          <c:tx>
            <c:rich>
              <a:bodyPr/>
              <a:lstStyle/>
              <a:p>
                <a:pPr>
                  <a:defRPr sz="1000" b="0" i="0" u="none" strike="noStrike" baseline="0">
                    <a:solidFill>
                      <a:srgbClr val="000000"/>
                    </a:solidFill>
                    <a:latin typeface="Arial"/>
                    <a:ea typeface="Arial"/>
                    <a:cs typeface="Arial"/>
                  </a:defRPr>
                </a:pPr>
                <a:r>
                  <a:rPr lang="en-US"/>
                  <a:t>LN SIBLINGS AGED 1.3</a:t>
                </a:r>
              </a:p>
            </c:rich>
          </c:tx>
          <c:layout>
            <c:manualLayout>
              <c:xMode val="edge"/>
              <c:yMode val="edge"/>
              <c:x val="0.0220698343741515"/>
              <c:y val="0.286701376613638"/>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90801128"/>
        <c:crosses val="autoZero"/>
        <c:crossBetween val="midCat"/>
      </c:valAx>
      <c:spPr>
        <a:solidFill>
          <a:srgbClr val="FFFFFF"/>
        </a:solidFill>
        <a:ln w="25400">
          <a:noFill/>
        </a:ln>
      </c:spPr>
    </c:plotArea>
    <c:legend>
      <c:legendPos val="b"/>
      <c:layout>
        <c:manualLayout>
          <c:xMode val="edge"/>
          <c:yMode val="edge"/>
          <c:x val="0.160006081998371"/>
          <c:y val="0.931166747013766"/>
          <c:w val="0.73657967236854"/>
          <c:h val="0.0539096898601961"/>
        </c:manualLayout>
      </c:layout>
      <c:overlay val="0"/>
      <c:spPr>
        <a:solidFill>
          <a:srgbClr val="FFFFFF"/>
        </a:solid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 r="0.75" t="1.0"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LN R/S Aged 1.3 FROM BYE</a:t>
            </a:r>
          </a:p>
        </c:rich>
      </c:tx>
      <c:layout>
        <c:manualLayout>
          <c:xMode val="edge"/>
          <c:yMode val="edge"/>
          <c:x val="0.368485244982359"/>
          <c:y val="0.032157003101885"/>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0965788112095362"/>
          <c:y val="0.156191603437702"/>
          <c:w val="0.848407710779156"/>
          <c:h val="0.622469478406135"/>
        </c:manualLayout>
      </c:layout>
      <c:scatterChart>
        <c:scatterStyle val="lineMarker"/>
        <c:varyColors val="0"/>
        <c:ser>
          <c:idx val="0"/>
          <c:order val="0"/>
          <c:tx>
            <c:v>ACTUAL</c:v>
          </c:tx>
          <c:spPr>
            <a:ln w="28575">
              <a:noFill/>
            </a:ln>
          </c:spPr>
          <c:marker>
            <c:symbol val="diamond"/>
            <c:size val="5"/>
            <c:spPr>
              <a:solidFill>
                <a:srgbClr val="00FF00"/>
              </a:solidFill>
              <a:ln>
                <a:solidFill>
                  <a:srgbClr val="000000"/>
                </a:solidFill>
                <a:prstDash val="solid"/>
              </a:ln>
            </c:spPr>
          </c:marker>
          <c:dLbls>
            <c:dLbl>
              <c:idx val="0"/>
              <c:tx>
                <c:strRef>
                  <c:f>'ln13rps x BYE'!$B$26</c:f>
                  <c:strCache>
                    <c:ptCount val="1"/>
                    <c:pt idx="0">
                      <c:v>1979</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
              <c:tx>
                <c:strRef>
                  <c:f>'ln13rps x BYE'!$B$27</c:f>
                  <c:strCache>
                    <c:ptCount val="1"/>
                    <c:pt idx="0">
                      <c:v>1980</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2"/>
              <c:tx>
                <c:strRef>
                  <c:f>'ln13rps x BYE'!$B$28</c:f>
                  <c:strCache>
                    <c:ptCount val="1"/>
                    <c:pt idx="0">
                      <c:v>1981</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3"/>
              <c:tx>
                <c:strRef>
                  <c:f>'ln13rps x BYE'!$B$29</c:f>
                  <c:strCache>
                    <c:ptCount val="1"/>
                    <c:pt idx="0">
                      <c:v>1982</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4"/>
              <c:tx>
                <c:strRef>
                  <c:f>'ln13rps x BYE'!$B$30</c:f>
                  <c:strCache>
                    <c:ptCount val="1"/>
                    <c:pt idx="0">
                      <c:v>1983</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5"/>
              <c:tx>
                <c:strRef>
                  <c:f>'ln13rps x BYE'!$B$31</c:f>
                  <c:strCache>
                    <c:ptCount val="1"/>
                    <c:pt idx="0">
                      <c:v>1984</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6"/>
              <c:tx>
                <c:strRef>
                  <c:f>'ln13rps x BYE'!$B$32</c:f>
                  <c:strCache>
                    <c:ptCount val="1"/>
                    <c:pt idx="0">
                      <c:v>1985</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7"/>
              <c:tx>
                <c:strRef>
                  <c:f>'ln13rps x BYE'!$B$33</c:f>
                  <c:strCache>
                    <c:ptCount val="1"/>
                    <c:pt idx="0">
                      <c:v>1986</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8"/>
              <c:tx>
                <c:strRef>
                  <c:f>'ln13rps x BYE'!$B$34</c:f>
                  <c:strCache>
                    <c:ptCount val="1"/>
                    <c:pt idx="0">
                      <c:v>1987</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9"/>
              <c:tx>
                <c:strRef>
                  <c:f>'ln13rps x BYE'!$B$35</c:f>
                  <c:strCache>
                    <c:ptCount val="1"/>
                    <c:pt idx="0">
                      <c:v>1988</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0"/>
              <c:tx>
                <c:strRef>
                  <c:f>'ln13rps x BYE'!$B$36</c:f>
                  <c:strCache>
                    <c:ptCount val="1"/>
                    <c:pt idx="0">
                      <c:v>1989</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1"/>
              <c:tx>
                <c:strRef>
                  <c:f>'ln13rps x BYE'!$B$37</c:f>
                  <c:strCache>
                    <c:ptCount val="1"/>
                    <c:pt idx="0">
                      <c:v>1990</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2"/>
              <c:tx>
                <c:strRef>
                  <c:f>'ln13rps x BYE'!$B$38</c:f>
                  <c:strCache>
                    <c:ptCount val="1"/>
                    <c:pt idx="0">
                      <c:v>1991</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3"/>
              <c:tx>
                <c:strRef>
                  <c:f>'ln13rps x BYE'!$B$39</c:f>
                  <c:strCache>
                    <c:ptCount val="1"/>
                    <c:pt idx="0">
                      <c:v>1992</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4"/>
              <c:tx>
                <c:strRef>
                  <c:f>'ln13rps x BYE'!$B$40</c:f>
                  <c:strCache>
                    <c:ptCount val="1"/>
                    <c:pt idx="0">
                      <c:v>1993</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5"/>
              <c:tx>
                <c:strRef>
                  <c:f>'ln13rps x BYE'!$B$41</c:f>
                  <c:strCache>
                    <c:ptCount val="1"/>
                    <c:pt idx="0">
                      <c:v>1994</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6"/>
              <c:tx>
                <c:strRef>
                  <c:f>'ln13rps x BYE'!$B$42</c:f>
                  <c:strCache>
                    <c:ptCount val="1"/>
                    <c:pt idx="0">
                      <c:v>1995</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7"/>
              <c:tx>
                <c:strRef>
                  <c:f>'ln13rps x BYE'!$B$43</c:f>
                  <c:strCache>
                    <c:ptCount val="1"/>
                    <c:pt idx="0">
                      <c:v>1996</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8"/>
              <c:tx>
                <c:strRef>
                  <c:f>'ln13rps x BYE'!$B$44</c:f>
                  <c:strCache>
                    <c:ptCount val="1"/>
                    <c:pt idx="0">
                      <c:v>1997</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9"/>
              <c:tx>
                <c:strRef>
                  <c:f>'ln13rps x BYE'!$B$45</c:f>
                  <c:strCache>
                    <c:ptCount val="1"/>
                    <c:pt idx="0">
                      <c:v>1998</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20"/>
              <c:tx>
                <c:strRef>
                  <c:f>'ln13rps x BYE'!$B$46</c:f>
                  <c:strCache>
                    <c:ptCount val="1"/>
                    <c:pt idx="0">
                      <c:v>1999</c:v>
                    </c:pt>
                  </c:strCache>
                </c:strRef>
              </c:tx>
              <c:spPr/>
              <c:txPr>
                <a:bodyPr/>
                <a:lstStyle/>
                <a:p>
                  <a:pPr>
                    <a:defRPr/>
                  </a:pPr>
                  <a:endParaRPr lang="en-US"/>
                </a:p>
              </c:txPr>
              <c:dLblPos val="r"/>
              <c:showLegendKey val="0"/>
              <c:showVal val="0"/>
              <c:showCatName val="0"/>
              <c:showSerName val="0"/>
              <c:showPercent val="0"/>
              <c:showBubbleSize val="0"/>
            </c:dLbl>
            <c:dLbl>
              <c:idx val="21"/>
              <c:tx>
                <c:strRef>
                  <c:f>'ln13rps x BYE'!$B$47</c:f>
                  <c:strCache>
                    <c:ptCount val="1"/>
                    <c:pt idx="0">
                      <c:v>2000</c:v>
                    </c:pt>
                  </c:strCache>
                </c:strRef>
              </c:tx>
              <c:spPr/>
              <c:txPr>
                <a:bodyPr/>
                <a:lstStyle/>
                <a:p>
                  <a:pPr>
                    <a:defRPr/>
                  </a:pPr>
                  <a:endParaRPr lang="en-US"/>
                </a:p>
              </c:txPr>
              <c:dLblPos val="r"/>
              <c:showLegendKey val="0"/>
              <c:showVal val="0"/>
              <c:showCatName val="0"/>
              <c:showSerName val="0"/>
              <c:showPercent val="0"/>
              <c:showBubbleSize val="0"/>
            </c:dLbl>
            <c:dLbl>
              <c:idx val="22"/>
              <c:tx>
                <c:strRef>
                  <c:f>'ln13rps x BYE'!$B$48</c:f>
                  <c:strCache>
                    <c:ptCount val="1"/>
                    <c:pt idx="0">
                      <c:v>2001</c:v>
                    </c:pt>
                  </c:strCache>
                </c:strRef>
              </c:tx>
              <c:spPr/>
              <c:txPr>
                <a:bodyPr/>
                <a:lstStyle/>
                <a:p>
                  <a:pPr>
                    <a:defRPr/>
                  </a:pPr>
                  <a:endParaRPr lang="en-US"/>
                </a:p>
              </c:txPr>
              <c:dLblPos val="r"/>
              <c:showLegendKey val="0"/>
              <c:showVal val="0"/>
              <c:showCatName val="0"/>
              <c:showSerName val="0"/>
              <c:showPercent val="0"/>
              <c:showBubbleSize val="0"/>
            </c:dLbl>
            <c:dLbl>
              <c:idx val="23"/>
              <c:tx>
                <c:strRef>
                  <c:f>'ln13rps x BYE'!$B$49</c:f>
                  <c:strCache>
                    <c:ptCount val="1"/>
                    <c:pt idx="0">
                      <c:v>2002</c:v>
                    </c:pt>
                  </c:strCache>
                </c:strRef>
              </c:tx>
              <c:spPr/>
              <c:txPr>
                <a:bodyPr/>
                <a:lstStyle/>
                <a:p>
                  <a:pPr>
                    <a:defRPr/>
                  </a:pPr>
                  <a:endParaRPr lang="en-US"/>
                </a:p>
              </c:txPr>
              <c:dLblPos val="r"/>
              <c:showLegendKey val="0"/>
              <c:showVal val="0"/>
              <c:showCatName val="0"/>
              <c:showSerName val="0"/>
              <c:showPercent val="0"/>
              <c:showBubbleSize val="0"/>
            </c:dLbl>
            <c:dLbl>
              <c:idx val="24"/>
              <c:tx>
                <c:strRef>
                  <c:f>'ln13rps x BYE'!$B$50</c:f>
                  <c:strCache>
                    <c:ptCount val="1"/>
                    <c:pt idx="0">
                      <c:v>2003</c:v>
                    </c:pt>
                  </c:strCache>
                </c:strRef>
              </c:tx>
              <c:spPr/>
              <c:txPr>
                <a:bodyPr/>
                <a:lstStyle/>
                <a:p>
                  <a:pPr>
                    <a:defRPr/>
                  </a:pPr>
                  <a:endParaRPr lang="en-US"/>
                </a:p>
              </c:txPr>
              <c:dLblPos val="r"/>
              <c:showLegendKey val="0"/>
              <c:showVal val="0"/>
              <c:showCatName val="0"/>
              <c:showSerName val="0"/>
              <c:showPercent val="0"/>
              <c:showBubbleSize val="0"/>
            </c:dLbl>
            <c:dLbl>
              <c:idx val="25"/>
              <c:tx>
                <c:strRef>
                  <c:f>'ln13rps x BYE'!$B$51</c:f>
                  <c:strCache>
                    <c:ptCount val="1"/>
                    <c:pt idx="0">
                      <c:v>2004</c:v>
                    </c:pt>
                  </c:strCache>
                </c:strRef>
              </c:tx>
              <c:spPr/>
              <c:txPr>
                <a:bodyPr/>
                <a:lstStyle/>
                <a:p>
                  <a:pPr>
                    <a:defRPr/>
                  </a:pPr>
                  <a:endParaRPr lang="en-US"/>
                </a:p>
              </c:txPr>
              <c:dLblPos val="r"/>
              <c:showLegendKey val="0"/>
              <c:showVal val="0"/>
              <c:showCatName val="0"/>
              <c:showSerName val="0"/>
              <c:showPercent val="0"/>
              <c:showBubbleSize val="0"/>
            </c:dLbl>
            <c:dLbl>
              <c:idx val="26"/>
              <c:tx>
                <c:strRef>
                  <c:f>'ln13rps x BYE'!$B$52</c:f>
                  <c:strCache>
                    <c:ptCount val="1"/>
                    <c:pt idx="0">
                      <c:v>2005</c:v>
                    </c:pt>
                  </c:strCache>
                </c:strRef>
              </c:tx>
              <c:spPr/>
              <c:txPr>
                <a:bodyPr/>
                <a:lstStyle/>
                <a:p>
                  <a:pPr>
                    <a:defRPr/>
                  </a:pPr>
                  <a:endParaRPr lang="en-US"/>
                </a:p>
              </c:txPr>
              <c:dLblPos val="r"/>
              <c:showLegendKey val="0"/>
              <c:showVal val="0"/>
              <c:showCatName val="0"/>
              <c:showSerName val="0"/>
              <c:showPercent val="0"/>
              <c:showBubbleSize val="0"/>
            </c:dLbl>
            <c:dLbl>
              <c:idx val="27"/>
              <c:tx>
                <c:strRef>
                  <c:f>'ln13rps x BYE'!$B$53</c:f>
                  <c:strCache>
                    <c:ptCount val="1"/>
                    <c:pt idx="0">
                      <c:v>2006</c:v>
                    </c:pt>
                  </c:strCache>
                </c:strRef>
              </c:tx>
              <c:spPr/>
              <c:txPr>
                <a:bodyPr/>
                <a:lstStyle/>
                <a:p>
                  <a:pPr>
                    <a:defRPr/>
                  </a:pPr>
                  <a:endParaRPr lang="en-US"/>
                </a:p>
              </c:txPr>
              <c:dLblPos val="r"/>
              <c:showLegendKey val="0"/>
              <c:showVal val="0"/>
              <c:showCatName val="0"/>
              <c:showSerName val="0"/>
              <c:showPercent val="0"/>
              <c:showBubbleSize val="0"/>
            </c:dLbl>
            <c:dLbl>
              <c:idx val="28"/>
              <c:tx>
                <c:strRef>
                  <c:f>'ln13rps x BYE'!$B$54</c:f>
                  <c:strCache>
                    <c:ptCount val="1"/>
                    <c:pt idx="0">
                      <c:v>2007</c:v>
                    </c:pt>
                  </c:strCache>
                </c:strRef>
              </c:tx>
              <c:spPr/>
              <c:txPr>
                <a:bodyPr/>
                <a:lstStyle/>
                <a:p>
                  <a:pPr>
                    <a:defRPr/>
                  </a:pPr>
                  <a:endParaRPr lang="en-US"/>
                </a:p>
              </c:txPr>
              <c:dLblPos val="r"/>
              <c:showLegendKey val="0"/>
              <c:showVal val="0"/>
              <c:showCatName val="0"/>
              <c:showSerName val="0"/>
              <c:showPercent val="0"/>
              <c:showBubbleSize val="0"/>
            </c:dLbl>
            <c:dLbl>
              <c:idx val="29"/>
              <c:tx>
                <c:strRef>
                  <c:f>'ln13rps x BYE'!$B$55</c:f>
                  <c:strCache>
                    <c:ptCount val="1"/>
                    <c:pt idx="0">
                      <c:v>2008</c:v>
                    </c:pt>
                  </c:strCache>
                </c:strRef>
              </c:tx>
              <c:spPr/>
              <c:txPr>
                <a:bodyPr/>
                <a:lstStyle/>
                <a:p>
                  <a:pPr>
                    <a:defRPr/>
                  </a:pPr>
                  <a:endParaRPr lang="en-US"/>
                </a:p>
              </c:txPr>
              <c:dLblPos val="r"/>
              <c:showLegendKey val="0"/>
              <c:showVal val="0"/>
              <c:showCatName val="0"/>
              <c:showSerName val="0"/>
              <c:showPercent val="0"/>
              <c:showBubbleSize val="0"/>
            </c:dLbl>
            <c:dLbl>
              <c:idx val="30"/>
              <c:tx>
                <c:strRef>
                  <c:f>'ln13rps x BYE'!$B$56</c:f>
                  <c:strCache>
                    <c:ptCount val="1"/>
                    <c:pt idx="0">
                      <c:v>2009</c:v>
                    </c:pt>
                  </c:strCache>
                </c:strRef>
              </c:tx>
              <c:spPr/>
              <c:txPr>
                <a:bodyPr/>
                <a:lstStyle/>
                <a:p>
                  <a:pPr>
                    <a:defRPr/>
                  </a:pPr>
                  <a:endParaRPr lang="en-US"/>
                </a:p>
              </c:txPr>
              <c:dLblPos val="r"/>
              <c:showLegendKey val="0"/>
              <c:showVal val="0"/>
              <c:showCatName val="0"/>
              <c:showSerName val="0"/>
              <c:showPercent val="0"/>
              <c:showBubbleSize val="0"/>
            </c:dLbl>
            <c:dLbl>
              <c:idx val="31"/>
              <c:tx>
                <c:strRef>
                  <c:f>'ln13rps x BYE'!$B$61</c:f>
                  <c:strCache>
                    <c:ptCount val="1"/>
                    <c:pt idx="0">
                      <c:v>2014</c:v>
                    </c:pt>
                  </c:strCache>
                </c:strRef>
              </c:tx>
              <c:spPr/>
              <c:txPr>
                <a:bodyPr/>
                <a:lstStyle/>
                <a:p>
                  <a:pPr>
                    <a:defRPr/>
                  </a:pPr>
                  <a:endParaRPr lang="en-US"/>
                </a:p>
              </c:txPr>
              <c:dLblPos val="r"/>
              <c:showLegendKey val="0"/>
              <c:showVal val="0"/>
              <c:showCatName val="0"/>
              <c:showSerName val="0"/>
              <c:showPercent val="0"/>
              <c:showBubbleSize val="0"/>
            </c:dLbl>
            <c:dLbl>
              <c:idx val="32"/>
              <c:tx>
                <c:strRef>
                  <c:f>'ln13rps x BYE'!$B$62</c:f>
                  <c:strCache>
                    <c:ptCount val="1"/>
                  </c:strCache>
                </c:strRef>
              </c:tx>
              <c:spPr/>
              <c:txPr>
                <a:bodyPr/>
                <a:lstStyle/>
                <a:p>
                  <a:pPr>
                    <a:defRPr/>
                  </a:pPr>
                  <a:endParaRPr lang="en-US"/>
                </a:p>
              </c:txPr>
              <c:dLblPos val="r"/>
              <c:showLegendKey val="0"/>
              <c:showVal val="0"/>
              <c:showCatName val="0"/>
              <c:showSerName val="0"/>
              <c:showPercent val="0"/>
              <c:showBubbleSize val="0"/>
            </c:dLbl>
            <c:dLbl>
              <c:idx val="33"/>
              <c:tx>
                <c:strRef>
                  <c:f>'ln13rps x BYE'!$B$63</c:f>
                  <c:strCache>
                    <c:ptCount val="1"/>
                    <c:pt idx="0">
                      <c:v>2015</c:v>
                    </c:pt>
                  </c:strCache>
                </c:strRef>
              </c:tx>
              <c:spPr/>
              <c:txPr>
                <a:bodyPr/>
                <a:lstStyle/>
                <a:p>
                  <a:pPr>
                    <a:defRPr/>
                  </a:pPr>
                  <a:endParaRPr lang="en-US"/>
                </a:p>
              </c:txPr>
              <c:dLblPos val="r"/>
              <c:showLegendKey val="0"/>
              <c:showVal val="0"/>
              <c:showCatName val="0"/>
              <c:showSerName val="0"/>
              <c:showPercent val="0"/>
              <c:showBubbleSize val="0"/>
            </c:dLbl>
            <c:showLegendKey val="0"/>
            <c:showVal val="1"/>
            <c:showCatName val="0"/>
            <c:showSerName val="0"/>
            <c:showPercent val="0"/>
            <c:showBubbleSize val="0"/>
            <c:showLeaderLines val="0"/>
          </c:dLbls>
          <c:trendline>
            <c:spPr>
              <a:ln w="25400">
                <a:solidFill>
                  <a:srgbClr val="000000"/>
                </a:solidFill>
                <a:prstDash val="solid"/>
              </a:ln>
            </c:spPr>
            <c:trendlineType val="linear"/>
            <c:dispRSqr val="1"/>
            <c:dispEq val="1"/>
            <c:trendlineLbl>
              <c:layout>
                <c:manualLayout>
                  <c:x val="-0.0105730126715711"/>
                  <c:y val="-0.342128287137833"/>
                </c:manualLayout>
              </c:layout>
              <c:numFmt formatCode="General" sourceLinked="0"/>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trendlineLbl>
          </c:trendline>
          <c:xVal>
            <c:numRef>
              <c:f>'ln13rps x BYE'!$Y$26:$Y$63</c:f>
              <c:numCache>
                <c:formatCode>General</c:formatCode>
                <c:ptCount val="38"/>
                <c:pt idx="0">
                  <c:v>22334.0</c:v>
                </c:pt>
                <c:pt idx="1">
                  <c:v>34855.0</c:v>
                </c:pt>
                <c:pt idx="2">
                  <c:v>9056.0</c:v>
                </c:pt>
                <c:pt idx="3">
                  <c:v>31562.0</c:v>
                </c:pt>
                <c:pt idx="4">
                  <c:v>42284.0</c:v>
                </c:pt>
                <c:pt idx="5">
                  <c:v>48281.0</c:v>
                </c:pt>
                <c:pt idx="6">
                  <c:v>142253.0</c:v>
                </c:pt>
                <c:pt idx="7">
                  <c:v>156112.0</c:v>
                </c:pt>
                <c:pt idx="8">
                  <c:v>180314.0</c:v>
                </c:pt>
                <c:pt idx="9">
                  <c:v>38783.0</c:v>
                </c:pt>
                <c:pt idx="10">
                  <c:v>63622.0</c:v>
                </c:pt>
                <c:pt idx="11">
                  <c:v>163342.0</c:v>
                </c:pt>
                <c:pt idx="12">
                  <c:v>74135.0</c:v>
                </c:pt>
                <c:pt idx="13">
                  <c:v>187263.0</c:v>
                </c:pt>
                <c:pt idx="14">
                  <c:v>72023.0</c:v>
                </c:pt>
                <c:pt idx="15">
                  <c:v>36881.0</c:v>
                </c:pt>
                <c:pt idx="16">
                  <c:v>8250.0</c:v>
                </c:pt>
                <c:pt idx="17">
                  <c:v>9701.0</c:v>
                </c:pt>
                <c:pt idx="18">
                  <c:v>29642.0</c:v>
                </c:pt>
                <c:pt idx="19">
                  <c:v>9232.0</c:v>
                </c:pt>
                <c:pt idx="20">
                  <c:v>7264.0</c:v>
                </c:pt>
                <c:pt idx="21">
                  <c:v>30382.0</c:v>
                </c:pt>
                <c:pt idx="22">
                  <c:v>38693.0</c:v>
                </c:pt>
                <c:pt idx="23">
                  <c:v>35010.0</c:v>
                </c:pt>
                <c:pt idx="24">
                  <c:v>28963.0</c:v>
                </c:pt>
                <c:pt idx="25">
                  <c:v>59311.0</c:v>
                </c:pt>
                <c:pt idx="26">
                  <c:v>28416.0</c:v>
                </c:pt>
                <c:pt idx="27">
                  <c:v>38547.0</c:v>
                </c:pt>
                <c:pt idx="28">
                  <c:v>28323.0</c:v>
                </c:pt>
                <c:pt idx="29">
                  <c:v>75427.0</c:v>
                </c:pt>
                <c:pt idx="30">
                  <c:v>30569.0</c:v>
                </c:pt>
                <c:pt idx="31">
                  <c:v>30313.0</c:v>
                </c:pt>
                <c:pt idx="32">
                  <c:v>23479.0</c:v>
                </c:pt>
                <c:pt idx="33">
                  <c:v>70001.0</c:v>
                </c:pt>
                <c:pt idx="34">
                  <c:v>29298.0</c:v>
                </c:pt>
                <c:pt idx="35">
                  <c:v>23186.0</c:v>
                </c:pt>
                <c:pt idx="37">
                  <c:v>24312.0</c:v>
                </c:pt>
              </c:numCache>
            </c:numRef>
          </c:xVal>
          <c:yVal>
            <c:numRef>
              <c:f>'ln13rps x BYE'!$AA$26:$AA$63</c:f>
              <c:numCache>
                <c:formatCode>General</c:formatCode>
                <c:ptCount val="38"/>
                <c:pt idx="0">
                  <c:v>1.227907234463921</c:v>
                </c:pt>
                <c:pt idx="1">
                  <c:v>1.366369634302732</c:v>
                </c:pt>
                <c:pt idx="2">
                  <c:v>2.400876214267626</c:v>
                </c:pt>
                <c:pt idx="3">
                  <c:v>3.558589283897823</c:v>
                </c:pt>
                <c:pt idx="4">
                  <c:v>0.193847130691491</c:v>
                </c:pt>
                <c:pt idx="5">
                  <c:v>0.779746820180405</c:v>
                </c:pt>
                <c:pt idx="6">
                  <c:v>0.883092815932127</c:v>
                </c:pt>
                <c:pt idx="7">
                  <c:v>0.824124501520622</c:v>
                </c:pt>
                <c:pt idx="8">
                  <c:v>1.109721604183878</c:v>
                </c:pt>
                <c:pt idx="9">
                  <c:v>0.805739816117659</c:v>
                </c:pt>
                <c:pt idx="10">
                  <c:v>0.742968202474783</c:v>
                </c:pt>
                <c:pt idx="11">
                  <c:v>-2.534700645614561</c:v>
                </c:pt>
                <c:pt idx="12">
                  <c:v>-1.457141035065903</c:v>
                </c:pt>
                <c:pt idx="13">
                  <c:v>-1.249157396054681</c:v>
                </c:pt>
                <c:pt idx="14">
                  <c:v>-0.54607679285973</c:v>
                </c:pt>
                <c:pt idx="15">
                  <c:v>-2.068251972674686</c:v>
                </c:pt>
                <c:pt idx="16">
                  <c:v>0.875872696155596</c:v>
                </c:pt>
                <c:pt idx="17">
                  <c:v>2.459952646820569</c:v>
                </c:pt>
                <c:pt idx="18">
                  <c:v>1.188781416764896</c:v>
                </c:pt>
                <c:pt idx="19">
                  <c:v>1.844040685338883</c:v>
                </c:pt>
                <c:pt idx="20">
                  <c:v>0.2835090050587</c:v>
                </c:pt>
                <c:pt idx="21">
                  <c:v>1.762971495269125</c:v>
                </c:pt>
                <c:pt idx="22">
                  <c:v>1.031266567734743</c:v>
                </c:pt>
                <c:pt idx="23">
                  <c:v>-0.145972274892289</c:v>
                </c:pt>
                <c:pt idx="24">
                  <c:v>0.85032177821881</c:v>
                </c:pt>
                <c:pt idx="25">
                  <c:v>0.804451789647398</c:v>
                </c:pt>
                <c:pt idx="26">
                  <c:v>1.117368285590202</c:v>
                </c:pt>
                <c:pt idx="27">
                  <c:v>-2.218700328950712</c:v>
                </c:pt>
                <c:pt idx="28">
                  <c:v>1.660285533255677</c:v>
                </c:pt>
                <c:pt idx="29">
                  <c:v>-0.1051439941849</c:v>
                </c:pt>
                <c:pt idx="30">
                  <c:v>1.256704103838211</c:v>
                </c:pt>
                <c:pt idx="31">
                  <c:v>-0.874710274688313</c:v>
                </c:pt>
                <c:pt idx="32">
                  <c:v>1.650174380063507</c:v>
                </c:pt>
                <c:pt idx="33">
                  <c:v>2.034033816491872</c:v>
                </c:pt>
                <c:pt idx="34">
                  <c:v>0.328094398797523</c:v>
                </c:pt>
                <c:pt idx="35">
                  <c:v>1.276652479404515</c:v>
                </c:pt>
              </c:numCache>
            </c:numRef>
          </c:yVal>
          <c:smooth val="0"/>
        </c:ser>
        <c:ser>
          <c:idx val="1"/>
          <c:order val="1"/>
          <c:spPr>
            <a:ln w="3175">
              <a:solidFill>
                <a:srgbClr val="0000FF"/>
              </a:solidFill>
              <a:prstDash val="solid"/>
            </a:ln>
          </c:spPr>
          <c:marker>
            <c:symbol val="none"/>
          </c:marker>
          <c:xVal>
            <c:numRef>
              <c:f>'ln13rps x BYE'!$Y$26:$Y$63</c:f>
              <c:numCache>
                <c:formatCode>General</c:formatCode>
                <c:ptCount val="38"/>
                <c:pt idx="0">
                  <c:v>22334.0</c:v>
                </c:pt>
                <c:pt idx="1">
                  <c:v>34855.0</c:v>
                </c:pt>
                <c:pt idx="2">
                  <c:v>9056.0</c:v>
                </c:pt>
                <c:pt idx="3">
                  <c:v>31562.0</c:v>
                </c:pt>
                <c:pt idx="4">
                  <c:v>42284.0</c:v>
                </c:pt>
                <c:pt idx="5">
                  <c:v>48281.0</c:v>
                </c:pt>
                <c:pt idx="6">
                  <c:v>142253.0</c:v>
                </c:pt>
                <c:pt idx="7">
                  <c:v>156112.0</c:v>
                </c:pt>
                <c:pt idx="8">
                  <c:v>180314.0</c:v>
                </c:pt>
                <c:pt idx="9">
                  <c:v>38783.0</c:v>
                </c:pt>
                <c:pt idx="10">
                  <c:v>63622.0</c:v>
                </c:pt>
                <c:pt idx="11">
                  <c:v>163342.0</c:v>
                </c:pt>
                <c:pt idx="12">
                  <c:v>74135.0</c:v>
                </c:pt>
                <c:pt idx="13">
                  <c:v>187263.0</c:v>
                </c:pt>
                <c:pt idx="14">
                  <c:v>72023.0</c:v>
                </c:pt>
                <c:pt idx="15">
                  <c:v>36881.0</c:v>
                </c:pt>
                <c:pt idx="16">
                  <c:v>8250.0</c:v>
                </c:pt>
                <c:pt idx="17">
                  <c:v>9701.0</c:v>
                </c:pt>
                <c:pt idx="18">
                  <c:v>29642.0</c:v>
                </c:pt>
                <c:pt idx="19">
                  <c:v>9232.0</c:v>
                </c:pt>
                <c:pt idx="20">
                  <c:v>7264.0</c:v>
                </c:pt>
                <c:pt idx="21">
                  <c:v>30382.0</c:v>
                </c:pt>
                <c:pt idx="22">
                  <c:v>38693.0</c:v>
                </c:pt>
                <c:pt idx="23">
                  <c:v>35010.0</c:v>
                </c:pt>
                <c:pt idx="24">
                  <c:v>28963.0</c:v>
                </c:pt>
                <c:pt idx="25">
                  <c:v>59311.0</c:v>
                </c:pt>
                <c:pt idx="26">
                  <c:v>28416.0</c:v>
                </c:pt>
                <c:pt idx="27">
                  <c:v>38547.0</c:v>
                </c:pt>
                <c:pt idx="28">
                  <c:v>28323.0</c:v>
                </c:pt>
                <c:pt idx="29">
                  <c:v>75427.0</c:v>
                </c:pt>
                <c:pt idx="30">
                  <c:v>30569.0</c:v>
                </c:pt>
                <c:pt idx="31">
                  <c:v>30313.0</c:v>
                </c:pt>
                <c:pt idx="32">
                  <c:v>23479.0</c:v>
                </c:pt>
                <c:pt idx="33">
                  <c:v>70001.0</c:v>
                </c:pt>
                <c:pt idx="34">
                  <c:v>29298.0</c:v>
                </c:pt>
                <c:pt idx="35">
                  <c:v>23186.0</c:v>
                </c:pt>
                <c:pt idx="37">
                  <c:v>24312.0</c:v>
                </c:pt>
              </c:numCache>
            </c:numRef>
          </c:xVal>
          <c:yVal>
            <c:numRef>
              <c:f>'ln13rps x BYE'!$AC$26:$AC$63</c:f>
              <c:numCache>
                <c:formatCode>General</c:formatCode>
                <c:ptCount val="38"/>
                <c:pt idx="0">
                  <c:v>-0.793586855883063</c:v>
                </c:pt>
                <c:pt idx="1">
                  <c:v>-0.919658374249279</c:v>
                </c:pt>
                <c:pt idx="2">
                  <c:v>-0.659893251469149</c:v>
                </c:pt>
                <c:pt idx="3">
                  <c:v>-0.8865017965015</c:v>
                </c:pt>
                <c:pt idx="4">
                  <c:v>-0.994459533097824</c:v>
                </c:pt>
                <c:pt idx="5">
                  <c:v>-1.054842161932757</c:v>
                </c:pt>
                <c:pt idx="6">
                  <c:v>-2.001027987658345</c:v>
                </c:pt>
                <c:pt idx="7">
                  <c:v>-2.140571568285882</c:v>
                </c:pt>
                <c:pt idx="8">
                  <c:v>-2.384256808082956</c:v>
                </c:pt>
                <c:pt idx="9">
                  <c:v>-0.959208643727955</c:v>
                </c:pt>
                <c:pt idx="10">
                  <c:v>-1.209307712867676</c:v>
                </c:pt>
                <c:pt idx="11">
                  <c:v>-2.213369034765217</c:v>
                </c:pt>
                <c:pt idx="12">
                  <c:v>-1.315161069036036</c:v>
                </c:pt>
                <c:pt idx="13">
                  <c:v>-2.454224940111296</c:v>
                </c:pt>
                <c:pt idx="14">
                  <c:v>-1.293895751027135</c:v>
                </c:pt>
                <c:pt idx="15">
                  <c:v>-0.940057774952894</c:v>
                </c:pt>
                <c:pt idx="16">
                  <c:v>-0.651777793933555</c:v>
                </c:pt>
                <c:pt idx="17">
                  <c:v>-0.666387631258799</c:v>
                </c:pt>
                <c:pt idx="18">
                  <c:v>-0.867169689220681</c:v>
                </c:pt>
                <c:pt idx="19">
                  <c:v>-0.661665361303224</c:v>
                </c:pt>
                <c:pt idx="20">
                  <c:v>-0.641849951340384</c:v>
                </c:pt>
                <c:pt idx="21">
                  <c:v>-0.874620605568496</c:v>
                </c:pt>
                <c:pt idx="22">
                  <c:v>-0.958302451199167</c:v>
                </c:pt>
                <c:pt idx="23">
                  <c:v>-0.921219039159971</c:v>
                </c:pt>
                <c:pt idx="24">
                  <c:v>-0.860332970031266</c:v>
                </c:pt>
                <c:pt idx="25">
                  <c:v>-1.165901090738712</c:v>
                </c:pt>
                <c:pt idx="26">
                  <c:v>-0.854825333217408</c:v>
                </c:pt>
                <c:pt idx="27">
                  <c:v>-0.956832405541354</c:v>
                </c:pt>
                <c:pt idx="28">
                  <c:v>-0.853888934270993</c:v>
                </c:pt>
                <c:pt idx="29">
                  <c:v>-1.328169966227087</c:v>
                </c:pt>
                <c:pt idx="30">
                  <c:v>-0.876503472267201</c:v>
                </c:pt>
                <c:pt idx="31">
                  <c:v>-0.873925857963092</c:v>
                </c:pt>
                <c:pt idx="32">
                  <c:v>-0.805115638610427</c:v>
                </c:pt>
                <c:pt idx="33">
                  <c:v>-1.273536625547023</c:v>
                </c:pt>
                <c:pt idx="34">
                  <c:v>-0.863706019999534</c:v>
                </c:pt>
                <c:pt idx="35">
                  <c:v>-0.802165478488926</c:v>
                </c:pt>
                <c:pt idx="37">
                  <c:v>-0.790576165956878</c:v>
                </c:pt>
              </c:numCache>
            </c:numRef>
          </c:yVal>
          <c:smooth val="0"/>
        </c:ser>
        <c:ser>
          <c:idx val="2"/>
          <c:order val="2"/>
          <c:spPr>
            <a:ln w="3175">
              <a:solidFill>
                <a:srgbClr val="FFFF00"/>
              </a:solidFill>
              <a:prstDash val="solid"/>
            </a:ln>
          </c:spPr>
          <c:marker>
            <c:symbol val="none"/>
          </c:marker>
          <c:xVal>
            <c:numRef>
              <c:f>'ln13rps x BYE'!$Y$26:$Y$63</c:f>
              <c:numCache>
                <c:formatCode>General</c:formatCode>
                <c:ptCount val="38"/>
                <c:pt idx="0">
                  <c:v>22334.0</c:v>
                </c:pt>
                <c:pt idx="1">
                  <c:v>34855.0</c:v>
                </c:pt>
                <c:pt idx="2">
                  <c:v>9056.0</c:v>
                </c:pt>
                <c:pt idx="3">
                  <c:v>31562.0</c:v>
                </c:pt>
                <c:pt idx="4">
                  <c:v>42284.0</c:v>
                </c:pt>
                <c:pt idx="5">
                  <c:v>48281.0</c:v>
                </c:pt>
                <c:pt idx="6">
                  <c:v>142253.0</c:v>
                </c:pt>
                <c:pt idx="7">
                  <c:v>156112.0</c:v>
                </c:pt>
                <c:pt idx="8">
                  <c:v>180314.0</c:v>
                </c:pt>
                <c:pt idx="9">
                  <c:v>38783.0</c:v>
                </c:pt>
                <c:pt idx="10">
                  <c:v>63622.0</c:v>
                </c:pt>
                <c:pt idx="11">
                  <c:v>163342.0</c:v>
                </c:pt>
                <c:pt idx="12">
                  <c:v>74135.0</c:v>
                </c:pt>
                <c:pt idx="13">
                  <c:v>187263.0</c:v>
                </c:pt>
                <c:pt idx="14">
                  <c:v>72023.0</c:v>
                </c:pt>
                <c:pt idx="15">
                  <c:v>36881.0</c:v>
                </c:pt>
                <c:pt idx="16">
                  <c:v>8250.0</c:v>
                </c:pt>
                <c:pt idx="17">
                  <c:v>9701.0</c:v>
                </c:pt>
                <c:pt idx="18">
                  <c:v>29642.0</c:v>
                </c:pt>
                <c:pt idx="19">
                  <c:v>9232.0</c:v>
                </c:pt>
                <c:pt idx="20">
                  <c:v>7264.0</c:v>
                </c:pt>
                <c:pt idx="21">
                  <c:v>30382.0</c:v>
                </c:pt>
                <c:pt idx="22">
                  <c:v>38693.0</c:v>
                </c:pt>
                <c:pt idx="23">
                  <c:v>35010.0</c:v>
                </c:pt>
                <c:pt idx="24">
                  <c:v>28963.0</c:v>
                </c:pt>
                <c:pt idx="25">
                  <c:v>59311.0</c:v>
                </c:pt>
                <c:pt idx="26">
                  <c:v>28416.0</c:v>
                </c:pt>
                <c:pt idx="27">
                  <c:v>38547.0</c:v>
                </c:pt>
                <c:pt idx="28">
                  <c:v>28323.0</c:v>
                </c:pt>
                <c:pt idx="29">
                  <c:v>75427.0</c:v>
                </c:pt>
                <c:pt idx="30">
                  <c:v>30569.0</c:v>
                </c:pt>
                <c:pt idx="31">
                  <c:v>30313.0</c:v>
                </c:pt>
                <c:pt idx="32">
                  <c:v>23479.0</c:v>
                </c:pt>
                <c:pt idx="33">
                  <c:v>70001.0</c:v>
                </c:pt>
                <c:pt idx="34">
                  <c:v>29298.0</c:v>
                </c:pt>
                <c:pt idx="35">
                  <c:v>23186.0</c:v>
                </c:pt>
                <c:pt idx="37">
                  <c:v>24312.0</c:v>
                </c:pt>
              </c:numCache>
            </c:numRef>
          </c:xVal>
          <c:yVal>
            <c:numRef>
              <c:f>'ln13rps x BYE'!$AD$26:$AD$63</c:f>
              <c:numCache>
                <c:formatCode>General</c:formatCode>
                <c:ptCount val="38"/>
                <c:pt idx="0">
                  <c:v>2.711720321952148</c:v>
                </c:pt>
                <c:pt idx="1">
                  <c:v>2.585648803585931</c:v>
                </c:pt>
                <c:pt idx="2">
                  <c:v>2.845413926366062</c:v>
                </c:pt>
                <c:pt idx="3">
                  <c:v>2.618805381333711</c:v>
                </c:pt>
                <c:pt idx="4">
                  <c:v>2.510847644737387</c:v>
                </c:pt>
                <c:pt idx="5">
                  <c:v>2.450465015902454</c:v>
                </c:pt>
                <c:pt idx="6">
                  <c:v>1.504279190176866</c:v>
                </c:pt>
                <c:pt idx="7">
                  <c:v>1.364735609549329</c:v>
                </c:pt>
                <c:pt idx="8">
                  <c:v>1.121050369752254</c:v>
                </c:pt>
                <c:pt idx="9">
                  <c:v>2.546098534107255</c:v>
                </c:pt>
                <c:pt idx="10">
                  <c:v>2.295999464967534</c:v>
                </c:pt>
                <c:pt idx="11">
                  <c:v>1.291938143069994</c:v>
                </c:pt>
                <c:pt idx="12">
                  <c:v>2.190146108799174</c:v>
                </c:pt>
                <c:pt idx="13">
                  <c:v>1.051082237723915</c:v>
                </c:pt>
                <c:pt idx="14">
                  <c:v>2.211411426808076</c:v>
                </c:pt>
                <c:pt idx="15">
                  <c:v>2.565249402882317</c:v>
                </c:pt>
                <c:pt idx="16">
                  <c:v>2.853529383901656</c:v>
                </c:pt>
                <c:pt idx="17">
                  <c:v>2.838919546576412</c:v>
                </c:pt>
                <c:pt idx="18">
                  <c:v>2.63813748861453</c:v>
                </c:pt>
                <c:pt idx="19">
                  <c:v>2.843641816531987</c:v>
                </c:pt>
                <c:pt idx="20">
                  <c:v>2.863457226494826</c:v>
                </c:pt>
                <c:pt idx="21">
                  <c:v>2.630686572266714</c:v>
                </c:pt>
                <c:pt idx="22">
                  <c:v>2.547004726636044</c:v>
                </c:pt>
                <c:pt idx="23">
                  <c:v>2.58408813867524</c:v>
                </c:pt>
                <c:pt idx="24">
                  <c:v>2.644974207803944</c:v>
                </c:pt>
                <c:pt idx="25">
                  <c:v>2.339406087096498</c:v>
                </c:pt>
                <c:pt idx="26">
                  <c:v>2.650481844617803</c:v>
                </c:pt>
                <c:pt idx="27">
                  <c:v>2.548474772293856</c:v>
                </c:pt>
                <c:pt idx="28">
                  <c:v>2.651418243564218</c:v>
                </c:pt>
                <c:pt idx="29">
                  <c:v>2.177137211608123</c:v>
                </c:pt>
                <c:pt idx="30">
                  <c:v>2.62880370556801</c:v>
                </c:pt>
                <c:pt idx="31">
                  <c:v>2.631381319872119</c:v>
                </c:pt>
                <c:pt idx="32">
                  <c:v>2.700191539224784</c:v>
                </c:pt>
                <c:pt idx="33">
                  <c:v>2.231770552288188</c:v>
                </c:pt>
                <c:pt idx="34">
                  <c:v>2.641601157835676</c:v>
                </c:pt>
                <c:pt idx="35">
                  <c:v>2.703141699346284</c:v>
                </c:pt>
                <c:pt idx="37">
                  <c:v>2.668877435982775</c:v>
                </c:pt>
              </c:numCache>
            </c:numRef>
          </c:yVal>
          <c:smooth val="0"/>
        </c:ser>
        <c:ser>
          <c:idx val="3"/>
          <c:order val="3"/>
          <c:tx>
            <c:v>Forecast</c:v>
          </c:tx>
          <c:spPr>
            <a:ln w="3175">
              <a:solidFill>
                <a:srgbClr val="FF00FF"/>
              </a:solidFill>
              <a:prstDash val="solid"/>
            </a:ln>
          </c:spPr>
          <c:marker>
            <c:symbol val="diamond"/>
            <c:size val="5"/>
            <c:spPr>
              <a:noFill/>
              <a:ln>
                <a:solidFill>
                  <a:srgbClr val="FF00FF"/>
                </a:solidFill>
                <a:prstDash val="solid"/>
              </a:ln>
            </c:spPr>
          </c:marker>
          <c:xVal>
            <c:numRef>
              <c:f>'ln13rps x BYE'!$Y$26:$Y$63</c:f>
              <c:numCache>
                <c:formatCode>General</c:formatCode>
                <c:ptCount val="38"/>
                <c:pt idx="0">
                  <c:v>22334.0</c:v>
                </c:pt>
                <c:pt idx="1">
                  <c:v>34855.0</c:v>
                </c:pt>
                <c:pt idx="2">
                  <c:v>9056.0</c:v>
                </c:pt>
                <c:pt idx="3">
                  <c:v>31562.0</c:v>
                </c:pt>
                <c:pt idx="4">
                  <c:v>42284.0</c:v>
                </c:pt>
                <c:pt idx="5">
                  <c:v>48281.0</c:v>
                </c:pt>
                <c:pt idx="6">
                  <c:v>142253.0</c:v>
                </c:pt>
                <c:pt idx="7">
                  <c:v>156112.0</c:v>
                </c:pt>
                <c:pt idx="8">
                  <c:v>180314.0</c:v>
                </c:pt>
                <c:pt idx="9">
                  <c:v>38783.0</c:v>
                </c:pt>
                <c:pt idx="10">
                  <c:v>63622.0</c:v>
                </c:pt>
                <c:pt idx="11">
                  <c:v>163342.0</c:v>
                </c:pt>
                <c:pt idx="12">
                  <c:v>74135.0</c:v>
                </c:pt>
                <c:pt idx="13">
                  <c:v>187263.0</c:v>
                </c:pt>
                <c:pt idx="14">
                  <c:v>72023.0</c:v>
                </c:pt>
                <c:pt idx="15">
                  <c:v>36881.0</c:v>
                </c:pt>
                <c:pt idx="16">
                  <c:v>8250.0</c:v>
                </c:pt>
                <c:pt idx="17">
                  <c:v>9701.0</c:v>
                </c:pt>
                <c:pt idx="18">
                  <c:v>29642.0</c:v>
                </c:pt>
                <c:pt idx="19">
                  <c:v>9232.0</c:v>
                </c:pt>
                <c:pt idx="20">
                  <c:v>7264.0</c:v>
                </c:pt>
                <c:pt idx="21">
                  <c:v>30382.0</c:v>
                </c:pt>
                <c:pt idx="22">
                  <c:v>38693.0</c:v>
                </c:pt>
                <c:pt idx="23">
                  <c:v>35010.0</c:v>
                </c:pt>
                <c:pt idx="24">
                  <c:v>28963.0</c:v>
                </c:pt>
                <c:pt idx="25">
                  <c:v>59311.0</c:v>
                </c:pt>
                <c:pt idx="26">
                  <c:v>28416.0</c:v>
                </c:pt>
                <c:pt idx="27">
                  <c:v>38547.0</c:v>
                </c:pt>
                <c:pt idx="28">
                  <c:v>28323.0</c:v>
                </c:pt>
                <c:pt idx="29">
                  <c:v>75427.0</c:v>
                </c:pt>
                <c:pt idx="30">
                  <c:v>30569.0</c:v>
                </c:pt>
                <c:pt idx="31">
                  <c:v>30313.0</c:v>
                </c:pt>
                <c:pt idx="32">
                  <c:v>23479.0</c:v>
                </c:pt>
                <c:pt idx="33">
                  <c:v>70001.0</c:v>
                </c:pt>
                <c:pt idx="34">
                  <c:v>29298.0</c:v>
                </c:pt>
                <c:pt idx="35">
                  <c:v>23186.0</c:v>
                </c:pt>
                <c:pt idx="37">
                  <c:v>24312.0</c:v>
                </c:pt>
              </c:numCache>
            </c:numRef>
          </c:xVal>
          <c:yVal>
            <c:numRef>
              <c:f>'ln13rps x BYE'!$AE$26:$AE$63</c:f>
              <c:numCache>
                <c:formatCode>General</c:formatCode>
                <c:ptCount val="38"/>
                <c:pt idx="37">
                  <c:v>0.939150635012948</c:v>
                </c:pt>
              </c:numCache>
            </c:numRef>
          </c:yVal>
          <c:smooth val="0"/>
        </c:ser>
        <c:dLbls>
          <c:showLegendKey val="0"/>
          <c:showVal val="0"/>
          <c:showCatName val="0"/>
          <c:showSerName val="0"/>
          <c:showPercent val="0"/>
          <c:showBubbleSize val="0"/>
        </c:dLbls>
        <c:axId val="-2139563896"/>
        <c:axId val="-2079616504"/>
      </c:scatterChart>
      <c:valAx>
        <c:axId val="-2139563896"/>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Brood Year Escapement</a:t>
                </a:r>
              </a:p>
            </c:rich>
          </c:tx>
          <c:layout>
            <c:manualLayout>
              <c:xMode val="edge"/>
              <c:yMode val="edge"/>
              <c:x val="0.411574257965529"/>
              <c:y val="0.847569076592699"/>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79616504"/>
        <c:crosses val="autoZero"/>
        <c:crossBetween val="midCat"/>
      </c:valAx>
      <c:valAx>
        <c:axId val="-2079616504"/>
        <c:scaling>
          <c:orientation val="minMax"/>
        </c:scaling>
        <c:delete val="0"/>
        <c:axPos val="l"/>
        <c:title>
          <c:tx>
            <c:rich>
              <a:bodyPr/>
              <a:lstStyle/>
              <a:p>
                <a:pPr>
                  <a:defRPr sz="1000" b="0" i="0" u="none" strike="noStrike" baseline="0">
                    <a:solidFill>
                      <a:srgbClr val="000000"/>
                    </a:solidFill>
                    <a:latin typeface="Arial"/>
                    <a:ea typeface="Arial"/>
                    <a:cs typeface="Arial"/>
                  </a:defRPr>
                </a:pPr>
                <a:r>
                  <a:rPr lang="en-US"/>
                  <a:t>LN R/S AGED 1.3</a:t>
                </a:r>
              </a:p>
            </c:rich>
          </c:tx>
          <c:layout>
            <c:manualLayout>
              <c:xMode val="edge"/>
              <c:yMode val="edge"/>
              <c:x val="0.0237732968838836"/>
              <c:y val="0.342243378668575"/>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139563896"/>
        <c:crosses val="autoZero"/>
        <c:crossBetween val="midCat"/>
      </c:valAx>
      <c:spPr>
        <a:solidFill>
          <a:srgbClr val="FFFFFF"/>
        </a:solidFill>
        <a:ln w="12700">
          <a:solidFill>
            <a:srgbClr val="000000"/>
          </a:solidFill>
          <a:prstDash val="solid"/>
        </a:ln>
      </c:spPr>
    </c:plotArea>
    <c:legend>
      <c:legendPos val="b"/>
      <c:layout>
        <c:manualLayout>
          <c:xMode val="edge"/>
          <c:yMode val="edge"/>
          <c:x val="0.170870191671145"/>
          <c:y val="0.927961822953949"/>
          <c:w val="0.69982491802768"/>
          <c:h val="0.0551264614650442"/>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 r="0.75" t="1.0"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LN AGED 2.2 FROM LN BYE</a:t>
            </a:r>
          </a:p>
        </c:rich>
      </c:tx>
      <c:layout>
        <c:manualLayout>
          <c:xMode val="edge"/>
          <c:yMode val="edge"/>
          <c:x val="0.359689153275903"/>
          <c:y val="0.0318556242522191"/>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097383107637493"/>
          <c:y val="0.164179402115258"/>
          <c:w val="0.851316844185826"/>
          <c:h val="0.595456637522504"/>
        </c:manualLayout>
      </c:layout>
      <c:scatterChart>
        <c:scatterStyle val="lineMarker"/>
        <c:varyColors val="0"/>
        <c:ser>
          <c:idx val="0"/>
          <c:order val="0"/>
          <c:tx>
            <c:v>ACTUAL</c:v>
          </c:tx>
          <c:spPr>
            <a:ln w="28575">
              <a:noFill/>
            </a:ln>
          </c:spPr>
          <c:marker>
            <c:symbol val="diamond"/>
            <c:size val="5"/>
            <c:spPr>
              <a:solidFill>
                <a:srgbClr val="00FF00"/>
              </a:solidFill>
              <a:ln>
                <a:solidFill>
                  <a:srgbClr val="000000"/>
                </a:solidFill>
                <a:prstDash val="solid"/>
              </a:ln>
            </c:spPr>
          </c:marker>
          <c:dLbls>
            <c:dLbl>
              <c:idx val="0"/>
              <c:tx>
                <c:strRef>
                  <c:f>'ln 22 x ln BY E'!$B$26</c:f>
                  <c:strCache>
                    <c:ptCount val="1"/>
                    <c:pt idx="0">
                      <c:v>1978</c:v>
                    </c:pt>
                  </c:strCache>
                </c:strRef>
              </c:tx>
              <c:spPr/>
              <c:txPr>
                <a:bodyPr/>
                <a:lstStyle/>
                <a:p>
                  <a:pPr>
                    <a:defRPr/>
                  </a:pPr>
                  <a:endParaRPr lang="en-US"/>
                </a:p>
              </c:txPr>
              <c:dLblPos val="r"/>
              <c:showLegendKey val="0"/>
              <c:showVal val="0"/>
              <c:showCatName val="0"/>
              <c:showSerName val="0"/>
              <c:showPercent val="0"/>
              <c:showBubbleSize val="0"/>
            </c:dLbl>
            <c:dLbl>
              <c:idx val="1"/>
              <c:tx>
                <c:strRef>
                  <c:f>'ln 22 x ln BY E'!$B$27</c:f>
                  <c:strCache>
                    <c:ptCount val="1"/>
                    <c:pt idx="0">
                      <c:v>1979</c:v>
                    </c:pt>
                  </c:strCache>
                </c:strRef>
              </c:tx>
              <c:spPr/>
              <c:txPr>
                <a:bodyPr/>
                <a:lstStyle/>
                <a:p>
                  <a:pPr>
                    <a:defRPr/>
                  </a:pPr>
                  <a:endParaRPr lang="en-US"/>
                </a:p>
              </c:txPr>
              <c:dLblPos val="r"/>
              <c:showLegendKey val="0"/>
              <c:showVal val="0"/>
              <c:showCatName val="0"/>
              <c:showSerName val="0"/>
              <c:showPercent val="0"/>
              <c:showBubbleSize val="0"/>
            </c:dLbl>
            <c:dLbl>
              <c:idx val="2"/>
              <c:tx>
                <c:strRef>
                  <c:f>'ln 22 x ln BY E'!$B$28</c:f>
                  <c:strCache>
                    <c:ptCount val="1"/>
                    <c:pt idx="0">
                      <c:v>1980</c:v>
                    </c:pt>
                  </c:strCache>
                </c:strRef>
              </c:tx>
              <c:spPr/>
              <c:txPr>
                <a:bodyPr/>
                <a:lstStyle/>
                <a:p>
                  <a:pPr>
                    <a:defRPr/>
                  </a:pPr>
                  <a:endParaRPr lang="en-US"/>
                </a:p>
              </c:txPr>
              <c:dLblPos val="r"/>
              <c:showLegendKey val="0"/>
              <c:showVal val="0"/>
              <c:showCatName val="0"/>
              <c:showSerName val="0"/>
              <c:showPercent val="0"/>
              <c:showBubbleSize val="0"/>
            </c:dLbl>
            <c:dLbl>
              <c:idx val="3"/>
              <c:tx>
                <c:strRef>
                  <c:f>'ln 22 x ln BY E'!$B$29</c:f>
                  <c:strCache>
                    <c:ptCount val="1"/>
                    <c:pt idx="0">
                      <c:v>1981</c:v>
                    </c:pt>
                  </c:strCache>
                </c:strRef>
              </c:tx>
              <c:spPr/>
              <c:txPr>
                <a:bodyPr/>
                <a:lstStyle/>
                <a:p>
                  <a:pPr>
                    <a:defRPr/>
                  </a:pPr>
                  <a:endParaRPr lang="en-US"/>
                </a:p>
              </c:txPr>
              <c:dLblPos val="r"/>
              <c:showLegendKey val="0"/>
              <c:showVal val="0"/>
              <c:showCatName val="0"/>
              <c:showSerName val="0"/>
              <c:showPercent val="0"/>
              <c:showBubbleSize val="0"/>
            </c:dLbl>
            <c:dLbl>
              <c:idx val="4"/>
              <c:tx>
                <c:strRef>
                  <c:f>'ln 22 x ln BY E'!$B$30</c:f>
                  <c:strCache>
                    <c:ptCount val="1"/>
                    <c:pt idx="0">
                      <c:v>1982</c:v>
                    </c:pt>
                  </c:strCache>
                </c:strRef>
              </c:tx>
              <c:spPr/>
              <c:txPr>
                <a:bodyPr/>
                <a:lstStyle/>
                <a:p>
                  <a:pPr>
                    <a:defRPr/>
                  </a:pPr>
                  <a:endParaRPr lang="en-US"/>
                </a:p>
              </c:txPr>
              <c:dLblPos val="r"/>
              <c:showLegendKey val="0"/>
              <c:showVal val="0"/>
              <c:showCatName val="0"/>
              <c:showSerName val="0"/>
              <c:showPercent val="0"/>
              <c:showBubbleSize val="0"/>
            </c:dLbl>
            <c:dLbl>
              <c:idx val="5"/>
              <c:tx>
                <c:strRef>
                  <c:f>'ln 22 x ln BY E'!$B$31</c:f>
                  <c:strCache>
                    <c:ptCount val="1"/>
                    <c:pt idx="0">
                      <c:v>1983</c:v>
                    </c:pt>
                  </c:strCache>
                </c:strRef>
              </c:tx>
              <c:spPr/>
              <c:txPr>
                <a:bodyPr/>
                <a:lstStyle/>
                <a:p>
                  <a:pPr>
                    <a:defRPr/>
                  </a:pPr>
                  <a:endParaRPr lang="en-US"/>
                </a:p>
              </c:txPr>
              <c:dLblPos val="r"/>
              <c:showLegendKey val="0"/>
              <c:showVal val="0"/>
              <c:showCatName val="0"/>
              <c:showSerName val="0"/>
              <c:showPercent val="0"/>
              <c:showBubbleSize val="0"/>
            </c:dLbl>
            <c:dLbl>
              <c:idx val="6"/>
              <c:tx>
                <c:strRef>
                  <c:f>'ln 22 x ln BY E'!$B$32</c:f>
                  <c:strCache>
                    <c:ptCount val="1"/>
                    <c:pt idx="0">
                      <c:v>1984</c:v>
                    </c:pt>
                  </c:strCache>
                </c:strRef>
              </c:tx>
              <c:spPr/>
              <c:txPr>
                <a:bodyPr/>
                <a:lstStyle/>
                <a:p>
                  <a:pPr>
                    <a:defRPr/>
                  </a:pPr>
                  <a:endParaRPr lang="en-US"/>
                </a:p>
              </c:txPr>
              <c:dLblPos val="r"/>
              <c:showLegendKey val="0"/>
              <c:showVal val="0"/>
              <c:showCatName val="0"/>
              <c:showSerName val="0"/>
              <c:showPercent val="0"/>
              <c:showBubbleSize val="0"/>
            </c:dLbl>
            <c:dLbl>
              <c:idx val="7"/>
              <c:tx>
                <c:strRef>
                  <c:f>'ln 22 x ln BY E'!$B$33</c:f>
                  <c:strCache>
                    <c:ptCount val="1"/>
                    <c:pt idx="0">
                      <c:v>1985</c:v>
                    </c:pt>
                  </c:strCache>
                </c:strRef>
              </c:tx>
              <c:spPr/>
              <c:txPr>
                <a:bodyPr/>
                <a:lstStyle/>
                <a:p>
                  <a:pPr>
                    <a:defRPr/>
                  </a:pPr>
                  <a:endParaRPr lang="en-US"/>
                </a:p>
              </c:txPr>
              <c:dLblPos val="r"/>
              <c:showLegendKey val="0"/>
              <c:showVal val="0"/>
              <c:showCatName val="0"/>
              <c:showSerName val="0"/>
              <c:showPercent val="0"/>
              <c:showBubbleSize val="0"/>
            </c:dLbl>
            <c:dLbl>
              <c:idx val="8"/>
              <c:tx>
                <c:strRef>
                  <c:f>'ln 22 x ln BY E'!$B$34</c:f>
                  <c:strCache>
                    <c:ptCount val="1"/>
                    <c:pt idx="0">
                      <c:v>1986</c:v>
                    </c:pt>
                  </c:strCache>
                </c:strRef>
              </c:tx>
              <c:spPr/>
              <c:txPr>
                <a:bodyPr/>
                <a:lstStyle/>
                <a:p>
                  <a:pPr>
                    <a:defRPr/>
                  </a:pPr>
                  <a:endParaRPr lang="en-US"/>
                </a:p>
              </c:txPr>
              <c:dLblPos val="r"/>
              <c:showLegendKey val="0"/>
              <c:showVal val="0"/>
              <c:showCatName val="0"/>
              <c:showSerName val="0"/>
              <c:showPercent val="0"/>
              <c:showBubbleSize val="0"/>
            </c:dLbl>
            <c:dLbl>
              <c:idx val="9"/>
              <c:tx>
                <c:strRef>
                  <c:f>'ln 22 x ln BY E'!$B$35</c:f>
                  <c:strCache>
                    <c:ptCount val="1"/>
                    <c:pt idx="0">
                      <c:v>1987</c:v>
                    </c:pt>
                  </c:strCache>
                </c:strRef>
              </c:tx>
              <c:spPr/>
              <c:txPr>
                <a:bodyPr/>
                <a:lstStyle/>
                <a:p>
                  <a:pPr>
                    <a:defRPr/>
                  </a:pPr>
                  <a:endParaRPr lang="en-US"/>
                </a:p>
              </c:txPr>
              <c:dLblPos val="r"/>
              <c:showLegendKey val="0"/>
              <c:showVal val="0"/>
              <c:showCatName val="0"/>
              <c:showSerName val="0"/>
              <c:showPercent val="0"/>
              <c:showBubbleSize val="0"/>
            </c:dLbl>
            <c:dLbl>
              <c:idx val="10"/>
              <c:tx>
                <c:strRef>
                  <c:f>'ln 22 x ln BY E'!$B$36</c:f>
                  <c:strCache>
                    <c:ptCount val="1"/>
                    <c:pt idx="0">
                      <c:v>1988</c:v>
                    </c:pt>
                  </c:strCache>
                </c:strRef>
              </c:tx>
              <c:spPr/>
              <c:txPr>
                <a:bodyPr/>
                <a:lstStyle/>
                <a:p>
                  <a:pPr>
                    <a:defRPr/>
                  </a:pPr>
                  <a:endParaRPr lang="en-US"/>
                </a:p>
              </c:txPr>
              <c:dLblPos val="r"/>
              <c:showLegendKey val="0"/>
              <c:showVal val="0"/>
              <c:showCatName val="0"/>
              <c:showSerName val="0"/>
              <c:showPercent val="0"/>
              <c:showBubbleSize val="0"/>
            </c:dLbl>
            <c:dLbl>
              <c:idx val="11"/>
              <c:tx>
                <c:strRef>
                  <c:f>'ln 22 x ln BY E'!$B$37</c:f>
                  <c:strCache>
                    <c:ptCount val="1"/>
                    <c:pt idx="0">
                      <c:v>1989</c:v>
                    </c:pt>
                  </c:strCache>
                </c:strRef>
              </c:tx>
              <c:spPr/>
              <c:txPr>
                <a:bodyPr/>
                <a:lstStyle/>
                <a:p>
                  <a:pPr>
                    <a:defRPr/>
                  </a:pPr>
                  <a:endParaRPr lang="en-US"/>
                </a:p>
              </c:txPr>
              <c:dLblPos val="r"/>
              <c:showLegendKey val="0"/>
              <c:showVal val="0"/>
              <c:showCatName val="0"/>
              <c:showSerName val="0"/>
              <c:showPercent val="0"/>
              <c:showBubbleSize val="0"/>
            </c:dLbl>
            <c:dLbl>
              <c:idx val="12"/>
              <c:tx>
                <c:strRef>
                  <c:f>'ln 22 x ln BY E'!$B$38</c:f>
                  <c:strCache>
                    <c:ptCount val="1"/>
                    <c:pt idx="0">
                      <c:v>1990</c:v>
                    </c:pt>
                  </c:strCache>
                </c:strRef>
              </c:tx>
              <c:spPr/>
              <c:txPr>
                <a:bodyPr/>
                <a:lstStyle/>
                <a:p>
                  <a:pPr>
                    <a:defRPr/>
                  </a:pPr>
                  <a:endParaRPr lang="en-US"/>
                </a:p>
              </c:txPr>
              <c:dLblPos val="r"/>
              <c:showLegendKey val="0"/>
              <c:showVal val="0"/>
              <c:showCatName val="0"/>
              <c:showSerName val="0"/>
              <c:showPercent val="0"/>
              <c:showBubbleSize val="0"/>
            </c:dLbl>
            <c:dLbl>
              <c:idx val="13"/>
              <c:tx>
                <c:strRef>
                  <c:f>'ln 22 x ln BY E'!$B$39</c:f>
                  <c:strCache>
                    <c:ptCount val="1"/>
                    <c:pt idx="0">
                      <c:v>1991</c:v>
                    </c:pt>
                  </c:strCache>
                </c:strRef>
              </c:tx>
              <c:spPr/>
              <c:txPr>
                <a:bodyPr/>
                <a:lstStyle/>
                <a:p>
                  <a:pPr>
                    <a:defRPr/>
                  </a:pPr>
                  <a:endParaRPr lang="en-US"/>
                </a:p>
              </c:txPr>
              <c:dLblPos val="r"/>
              <c:showLegendKey val="0"/>
              <c:showVal val="0"/>
              <c:showCatName val="0"/>
              <c:showSerName val="0"/>
              <c:showPercent val="0"/>
              <c:showBubbleSize val="0"/>
            </c:dLbl>
            <c:dLbl>
              <c:idx val="14"/>
              <c:tx>
                <c:strRef>
                  <c:f>'ln 22 x ln BY E'!$B$40</c:f>
                  <c:strCache>
                    <c:ptCount val="1"/>
                    <c:pt idx="0">
                      <c:v>1992</c:v>
                    </c:pt>
                  </c:strCache>
                </c:strRef>
              </c:tx>
              <c:spPr/>
              <c:txPr>
                <a:bodyPr/>
                <a:lstStyle/>
                <a:p>
                  <a:pPr>
                    <a:defRPr/>
                  </a:pPr>
                  <a:endParaRPr lang="en-US"/>
                </a:p>
              </c:txPr>
              <c:dLblPos val="r"/>
              <c:showLegendKey val="0"/>
              <c:showVal val="0"/>
              <c:showCatName val="0"/>
              <c:showSerName val="0"/>
              <c:showPercent val="0"/>
              <c:showBubbleSize val="0"/>
            </c:dLbl>
            <c:dLbl>
              <c:idx val="15"/>
              <c:tx>
                <c:strRef>
                  <c:f>'ln 22 x ln BY E'!$B$41</c:f>
                  <c:strCache>
                    <c:ptCount val="1"/>
                    <c:pt idx="0">
                      <c:v>1993</c:v>
                    </c:pt>
                  </c:strCache>
                </c:strRef>
              </c:tx>
              <c:spPr/>
              <c:txPr>
                <a:bodyPr/>
                <a:lstStyle/>
                <a:p>
                  <a:pPr>
                    <a:defRPr/>
                  </a:pPr>
                  <a:endParaRPr lang="en-US"/>
                </a:p>
              </c:txPr>
              <c:dLblPos val="r"/>
              <c:showLegendKey val="0"/>
              <c:showVal val="0"/>
              <c:showCatName val="0"/>
              <c:showSerName val="0"/>
              <c:showPercent val="0"/>
              <c:showBubbleSize val="0"/>
            </c:dLbl>
            <c:dLbl>
              <c:idx val="16"/>
              <c:tx>
                <c:strRef>
                  <c:f>'ln 22 x ln BY E'!$B$42</c:f>
                  <c:strCache>
                    <c:ptCount val="1"/>
                    <c:pt idx="0">
                      <c:v>1994</c:v>
                    </c:pt>
                  </c:strCache>
                </c:strRef>
              </c:tx>
              <c:spPr/>
              <c:txPr>
                <a:bodyPr/>
                <a:lstStyle/>
                <a:p>
                  <a:pPr>
                    <a:defRPr/>
                  </a:pPr>
                  <a:endParaRPr lang="en-US"/>
                </a:p>
              </c:txPr>
              <c:dLblPos val="r"/>
              <c:showLegendKey val="0"/>
              <c:showVal val="0"/>
              <c:showCatName val="0"/>
              <c:showSerName val="0"/>
              <c:showPercent val="0"/>
              <c:showBubbleSize val="0"/>
            </c:dLbl>
            <c:dLbl>
              <c:idx val="17"/>
              <c:tx>
                <c:strRef>
                  <c:f>'ln 22 x ln BY E'!$B$43</c:f>
                  <c:strCache>
                    <c:ptCount val="1"/>
                    <c:pt idx="0">
                      <c:v>1995</c:v>
                    </c:pt>
                  </c:strCache>
                </c:strRef>
              </c:tx>
              <c:spPr/>
              <c:txPr>
                <a:bodyPr/>
                <a:lstStyle/>
                <a:p>
                  <a:pPr>
                    <a:defRPr/>
                  </a:pPr>
                  <a:endParaRPr lang="en-US"/>
                </a:p>
              </c:txPr>
              <c:dLblPos val="r"/>
              <c:showLegendKey val="0"/>
              <c:showVal val="0"/>
              <c:showCatName val="0"/>
              <c:showSerName val="0"/>
              <c:showPercent val="0"/>
              <c:showBubbleSize val="0"/>
            </c:dLbl>
            <c:dLbl>
              <c:idx val="18"/>
              <c:tx>
                <c:strRef>
                  <c:f>'ln 22 x ln BY E'!$B$44</c:f>
                  <c:strCache>
                    <c:ptCount val="1"/>
                    <c:pt idx="0">
                      <c:v>1996</c:v>
                    </c:pt>
                  </c:strCache>
                </c:strRef>
              </c:tx>
              <c:spPr/>
              <c:txPr>
                <a:bodyPr/>
                <a:lstStyle/>
                <a:p>
                  <a:pPr>
                    <a:defRPr/>
                  </a:pPr>
                  <a:endParaRPr lang="en-US"/>
                </a:p>
              </c:txPr>
              <c:dLblPos val="r"/>
              <c:showLegendKey val="0"/>
              <c:showVal val="0"/>
              <c:showCatName val="0"/>
              <c:showSerName val="0"/>
              <c:showPercent val="0"/>
              <c:showBubbleSize val="0"/>
            </c:dLbl>
            <c:dLbl>
              <c:idx val="19"/>
              <c:tx>
                <c:strRef>
                  <c:f>'ln 22 x ln BY E'!$B$45</c:f>
                  <c:strCache>
                    <c:ptCount val="1"/>
                    <c:pt idx="0">
                      <c:v>1997</c:v>
                    </c:pt>
                  </c:strCache>
                </c:strRef>
              </c:tx>
              <c:spPr/>
              <c:txPr>
                <a:bodyPr/>
                <a:lstStyle/>
                <a:p>
                  <a:pPr>
                    <a:defRPr/>
                  </a:pPr>
                  <a:endParaRPr lang="en-US"/>
                </a:p>
              </c:txPr>
              <c:dLblPos val="r"/>
              <c:showLegendKey val="0"/>
              <c:showVal val="0"/>
              <c:showCatName val="0"/>
              <c:showSerName val="0"/>
              <c:showPercent val="0"/>
              <c:showBubbleSize val="0"/>
            </c:dLbl>
            <c:dLbl>
              <c:idx val="20"/>
              <c:tx>
                <c:strRef>
                  <c:f>'ln 22 x ln BY E'!$B$46</c:f>
                  <c:strCache>
                    <c:ptCount val="1"/>
                    <c:pt idx="0">
                      <c:v>1998</c:v>
                    </c:pt>
                  </c:strCache>
                </c:strRef>
              </c:tx>
              <c:spPr/>
              <c:txPr>
                <a:bodyPr/>
                <a:lstStyle/>
                <a:p>
                  <a:pPr>
                    <a:defRPr/>
                  </a:pPr>
                  <a:endParaRPr lang="en-US"/>
                </a:p>
              </c:txPr>
              <c:dLblPos val="r"/>
              <c:showLegendKey val="0"/>
              <c:showVal val="0"/>
              <c:showCatName val="0"/>
              <c:showSerName val="0"/>
              <c:showPercent val="0"/>
              <c:showBubbleSize val="0"/>
            </c:dLbl>
            <c:dLbl>
              <c:idx val="21"/>
              <c:tx>
                <c:strRef>
                  <c:f>'ln 22 x ln BY E'!$B$47</c:f>
                  <c:strCache>
                    <c:ptCount val="1"/>
                    <c:pt idx="0">
                      <c:v>1999</c:v>
                    </c:pt>
                  </c:strCache>
                </c:strRef>
              </c:tx>
              <c:spPr/>
              <c:txPr>
                <a:bodyPr/>
                <a:lstStyle/>
                <a:p>
                  <a:pPr>
                    <a:defRPr/>
                  </a:pPr>
                  <a:endParaRPr lang="en-US"/>
                </a:p>
              </c:txPr>
              <c:dLblPos val="r"/>
              <c:showLegendKey val="0"/>
              <c:showVal val="0"/>
              <c:showCatName val="0"/>
              <c:showSerName val="0"/>
              <c:showPercent val="0"/>
              <c:showBubbleSize val="0"/>
            </c:dLbl>
            <c:dLbl>
              <c:idx val="22"/>
              <c:tx>
                <c:strRef>
                  <c:f>'ln 22 x ln BY E'!$B$48</c:f>
                  <c:strCache>
                    <c:ptCount val="1"/>
                    <c:pt idx="0">
                      <c:v>2000</c:v>
                    </c:pt>
                  </c:strCache>
                </c:strRef>
              </c:tx>
              <c:spPr/>
              <c:txPr>
                <a:bodyPr/>
                <a:lstStyle/>
                <a:p>
                  <a:pPr>
                    <a:defRPr/>
                  </a:pPr>
                  <a:endParaRPr lang="en-US"/>
                </a:p>
              </c:txPr>
              <c:dLblPos val="r"/>
              <c:showLegendKey val="0"/>
              <c:showVal val="0"/>
              <c:showCatName val="0"/>
              <c:showSerName val="0"/>
              <c:showPercent val="0"/>
              <c:showBubbleSize val="0"/>
            </c:dLbl>
            <c:dLbl>
              <c:idx val="23"/>
              <c:tx>
                <c:strRef>
                  <c:f>'ln 22 x ln BY E'!$B$49</c:f>
                  <c:strCache>
                    <c:ptCount val="1"/>
                    <c:pt idx="0">
                      <c:v>2001</c:v>
                    </c:pt>
                  </c:strCache>
                </c:strRef>
              </c:tx>
              <c:spPr/>
              <c:txPr>
                <a:bodyPr/>
                <a:lstStyle/>
                <a:p>
                  <a:pPr>
                    <a:defRPr/>
                  </a:pPr>
                  <a:endParaRPr lang="en-US"/>
                </a:p>
              </c:txPr>
              <c:dLblPos val="r"/>
              <c:showLegendKey val="0"/>
              <c:showVal val="0"/>
              <c:showCatName val="0"/>
              <c:showSerName val="0"/>
              <c:showPercent val="0"/>
              <c:showBubbleSize val="0"/>
            </c:dLbl>
            <c:dLbl>
              <c:idx val="24"/>
              <c:tx>
                <c:strRef>
                  <c:f>'ln 22 x ln BY E'!$B$50</c:f>
                  <c:strCache>
                    <c:ptCount val="1"/>
                    <c:pt idx="0">
                      <c:v>2002</c:v>
                    </c:pt>
                  </c:strCache>
                </c:strRef>
              </c:tx>
              <c:spPr/>
              <c:txPr>
                <a:bodyPr/>
                <a:lstStyle/>
                <a:p>
                  <a:pPr>
                    <a:defRPr/>
                  </a:pPr>
                  <a:endParaRPr lang="en-US"/>
                </a:p>
              </c:txPr>
              <c:dLblPos val="r"/>
              <c:showLegendKey val="0"/>
              <c:showVal val="0"/>
              <c:showCatName val="0"/>
              <c:showSerName val="0"/>
              <c:showPercent val="0"/>
              <c:showBubbleSize val="0"/>
            </c:dLbl>
            <c:dLbl>
              <c:idx val="25"/>
              <c:tx>
                <c:strRef>
                  <c:f>'ln 22 x ln BY E'!$B$51</c:f>
                  <c:strCache>
                    <c:ptCount val="1"/>
                    <c:pt idx="0">
                      <c:v>2003</c:v>
                    </c:pt>
                  </c:strCache>
                </c:strRef>
              </c:tx>
              <c:spPr/>
              <c:txPr>
                <a:bodyPr/>
                <a:lstStyle/>
                <a:p>
                  <a:pPr>
                    <a:defRPr/>
                  </a:pPr>
                  <a:endParaRPr lang="en-US"/>
                </a:p>
              </c:txPr>
              <c:dLblPos val="r"/>
              <c:showLegendKey val="0"/>
              <c:showVal val="0"/>
              <c:showCatName val="0"/>
              <c:showSerName val="0"/>
              <c:showPercent val="0"/>
              <c:showBubbleSize val="0"/>
            </c:dLbl>
            <c:dLbl>
              <c:idx val="26"/>
              <c:tx>
                <c:strRef>
                  <c:f>'ln 22 x ln BY E'!$B$52</c:f>
                  <c:strCache>
                    <c:ptCount val="1"/>
                    <c:pt idx="0">
                      <c:v>2004</c:v>
                    </c:pt>
                  </c:strCache>
                </c:strRef>
              </c:tx>
              <c:spPr/>
              <c:txPr>
                <a:bodyPr/>
                <a:lstStyle/>
                <a:p>
                  <a:pPr>
                    <a:defRPr/>
                  </a:pPr>
                  <a:endParaRPr lang="en-US"/>
                </a:p>
              </c:txPr>
              <c:dLblPos val="r"/>
              <c:showLegendKey val="0"/>
              <c:showVal val="0"/>
              <c:showCatName val="0"/>
              <c:showSerName val="0"/>
              <c:showPercent val="0"/>
              <c:showBubbleSize val="0"/>
            </c:dLbl>
            <c:dLbl>
              <c:idx val="27"/>
              <c:tx>
                <c:strRef>
                  <c:f>'ln 22 x ln BY E'!$B$53</c:f>
                  <c:strCache>
                    <c:ptCount val="1"/>
                    <c:pt idx="0">
                      <c:v>2005</c:v>
                    </c:pt>
                  </c:strCache>
                </c:strRef>
              </c:tx>
              <c:spPr/>
              <c:txPr>
                <a:bodyPr/>
                <a:lstStyle/>
                <a:p>
                  <a:pPr>
                    <a:defRPr/>
                  </a:pPr>
                  <a:endParaRPr lang="en-US"/>
                </a:p>
              </c:txPr>
              <c:dLblPos val="r"/>
              <c:showLegendKey val="0"/>
              <c:showVal val="0"/>
              <c:showCatName val="0"/>
              <c:showSerName val="0"/>
              <c:showPercent val="0"/>
              <c:showBubbleSize val="0"/>
            </c:dLbl>
            <c:dLbl>
              <c:idx val="28"/>
              <c:tx>
                <c:strRef>
                  <c:f>'ln 22 x ln BY E'!$B$54</c:f>
                  <c:strCache>
                    <c:ptCount val="1"/>
                    <c:pt idx="0">
                      <c:v>2006</c:v>
                    </c:pt>
                  </c:strCache>
                </c:strRef>
              </c:tx>
              <c:spPr/>
              <c:txPr>
                <a:bodyPr/>
                <a:lstStyle/>
                <a:p>
                  <a:pPr>
                    <a:defRPr/>
                  </a:pPr>
                  <a:endParaRPr lang="en-US"/>
                </a:p>
              </c:txPr>
              <c:dLblPos val="r"/>
              <c:showLegendKey val="0"/>
              <c:showVal val="0"/>
              <c:showCatName val="0"/>
              <c:showSerName val="0"/>
              <c:showPercent val="0"/>
              <c:showBubbleSize val="0"/>
            </c:dLbl>
            <c:dLbl>
              <c:idx val="29"/>
              <c:tx>
                <c:strRef>
                  <c:f>'ln 22 x ln BY E'!$B$55</c:f>
                  <c:strCache>
                    <c:ptCount val="1"/>
                    <c:pt idx="0">
                      <c:v>2007</c:v>
                    </c:pt>
                  </c:strCache>
                </c:strRef>
              </c:tx>
              <c:spPr/>
              <c:txPr>
                <a:bodyPr/>
                <a:lstStyle/>
                <a:p>
                  <a:pPr>
                    <a:defRPr/>
                  </a:pPr>
                  <a:endParaRPr lang="en-US"/>
                </a:p>
              </c:txPr>
              <c:dLblPos val="r"/>
              <c:showLegendKey val="0"/>
              <c:showVal val="0"/>
              <c:showCatName val="0"/>
              <c:showSerName val="0"/>
              <c:showPercent val="0"/>
              <c:showBubbleSize val="0"/>
            </c:dLbl>
            <c:dLbl>
              <c:idx val="30"/>
              <c:tx>
                <c:strRef>
                  <c:f>'ln 22 x ln BY E'!$B$56</c:f>
                  <c:strCache>
                    <c:ptCount val="1"/>
                    <c:pt idx="0">
                      <c:v>2008</c:v>
                    </c:pt>
                  </c:strCache>
                </c:strRef>
              </c:tx>
              <c:spPr/>
              <c:txPr>
                <a:bodyPr/>
                <a:lstStyle/>
                <a:p>
                  <a:pPr>
                    <a:defRPr/>
                  </a:pPr>
                  <a:endParaRPr lang="en-US"/>
                </a:p>
              </c:txPr>
              <c:dLblPos val="r"/>
              <c:showLegendKey val="0"/>
              <c:showVal val="0"/>
              <c:showCatName val="0"/>
              <c:showSerName val="0"/>
              <c:showPercent val="0"/>
              <c:showBubbleSize val="0"/>
            </c:dLbl>
            <c:dLbl>
              <c:idx val="31"/>
              <c:tx>
                <c:strRef>
                  <c:f>'ln 22 x ln BY E'!$B$57</c:f>
                  <c:strCache>
                    <c:ptCount val="1"/>
                    <c:pt idx="0">
                      <c:v>2009</c:v>
                    </c:pt>
                  </c:strCache>
                </c:strRef>
              </c:tx>
              <c:spPr/>
              <c:txPr>
                <a:bodyPr/>
                <a:lstStyle/>
                <a:p>
                  <a:pPr>
                    <a:defRPr/>
                  </a:pPr>
                  <a:endParaRPr lang="en-US"/>
                </a:p>
              </c:txPr>
              <c:dLblPos val="r"/>
              <c:showLegendKey val="0"/>
              <c:showVal val="0"/>
              <c:showCatName val="0"/>
              <c:showSerName val="0"/>
              <c:showPercent val="0"/>
              <c:showBubbleSize val="0"/>
            </c:dLbl>
            <c:dLbl>
              <c:idx val="32"/>
              <c:tx>
                <c:strRef>
                  <c:f>'ln 22 x ln BY E'!$B$62</c:f>
                  <c:strCache>
                    <c:ptCount val="1"/>
                    <c:pt idx="0">
                      <c:v>2014</c:v>
                    </c:pt>
                  </c:strCache>
                </c:strRef>
              </c:tx>
              <c:spPr/>
              <c:txPr>
                <a:bodyPr/>
                <a:lstStyle/>
                <a:p>
                  <a:pPr>
                    <a:defRPr/>
                  </a:pPr>
                  <a:endParaRPr lang="en-US"/>
                </a:p>
              </c:txPr>
              <c:dLblPos val="r"/>
              <c:showLegendKey val="0"/>
              <c:showVal val="0"/>
              <c:showCatName val="0"/>
              <c:showSerName val="0"/>
              <c:showPercent val="0"/>
              <c:showBubbleSize val="0"/>
            </c:dLbl>
            <c:dLbl>
              <c:idx val="33"/>
              <c:tx>
                <c:strRef>
                  <c:f>'ln 22 x ln BY E'!$B$63</c:f>
                  <c:strCache>
                    <c:ptCount val="1"/>
                  </c:strCache>
                </c:strRef>
              </c:tx>
              <c:spPr/>
              <c:txPr>
                <a:bodyPr/>
                <a:lstStyle/>
                <a:p>
                  <a:pPr>
                    <a:defRPr/>
                  </a:pPr>
                  <a:endParaRPr lang="en-US"/>
                </a:p>
              </c:txPr>
              <c:dLblPos val="r"/>
              <c:showLegendKey val="0"/>
              <c:showVal val="0"/>
              <c:showCatName val="0"/>
              <c:showSerName val="0"/>
              <c:showPercent val="0"/>
              <c:showBubbleSize val="0"/>
            </c:dLbl>
            <c:dLbl>
              <c:idx val="34"/>
              <c:tx>
                <c:strRef>
                  <c:f>'ln 22 x ln BY E'!$B$64</c:f>
                  <c:strCache>
                    <c:ptCount val="1"/>
                    <c:pt idx="0">
                      <c:v>2015</c:v>
                    </c:pt>
                  </c:strCache>
                </c:strRef>
              </c:tx>
              <c:spPr/>
              <c:txPr>
                <a:bodyPr/>
                <a:lstStyle/>
                <a:p>
                  <a:pPr>
                    <a:defRPr/>
                  </a:pPr>
                  <a:endParaRPr lang="en-US"/>
                </a:p>
              </c:txPr>
              <c:dLblPos val="r"/>
              <c:showLegendKey val="0"/>
              <c:showVal val="0"/>
              <c:showCatName val="0"/>
              <c:showSerName val="0"/>
              <c:showPercent val="0"/>
              <c:showBubbleSize val="0"/>
            </c:dLbl>
            <c:showLegendKey val="0"/>
            <c:showVal val="1"/>
            <c:showCatName val="0"/>
            <c:showSerName val="0"/>
            <c:showPercent val="0"/>
            <c:showBubbleSize val="0"/>
            <c:showLeaderLines val="0"/>
          </c:dLbls>
          <c:trendline>
            <c:spPr>
              <a:ln w="25400">
                <a:solidFill>
                  <a:srgbClr val="000000"/>
                </a:solidFill>
                <a:prstDash val="solid"/>
              </a:ln>
            </c:spPr>
            <c:trendlineType val="linear"/>
            <c:dispRSqr val="1"/>
            <c:dispEq val="1"/>
            <c:trendlineLbl>
              <c:layout>
                <c:manualLayout>
                  <c:x val="-0.491323140287092"/>
                  <c:y val="-0.208037482732806"/>
                </c:manualLayout>
              </c:layout>
              <c:numFmt formatCode="General" sourceLinked="0"/>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trendlineLbl>
          </c:trendline>
          <c:xVal>
            <c:numRef>
              <c:f>'ln 22 x ln BY E'!$Y$26:$Y$64</c:f>
              <c:numCache>
                <c:formatCode>General</c:formatCode>
                <c:ptCount val="39"/>
                <c:pt idx="0">
                  <c:v>10.91508846421461</c:v>
                </c:pt>
                <c:pt idx="1">
                  <c:v>10.01386546000574</c:v>
                </c:pt>
                <c:pt idx="2">
                  <c:v>10.4589518779205</c:v>
                </c:pt>
                <c:pt idx="3">
                  <c:v>9.111182800442964</c:v>
                </c:pt>
                <c:pt idx="4">
                  <c:v>10.35970914430808</c:v>
                </c:pt>
                <c:pt idx="5">
                  <c:v>10.65216404288855</c:v>
                </c:pt>
                <c:pt idx="6">
                  <c:v>10.78479338750732</c:v>
                </c:pt>
                <c:pt idx="7">
                  <c:v>11.86536244139713</c:v>
                </c:pt>
                <c:pt idx="8">
                  <c:v>11.95832897734773</c:v>
                </c:pt>
                <c:pt idx="9">
                  <c:v>12.10245505454077</c:v>
                </c:pt>
                <c:pt idx="10">
                  <c:v>10.5657372852682</c:v>
                </c:pt>
                <c:pt idx="11">
                  <c:v>11.06071460146415</c:v>
                </c:pt>
                <c:pt idx="12">
                  <c:v>12.00360144123549</c:v>
                </c:pt>
                <c:pt idx="13">
                  <c:v>11.21364303445213</c:v>
                </c:pt>
                <c:pt idx="14">
                  <c:v>12.1402693248708</c:v>
                </c:pt>
                <c:pt idx="15">
                  <c:v>11.18474079143112</c:v>
                </c:pt>
                <c:pt idx="16" formatCode="0.0000_)">
                  <c:v>10.51545179227039</c:v>
                </c:pt>
                <c:pt idx="17" formatCode="0.0000_)">
                  <c:v>9.017968479328726</c:v>
                </c:pt>
                <c:pt idx="18" formatCode="0.0000_)">
                  <c:v>9.17998425196128</c:v>
                </c:pt>
                <c:pt idx="19" formatCode="0.0000_)">
                  <c:v>10.29694755351686</c:v>
                </c:pt>
                <c:pt idx="20" formatCode="0.0000_)">
                  <c:v>9.13043098874788</c:v>
                </c:pt>
                <c:pt idx="21" formatCode="0.0000_)">
                  <c:v>8.890685920281128</c:v>
                </c:pt>
                <c:pt idx="22" formatCode="0.0000_)">
                  <c:v>10.32160560676761</c:v>
                </c:pt>
                <c:pt idx="23" formatCode="0.0000_)">
                  <c:v>10.5634139841044</c:v>
                </c:pt>
                <c:pt idx="24" formatCode="0.0000_)">
                  <c:v>10.46338901394871</c:v>
                </c:pt>
                <c:pt idx="25" formatCode="0.0000_)">
                  <c:v>10.27377443229468</c:v>
                </c:pt>
                <c:pt idx="26" formatCode="0.0000_)">
                  <c:v>10.99055006525378</c:v>
                </c:pt>
                <c:pt idx="27" formatCode="0.0000_)">
                  <c:v>10.2547076457919</c:v>
                </c:pt>
                <c:pt idx="28" formatCode="0.0000_)">
                  <c:v>10.5596335549516</c:v>
                </c:pt>
                <c:pt idx="29" formatCode="0.0000_)">
                  <c:v>10.25142947440063</c:v>
                </c:pt>
                <c:pt idx="30" formatCode="0.0000_)">
                  <c:v>11.23092058008273</c:v>
                </c:pt>
                <c:pt idx="31" formatCode="0.0000_)">
                  <c:v>10.32774170254087</c:v>
                </c:pt>
                <c:pt idx="32" formatCode="0.0000_)">
                  <c:v>10.31933194238916</c:v>
                </c:pt>
                <c:pt idx="33" formatCode="0.0000_)">
                  <c:v>10.06386168359726</c:v>
                </c:pt>
                <c:pt idx="34" formatCode="0.0000_)">
                  <c:v>11.15626480664374</c:v>
                </c:pt>
                <c:pt idx="35" formatCode="0.0000_)">
                  <c:v>10.28527453328972</c:v>
                </c:pt>
                <c:pt idx="36" formatCode="0.0000_)">
                  <c:v>10.05130392723035</c:v>
                </c:pt>
                <c:pt idx="38" formatCode="0.0000_)">
                  <c:v>10.09872533459663</c:v>
                </c:pt>
              </c:numCache>
            </c:numRef>
          </c:xVal>
          <c:yVal>
            <c:numRef>
              <c:f>'ln 22 x ln BY E'!$AA$26:$AA$64</c:f>
              <c:numCache>
                <c:formatCode>General</c:formatCode>
                <c:ptCount val="39"/>
                <c:pt idx="0">
                  <c:v>8.111328003286733</c:v>
                </c:pt>
                <c:pt idx="1">
                  <c:v>9.25903529351494</c:v>
                </c:pt>
                <c:pt idx="2">
                  <c:v>8.950708935929158</c:v>
                </c:pt>
                <c:pt idx="3">
                  <c:v>9.450666643193</c:v>
                </c:pt>
                <c:pt idx="4">
                  <c:v>7.48020397183251</c:v>
                </c:pt>
                <c:pt idx="5">
                  <c:v>7.668093709082406</c:v>
                </c:pt>
                <c:pt idx="6">
                  <c:v>8.756367559802974</c:v>
                </c:pt>
                <c:pt idx="7">
                  <c:v>10.85072453147196</c:v>
                </c:pt>
                <c:pt idx="8">
                  <c:v>9.588088666872241</c:v>
                </c:pt>
                <c:pt idx="9">
                  <c:v>8.67060073804555</c:v>
                </c:pt>
                <c:pt idx="10">
                  <c:v>6.104793232414985</c:v>
                </c:pt>
                <c:pt idx="11">
                  <c:v>7.655390644826152</c:v>
                </c:pt>
                <c:pt idx="12">
                  <c:v>7.064646200914268</c:v>
                </c:pt>
                <c:pt idx="13">
                  <c:v>4.414167747421413</c:v>
                </c:pt>
                <c:pt idx="14">
                  <c:v>7.257391912019018</c:v>
                </c:pt>
                <c:pt idx="15">
                  <c:v>7.127693699347398</c:v>
                </c:pt>
                <c:pt idx="16">
                  <c:v>6.006353159601732</c:v>
                </c:pt>
                <c:pt idx="17">
                  <c:v>6.925595197110468</c:v>
                </c:pt>
                <c:pt idx="18">
                  <c:v>6.848005274576363</c:v>
                </c:pt>
                <c:pt idx="19">
                  <c:v>5.774551545544408</c:v>
                </c:pt>
                <c:pt idx="20">
                  <c:v>5.438079308923195</c:v>
                </c:pt>
                <c:pt idx="21">
                  <c:v>8.293799608846818</c:v>
                </c:pt>
                <c:pt idx="22">
                  <c:v>7.773594467360194</c:v>
                </c:pt>
                <c:pt idx="23">
                  <c:v>7.436617265234226</c:v>
                </c:pt>
                <c:pt idx="24">
                  <c:v>5.762051382780176</c:v>
                </c:pt>
                <c:pt idx="25">
                  <c:v>5.849324779946859</c:v>
                </c:pt>
                <c:pt idx="26">
                  <c:v>7.198183577101943</c:v>
                </c:pt>
                <c:pt idx="27">
                  <c:v>5.129898714923073</c:v>
                </c:pt>
                <c:pt idx="28">
                  <c:v>6.56667242980324</c:v>
                </c:pt>
                <c:pt idx="29">
                  <c:v>6.953684210870537</c:v>
                </c:pt>
                <c:pt idx="30">
                  <c:v>8.068716192714781</c:v>
                </c:pt>
                <c:pt idx="31">
                  <c:v>6.242223265455165</c:v>
                </c:pt>
                <c:pt idx="32">
                  <c:v>9.511629447834181</c:v>
                </c:pt>
                <c:pt idx="33">
                  <c:v>6.313548046277095</c:v>
                </c:pt>
                <c:pt idx="34">
                  <c:v>7.955425088912671</c:v>
                </c:pt>
                <c:pt idx="35">
                  <c:v>6.731018100482082</c:v>
                </c:pt>
                <c:pt idx="36">
                  <c:v>6.232448016550522</c:v>
                </c:pt>
              </c:numCache>
            </c:numRef>
          </c:yVal>
          <c:smooth val="0"/>
        </c:ser>
        <c:ser>
          <c:idx val="1"/>
          <c:order val="1"/>
          <c:spPr>
            <a:ln w="3175">
              <a:solidFill>
                <a:srgbClr val="0000FF"/>
              </a:solidFill>
              <a:prstDash val="solid"/>
            </a:ln>
          </c:spPr>
          <c:marker>
            <c:symbol val="none"/>
          </c:marker>
          <c:xVal>
            <c:numRef>
              <c:f>'ln 22 x ln BY E'!$Y$26:$Y$64</c:f>
              <c:numCache>
                <c:formatCode>General</c:formatCode>
                <c:ptCount val="39"/>
                <c:pt idx="0">
                  <c:v>10.91508846421461</c:v>
                </c:pt>
                <c:pt idx="1">
                  <c:v>10.01386546000574</c:v>
                </c:pt>
                <c:pt idx="2">
                  <c:v>10.4589518779205</c:v>
                </c:pt>
                <c:pt idx="3">
                  <c:v>9.111182800442964</c:v>
                </c:pt>
                <c:pt idx="4">
                  <c:v>10.35970914430808</c:v>
                </c:pt>
                <c:pt idx="5">
                  <c:v>10.65216404288855</c:v>
                </c:pt>
                <c:pt idx="6">
                  <c:v>10.78479338750732</c:v>
                </c:pt>
                <c:pt idx="7">
                  <c:v>11.86536244139713</c:v>
                </c:pt>
                <c:pt idx="8">
                  <c:v>11.95832897734773</c:v>
                </c:pt>
                <c:pt idx="9">
                  <c:v>12.10245505454077</c:v>
                </c:pt>
                <c:pt idx="10">
                  <c:v>10.5657372852682</c:v>
                </c:pt>
                <c:pt idx="11">
                  <c:v>11.06071460146415</c:v>
                </c:pt>
                <c:pt idx="12">
                  <c:v>12.00360144123549</c:v>
                </c:pt>
                <c:pt idx="13">
                  <c:v>11.21364303445213</c:v>
                </c:pt>
                <c:pt idx="14">
                  <c:v>12.1402693248708</c:v>
                </c:pt>
                <c:pt idx="15">
                  <c:v>11.18474079143112</c:v>
                </c:pt>
                <c:pt idx="16" formatCode="0.0000_)">
                  <c:v>10.51545179227039</c:v>
                </c:pt>
                <c:pt idx="17" formatCode="0.0000_)">
                  <c:v>9.017968479328726</c:v>
                </c:pt>
                <c:pt idx="18" formatCode="0.0000_)">
                  <c:v>9.17998425196128</c:v>
                </c:pt>
                <c:pt idx="19" formatCode="0.0000_)">
                  <c:v>10.29694755351686</c:v>
                </c:pt>
                <c:pt idx="20" formatCode="0.0000_)">
                  <c:v>9.13043098874788</c:v>
                </c:pt>
                <c:pt idx="21" formatCode="0.0000_)">
                  <c:v>8.890685920281128</c:v>
                </c:pt>
                <c:pt idx="22" formatCode="0.0000_)">
                  <c:v>10.32160560676761</c:v>
                </c:pt>
                <c:pt idx="23" formatCode="0.0000_)">
                  <c:v>10.5634139841044</c:v>
                </c:pt>
                <c:pt idx="24" formatCode="0.0000_)">
                  <c:v>10.46338901394871</c:v>
                </c:pt>
                <c:pt idx="25" formatCode="0.0000_)">
                  <c:v>10.27377443229468</c:v>
                </c:pt>
                <c:pt idx="26" formatCode="0.0000_)">
                  <c:v>10.99055006525378</c:v>
                </c:pt>
                <c:pt idx="27" formatCode="0.0000_)">
                  <c:v>10.2547076457919</c:v>
                </c:pt>
                <c:pt idx="28" formatCode="0.0000_)">
                  <c:v>10.5596335549516</c:v>
                </c:pt>
                <c:pt idx="29" formatCode="0.0000_)">
                  <c:v>10.25142947440063</c:v>
                </c:pt>
                <c:pt idx="30" formatCode="0.0000_)">
                  <c:v>11.23092058008273</c:v>
                </c:pt>
                <c:pt idx="31" formatCode="0.0000_)">
                  <c:v>10.32774170254087</c:v>
                </c:pt>
                <c:pt idx="32" formatCode="0.0000_)">
                  <c:v>10.31933194238916</c:v>
                </c:pt>
                <c:pt idx="33" formatCode="0.0000_)">
                  <c:v>10.06386168359726</c:v>
                </c:pt>
                <c:pt idx="34" formatCode="0.0000_)">
                  <c:v>11.15626480664374</c:v>
                </c:pt>
                <c:pt idx="35" formatCode="0.0000_)">
                  <c:v>10.28527453328972</c:v>
                </c:pt>
                <c:pt idx="36" formatCode="0.0000_)">
                  <c:v>10.05130392723035</c:v>
                </c:pt>
                <c:pt idx="38" formatCode="0.0000_)">
                  <c:v>10.09872533459663</c:v>
                </c:pt>
              </c:numCache>
            </c:numRef>
          </c:xVal>
          <c:yVal>
            <c:numRef>
              <c:f>'ln 22 x ln BY E'!$AC$26:$AC$64</c:f>
              <c:numCache>
                <c:formatCode>General</c:formatCode>
                <c:ptCount val="39"/>
                <c:pt idx="0">
                  <c:v>5.554985710359597</c:v>
                </c:pt>
                <c:pt idx="1">
                  <c:v>5.214790735480978</c:v>
                </c:pt>
                <c:pt idx="2">
                  <c:v>5.382802606077032</c:v>
                </c:pt>
                <c:pt idx="3">
                  <c:v>4.87404476776914</c:v>
                </c:pt>
                <c:pt idx="4">
                  <c:v>5.34534031415762</c:v>
                </c:pt>
                <c:pt idx="5">
                  <c:v>5.45573661608408</c:v>
                </c:pt>
                <c:pt idx="6">
                  <c:v>5.505801734650774</c:v>
                </c:pt>
                <c:pt idx="7">
                  <c:v>5.913696518101572</c:v>
                </c:pt>
                <c:pt idx="8">
                  <c:v>5.948789661768085</c:v>
                </c:pt>
                <c:pt idx="9">
                  <c:v>6.003194583725309</c:v>
                </c:pt>
                <c:pt idx="10">
                  <c:v>5.423112117485855</c:v>
                </c:pt>
                <c:pt idx="11">
                  <c:v>5.609956877176149</c:v>
                </c:pt>
                <c:pt idx="12">
                  <c:v>5.965879177507322</c:v>
                </c:pt>
                <c:pt idx="13">
                  <c:v>5.667684525245052</c:v>
                </c:pt>
                <c:pt idx="14">
                  <c:v>6.017468769675846</c:v>
                </c:pt>
                <c:pt idx="15">
                  <c:v>5.656774464369391</c:v>
                </c:pt>
                <c:pt idx="16">
                  <c:v>5.404130276202116</c:v>
                </c:pt>
                <c:pt idx="17">
                  <c:v>4.838858089797439</c:v>
                </c:pt>
                <c:pt idx="18">
                  <c:v>4.900016040097494</c:v>
                </c:pt>
                <c:pt idx="19">
                  <c:v>5.321648977271136</c:v>
                </c:pt>
                <c:pt idx="20">
                  <c:v>4.881310601981392</c:v>
                </c:pt>
                <c:pt idx="21">
                  <c:v>4.79081128365128</c:v>
                </c:pt>
                <c:pt idx="22">
                  <c:v>5.330956935198328</c:v>
                </c:pt>
                <c:pt idx="23">
                  <c:v>5.42223511437191</c:v>
                </c:pt>
                <c:pt idx="24">
                  <c:v>5.384477542660543</c:v>
                </c:pt>
                <c:pt idx="25">
                  <c:v>5.312901553653205</c:v>
                </c:pt>
                <c:pt idx="26">
                  <c:v>5.583471065648943</c:v>
                </c:pt>
                <c:pt idx="27">
                  <c:v>5.305704195257961</c:v>
                </c:pt>
                <c:pt idx="28">
                  <c:v>5.420808072458125</c:v>
                </c:pt>
                <c:pt idx="29">
                  <c:v>5.304466746337003</c:v>
                </c:pt>
                <c:pt idx="30">
                  <c:v>5.674206478384642</c:v>
                </c:pt>
                <c:pt idx="31">
                  <c:v>5.333273197585873</c:v>
                </c:pt>
                <c:pt idx="32">
                  <c:v>5.330098669050553</c:v>
                </c:pt>
                <c:pt idx="33">
                  <c:v>5.23366338292707</c:v>
                </c:pt>
                <c:pt idx="34">
                  <c:v>5.64602530807384</c:v>
                </c:pt>
                <c:pt idx="35">
                  <c:v>5.317242628560123</c:v>
                </c:pt>
                <c:pt idx="36">
                  <c:v>5.228923062726832</c:v>
                </c:pt>
                <c:pt idx="38">
                  <c:v>5.267712153173419</c:v>
                </c:pt>
              </c:numCache>
            </c:numRef>
          </c:yVal>
          <c:smooth val="0"/>
        </c:ser>
        <c:ser>
          <c:idx val="2"/>
          <c:order val="2"/>
          <c:spPr>
            <a:ln w="3175">
              <a:solidFill>
                <a:srgbClr val="FFFF00"/>
              </a:solidFill>
              <a:prstDash val="solid"/>
            </a:ln>
          </c:spPr>
          <c:marker>
            <c:symbol val="none"/>
          </c:marker>
          <c:xVal>
            <c:numRef>
              <c:f>'ln 22 x ln BY E'!$Y$26:$Y$64</c:f>
              <c:numCache>
                <c:formatCode>General</c:formatCode>
                <c:ptCount val="39"/>
                <c:pt idx="0">
                  <c:v>10.91508846421461</c:v>
                </c:pt>
                <c:pt idx="1">
                  <c:v>10.01386546000574</c:v>
                </c:pt>
                <c:pt idx="2">
                  <c:v>10.4589518779205</c:v>
                </c:pt>
                <c:pt idx="3">
                  <c:v>9.111182800442964</c:v>
                </c:pt>
                <c:pt idx="4">
                  <c:v>10.35970914430808</c:v>
                </c:pt>
                <c:pt idx="5">
                  <c:v>10.65216404288855</c:v>
                </c:pt>
                <c:pt idx="6">
                  <c:v>10.78479338750732</c:v>
                </c:pt>
                <c:pt idx="7">
                  <c:v>11.86536244139713</c:v>
                </c:pt>
                <c:pt idx="8">
                  <c:v>11.95832897734773</c:v>
                </c:pt>
                <c:pt idx="9">
                  <c:v>12.10245505454077</c:v>
                </c:pt>
                <c:pt idx="10">
                  <c:v>10.5657372852682</c:v>
                </c:pt>
                <c:pt idx="11">
                  <c:v>11.06071460146415</c:v>
                </c:pt>
                <c:pt idx="12">
                  <c:v>12.00360144123549</c:v>
                </c:pt>
                <c:pt idx="13">
                  <c:v>11.21364303445213</c:v>
                </c:pt>
                <c:pt idx="14">
                  <c:v>12.1402693248708</c:v>
                </c:pt>
                <c:pt idx="15">
                  <c:v>11.18474079143112</c:v>
                </c:pt>
                <c:pt idx="16" formatCode="0.0000_)">
                  <c:v>10.51545179227039</c:v>
                </c:pt>
                <c:pt idx="17" formatCode="0.0000_)">
                  <c:v>9.017968479328726</c:v>
                </c:pt>
                <c:pt idx="18" formatCode="0.0000_)">
                  <c:v>9.17998425196128</c:v>
                </c:pt>
                <c:pt idx="19" formatCode="0.0000_)">
                  <c:v>10.29694755351686</c:v>
                </c:pt>
                <c:pt idx="20" formatCode="0.0000_)">
                  <c:v>9.13043098874788</c:v>
                </c:pt>
                <c:pt idx="21" formatCode="0.0000_)">
                  <c:v>8.890685920281128</c:v>
                </c:pt>
                <c:pt idx="22" formatCode="0.0000_)">
                  <c:v>10.32160560676761</c:v>
                </c:pt>
                <c:pt idx="23" formatCode="0.0000_)">
                  <c:v>10.5634139841044</c:v>
                </c:pt>
                <c:pt idx="24" formatCode="0.0000_)">
                  <c:v>10.46338901394871</c:v>
                </c:pt>
                <c:pt idx="25" formatCode="0.0000_)">
                  <c:v>10.27377443229468</c:v>
                </c:pt>
                <c:pt idx="26" formatCode="0.0000_)">
                  <c:v>10.99055006525378</c:v>
                </c:pt>
                <c:pt idx="27" formatCode="0.0000_)">
                  <c:v>10.2547076457919</c:v>
                </c:pt>
                <c:pt idx="28" formatCode="0.0000_)">
                  <c:v>10.5596335549516</c:v>
                </c:pt>
                <c:pt idx="29" formatCode="0.0000_)">
                  <c:v>10.25142947440063</c:v>
                </c:pt>
                <c:pt idx="30" formatCode="0.0000_)">
                  <c:v>11.23092058008273</c:v>
                </c:pt>
                <c:pt idx="31" formatCode="0.0000_)">
                  <c:v>10.32774170254087</c:v>
                </c:pt>
                <c:pt idx="32" formatCode="0.0000_)">
                  <c:v>10.31933194238916</c:v>
                </c:pt>
                <c:pt idx="33" formatCode="0.0000_)">
                  <c:v>10.06386168359726</c:v>
                </c:pt>
                <c:pt idx="34" formatCode="0.0000_)">
                  <c:v>11.15626480664374</c:v>
                </c:pt>
                <c:pt idx="35" formatCode="0.0000_)">
                  <c:v>10.28527453328972</c:v>
                </c:pt>
                <c:pt idx="36" formatCode="0.0000_)">
                  <c:v>10.05130392723035</c:v>
                </c:pt>
                <c:pt idx="38" formatCode="0.0000_)">
                  <c:v>10.09872533459663</c:v>
                </c:pt>
              </c:numCache>
            </c:numRef>
          </c:xVal>
          <c:yVal>
            <c:numRef>
              <c:f>'ln 22 x ln BY E'!$AD$26:$AD$64</c:f>
              <c:numCache>
                <c:formatCode>General</c:formatCode>
                <c:ptCount val="39"/>
                <c:pt idx="0">
                  <c:v>9.38828474653769</c:v>
                </c:pt>
                <c:pt idx="1">
                  <c:v>9.048089771659074</c:v>
                </c:pt>
                <c:pt idx="2">
                  <c:v>9.216101642255126</c:v>
                </c:pt>
                <c:pt idx="3">
                  <c:v>8.707343803947233</c:v>
                </c:pt>
                <c:pt idx="4">
                  <c:v>9.178639350335712</c:v>
                </c:pt>
                <c:pt idx="5">
                  <c:v>9.289035652262173</c:v>
                </c:pt>
                <c:pt idx="6">
                  <c:v>9.339100770828867</c:v>
                </c:pt>
                <c:pt idx="7">
                  <c:v>9.746995554279665</c:v>
                </c:pt>
                <c:pt idx="8">
                  <c:v>9.782088697946178</c:v>
                </c:pt>
                <c:pt idx="9">
                  <c:v>9.8364936199034</c:v>
                </c:pt>
                <c:pt idx="10">
                  <c:v>9.25641115366395</c:v>
                </c:pt>
                <c:pt idx="11">
                  <c:v>9.443255913354242</c:v>
                </c:pt>
                <c:pt idx="12">
                  <c:v>9.799178213685415</c:v>
                </c:pt>
                <c:pt idx="13">
                  <c:v>9.500983561423145</c:v>
                </c:pt>
                <c:pt idx="14">
                  <c:v>9.85076780585394</c:v>
                </c:pt>
                <c:pt idx="15">
                  <c:v>9.490073500547485</c:v>
                </c:pt>
                <c:pt idx="16">
                  <c:v>9.23742931238021</c:v>
                </c:pt>
                <c:pt idx="17">
                  <c:v>8.672157125975532</c:v>
                </c:pt>
                <c:pt idx="18">
                  <c:v>8.733315076275589</c:v>
                </c:pt>
                <c:pt idx="19">
                  <c:v>9.15494801344923</c:v>
                </c:pt>
                <c:pt idx="20">
                  <c:v>8.714609638159485</c:v>
                </c:pt>
                <c:pt idx="21">
                  <c:v>8.624110319829373</c:v>
                </c:pt>
                <c:pt idx="22">
                  <c:v>9.164255971376422</c:v>
                </c:pt>
                <c:pt idx="23">
                  <c:v>9.255534150550003</c:v>
                </c:pt>
                <c:pt idx="24">
                  <c:v>9.217776578838636</c:v>
                </c:pt>
                <c:pt idx="25">
                  <c:v>9.146200589831298</c:v>
                </c:pt>
                <c:pt idx="26">
                  <c:v>9.416770101827037</c:v>
                </c:pt>
                <c:pt idx="27">
                  <c:v>9.139003231436055</c:v>
                </c:pt>
                <c:pt idx="28">
                  <c:v>9.25410710863622</c:v>
                </c:pt>
                <c:pt idx="29">
                  <c:v>9.137765782515096</c:v>
                </c:pt>
                <c:pt idx="30">
                  <c:v>9.507505514562735</c:v>
                </c:pt>
                <c:pt idx="31">
                  <c:v>9.166572233763966</c:v>
                </c:pt>
                <c:pt idx="32">
                  <c:v>9.163397705228646</c:v>
                </c:pt>
                <c:pt idx="33">
                  <c:v>9.066962419105166</c:v>
                </c:pt>
                <c:pt idx="34">
                  <c:v>9.479324344251933</c:v>
                </c:pt>
                <c:pt idx="35">
                  <c:v>9.150541664738216</c:v>
                </c:pt>
                <c:pt idx="36">
                  <c:v>9.062222098904925</c:v>
                </c:pt>
                <c:pt idx="38">
                  <c:v>9.059234412577715</c:v>
                </c:pt>
              </c:numCache>
            </c:numRef>
          </c:yVal>
          <c:smooth val="0"/>
        </c:ser>
        <c:ser>
          <c:idx val="3"/>
          <c:order val="3"/>
          <c:tx>
            <c:v>Forecast</c:v>
          </c:tx>
          <c:spPr>
            <a:ln w="3175">
              <a:solidFill>
                <a:srgbClr val="FF00FF"/>
              </a:solidFill>
              <a:prstDash val="solid"/>
            </a:ln>
          </c:spPr>
          <c:marker>
            <c:symbol val="diamond"/>
            <c:size val="5"/>
            <c:spPr>
              <a:noFill/>
              <a:ln>
                <a:solidFill>
                  <a:srgbClr val="FF00FF"/>
                </a:solidFill>
                <a:prstDash val="solid"/>
              </a:ln>
            </c:spPr>
          </c:marker>
          <c:dPt>
            <c:idx val="34"/>
            <c:marker>
              <c:symbol val="diamond"/>
              <c:size val="9"/>
              <c:spPr>
                <a:solidFill>
                  <a:srgbClr val="FF99FF"/>
                </a:solidFill>
                <a:ln>
                  <a:solidFill>
                    <a:srgbClr val="FF00FF"/>
                  </a:solidFill>
                  <a:prstDash val="solid"/>
                </a:ln>
              </c:spPr>
            </c:marker>
            <c:bubble3D val="0"/>
          </c:dPt>
          <c:xVal>
            <c:numRef>
              <c:f>'ln 22 x ln BY E'!$Y$26:$Y$64</c:f>
              <c:numCache>
                <c:formatCode>General</c:formatCode>
                <c:ptCount val="39"/>
                <c:pt idx="0">
                  <c:v>10.91508846421461</c:v>
                </c:pt>
                <c:pt idx="1">
                  <c:v>10.01386546000574</c:v>
                </c:pt>
                <c:pt idx="2">
                  <c:v>10.4589518779205</c:v>
                </c:pt>
                <c:pt idx="3">
                  <c:v>9.111182800442964</c:v>
                </c:pt>
                <c:pt idx="4">
                  <c:v>10.35970914430808</c:v>
                </c:pt>
                <c:pt idx="5">
                  <c:v>10.65216404288855</c:v>
                </c:pt>
                <c:pt idx="6">
                  <c:v>10.78479338750732</c:v>
                </c:pt>
                <c:pt idx="7">
                  <c:v>11.86536244139713</c:v>
                </c:pt>
                <c:pt idx="8">
                  <c:v>11.95832897734773</c:v>
                </c:pt>
                <c:pt idx="9">
                  <c:v>12.10245505454077</c:v>
                </c:pt>
                <c:pt idx="10">
                  <c:v>10.5657372852682</c:v>
                </c:pt>
                <c:pt idx="11">
                  <c:v>11.06071460146415</c:v>
                </c:pt>
                <c:pt idx="12">
                  <c:v>12.00360144123549</c:v>
                </c:pt>
                <c:pt idx="13">
                  <c:v>11.21364303445213</c:v>
                </c:pt>
                <c:pt idx="14">
                  <c:v>12.1402693248708</c:v>
                </c:pt>
                <c:pt idx="15">
                  <c:v>11.18474079143112</c:v>
                </c:pt>
                <c:pt idx="16" formatCode="0.0000_)">
                  <c:v>10.51545179227039</c:v>
                </c:pt>
                <c:pt idx="17" formatCode="0.0000_)">
                  <c:v>9.017968479328726</c:v>
                </c:pt>
                <c:pt idx="18" formatCode="0.0000_)">
                  <c:v>9.17998425196128</c:v>
                </c:pt>
                <c:pt idx="19" formatCode="0.0000_)">
                  <c:v>10.29694755351686</c:v>
                </c:pt>
                <c:pt idx="20" formatCode="0.0000_)">
                  <c:v>9.13043098874788</c:v>
                </c:pt>
                <c:pt idx="21" formatCode="0.0000_)">
                  <c:v>8.890685920281128</c:v>
                </c:pt>
                <c:pt idx="22" formatCode="0.0000_)">
                  <c:v>10.32160560676761</c:v>
                </c:pt>
                <c:pt idx="23" formatCode="0.0000_)">
                  <c:v>10.5634139841044</c:v>
                </c:pt>
                <c:pt idx="24" formatCode="0.0000_)">
                  <c:v>10.46338901394871</c:v>
                </c:pt>
                <c:pt idx="25" formatCode="0.0000_)">
                  <c:v>10.27377443229468</c:v>
                </c:pt>
                <c:pt idx="26" formatCode="0.0000_)">
                  <c:v>10.99055006525378</c:v>
                </c:pt>
                <c:pt idx="27" formatCode="0.0000_)">
                  <c:v>10.2547076457919</c:v>
                </c:pt>
                <c:pt idx="28" formatCode="0.0000_)">
                  <c:v>10.5596335549516</c:v>
                </c:pt>
                <c:pt idx="29" formatCode="0.0000_)">
                  <c:v>10.25142947440063</c:v>
                </c:pt>
                <c:pt idx="30" formatCode="0.0000_)">
                  <c:v>11.23092058008273</c:v>
                </c:pt>
                <c:pt idx="31" formatCode="0.0000_)">
                  <c:v>10.32774170254087</c:v>
                </c:pt>
                <c:pt idx="32" formatCode="0.0000_)">
                  <c:v>10.31933194238916</c:v>
                </c:pt>
                <c:pt idx="33" formatCode="0.0000_)">
                  <c:v>10.06386168359726</c:v>
                </c:pt>
                <c:pt idx="34" formatCode="0.0000_)">
                  <c:v>11.15626480664374</c:v>
                </c:pt>
                <c:pt idx="35" formatCode="0.0000_)">
                  <c:v>10.28527453328972</c:v>
                </c:pt>
                <c:pt idx="36" formatCode="0.0000_)">
                  <c:v>10.05130392723035</c:v>
                </c:pt>
                <c:pt idx="38" formatCode="0.0000_)">
                  <c:v>10.09872533459663</c:v>
                </c:pt>
              </c:numCache>
            </c:numRef>
          </c:xVal>
          <c:yVal>
            <c:numRef>
              <c:f>'ln 22 x ln BY E'!$AE$26:$AE$64</c:f>
              <c:numCache>
                <c:formatCode>General</c:formatCode>
                <c:ptCount val="39"/>
                <c:pt idx="38">
                  <c:v>7.163473282875568</c:v>
                </c:pt>
              </c:numCache>
            </c:numRef>
          </c:yVal>
          <c:smooth val="0"/>
        </c:ser>
        <c:dLbls>
          <c:showLegendKey val="0"/>
          <c:showVal val="0"/>
          <c:showCatName val="0"/>
          <c:showSerName val="0"/>
          <c:showPercent val="0"/>
          <c:showBubbleSize val="0"/>
        </c:dLbls>
        <c:axId val="-2078848376"/>
        <c:axId val="-2078842040"/>
      </c:scatterChart>
      <c:valAx>
        <c:axId val="-2078848376"/>
        <c:scaling>
          <c:orientation val="minMax"/>
          <c:min val="8.0"/>
        </c:scaling>
        <c:delete val="0"/>
        <c:axPos val="b"/>
        <c:title>
          <c:tx>
            <c:rich>
              <a:bodyPr/>
              <a:lstStyle/>
              <a:p>
                <a:pPr>
                  <a:defRPr sz="1000" b="0" i="0" u="none" strike="noStrike" baseline="0">
                    <a:solidFill>
                      <a:srgbClr val="000000"/>
                    </a:solidFill>
                    <a:latin typeface="Arial"/>
                    <a:ea typeface="Arial"/>
                    <a:cs typeface="Arial"/>
                  </a:defRPr>
                </a:pPr>
                <a:r>
                  <a:rPr lang="en-US"/>
                  <a:t>LN BROOD YEAR ESCAPEMENT</a:t>
                </a:r>
              </a:p>
            </c:rich>
          </c:tx>
          <c:layout>
            <c:manualLayout>
              <c:xMode val="edge"/>
              <c:yMode val="edge"/>
              <c:x val="0.362830531763467"/>
              <c:y val="0.83314929309254"/>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78842040"/>
        <c:crosses val="autoZero"/>
        <c:crossBetween val="midCat"/>
      </c:valAx>
      <c:valAx>
        <c:axId val="-2078842040"/>
        <c:scaling>
          <c:orientation val="minMax"/>
          <c:min val="4.0"/>
        </c:scaling>
        <c:delete val="0"/>
        <c:axPos val="l"/>
        <c:title>
          <c:tx>
            <c:rich>
              <a:bodyPr/>
              <a:lstStyle/>
              <a:p>
                <a:pPr>
                  <a:defRPr sz="1000" b="0" i="0" u="none" strike="noStrike" baseline="0">
                    <a:solidFill>
                      <a:srgbClr val="000000"/>
                    </a:solidFill>
                    <a:latin typeface="Arial"/>
                    <a:ea typeface="Arial"/>
                    <a:cs typeface="Arial"/>
                  </a:defRPr>
                </a:pPr>
                <a:r>
                  <a:rPr lang="en-US"/>
                  <a:t>LN AGED 2.2</a:t>
                </a:r>
              </a:p>
            </c:rich>
          </c:tx>
          <c:layout>
            <c:manualLayout>
              <c:xMode val="edge"/>
              <c:yMode val="edge"/>
              <c:x val="0.0204189601691638"/>
              <c:y val="0.360214483929366"/>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78848376"/>
        <c:crosses val="autoZero"/>
        <c:crossBetween val="midCat"/>
      </c:valAx>
      <c:spPr>
        <a:solidFill>
          <a:srgbClr val="FFFFFF"/>
        </a:solidFill>
        <a:ln w="12700">
          <a:solidFill>
            <a:srgbClr val="000000"/>
          </a:solidFill>
          <a:prstDash val="solid"/>
        </a:ln>
      </c:spPr>
    </c:plotArea>
    <c:legend>
      <c:legendPos val="b"/>
      <c:layout>
        <c:manualLayout>
          <c:xMode val="edge"/>
          <c:yMode val="edge"/>
          <c:x val="0.18691267823497"/>
          <c:y val="0.90666240705592"/>
          <c:w val="0.739797431277203"/>
          <c:h val="0.0588104410576363"/>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 r="0.75" t="1.0"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LN 2.2 FROM LN 1.2</a:t>
            </a:r>
          </a:p>
        </c:rich>
      </c:tx>
      <c:layout>
        <c:manualLayout>
          <c:xMode val="edge"/>
          <c:yMode val="edge"/>
          <c:x val="0.398956548926682"/>
          <c:y val="0.0318556242522191"/>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0209519349092"/>
          <c:y val="0.164179402115258"/>
          <c:w val="0.862311711177156"/>
          <c:h val="0.600357515197587"/>
        </c:manualLayout>
      </c:layout>
      <c:scatterChart>
        <c:scatterStyle val="lineMarker"/>
        <c:varyColors val="0"/>
        <c:ser>
          <c:idx val="0"/>
          <c:order val="0"/>
          <c:spPr>
            <a:ln w="28575">
              <a:noFill/>
            </a:ln>
          </c:spPr>
          <c:marker>
            <c:symbol val="diamond"/>
            <c:size val="5"/>
            <c:spPr>
              <a:solidFill>
                <a:srgbClr val="00FF00"/>
              </a:solidFill>
              <a:ln>
                <a:solidFill>
                  <a:srgbClr val="000000"/>
                </a:solidFill>
                <a:prstDash val="solid"/>
              </a:ln>
            </c:spPr>
          </c:marker>
          <c:dLbls>
            <c:dLbl>
              <c:idx val="0"/>
              <c:tx>
                <c:strRef>
                  <c:f>'ln 22 x ln 12'!$B$26</c:f>
                  <c:strCache>
                    <c:ptCount val="1"/>
                    <c:pt idx="0">
                      <c:v>1978</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1"/>
              <c:tx>
                <c:strRef>
                  <c:f>'ln 22 x ln 12'!$B$27</c:f>
                  <c:strCache>
                    <c:ptCount val="1"/>
                    <c:pt idx="0">
                      <c:v>1979</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2"/>
              <c:tx>
                <c:strRef>
                  <c:f>'ln 22 x ln 12'!$B$28</c:f>
                  <c:strCache>
                    <c:ptCount val="1"/>
                    <c:pt idx="0">
                      <c:v>1980</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3"/>
              <c:tx>
                <c:strRef>
                  <c:f>'ln 22 x ln 12'!$B$29</c:f>
                  <c:strCache>
                    <c:ptCount val="1"/>
                    <c:pt idx="0">
                      <c:v>1981</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4"/>
              <c:tx>
                <c:strRef>
                  <c:f>'ln 22 x ln 12'!$B$30</c:f>
                  <c:strCache>
                    <c:ptCount val="1"/>
                    <c:pt idx="0">
                      <c:v>1982</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5"/>
              <c:tx>
                <c:strRef>
                  <c:f>'ln 22 x ln 12'!$B$31</c:f>
                  <c:strCache>
                    <c:ptCount val="1"/>
                    <c:pt idx="0">
                      <c:v>1983</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6"/>
              <c:tx>
                <c:strRef>
                  <c:f>'ln 22 x ln 12'!$B$32</c:f>
                  <c:strCache>
                    <c:ptCount val="1"/>
                    <c:pt idx="0">
                      <c:v>1984</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7"/>
              <c:tx>
                <c:strRef>
                  <c:f>'ln 22 x ln 12'!$B$33</c:f>
                  <c:strCache>
                    <c:ptCount val="1"/>
                    <c:pt idx="0">
                      <c:v>1985</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8"/>
              <c:tx>
                <c:strRef>
                  <c:f>'ln 22 x ln 12'!$B$34</c:f>
                  <c:strCache>
                    <c:ptCount val="1"/>
                    <c:pt idx="0">
                      <c:v>1986</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9"/>
              <c:tx>
                <c:strRef>
                  <c:f>'ln 22 x ln 12'!$B$35</c:f>
                  <c:strCache>
                    <c:ptCount val="1"/>
                    <c:pt idx="0">
                      <c:v>1987</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10"/>
              <c:tx>
                <c:strRef>
                  <c:f>'ln 22 x ln 12'!$B$36</c:f>
                  <c:strCache>
                    <c:ptCount val="1"/>
                    <c:pt idx="0">
                      <c:v>1988</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11"/>
              <c:tx>
                <c:strRef>
                  <c:f>'ln 22 x ln 12'!$B$37</c:f>
                  <c:strCache>
                    <c:ptCount val="1"/>
                    <c:pt idx="0">
                      <c:v>1989</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12"/>
              <c:tx>
                <c:strRef>
                  <c:f>'ln 22 x ln 12'!$B$38</c:f>
                  <c:strCache>
                    <c:ptCount val="1"/>
                    <c:pt idx="0">
                      <c:v>1990</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13"/>
              <c:tx>
                <c:strRef>
                  <c:f>'ln 22 x ln 12'!$B$39</c:f>
                  <c:strCache>
                    <c:ptCount val="1"/>
                    <c:pt idx="0">
                      <c:v>1991</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14"/>
              <c:tx>
                <c:strRef>
                  <c:f>'ln 22 x ln 12'!$B$40</c:f>
                  <c:strCache>
                    <c:ptCount val="1"/>
                    <c:pt idx="0">
                      <c:v>1992</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15"/>
              <c:tx>
                <c:strRef>
                  <c:f>'ln 22 x ln 12'!$B$41</c:f>
                  <c:strCache>
                    <c:ptCount val="1"/>
                    <c:pt idx="0">
                      <c:v>1993</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16"/>
              <c:tx>
                <c:strRef>
                  <c:f>'ln 22 x ln 12'!$B$42</c:f>
                  <c:strCache>
                    <c:ptCount val="1"/>
                    <c:pt idx="0">
                      <c:v>1994</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17"/>
              <c:tx>
                <c:strRef>
                  <c:f>'ln 22 x ln 12'!$B$43</c:f>
                  <c:strCache>
                    <c:ptCount val="1"/>
                    <c:pt idx="0">
                      <c:v>1995</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18"/>
              <c:tx>
                <c:strRef>
                  <c:f>'ln 22 x ln 12'!$B$44</c:f>
                  <c:strCache>
                    <c:ptCount val="1"/>
                    <c:pt idx="0">
                      <c:v>1996</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19"/>
              <c:tx>
                <c:strRef>
                  <c:f>'ln 22 x ln 12'!$B$45</c:f>
                  <c:strCache>
                    <c:ptCount val="1"/>
                    <c:pt idx="0">
                      <c:v>1997</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20"/>
              <c:tx>
                <c:strRef>
                  <c:f>'ln 22 x ln 12'!$B$46</c:f>
                  <c:strCache>
                    <c:ptCount val="1"/>
                    <c:pt idx="0">
                      <c:v>1998</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dLbl>
            <c:dLbl>
              <c:idx val="21"/>
              <c:tx>
                <c:strRef>
                  <c:f>'ln 22 x ln 12'!$B$47</c:f>
                  <c:strCache>
                    <c:ptCount val="1"/>
                    <c:pt idx="0">
                      <c:v>1999</c:v>
                    </c:pt>
                  </c:strCache>
                </c:strRef>
              </c:tx>
              <c:dLblPos val="t"/>
              <c:showLegendKey val="0"/>
              <c:showVal val="1"/>
              <c:showCatName val="0"/>
              <c:showSerName val="0"/>
              <c:showPercent val="0"/>
              <c:showBubbleSize val="0"/>
            </c:dLbl>
            <c:dLbl>
              <c:idx val="22"/>
              <c:tx>
                <c:strRef>
                  <c:f>'ln 22 x ln 12'!$B$48</c:f>
                  <c:strCache>
                    <c:ptCount val="1"/>
                    <c:pt idx="0">
                      <c:v>2000</c:v>
                    </c:pt>
                  </c:strCache>
                </c:strRef>
              </c:tx>
              <c:dLblPos val="t"/>
              <c:showLegendKey val="0"/>
              <c:showVal val="1"/>
              <c:showCatName val="0"/>
              <c:showSerName val="0"/>
              <c:showPercent val="0"/>
              <c:showBubbleSize val="0"/>
            </c:dLbl>
            <c:dLbl>
              <c:idx val="23"/>
              <c:tx>
                <c:strRef>
                  <c:f>'ln 22 x ln 12'!$B$49</c:f>
                  <c:strCache>
                    <c:ptCount val="1"/>
                    <c:pt idx="0">
                      <c:v>2001</c:v>
                    </c:pt>
                  </c:strCache>
                </c:strRef>
              </c:tx>
              <c:dLblPos val="t"/>
              <c:showLegendKey val="0"/>
              <c:showVal val="1"/>
              <c:showCatName val="0"/>
              <c:showSerName val="0"/>
              <c:showPercent val="0"/>
              <c:showBubbleSize val="0"/>
            </c:dLbl>
            <c:dLbl>
              <c:idx val="24"/>
              <c:tx>
                <c:strRef>
                  <c:f>'ln 22 x ln 12'!$B$50</c:f>
                  <c:strCache>
                    <c:ptCount val="1"/>
                    <c:pt idx="0">
                      <c:v>2002</c:v>
                    </c:pt>
                  </c:strCache>
                </c:strRef>
              </c:tx>
              <c:dLblPos val="t"/>
              <c:showLegendKey val="0"/>
              <c:showVal val="1"/>
              <c:showCatName val="0"/>
              <c:showSerName val="0"/>
              <c:showPercent val="0"/>
              <c:showBubbleSize val="0"/>
            </c:dLbl>
            <c:dLbl>
              <c:idx val="25"/>
              <c:tx>
                <c:strRef>
                  <c:f>'ln 22 x ln 12'!$B$51</c:f>
                  <c:strCache>
                    <c:ptCount val="1"/>
                    <c:pt idx="0">
                      <c:v>2003</c:v>
                    </c:pt>
                  </c:strCache>
                </c:strRef>
              </c:tx>
              <c:dLblPos val="t"/>
              <c:showLegendKey val="0"/>
              <c:showVal val="1"/>
              <c:showCatName val="0"/>
              <c:showSerName val="0"/>
              <c:showPercent val="0"/>
              <c:showBubbleSize val="0"/>
            </c:dLbl>
            <c:dLbl>
              <c:idx val="26"/>
              <c:tx>
                <c:strRef>
                  <c:f>'ln 22 x ln 12'!$B$52</c:f>
                  <c:strCache>
                    <c:ptCount val="1"/>
                    <c:pt idx="0">
                      <c:v>2004</c:v>
                    </c:pt>
                  </c:strCache>
                </c:strRef>
              </c:tx>
              <c:dLblPos val="t"/>
              <c:showLegendKey val="0"/>
              <c:showVal val="1"/>
              <c:showCatName val="0"/>
              <c:showSerName val="0"/>
              <c:showPercent val="0"/>
              <c:showBubbleSize val="0"/>
            </c:dLbl>
            <c:dLbl>
              <c:idx val="27"/>
              <c:tx>
                <c:strRef>
                  <c:f>'ln 22 x ln 12'!$B$53</c:f>
                  <c:strCache>
                    <c:ptCount val="1"/>
                    <c:pt idx="0">
                      <c:v>2005</c:v>
                    </c:pt>
                  </c:strCache>
                </c:strRef>
              </c:tx>
              <c:dLblPos val="t"/>
              <c:showLegendKey val="0"/>
              <c:showVal val="1"/>
              <c:showCatName val="0"/>
              <c:showSerName val="0"/>
              <c:showPercent val="0"/>
              <c:showBubbleSize val="0"/>
            </c:dLbl>
            <c:dLbl>
              <c:idx val="28"/>
              <c:tx>
                <c:strRef>
                  <c:f>'ln 22 x ln 12'!$B$54</c:f>
                  <c:strCache>
                    <c:ptCount val="1"/>
                    <c:pt idx="0">
                      <c:v>2006</c:v>
                    </c:pt>
                  </c:strCache>
                </c:strRef>
              </c:tx>
              <c:dLblPos val="t"/>
              <c:showLegendKey val="0"/>
              <c:showVal val="1"/>
              <c:showCatName val="0"/>
              <c:showSerName val="0"/>
              <c:showPercent val="0"/>
              <c:showBubbleSize val="0"/>
            </c:dLbl>
            <c:dLbl>
              <c:idx val="29"/>
              <c:tx>
                <c:strRef>
                  <c:f>'ln 22 x ln 12'!$B$55</c:f>
                  <c:strCache>
                    <c:ptCount val="1"/>
                    <c:pt idx="0">
                      <c:v>2007</c:v>
                    </c:pt>
                  </c:strCache>
                </c:strRef>
              </c:tx>
              <c:dLblPos val="t"/>
              <c:showLegendKey val="0"/>
              <c:showVal val="1"/>
              <c:showCatName val="0"/>
              <c:showSerName val="0"/>
              <c:showPercent val="0"/>
              <c:showBubbleSize val="0"/>
            </c:dLbl>
            <c:dLbl>
              <c:idx val="30"/>
              <c:tx>
                <c:strRef>
                  <c:f>'ln 22 x ln 12'!$B$56</c:f>
                  <c:strCache>
                    <c:ptCount val="1"/>
                    <c:pt idx="0">
                      <c:v>2008</c:v>
                    </c:pt>
                  </c:strCache>
                </c:strRef>
              </c:tx>
              <c:dLblPos val="t"/>
              <c:showLegendKey val="0"/>
              <c:showVal val="1"/>
              <c:showCatName val="0"/>
              <c:showSerName val="0"/>
              <c:showPercent val="0"/>
              <c:showBubbleSize val="0"/>
            </c:dLbl>
            <c:dLbl>
              <c:idx val="31"/>
              <c:tx>
                <c:strRef>
                  <c:f>'ln 22 x ln 12'!$B$57</c:f>
                  <c:strCache>
                    <c:ptCount val="1"/>
                    <c:pt idx="0">
                      <c:v>2009</c:v>
                    </c:pt>
                  </c:strCache>
                </c:strRef>
              </c:tx>
              <c:dLblPos val="t"/>
              <c:showLegendKey val="0"/>
              <c:showVal val="1"/>
              <c:showCatName val="0"/>
              <c:showSerName val="0"/>
              <c:showPercent val="0"/>
              <c:showBubbleSize val="0"/>
            </c:dLbl>
            <c:dLbl>
              <c:idx val="32"/>
              <c:tx>
                <c:strRef>
                  <c:f>'ln 22 x ln 12'!$B$58</c:f>
                  <c:strCache>
                    <c:ptCount val="1"/>
                    <c:pt idx="0">
                      <c:v>2010</c:v>
                    </c:pt>
                  </c:strCache>
                </c:strRef>
              </c:tx>
              <c:dLblPos val="t"/>
              <c:showLegendKey val="0"/>
              <c:showVal val="1"/>
              <c:showCatName val="0"/>
              <c:showSerName val="0"/>
              <c:showPercent val="0"/>
              <c:showBubbleSize val="0"/>
            </c:dLbl>
            <c:dLbl>
              <c:idx val="33"/>
              <c:tx>
                <c:strRef>
                  <c:f>'ln 22 x ln 12'!$B$59</c:f>
                  <c:strCache>
                    <c:ptCount val="1"/>
                    <c:pt idx="0">
                      <c:v>2011</c:v>
                    </c:pt>
                  </c:strCache>
                </c:strRef>
              </c:tx>
              <c:dLblPos val="t"/>
              <c:showLegendKey val="0"/>
              <c:showVal val="1"/>
              <c:showCatName val="0"/>
              <c:showSerName val="0"/>
              <c:showPercent val="0"/>
              <c:showBubbleSize val="0"/>
            </c:dLbl>
            <c:dLbl>
              <c:idx val="34"/>
              <c:tx>
                <c:strRef>
                  <c:f>'ln 22 x ln 12'!$B$60</c:f>
                  <c:strCache>
                    <c:ptCount val="1"/>
                    <c:pt idx="0">
                      <c:v>2012</c:v>
                    </c:pt>
                  </c:strCache>
                </c:strRef>
              </c:tx>
              <c:dLblPos val="t"/>
              <c:showLegendKey val="0"/>
              <c:showVal val="1"/>
              <c:showCatName val="0"/>
              <c:showSerName val="0"/>
              <c:showPercent val="0"/>
              <c:showBubbleSize val="0"/>
            </c:dLbl>
            <c:dLbl>
              <c:idx val="35"/>
              <c:tx>
                <c:strRef>
                  <c:f>'ln 22 x ln 12'!$B$61</c:f>
                  <c:strCache>
                    <c:ptCount val="1"/>
                    <c:pt idx="0">
                      <c:v>2013</c:v>
                    </c:pt>
                  </c:strCache>
                </c:strRef>
              </c:tx>
              <c:dLblPos val="t"/>
              <c:showLegendKey val="0"/>
              <c:showVal val="1"/>
              <c:showCatName val="0"/>
              <c:showSerName val="0"/>
              <c:showPercent val="0"/>
              <c:showBubbleSize val="0"/>
            </c:dLbl>
            <c:dLbl>
              <c:idx val="36"/>
              <c:tx>
                <c:strRef>
                  <c:f>'ln 22 x ln 12'!$B$62</c:f>
                  <c:strCache>
                    <c:ptCount val="1"/>
                    <c:pt idx="0">
                      <c:v>2014</c:v>
                    </c:pt>
                  </c:strCache>
                </c:strRef>
              </c:tx>
              <c:dLblPos val="t"/>
              <c:showLegendKey val="0"/>
              <c:showVal val="1"/>
              <c:showCatName val="0"/>
              <c:showSerName val="0"/>
              <c:showPercent val="0"/>
              <c:showBubbleSize val="0"/>
            </c:dLbl>
            <c:dLbl>
              <c:idx val="37"/>
              <c:tx>
                <c:strRef>
                  <c:f>'ln 22 x ln 12'!$B$63</c:f>
                  <c:strCache>
                    <c:ptCount val="1"/>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8"/>
              <c:tx>
                <c:strRef>
                  <c:f>'ln 22 x ln 12'!$B$64</c:f>
                  <c:strCache>
                    <c:ptCount val="1"/>
                    <c:pt idx="0">
                      <c:v>2015</c:v>
                    </c:pt>
                  </c:strCache>
                </c:strRef>
              </c:tx>
              <c:dLblPos val="t"/>
              <c:showLegendKey val="0"/>
              <c:showVal val="1"/>
              <c:showCatName val="0"/>
              <c:showSerName val="0"/>
              <c:showPercent val="0"/>
              <c:showBubbleSize val="0"/>
            </c:dLbl>
            <c:showLegendKey val="0"/>
            <c:showVal val="1"/>
            <c:showCatName val="0"/>
            <c:showSerName val="0"/>
            <c:showPercent val="0"/>
            <c:showBubbleSize val="0"/>
            <c:showLeaderLines val="0"/>
          </c:dLbls>
          <c:trendline>
            <c:spPr>
              <a:ln w="25400">
                <a:solidFill>
                  <a:srgbClr val="000000"/>
                </a:solidFill>
                <a:prstDash val="solid"/>
              </a:ln>
            </c:spPr>
            <c:trendlineType val="linear"/>
            <c:dispRSqr val="0"/>
            <c:dispEq val="0"/>
          </c:trendline>
          <c:xVal>
            <c:numRef>
              <c:f>'ln 22 x ln 12'!$Y$26:$Y$64</c:f>
              <c:numCache>
                <c:formatCode>General</c:formatCode>
                <c:ptCount val="39"/>
                <c:pt idx="0">
                  <c:v>10.14462818055199</c:v>
                </c:pt>
                <c:pt idx="1">
                  <c:v>9.953752818683678</c:v>
                </c:pt>
                <c:pt idx="2">
                  <c:v>10.55443157687763</c:v>
                </c:pt>
                <c:pt idx="3">
                  <c:v>10.86730537695477</c:v>
                </c:pt>
                <c:pt idx="4">
                  <c:v>11.82834020411777</c:v>
                </c:pt>
                <c:pt idx="5">
                  <c:v>9.082371320807685</c:v>
                </c:pt>
                <c:pt idx="6">
                  <c:v>9.76646435636946</c:v>
                </c:pt>
                <c:pt idx="7">
                  <c:v>10.5395351410555</c:v>
                </c:pt>
                <c:pt idx="8">
                  <c:v>11.43472685756477</c:v>
                </c:pt>
                <c:pt idx="9">
                  <c:v>10.97856054252912</c:v>
                </c:pt>
                <c:pt idx="10">
                  <c:v>9.37203396097417</c:v>
                </c:pt>
                <c:pt idx="11">
                  <c:v>11.07867500543031</c:v>
                </c:pt>
                <c:pt idx="12">
                  <c:v>7.427738840532894</c:v>
                </c:pt>
                <c:pt idx="13">
                  <c:v>8.38288709878914</c:v>
                </c:pt>
                <c:pt idx="14">
                  <c:v>7.681833736459046</c:v>
                </c:pt>
                <c:pt idx="15">
                  <c:v>8.841176768351712</c:v>
                </c:pt>
                <c:pt idx="16" formatCode="0.0000_)">
                  <c:v>7.86172707782398</c:v>
                </c:pt>
                <c:pt idx="17" formatCode="0.0000_)">
                  <c:v>8.165932137321584</c:v>
                </c:pt>
                <c:pt idx="18" formatCode="0.0000_)">
                  <c:v>10.56035967723136</c:v>
                </c:pt>
                <c:pt idx="19" formatCode="0.0000_)">
                  <c:v>9.605148899895818</c:v>
                </c:pt>
                <c:pt idx="20" formatCode="0.0000_)">
                  <c:v>9.043929525845292</c:v>
                </c:pt>
                <c:pt idx="21" formatCode="0.0000_)">
                  <c:v>7.74630066223144</c:v>
                </c:pt>
                <c:pt idx="22" formatCode="0.0000_)">
                  <c:v>11.80445263554827</c:v>
                </c:pt>
                <c:pt idx="23" formatCode="0.0000_)">
                  <c:v>10.01386546000574</c:v>
                </c:pt>
                <c:pt idx="24" formatCode="0.0000_)">
                  <c:v>9.438750032962891</c:v>
                </c:pt>
                <c:pt idx="25" formatCode="0.0000_)">
                  <c:v>9.95289657279367</c:v>
                </c:pt>
                <c:pt idx="26" formatCode="0.0000_)">
                  <c:v>11.51161460617013</c:v>
                </c:pt>
                <c:pt idx="27" formatCode="0.0000_)">
                  <c:v>10.93269617106536</c:v>
                </c:pt>
                <c:pt idx="28" formatCode="0.0000_)">
                  <c:v>8.797548488481558</c:v>
                </c:pt>
                <c:pt idx="29" formatCode="0.0000_)">
                  <c:v>10.21332242962904</c:v>
                </c:pt>
                <c:pt idx="30" formatCode="0.0000_)">
                  <c:v>10.28404502493811</c:v>
                </c:pt>
                <c:pt idx="31" formatCode="0.0000_)">
                  <c:v>10.7360705353368</c:v>
                </c:pt>
                <c:pt idx="32" formatCode="0.0000_)">
                  <c:v>7.940939762327791</c:v>
                </c:pt>
                <c:pt idx="33" formatCode="0.0000_)">
                  <c:v>10.5274186224074</c:v>
                </c:pt>
                <c:pt idx="34" formatCode="0.0000_)">
                  <c:v>11.56051490856314</c:v>
                </c:pt>
                <c:pt idx="35" formatCode="0.0000_)">
                  <c:v>10.31510039123053</c:v>
                </c:pt>
                <c:pt idx="36" formatCode="0.0000_)">
                  <c:v>10.4724877403532</c:v>
                </c:pt>
                <c:pt idx="38" formatCode="0.0000_)">
                  <c:v>9.95156317576769</c:v>
                </c:pt>
              </c:numCache>
            </c:numRef>
          </c:xVal>
          <c:yVal>
            <c:numRef>
              <c:f>'ln 22 x ln 12'!$AA$26:$AA$64</c:f>
              <c:numCache>
                <c:formatCode>General</c:formatCode>
                <c:ptCount val="39"/>
                <c:pt idx="0">
                  <c:v>8.111328003286733</c:v>
                </c:pt>
                <c:pt idx="1">
                  <c:v>9.25903529351494</c:v>
                </c:pt>
                <c:pt idx="2">
                  <c:v>8.950708935929158</c:v>
                </c:pt>
                <c:pt idx="3">
                  <c:v>9.450666643193</c:v>
                </c:pt>
                <c:pt idx="4">
                  <c:v>7.48020397183251</c:v>
                </c:pt>
                <c:pt idx="5">
                  <c:v>7.668093709082406</c:v>
                </c:pt>
                <c:pt idx="6">
                  <c:v>8.756367559802974</c:v>
                </c:pt>
                <c:pt idx="7">
                  <c:v>10.85072453147196</c:v>
                </c:pt>
                <c:pt idx="8">
                  <c:v>9.588088666872241</c:v>
                </c:pt>
                <c:pt idx="9">
                  <c:v>8.67060073804555</c:v>
                </c:pt>
                <c:pt idx="10">
                  <c:v>6.104793232414985</c:v>
                </c:pt>
                <c:pt idx="11">
                  <c:v>7.655390644826152</c:v>
                </c:pt>
                <c:pt idx="12">
                  <c:v>7.064646200914268</c:v>
                </c:pt>
                <c:pt idx="13">
                  <c:v>4.414167747421413</c:v>
                </c:pt>
                <c:pt idx="14">
                  <c:v>7.257391912019018</c:v>
                </c:pt>
                <c:pt idx="15">
                  <c:v>7.127693699347398</c:v>
                </c:pt>
                <c:pt idx="16">
                  <c:v>6.006353159601732</c:v>
                </c:pt>
                <c:pt idx="17">
                  <c:v>6.925595197110468</c:v>
                </c:pt>
                <c:pt idx="18">
                  <c:v>6.848005274576363</c:v>
                </c:pt>
                <c:pt idx="19">
                  <c:v>5.774551545544408</c:v>
                </c:pt>
                <c:pt idx="20">
                  <c:v>5.438079308923195</c:v>
                </c:pt>
                <c:pt idx="21">
                  <c:v>8.293799608846818</c:v>
                </c:pt>
                <c:pt idx="22">
                  <c:v>7.773594467360194</c:v>
                </c:pt>
                <c:pt idx="23">
                  <c:v>7.436617265234226</c:v>
                </c:pt>
                <c:pt idx="24">
                  <c:v>5.762051382780176</c:v>
                </c:pt>
                <c:pt idx="25">
                  <c:v>5.849324779946859</c:v>
                </c:pt>
                <c:pt idx="26">
                  <c:v>7.198183577101943</c:v>
                </c:pt>
                <c:pt idx="27">
                  <c:v>5.129898714923073</c:v>
                </c:pt>
                <c:pt idx="28">
                  <c:v>6.56667242980324</c:v>
                </c:pt>
                <c:pt idx="29">
                  <c:v>6.953684210870537</c:v>
                </c:pt>
                <c:pt idx="30">
                  <c:v>8.068716192714781</c:v>
                </c:pt>
                <c:pt idx="31">
                  <c:v>6.242223265455165</c:v>
                </c:pt>
                <c:pt idx="32">
                  <c:v>9.511629447834181</c:v>
                </c:pt>
                <c:pt idx="33">
                  <c:v>6.313548046277095</c:v>
                </c:pt>
                <c:pt idx="34">
                  <c:v>7.955425088912671</c:v>
                </c:pt>
                <c:pt idx="35">
                  <c:v>6.731018100482082</c:v>
                </c:pt>
                <c:pt idx="36">
                  <c:v>6.232448016550522</c:v>
                </c:pt>
              </c:numCache>
            </c:numRef>
          </c:yVal>
          <c:smooth val="0"/>
        </c:ser>
        <c:ser>
          <c:idx val="1"/>
          <c:order val="1"/>
          <c:spPr>
            <a:ln w="3175">
              <a:solidFill>
                <a:srgbClr val="0000FF"/>
              </a:solidFill>
              <a:prstDash val="solid"/>
            </a:ln>
          </c:spPr>
          <c:marker>
            <c:symbol val="none"/>
          </c:marker>
          <c:xVal>
            <c:numRef>
              <c:f>'ln 22 x ln 12'!$Y$26:$Y$64</c:f>
              <c:numCache>
                <c:formatCode>General</c:formatCode>
                <c:ptCount val="39"/>
                <c:pt idx="0">
                  <c:v>10.14462818055199</c:v>
                </c:pt>
                <c:pt idx="1">
                  <c:v>9.953752818683678</c:v>
                </c:pt>
                <c:pt idx="2">
                  <c:v>10.55443157687763</c:v>
                </c:pt>
                <c:pt idx="3">
                  <c:v>10.86730537695477</c:v>
                </c:pt>
                <c:pt idx="4">
                  <c:v>11.82834020411777</c:v>
                </c:pt>
                <c:pt idx="5">
                  <c:v>9.082371320807685</c:v>
                </c:pt>
                <c:pt idx="6">
                  <c:v>9.76646435636946</c:v>
                </c:pt>
                <c:pt idx="7">
                  <c:v>10.5395351410555</c:v>
                </c:pt>
                <c:pt idx="8">
                  <c:v>11.43472685756477</c:v>
                </c:pt>
                <c:pt idx="9">
                  <c:v>10.97856054252912</c:v>
                </c:pt>
                <c:pt idx="10">
                  <c:v>9.37203396097417</c:v>
                </c:pt>
                <c:pt idx="11">
                  <c:v>11.07867500543031</c:v>
                </c:pt>
                <c:pt idx="12">
                  <c:v>7.427738840532894</c:v>
                </c:pt>
                <c:pt idx="13">
                  <c:v>8.38288709878914</c:v>
                </c:pt>
                <c:pt idx="14">
                  <c:v>7.681833736459046</c:v>
                </c:pt>
                <c:pt idx="15">
                  <c:v>8.841176768351712</c:v>
                </c:pt>
                <c:pt idx="16" formatCode="0.0000_)">
                  <c:v>7.86172707782398</c:v>
                </c:pt>
                <c:pt idx="17" formatCode="0.0000_)">
                  <c:v>8.165932137321584</c:v>
                </c:pt>
                <c:pt idx="18" formatCode="0.0000_)">
                  <c:v>10.56035967723136</c:v>
                </c:pt>
                <c:pt idx="19" formatCode="0.0000_)">
                  <c:v>9.605148899895818</c:v>
                </c:pt>
                <c:pt idx="20" formatCode="0.0000_)">
                  <c:v>9.043929525845292</c:v>
                </c:pt>
                <c:pt idx="21" formatCode="0.0000_)">
                  <c:v>7.74630066223144</c:v>
                </c:pt>
                <c:pt idx="22" formatCode="0.0000_)">
                  <c:v>11.80445263554827</c:v>
                </c:pt>
                <c:pt idx="23" formatCode="0.0000_)">
                  <c:v>10.01386546000574</c:v>
                </c:pt>
                <c:pt idx="24" formatCode="0.0000_)">
                  <c:v>9.438750032962891</c:v>
                </c:pt>
                <c:pt idx="25" formatCode="0.0000_)">
                  <c:v>9.95289657279367</c:v>
                </c:pt>
                <c:pt idx="26" formatCode="0.0000_)">
                  <c:v>11.51161460617013</c:v>
                </c:pt>
                <c:pt idx="27" formatCode="0.0000_)">
                  <c:v>10.93269617106536</c:v>
                </c:pt>
                <c:pt idx="28" formatCode="0.0000_)">
                  <c:v>8.797548488481558</c:v>
                </c:pt>
                <c:pt idx="29" formatCode="0.0000_)">
                  <c:v>10.21332242962904</c:v>
                </c:pt>
                <c:pt idx="30" formatCode="0.0000_)">
                  <c:v>10.28404502493811</c:v>
                </c:pt>
                <c:pt idx="31" formatCode="0.0000_)">
                  <c:v>10.7360705353368</c:v>
                </c:pt>
                <c:pt idx="32" formatCode="0.0000_)">
                  <c:v>7.940939762327791</c:v>
                </c:pt>
                <c:pt idx="33" formatCode="0.0000_)">
                  <c:v>10.5274186224074</c:v>
                </c:pt>
                <c:pt idx="34" formatCode="0.0000_)">
                  <c:v>11.56051490856314</c:v>
                </c:pt>
                <c:pt idx="35" formatCode="0.0000_)">
                  <c:v>10.31510039123053</c:v>
                </c:pt>
                <c:pt idx="36" formatCode="0.0000_)">
                  <c:v>10.4724877403532</c:v>
                </c:pt>
                <c:pt idx="38" formatCode="0.0000_)">
                  <c:v>9.95156317576769</c:v>
                </c:pt>
              </c:numCache>
            </c:numRef>
          </c:xVal>
          <c:yVal>
            <c:numRef>
              <c:f>'ln 22 x ln 12'!$AC$26:$AC$64</c:f>
              <c:numCache>
                <c:formatCode>General</c:formatCode>
                <c:ptCount val="39"/>
                <c:pt idx="0">
                  <c:v>5.521232299088616</c:v>
                </c:pt>
                <c:pt idx="1">
                  <c:v>5.47245783877081</c:v>
                </c:pt>
                <c:pt idx="2">
                  <c:v>5.625949530776051</c:v>
                </c:pt>
                <c:pt idx="3">
                  <c:v>5.70589830256605</c:v>
                </c:pt>
                <c:pt idx="4">
                  <c:v>5.951471930208102</c:v>
                </c:pt>
                <c:pt idx="5">
                  <c:v>5.249793363514203</c:v>
                </c:pt>
                <c:pt idx="6">
                  <c:v>5.424599940382489</c:v>
                </c:pt>
                <c:pt idx="7">
                  <c:v>5.622143038357271</c:v>
                </c:pt>
                <c:pt idx="8">
                  <c:v>5.850891748648299</c:v>
                </c:pt>
                <c:pt idx="9">
                  <c:v>5.734327381129897</c:v>
                </c:pt>
                <c:pt idx="10">
                  <c:v>5.323810977993427</c:v>
                </c:pt>
                <c:pt idx="11">
                  <c:v>5.759909671322916</c:v>
                </c:pt>
                <c:pt idx="12">
                  <c:v>4.826984440142556</c:v>
                </c:pt>
                <c:pt idx="13">
                  <c:v>5.071053870392445</c:v>
                </c:pt>
                <c:pt idx="14">
                  <c:v>4.891913414196615</c:v>
                </c:pt>
                <c:pt idx="15">
                  <c:v>5.188160819573038</c:v>
                </c:pt>
                <c:pt idx="16">
                  <c:v>4.937881634264195</c:v>
                </c:pt>
                <c:pt idx="17">
                  <c:v>5.015615279181542</c:v>
                </c:pt>
                <c:pt idx="18">
                  <c:v>5.627464340716068</c:v>
                </c:pt>
                <c:pt idx="19">
                  <c:v>5.38337893493994</c:v>
                </c:pt>
                <c:pt idx="20">
                  <c:v>5.239970315717014</c:v>
                </c:pt>
                <c:pt idx="21">
                  <c:v>4.908386674454614</c:v>
                </c:pt>
                <c:pt idx="22">
                  <c:v>5.945367929912423</c:v>
                </c:pt>
                <c:pt idx="23">
                  <c:v>5.48781844691878</c:v>
                </c:pt>
                <c:pt idx="24">
                  <c:v>5.34085896351614</c:v>
                </c:pt>
                <c:pt idx="25">
                  <c:v>5.472239041903703</c:v>
                </c:pt>
                <c:pt idx="26">
                  <c:v>5.870538906912049</c:v>
                </c:pt>
                <c:pt idx="27">
                  <c:v>5.722607639283364</c:v>
                </c:pt>
                <c:pt idx="28">
                  <c:v>5.177012467138065</c:v>
                </c:pt>
                <c:pt idx="29">
                  <c:v>5.538785769022475</c:v>
                </c:pt>
                <c:pt idx="30">
                  <c:v>5.556857543109558</c:v>
                </c:pt>
                <c:pt idx="31">
                  <c:v>5.67236380910311</c:v>
                </c:pt>
                <c:pt idx="32">
                  <c:v>4.958122884361541</c:v>
                </c:pt>
                <c:pt idx="33">
                  <c:v>5.619046899325981</c:v>
                </c:pt>
                <c:pt idx="34">
                  <c:v>5.883034421447038</c:v>
                </c:pt>
                <c:pt idx="35">
                  <c:v>5.564793133727742</c:v>
                </c:pt>
                <c:pt idx="36">
                  <c:v>5.60501038827107</c:v>
                </c:pt>
                <c:pt idx="38">
                  <c:v>5.482306565753282</c:v>
                </c:pt>
              </c:numCache>
            </c:numRef>
          </c:yVal>
          <c:smooth val="0"/>
        </c:ser>
        <c:ser>
          <c:idx val="2"/>
          <c:order val="2"/>
          <c:spPr>
            <a:ln w="3175">
              <a:solidFill>
                <a:srgbClr val="FFFF00"/>
              </a:solidFill>
              <a:prstDash val="solid"/>
            </a:ln>
          </c:spPr>
          <c:marker>
            <c:symbol val="none"/>
          </c:marker>
          <c:xVal>
            <c:numRef>
              <c:f>'ln 22 x ln 12'!$Y$26:$Y$64</c:f>
              <c:numCache>
                <c:formatCode>General</c:formatCode>
                <c:ptCount val="39"/>
                <c:pt idx="0">
                  <c:v>10.14462818055199</c:v>
                </c:pt>
                <c:pt idx="1">
                  <c:v>9.953752818683678</c:v>
                </c:pt>
                <c:pt idx="2">
                  <c:v>10.55443157687763</c:v>
                </c:pt>
                <c:pt idx="3">
                  <c:v>10.86730537695477</c:v>
                </c:pt>
                <c:pt idx="4">
                  <c:v>11.82834020411777</c:v>
                </c:pt>
                <c:pt idx="5">
                  <c:v>9.082371320807685</c:v>
                </c:pt>
                <c:pt idx="6">
                  <c:v>9.76646435636946</c:v>
                </c:pt>
                <c:pt idx="7">
                  <c:v>10.5395351410555</c:v>
                </c:pt>
                <c:pt idx="8">
                  <c:v>11.43472685756477</c:v>
                </c:pt>
                <c:pt idx="9">
                  <c:v>10.97856054252912</c:v>
                </c:pt>
                <c:pt idx="10">
                  <c:v>9.37203396097417</c:v>
                </c:pt>
                <c:pt idx="11">
                  <c:v>11.07867500543031</c:v>
                </c:pt>
                <c:pt idx="12">
                  <c:v>7.427738840532894</c:v>
                </c:pt>
                <c:pt idx="13">
                  <c:v>8.38288709878914</c:v>
                </c:pt>
                <c:pt idx="14">
                  <c:v>7.681833736459046</c:v>
                </c:pt>
                <c:pt idx="15">
                  <c:v>8.841176768351712</c:v>
                </c:pt>
                <c:pt idx="16" formatCode="0.0000_)">
                  <c:v>7.86172707782398</c:v>
                </c:pt>
                <c:pt idx="17" formatCode="0.0000_)">
                  <c:v>8.165932137321584</c:v>
                </c:pt>
                <c:pt idx="18" formatCode="0.0000_)">
                  <c:v>10.56035967723136</c:v>
                </c:pt>
                <c:pt idx="19" formatCode="0.0000_)">
                  <c:v>9.605148899895818</c:v>
                </c:pt>
                <c:pt idx="20" formatCode="0.0000_)">
                  <c:v>9.043929525845292</c:v>
                </c:pt>
                <c:pt idx="21" formatCode="0.0000_)">
                  <c:v>7.74630066223144</c:v>
                </c:pt>
                <c:pt idx="22" formatCode="0.0000_)">
                  <c:v>11.80445263554827</c:v>
                </c:pt>
                <c:pt idx="23" formatCode="0.0000_)">
                  <c:v>10.01386546000574</c:v>
                </c:pt>
                <c:pt idx="24" formatCode="0.0000_)">
                  <c:v>9.438750032962891</c:v>
                </c:pt>
                <c:pt idx="25" formatCode="0.0000_)">
                  <c:v>9.95289657279367</c:v>
                </c:pt>
                <c:pt idx="26" formatCode="0.0000_)">
                  <c:v>11.51161460617013</c:v>
                </c:pt>
                <c:pt idx="27" formatCode="0.0000_)">
                  <c:v>10.93269617106536</c:v>
                </c:pt>
                <c:pt idx="28" formatCode="0.0000_)">
                  <c:v>8.797548488481558</c:v>
                </c:pt>
                <c:pt idx="29" formatCode="0.0000_)">
                  <c:v>10.21332242962904</c:v>
                </c:pt>
                <c:pt idx="30" formatCode="0.0000_)">
                  <c:v>10.28404502493811</c:v>
                </c:pt>
                <c:pt idx="31" formatCode="0.0000_)">
                  <c:v>10.7360705353368</c:v>
                </c:pt>
                <c:pt idx="32" formatCode="0.0000_)">
                  <c:v>7.940939762327791</c:v>
                </c:pt>
                <c:pt idx="33" formatCode="0.0000_)">
                  <c:v>10.5274186224074</c:v>
                </c:pt>
                <c:pt idx="34" formatCode="0.0000_)">
                  <c:v>11.56051490856314</c:v>
                </c:pt>
                <c:pt idx="35" formatCode="0.0000_)">
                  <c:v>10.31510039123053</c:v>
                </c:pt>
                <c:pt idx="36" formatCode="0.0000_)">
                  <c:v>10.4724877403532</c:v>
                </c:pt>
                <c:pt idx="38" formatCode="0.0000_)">
                  <c:v>9.95156317576769</c:v>
                </c:pt>
              </c:numCache>
            </c:numRef>
          </c:xVal>
          <c:yVal>
            <c:numRef>
              <c:f>'ln 22 x ln 12'!$AD$26:$AD$64</c:f>
              <c:numCache>
                <c:formatCode>General</c:formatCode>
                <c:ptCount val="39"/>
                <c:pt idx="0">
                  <c:v>9.287371033171599</c:v>
                </c:pt>
                <c:pt idx="1">
                  <c:v>9.238596572853792</c:v>
                </c:pt>
                <c:pt idx="2">
                  <c:v>9.392088264859033</c:v>
                </c:pt>
                <c:pt idx="3">
                  <c:v>9.47203703664903</c:v>
                </c:pt>
                <c:pt idx="4">
                  <c:v>9.717610664291085</c:v>
                </c:pt>
                <c:pt idx="5">
                  <c:v>9.015932097597186</c:v>
                </c:pt>
                <c:pt idx="6">
                  <c:v>9.190738674465471</c:v>
                </c:pt>
                <c:pt idx="7">
                  <c:v>9.388281772440253</c:v>
                </c:pt>
                <c:pt idx="8">
                  <c:v>9.61703048273128</c:v>
                </c:pt>
                <c:pt idx="9">
                  <c:v>9.50046611521288</c:v>
                </c:pt>
                <c:pt idx="10">
                  <c:v>9.08994971207641</c:v>
                </c:pt>
                <c:pt idx="11">
                  <c:v>9.526048405405898</c:v>
                </c:pt>
                <c:pt idx="12">
                  <c:v>8.593123174225537</c:v>
                </c:pt>
                <c:pt idx="13">
                  <c:v>8.837192604475428</c:v>
                </c:pt>
                <c:pt idx="14">
                  <c:v>8.658052148279598</c:v>
                </c:pt>
                <c:pt idx="15">
                  <c:v>8.95429955365602</c:v>
                </c:pt>
                <c:pt idx="16">
                  <c:v>8.704020368347178</c:v>
                </c:pt>
                <c:pt idx="17">
                  <c:v>8.781754013264525</c:v>
                </c:pt>
                <c:pt idx="18">
                  <c:v>9.39360307479905</c:v>
                </c:pt>
                <c:pt idx="19">
                  <c:v>9.149517669022921</c:v>
                </c:pt>
                <c:pt idx="20">
                  <c:v>9.006109049799995</c:v>
                </c:pt>
                <c:pt idx="21">
                  <c:v>8.674525408537597</c:v>
                </c:pt>
                <c:pt idx="22">
                  <c:v>9.711506663995406</c:v>
                </c:pt>
                <c:pt idx="23">
                  <c:v>9.253957181001763</c:v>
                </c:pt>
                <c:pt idx="24">
                  <c:v>9.106997697599123</c:v>
                </c:pt>
                <c:pt idx="25">
                  <c:v>9.238377775986686</c:v>
                </c:pt>
                <c:pt idx="26">
                  <c:v>9.636677640995032</c:v>
                </c:pt>
                <c:pt idx="27">
                  <c:v>9.488746373366346</c:v>
                </c:pt>
                <c:pt idx="28">
                  <c:v>8.943151201221047</c:v>
                </c:pt>
                <c:pt idx="29">
                  <c:v>9.304924503105457</c:v>
                </c:pt>
                <c:pt idx="30">
                  <c:v>9.32299627719254</c:v>
                </c:pt>
                <c:pt idx="31">
                  <c:v>9.43850254318609</c:v>
                </c:pt>
                <c:pt idx="32">
                  <c:v>8.724261618444524</c:v>
                </c:pt>
                <c:pt idx="33">
                  <c:v>9.38518563340896</c:v>
                </c:pt>
                <c:pt idx="34">
                  <c:v>9.64917315553002</c:v>
                </c:pt>
                <c:pt idx="35">
                  <c:v>9.330931867810724</c:v>
                </c:pt>
                <c:pt idx="36">
                  <c:v>9.371149122354053</c:v>
                </c:pt>
                <c:pt idx="38">
                  <c:v>9.227628805147882</c:v>
                </c:pt>
              </c:numCache>
            </c:numRef>
          </c:yVal>
          <c:smooth val="0"/>
        </c:ser>
        <c:ser>
          <c:idx val="3"/>
          <c:order val="3"/>
          <c:tx>
            <c:v>Forecast</c:v>
          </c:tx>
          <c:spPr>
            <a:ln w="3175">
              <a:solidFill>
                <a:srgbClr val="FF00FF"/>
              </a:solidFill>
              <a:prstDash val="solid"/>
            </a:ln>
          </c:spPr>
          <c:marker>
            <c:symbol val="diamond"/>
            <c:size val="5"/>
            <c:spPr>
              <a:noFill/>
              <a:ln>
                <a:solidFill>
                  <a:srgbClr val="FF00FF"/>
                </a:solidFill>
                <a:prstDash val="solid"/>
              </a:ln>
            </c:spPr>
          </c:marker>
          <c:dPt>
            <c:idx val="34"/>
            <c:marker>
              <c:symbol val="diamond"/>
              <c:size val="9"/>
              <c:spPr>
                <a:solidFill>
                  <a:srgbClr val="FF99FF"/>
                </a:solidFill>
                <a:ln>
                  <a:solidFill>
                    <a:srgbClr val="FF00FF"/>
                  </a:solidFill>
                  <a:prstDash val="solid"/>
                </a:ln>
              </c:spPr>
            </c:marker>
            <c:bubble3D val="0"/>
          </c:dPt>
          <c:dLbls>
            <c:dLbl>
              <c:idx val="0"/>
              <c:tx>
                <c:strRef>
                  <c:f>'ln 22 x ln 12'!$B$26</c:f>
                  <c:strCache>
                    <c:ptCount val="1"/>
                    <c:pt idx="0">
                      <c:v>1978</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1"/>
              <c:tx>
                <c:strRef>
                  <c:f>'ln 22 x ln 12'!$B$27</c:f>
                  <c:strCache>
                    <c:ptCount val="1"/>
                    <c:pt idx="0">
                      <c:v>1979</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
              <c:tx>
                <c:strRef>
                  <c:f>'ln 22 x ln 12'!$B$28</c:f>
                  <c:strCache>
                    <c:ptCount val="1"/>
                    <c:pt idx="0">
                      <c:v>1980</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
              <c:tx>
                <c:strRef>
                  <c:f>'ln 22 x ln 12'!$B$29</c:f>
                  <c:strCache>
                    <c:ptCount val="1"/>
                    <c:pt idx="0">
                      <c:v>1981</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4"/>
              <c:tx>
                <c:strRef>
                  <c:f>'ln 22 x ln 12'!$B$30</c:f>
                  <c:strCache>
                    <c:ptCount val="1"/>
                    <c:pt idx="0">
                      <c:v>1982</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5"/>
              <c:tx>
                <c:strRef>
                  <c:f>'ln 22 x ln 12'!$B$31</c:f>
                  <c:strCache>
                    <c:ptCount val="1"/>
                    <c:pt idx="0">
                      <c:v>1983</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6"/>
              <c:tx>
                <c:strRef>
                  <c:f>'ln 22 x ln 12'!$B$32</c:f>
                  <c:strCache>
                    <c:ptCount val="1"/>
                    <c:pt idx="0">
                      <c:v>1984</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7"/>
              <c:tx>
                <c:strRef>
                  <c:f>'ln 22 x ln 12'!$B$33</c:f>
                  <c:strCache>
                    <c:ptCount val="1"/>
                    <c:pt idx="0">
                      <c:v>1985</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8"/>
              <c:tx>
                <c:strRef>
                  <c:f>'ln 22 x ln 12'!$B$34</c:f>
                  <c:strCache>
                    <c:ptCount val="1"/>
                    <c:pt idx="0">
                      <c:v>1986</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9"/>
              <c:tx>
                <c:strRef>
                  <c:f>'ln 22 x ln 12'!$B$35</c:f>
                  <c:strCache>
                    <c:ptCount val="1"/>
                    <c:pt idx="0">
                      <c:v>1987</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10"/>
              <c:tx>
                <c:strRef>
                  <c:f>'ln 22 x ln 12'!$B$36</c:f>
                  <c:strCache>
                    <c:ptCount val="1"/>
                    <c:pt idx="0">
                      <c:v>1988</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11"/>
              <c:tx>
                <c:strRef>
                  <c:f>'ln 22 x ln 12'!$B$37</c:f>
                  <c:strCache>
                    <c:ptCount val="1"/>
                    <c:pt idx="0">
                      <c:v>1989</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12"/>
              <c:tx>
                <c:strRef>
                  <c:f>'ln 22 x ln 12'!$B$38</c:f>
                  <c:strCache>
                    <c:ptCount val="1"/>
                    <c:pt idx="0">
                      <c:v>1990</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13"/>
              <c:tx>
                <c:strRef>
                  <c:f>'ln 22 x ln 12'!$B$39</c:f>
                  <c:strCache>
                    <c:ptCount val="1"/>
                    <c:pt idx="0">
                      <c:v>1991</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14"/>
              <c:tx>
                <c:strRef>
                  <c:f>'ln 22 x ln 12'!$B$40</c:f>
                  <c:strCache>
                    <c:ptCount val="1"/>
                    <c:pt idx="0">
                      <c:v>1992</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15"/>
              <c:tx>
                <c:strRef>
                  <c:f>'ln 22 x ln 12'!$B$41</c:f>
                  <c:strCache>
                    <c:ptCount val="1"/>
                    <c:pt idx="0">
                      <c:v>1993</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16"/>
              <c:tx>
                <c:strRef>
                  <c:f>'ln 22 x ln 12'!$B$42</c:f>
                  <c:strCache>
                    <c:ptCount val="1"/>
                    <c:pt idx="0">
                      <c:v>1994</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17"/>
              <c:tx>
                <c:strRef>
                  <c:f>'ln 22 x ln 12'!$B$43</c:f>
                  <c:strCache>
                    <c:ptCount val="1"/>
                    <c:pt idx="0">
                      <c:v>1995</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18"/>
              <c:tx>
                <c:strRef>
                  <c:f>'ln 22 x ln 12'!$B$44</c:f>
                  <c:strCache>
                    <c:ptCount val="1"/>
                    <c:pt idx="0">
                      <c:v>1996</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19"/>
              <c:tx>
                <c:strRef>
                  <c:f>'ln 22 x ln 12'!$B$45</c:f>
                  <c:strCache>
                    <c:ptCount val="1"/>
                    <c:pt idx="0">
                      <c:v>1997</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0"/>
              <c:tx>
                <c:strRef>
                  <c:f>'ln 22 x ln 12'!$B$46</c:f>
                  <c:strCache>
                    <c:ptCount val="1"/>
                    <c:pt idx="0">
                      <c:v>1998</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1"/>
              <c:tx>
                <c:strRef>
                  <c:f>'ln 22 x ln 12'!$B$47</c:f>
                  <c:strCache>
                    <c:ptCount val="1"/>
                    <c:pt idx="0">
                      <c:v>1999</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2"/>
              <c:tx>
                <c:strRef>
                  <c:f>'ln 22 x ln 12'!$B$48</c:f>
                  <c:strCache>
                    <c:ptCount val="1"/>
                    <c:pt idx="0">
                      <c:v>2000</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3"/>
              <c:tx>
                <c:strRef>
                  <c:f>'ln 22 x ln 12'!$B$49</c:f>
                  <c:strCache>
                    <c:ptCount val="1"/>
                    <c:pt idx="0">
                      <c:v>2001</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4"/>
              <c:tx>
                <c:strRef>
                  <c:f>'ln 22 x ln 12'!$B$50</c:f>
                  <c:strCache>
                    <c:ptCount val="1"/>
                    <c:pt idx="0">
                      <c:v>2002</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5"/>
              <c:tx>
                <c:strRef>
                  <c:f>'ln 22 x ln 12'!$B$51</c:f>
                  <c:strCache>
                    <c:ptCount val="1"/>
                    <c:pt idx="0">
                      <c:v>2003</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6"/>
              <c:tx>
                <c:strRef>
                  <c:f>'ln 22 x ln 12'!$B$52</c:f>
                  <c:strCache>
                    <c:ptCount val="1"/>
                    <c:pt idx="0">
                      <c:v>2004</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7"/>
              <c:tx>
                <c:strRef>
                  <c:f>'ln 22 x ln 12'!$B$53</c:f>
                  <c:strCache>
                    <c:ptCount val="1"/>
                    <c:pt idx="0">
                      <c:v>2005</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8"/>
              <c:tx>
                <c:strRef>
                  <c:f>'ln 22 x ln 12'!$B$54</c:f>
                  <c:strCache>
                    <c:ptCount val="1"/>
                    <c:pt idx="0">
                      <c:v>2006</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29"/>
              <c:tx>
                <c:strRef>
                  <c:f>'ln 22 x ln 12'!$B$55</c:f>
                  <c:strCache>
                    <c:ptCount val="1"/>
                    <c:pt idx="0">
                      <c:v>2007</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0"/>
              <c:tx>
                <c:strRef>
                  <c:f>'ln 22 x ln 12'!$B$56</c:f>
                  <c:strCache>
                    <c:ptCount val="1"/>
                    <c:pt idx="0">
                      <c:v>2008</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1"/>
              <c:tx>
                <c:strRef>
                  <c:f>'ln 22 x ln 12'!$B$57</c:f>
                  <c:strCache>
                    <c:ptCount val="1"/>
                    <c:pt idx="0">
                      <c:v>2009</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2"/>
              <c:tx>
                <c:strRef>
                  <c:f>'ln 22 x ln 12'!$B$58</c:f>
                  <c:strCache>
                    <c:ptCount val="1"/>
                    <c:pt idx="0">
                      <c:v>2010</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3"/>
              <c:tx>
                <c:strRef>
                  <c:f>'ln 22 x ln 12'!$B$59</c:f>
                  <c:strCache>
                    <c:ptCount val="1"/>
                    <c:pt idx="0">
                      <c:v>2011</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4"/>
              <c:tx>
                <c:strRef>
                  <c:f>'ln 22 x ln 12'!$B$60</c:f>
                  <c:strCache>
                    <c:ptCount val="1"/>
                    <c:pt idx="0">
                      <c:v>2012</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5"/>
              <c:tx>
                <c:strRef>
                  <c:f>'ln 22 x ln 12'!$B$61</c:f>
                  <c:strCache>
                    <c:ptCount val="1"/>
                    <c:pt idx="0">
                      <c:v>2013</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6"/>
              <c:tx>
                <c:strRef>
                  <c:f>'ln 22 x ln 12'!$B$62</c:f>
                  <c:strCache>
                    <c:ptCount val="1"/>
                    <c:pt idx="0">
                      <c:v>2014</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7"/>
              <c:tx>
                <c:strRef>
                  <c:f>'ln 22 x ln 12'!$B$63</c:f>
                  <c:strCache>
                    <c:ptCount val="1"/>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dLbl>
              <c:idx val="38"/>
              <c:tx>
                <c:strRef>
                  <c:f>'ln 22 x ln 12'!$B$64</c:f>
                  <c:strCache>
                    <c:ptCount val="1"/>
                    <c:pt idx="0">
                      <c:v>2015</c:v>
                    </c:pt>
                  </c:strCache>
                </c:strRef>
              </c:tx>
              <c:spPr/>
              <c:txPr>
                <a:bodyPr/>
                <a:lstStyle/>
                <a:p>
                  <a:pPr>
                    <a:defRPr sz="1200" b="0" i="0" strike="noStrike">
                      <a:latin typeface="Times New Roman"/>
                    </a:defRPr>
                  </a:pPr>
                  <a:endParaRPr lang="en-US"/>
                </a:p>
              </c:txPr>
              <c:dLblPos val="t"/>
              <c:showLegendKey val="0"/>
              <c:showVal val="1"/>
              <c:showCatName val="0"/>
              <c:showSerName val="0"/>
              <c:showPercent val="0"/>
              <c:showBubbleSize val="0"/>
            </c:dLbl>
            <c:showLegendKey val="0"/>
            <c:showVal val="1"/>
            <c:showCatName val="0"/>
            <c:showSerName val="0"/>
            <c:showPercent val="0"/>
            <c:showBubbleSize val="0"/>
            <c:showLeaderLines val="0"/>
          </c:dLbls>
          <c:xVal>
            <c:numRef>
              <c:f>'ln 22 x ln 12'!$Y$26:$Y$64</c:f>
              <c:numCache>
                <c:formatCode>General</c:formatCode>
                <c:ptCount val="39"/>
                <c:pt idx="0">
                  <c:v>10.14462818055199</c:v>
                </c:pt>
                <c:pt idx="1">
                  <c:v>9.953752818683678</c:v>
                </c:pt>
                <c:pt idx="2">
                  <c:v>10.55443157687763</c:v>
                </c:pt>
                <c:pt idx="3">
                  <c:v>10.86730537695477</c:v>
                </c:pt>
                <c:pt idx="4">
                  <c:v>11.82834020411777</c:v>
                </c:pt>
                <c:pt idx="5">
                  <c:v>9.082371320807685</c:v>
                </c:pt>
                <c:pt idx="6">
                  <c:v>9.76646435636946</c:v>
                </c:pt>
                <c:pt idx="7">
                  <c:v>10.5395351410555</c:v>
                </c:pt>
                <c:pt idx="8">
                  <c:v>11.43472685756477</c:v>
                </c:pt>
                <c:pt idx="9">
                  <c:v>10.97856054252912</c:v>
                </c:pt>
                <c:pt idx="10">
                  <c:v>9.37203396097417</c:v>
                </c:pt>
                <c:pt idx="11">
                  <c:v>11.07867500543031</c:v>
                </c:pt>
                <c:pt idx="12">
                  <c:v>7.427738840532894</c:v>
                </c:pt>
                <c:pt idx="13">
                  <c:v>8.38288709878914</c:v>
                </c:pt>
                <c:pt idx="14">
                  <c:v>7.681833736459046</c:v>
                </c:pt>
                <c:pt idx="15">
                  <c:v>8.841176768351712</c:v>
                </c:pt>
                <c:pt idx="16" formatCode="0.0000_)">
                  <c:v>7.86172707782398</c:v>
                </c:pt>
                <c:pt idx="17" formatCode="0.0000_)">
                  <c:v>8.165932137321584</c:v>
                </c:pt>
                <c:pt idx="18" formatCode="0.0000_)">
                  <c:v>10.56035967723136</c:v>
                </c:pt>
                <c:pt idx="19" formatCode="0.0000_)">
                  <c:v>9.605148899895818</c:v>
                </c:pt>
                <c:pt idx="20" formatCode="0.0000_)">
                  <c:v>9.043929525845292</c:v>
                </c:pt>
                <c:pt idx="21" formatCode="0.0000_)">
                  <c:v>7.74630066223144</c:v>
                </c:pt>
                <c:pt idx="22" formatCode="0.0000_)">
                  <c:v>11.80445263554827</c:v>
                </c:pt>
                <c:pt idx="23" formatCode="0.0000_)">
                  <c:v>10.01386546000574</c:v>
                </c:pt>
                <c:pt idx="24" formatCode="0.0000_)">
                  <c:v>9.438750032962891</c:v>
                </c:pt>
                <c:pt idx="25" formatCode="0.0000_)">
                  <c:v>9.95289657279367</c:v>
                </c:pt>
                <c:pt idx="26" formatCode="0.0000_)">
                  <c:v>11.51161460617013</c:v>
                </c:pt>
                <c:pt idx="27" formatCode="0.0000_)">
                  <c:v>10.93269617106536</c:v>
                </c:pt>
                <c:pt idx="28" formatCode="0.0000_)">
                  <c:v>8.797548488481558</c:v>
                </c:pt>
                <c:pt idx="29" formatCode="0.0000_)">
                  <c:v>10.21332242962904</c:v>
                </c:pt>
                <c:pt idx="30" formatCode="0.0000_)">
                  <c:v>10.28404502493811</c:v>
                </c:pt>
                <c:pt idx="31" formatCode="0.0000_)">
                  <c:v>10.7360705353368</c:v>
                </c:pt>
                <c:pt idx="32" formatCode="0.0000_)">
                  <c:v>7.940939762327791</c:v>
                </c:pt>
                <c:pt idx="33" formatCode="0.0000_)">
                  <c:v>10.5274186224074</c:v>
                </c:pt>
                <c:pt idx="34" formatCode="0.0000_)">
                  <c:v>11.56051490856314</c:v>
                </c:pt>
                <c:pt idx="35" formatCode="0.0000_)">
                  <c:v>10.31510039123053</c:v>
                </c:pt>
                <c:pt idx="36" formatCode="0.0000_)">
                  <c:v>10.4724877403532</c:v>
                </c:pt>
                <c:pt idx="38" formatCode="0.0000_)">
                  <c:v>9.95156317576769</c:v>
                </c:pt>
              </c:numCache>
            </c:numRef>
          </c:xVal>
          <c:yVal>
            <c:numRef>
              <c:f>'ln 22 x ln 12'!$AE$26:$AE$64</c:f>
              <c:numCache>
                <c:formatCode>General</c:formatCode>
                <c:ptCount val="39"/>
                <c:pt idx="38">
                  <c:v>7.354967685450582</c:v>
                </c:pt>
              </c:numCache>
            </c:numRef>
          </c:yVal>
          <c:smooth val="0"/>
        </c:ser>
        <c:dLbls>
          <c:showLegendKey val="0"/>
          <c:showVal val="0"/>
          <c:showCatName val="0"/>
          <c:showSerName val="0"/>
          <c:showPercent val="0"/>
          <c:showBubbleSize val="0"/>
        </c:dLbls>
        <c:axId val="-2077849592"/>
        <c:axId val="-2077843368"/>
      </c:scatterChart>
      <c:valAx>
        <c:axId val="-2077849592"/>
        <c:scaling>
          <c:orientation val="minMax"/>
          <c:min val="7.0"/>
        </c:scaling>
        <c:delete val="0"/>
        <c:axPos val="b"/>
        <c:title>
          <c:tx>
            <c:rich>
              <a:bodyPr/>
              <a:lstStyle/>
              <a:p>
                <a:pPr>
                  <a:defRPr sz="1000" b="0" i="0" u="none" strike="noStrike" baseline="0">
                    <a:solidFill>
                      <a:srgbClr val="000000"/>
                    </a:solidFill>
                    <a:latin typeface="Arial"/>
                    <a:ea typeface="Arial"/>
                    <a:cs typeface="Arial"/>
                  </a:defRPr>
                </a:pPr>
                <a:r>
                  <a:rPr lang="en-US"/>
                  <a:t>LN AGED 1.2</a:t>
                </a:r>
              </a:p>
            </c:rich>
          </c:tx>
          <c:layout>
            <c:manualLayout>
              <c:xMode val="edge"/>
              <c:yMode val="edge"/>
              <c:x val="0.468067204765548"/>
              <c:y val="0.838050100539342"/>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77843368"/>
        <c:crosses val="autoZero"/>
        <c:crossBetween val="midCat"/>
      </c:valAx>
      <c:valAx>
        <c:axId val="-2077843368"/>
        <c:scaling>
          <c:orientation val="minMax"/>
          <c:min val="3.0"/>
        </c:scaling>
        <c:delete val="0"/>
        <c:axPos val="l"/>
        <c:title>
          <c:tx>
            <c:rich>
              <a:bodyPr/>
              <a:lstStyle/>
              <a:p>
                <a:pPr>
                  <a:defRPr sz="1000" b="0" i="0" u="none" strike="noStrike" baseline="0">
                    <a:solidFill>
                      <a:srgbClr val="000000"/>
                    </a:solidFill>
                    <a:latin typeface="Arial"/>
                    <a:ea typeface="Arial"/>
                    <a:cs typeface="Arial"/>
                  </a:defRPr>
                </a:pPr>
                <a:r>
                  <a:rPr lang="en-US"/>
                  <a:t>LN AGED 2.2</a:t>
                </a:r>
              </a:p>
            </c:rich>
          </c:tx>
          <c:layout>
            <c:manualLayout>
              <c:xMode val="edge"/>
              <c:yMode val="edge"/>
              <c:x val="0.0251311924567423"/>
              <c:y val="0.362665012935436"/>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77849592"/>
        <c:crosses val="autoZero"/>
        <c:crossBetween val="midCat"/>
      </c:valAx>
      <c:spPr>
        <a:solidFill>
          <a:srgbClr val="FFFFFF"/>
        </a:solidFill>
        <a:ln w="12700">
          <a:solidFill>
            <a:srgbClr val="000000"/>
          </a:solidFill>
          <a:prstDash val="solid"/>
        </a:ln>
      </c:spPr>
    </c:plotArea>
    <c:legend>
      <c:legendPos val="b"/>
      <c:layout>
        <c:manualLayout>
          <c:xMode val="edge"/>
          <c:yMode val="edge"/>
          <c:x val="0.163352339578242"/>
          <c:y val="0.923815358402396"/>
          <c:w val="0.739797431277203"/>
          <c:h val="0.0588104410576363"/>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 r="0.75" t="1.0" header="0.5" footer="0.5"/>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sz="1800" b="0" i="0" u="none" strike="noStrike" baseline="0">
                <a:solidFill>
                  <a:srgbClr val="000000"/>
                </a:solidFill>
                <a:latin typeface="Arial"/>
                <a:cs typeface="Arial"/>
              </a:rPr>
              <a:t>COGHILL LAKE SOCKEYE SALMON</a:t>
            </a:r>
          </a:p>
          <a:p>
            <a:pPr>
              <a:defRPr sz="1000" b="0" i="0" u="none" strike="noStrike" baseline="0">
                <a:solidFill>
                  <a:srgbClr val="000000"/>
                </a:solidFill>
                <a:latin typeface="Arial"/>
                <a:ea typeface="Arial"/>
                <a:cs typeface="Arial"/>
              </a:defRPr>
            </a:pPr>
            <a:r>
              <a:rPr lang="en-US" sz="1000" b="0" i="0" u="none" strike="noStrike" baseline="0">
                <a:solidFill>
                  <a:srgbClr val="000000"/>
                </a:solidFill>
                <a:latin typeface="Arial"/>
                <a:cs typeface="Arial"/>
              </a:rPr>
              <a:t>LN AGED 2.3 FROM LN AGED 2.2</a:t>
            </a:r>
            <a:endParaRPr lang="en-US"/>
          </a:p>
        </c:rich>
      </c:tx>
      <c:layout>
        <c:manualLayout>
          <c:xMode val="edge"/>
          <c:yMode val="edge"/>
          <c:x val="0.0468891077905431"/>
          <c:y val="0.035122901212097"/>
        </c:manualLayout>
      </c:layout>
      <c:overlay val="0"/>
      <c:spPr>
        <a:solidFill>
          <a:srgbClr val="FFFFFF"/>
        </a:solidFill>
        <a:ln w="12700">
          <a:solidFill>
            <a:srgbClr val="000000"/>
          </a:solidFill>
          <a:prstDash val="solid"/>
        </a:ln>
        <a:effectLst>
          <a:outerShdw dist="35921" dir="2700000" algn="br">
            <a:srgbClr val="000000"/>
          </a:outerShdw>
        </a:effectLst>
      </c:spPr>
    </c:title>
    <c:autoTitleDeleted val="0"/>
    <c:plotArea>
      <c:layout>
        <c:manualLayout>
          <c:layoutTarget val="inner"/>
          <c:xMode val="edge"/>
          <c:yMode val="edge"/>
          <c:x val="0.105096299458137"/>
          <c:y val="0.240143006079035"/>
          <c:w val="0.856939057120192"/>
          <c:h val="0.52439391123381"/>
        </c:manualLayout>
      </c:layout>
      <c:scatterChart>
        <c:scatterStyle val="lineMarker"/>
        <c:varyColors val="0"/>
        <c:ser>
          <c:idx val="0"/>
          <c:order val="0"/>
          <c:tx>
            <c:v>ACTUAL</c:v>
          </c:tx>
          <c:spPr>
            <a:ln w="28575">
              <a:noFill/>
            </a:ln>
          </c:spPr>
          <c:marker>
            <c:symbol val="diamond"/>
            <c:size val="5"/>
            <c:spPr>
              <a:solidFill>
                <a:srgbClr val="00FF00"/>
              </a:solidFill>
              <a:ln>
                <a:solidFill>
                  <a:srgbClr val="000000"/>
                </a:solidFill>
                <a:prstDash val="solid"/>
              </a:ln>
            </c:spPr>
          </c:marker>
          <c:dLbls>
            <c:dLbl>
              <c:idx val="0"/>
              <c:tx>
                <c:strRef>
                  <c:f>'ln 23 x ln 22'!$B$26</c:f>
                  <c:strCache>
                    <c:ptCount val="1"/>
                    <c:pt idx="0">
                      <c:v>1978</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
              <c:tx>
                <c:strRef>
                  <c:f>'ln 23 x ln 22'!$B$27</c:f>
                  <c:strCache>
                    <c:ptCount val="1"/>
                    <c:pt idx="0">
                      <c:v>1979</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2"/>
              <c:tx>
                <c:strRef>
                  <c:f>'ln 23 x ln 22'!$B$28</c:f>
                  <c:strCache>
                    <c:ptCount val="1"/>
                    <c:pt idx="0">
                      <c:v>1980</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3"/>
              <c:tx>
                <c:strRef>
                  <c:f>'ln 23 x ln 22'!$B$29</c:f>
                  <c:strCache>
                    <c:ptCount val="1"/>
                    <c:pt idx="0">
                      <c:v>1981</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4"/>
              <c:tx>
                <c:strRef>
                  <c:f>'ln 23 x ln 22'!$B$30</c:f>
                  <c:strCache>
                    <c:ptCount val="1"/>
                    <c:pt idx="0">
                      <c:v>1982</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5"/>
              <c:tx>
                <c:strRef>
                  <c:f>'ln 23 x ln 22'!$B$31</c:f>
                  <c:strCache>
                    <c:ptCount val="1"/>
                    <c:pt idx="0">
                      <c:v>1983</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6"/>
              <c:tx>
                <c:strRef>
                  <c:f>'ln 23 x ln 22'!$B$32</c:f>
                  <c:strCache>
                    <c:ptCount val="1"/>
                    <c:pt idx="0">
                      <c:v>1984</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7"/>
              <c:tx>
                <c:strRef>
                  <c:f>'ln 23 x ln 22'!$B$33</c:f>
                  <c:strCache>
                    <c:ptCount val="1"/>
                    <c:pt idx="0">
                      <c:v>1985</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8"/>
              <c:tx>
                <c:strRef>
                  <c:f>'ln 23 x ln 22'!$B$34</c:f>
                  <c:strCache>
                    <c:ptCount val="1"/>
                    <c:pt idx="0">
                      <c:v>1986</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9"/>
              <c:tx>
                <c:strRef>
                  <c:f>'ln 23 x ln 22'!$B$35</c:f>
                  <c:strCache>
                    <c:ptCount val="1"/>
                    <c:pt idx="0">
                      <c:v>1987</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0"/>
              <c:tx>
                <c:strRef>
                  <c:f>'ln 23 x ln 22'!$B$36</c:f>
                  <c:strCache>
                    <c:ptCount val="1"/>
                    <c:pt idx="0">
                      <c:v>1988</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1"/>
              <c:tx>
                <c:strRef>
                  <c:f>'ln 23 x ln 22'!$B$37</c:f>
                  <c:strCache>
                    <c:ptCount val="1"/>
                    <c:pt idx="0">
                      <c:v>1989</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2"/>
              <c:tx>
                <c:strRef>
                  <c:f>'ln 23 x ln 22'!$B$38</c:f>
                  <c:strCache>
                    <c:ptCount val="1"/>
                    <c:pt idx="0">
                      <c:v>1990</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3"/>
              <c:tx>
                <c:strRef>
                  <c:f>'ln 23 x ln 22'!$B$39</c:f>
                  <c:strCache>
                    <c:ptCount val="1"/>
                    <c:pt idx="0">
                      <c:v>1991</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4"/>
              <c:tx>
                <c:strRef>
                  <c:f>'ln 23 x ln 22'!$B$40</c:f>
                  <c:strCache>
                    <c:ptCount val="1"/>
                    <c:pt idx="0">
                      <c:v>1992</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5"/>
              <c:tx>
                <c:strRef>
                  <c:f>'ln 23 x ln 22'!$B$41</c:f>
                  <c:strCache>
                    <c:ptCount val="1"/>
                    <c:pt idx="0">
                      <c:v>1993</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6"/>
              <c:tx>
                <c:strRef>
                  <c:f>'ln 23 x ln 22'!$B$42</c:f>
                  <c:strCache>
                    <c:ptCount val="1"/>
                    <c:pt idx="0">
                      <c:v>1994</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7"/>
              <c:tx>
                <c:strRef>
                  <c:f>'ln 23 x ln 22'!$B$43</c:f>
                  <c:strCache>
                    <c:ptCount val="1"/>
                    <c:pt idx="0">
                      <c:v>1995</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8"/>
              <c:tx>
                <c:strRef>
                  <c:f>'ln 23 x ln 22'!$B$44</c:f>
                  <c:strCache>
                    <c:ptCount val="1"/>
                    <c:pt idx="0">
                      <c:v>1996</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9"/>
              <c:tx>
                <c:strRef>
                  <c:f>'ln 23 x ln 22'!$B$45</c:f>
                  <c:strCache>
                    <c:ptCount val="1"/>
                    <c:pt idx="0">
                      <c:v>1997</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20"/>
              <c:tx>
                <c:strRef>
                  <c:f>'ln 23 x ln 22'!$B$46</c:f>
                  <c:strCache>
                    <c:ptCount val="1"/>
                    <c:pt idx="0">
                      <c:v>1998</c:v>
                    </c:pt>
                  </c:strCache>
                </c:strRef>
              </c:tx>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21"/>
              <c:tx>
                <c:strRef>
                  <c:f>'ln 23 x ln 22'!$B$47</c:f>
                  <c:strCache>
                    <c:ptCount val="1"/>
                    <c:pt idx="0">
                      <c:v>1999</c:v>
                    </c:pt>
                  </c:strCache>
                </c:strRef>
              </c:tx>
              <c:spPr/>
              <c:txPr>
                <a:bodyPr/>
                <a:lstStyle/>
                <a:p>
                  <a:pPr>
                    <a:defRPr/>
                  </a:pPr>
                  <a:endParaRPr lang="en-US"/>
                </a:p>
              </c:txPr>
              <c:dLblPos val="r"/>
              <c:showLegendKey val="0"/>
              <c:showVal val="0"/>
              <c:showCatName val="0"/>
              <c:showSerName val="0"/>
              <c:showPercent val="0"/>
              <c:showBubbleSize val="0"/>
            </c:dLbl>
            <c:dLbl>
              <c:idx val="22"/>
              <c:tx>
                <c:strRef>
                  <c:f>'ln 23 x ln 22'!$B$48</c:f>
                  <c:strCache>
                    <c:ptCount val="1"/>
                    <c:pt idx="0">
                      <c:v>2000</c:v>
                    </c:pt>
                  </c:strCache>
                </c:strRef>
              </c:tx>
              <c:spPr/>
              <c:txPr>
                <a:bodyPr/>
                <a:lstStyle/>
                <a:p>
                  <a:pPr>
                    <a:defRPr/>
                  </a:pPr>
                  <a:endParaRPr lang="en-US"/>
                </a:p>
              </c:txPr>
              <c:dLblPos val="r"/>
              <c:showLegendKey val="0"/>
              <c:showVal val="0"/>
              <c:showCatName val="0"/>
              <c:showSerName val="0"/>
              <c:showPercent val="0"/>
              <c:showBubbleSize val="0"/>
            </c:dLbl>
            <c:dLbl>
              <c:idx val="23"/>
              <c:tx>
                <c:strRef>
                  <c:f>'ln 23 x ln 22'!$B$49</c:f>
                  <c:strCache>
                    <c:ptCount val="1"/>
                    <c:pt idx="0">
                      <c:v>2001</c:v>
                    </c:pt>
                  </c:strCache>
                </c:strRef>
              </c:tx>
              <c:spPr/>
              <c:txPr>
                <a:bodyPr/>
                <a:lstStyle/>
                <a:p>
                  <a:pPr>
                    <a:defRPr/>
                  </a:pPr>
                  <a:endParaRPr lang="en-US"/>
                </a:p>
              </c:txPr>
              <c:dLblPos val="r"/>
              <c:showLegendKey val="0"/>
              <c:showVal val="0"/>
              <c:showCatName val="0"/>
              <c:showSerName val="0"/>
              <c:showPercent val="0"/>
              <c:showBubbleSize val="0"/>
            </c:dLbl>
            <c:dLbl>
              <c:idx val="24"/>
              <c:tx>
                <c:strRef>
                  <c:f>'ln 23 x ln 22'!$B$50</c:f>
                  <c:strCache>
                    <c:ptCount val="1"/>
                    <c:pt idx="0">
                      <c:v>2002</c:v>
                    </c:pt>
                  </c:strCache>
                </c:strRef>
              </c:tx>
              <c:spPr/>
              <c:txPr>
                <a:bodyPr/>
                <a:lstStyle/>
                <a:p>
                  <a:pPr>
                    <a:defRPr/>
                  </a:pPr>
                  <a:endParaRPr lang="en-US"/>
                </a:p>
              </c:txPr>
              <c:dLblPos val="r"/>
              <c:showLegendKey val="0"/>
              <c:showVal val="0"/>
              <c:showCatName val="0"/>
              <c:showSerName val="0"/>
              <c:showPercent val="0"/>
              <c:showBubbleSize val="0"/>
            </c:dLbl>
            <c:dLbl>
              <c:idx val="25"/>
              <c:tx>
                <c:strRef>
                  <c:f>'ln 23 x ln 22'!$B$51</c:f>
                  <c:strCache>
                    <c:ptCount val="1"/>
                    <c:pt idx="0">
                      <c:v>2003</c:v>
                    </c:pt>
                  </c:strCache>
                </c:strRef>
              </c:tx>
              <c:spPr/>
              <c:txPr>
                <a:bodyPr/>
                <a:lstStyle/>
                <a:p>
                  <a:pPr>
                    <a:defRPr/>
                  </a:pPr>
                  <a:endParaRPr lang="en-US"/>
                </a:p>
              </c:txPr>
              <c:dLblPos val="r"/>
              <c:showLegendKey val="0"/>
              <c:showVal val="0"/>
              <c:showCatName val="0"/>
              <c:showSerName val="0"/>
              <c:showPercent val="0"/>
              <c:showBubbleSize val="0"/>
            </c:dLbl>
            <c:dLbl>
              <c:idx val="26"/>
              <c:tx>
                <c:strRef>
                  <c:f>'ln 23 x ln 22'!$B$52</c:f>
                  <c:strCache>
                    <c:ptCount val="1"/>
                    <c:pt idx="0">
                      <c:v>2004</c:v>
                    </c:pt>
                  </c:strCache>
                </c:strRef>
              </c:tx>
              <c:spPr/>
              <c:txPr>
                <a:bodyPr/>
                <a:lstStyle/>
                <a:p>
                  <a:pPr>
                    <a:defRPr/>
                  </a:pPr>
                  <a:endParaRPr lang="en-US"/>
                </a:p>
              </c:txPr>
              <c:dLblPos val="r"/>
              <c:showLegendKey val="0"/>
              <c:showVal val="0"/>
              <c:showCatName val="0"/>
              <c:showSerName val="0"/>
              <c:showPercent val="0"/>
              <c:showBubbleSize val="0"/>
            </c:dLbl>
            <c:dLbl>
              <c:idx val="27"/>
              <c:tx>
                <c:strRef>
                  <c:f>'ln 23 x ln 22'!$B$53</c:f>
                  <c:strCache>
                    <c:ptCount val="1"/>
                    <c:pt idx="0">
                      <c:v>2005</c:v>
                    </c:pt>
                  </c:strCache>
                </c:strRef>
              </c:tx>
              <c:spPr/>
              <c:txPr>
                <a:bodyPr/>
                <a:lstStyle/>
                <a:p>
                  <a:pPr>
                    <a:defRPr/>
                  </a:pPr>
                  <a:endParaRPr lang="en-US"/>
                </a:p>
              </c:txPr>
              <c:dLblPos val="r"/>
              <c:showLegendKey val="0"/>
              <c:showVal val="0"/>
              <c:showCatName val="0"/>
              <c:showSerName val="0"/>
              <c:showPercent val="0"/>
              <c:showBubbleSize val="0"/>
            </c:dLbl>
            <c:dLbl>
              <c:idx val="28"/>
              <c:tx>
                <c:strRef>
                  <c:f>'ln 23 x ln 22'!$B$54</c:f>
                  <c:strCache>
                    <c:ptCount val="1"/>
                    <c:pt idx="0">
                      <c:v>2006</c:v>
                    </c:pt>
                  </c:strCache>
                </c:strRef>
              </c:tx>
              <c:spPr/>
              <c:txPr>
                <a:bodyPr/>
                <a:lstStyle/>
                <a:p>
                  <a:pPr>
                    <a:defRPr/>
                  </a:pPr>
                  <a:endParaRPr lang="en-US"/>
                </a:p>
              </c:txPr>
              <c:dLblPos val="r"/>
              <c:showLegendKey val="0"/>
              <c:showVal val="0"/>
              <c:showCatName val="0"/>
              <c:showSerName val="0"/>
              <c:showPercent val="0"/>
              <c:showBubbleSize val="0"/>
            </c:dLbl>
            <c:dLbl>
              <c:idx val="29"/>
              <c:tx>
                <c:strRef>
                  <c:f>'ln 23 x ln 22'!$B$55</c:f>
                  <c:strCache>
                    <c:ptCount val="1"/>
                    <c:pt idx="0">
                      <c:v>2007</c:v>
                    </c:pt>
                  </c:strCache>
                </c:strRef>
              </c:tx>
              <c:spPr/>
              <c:txPr>
                <a:bodyPr/>
                <a:lstStyle/>
                <a:p>
                  <a:pPr>
                    <a:defRPr/>
                  </a:pPr>
                  <a:endParaRPr lang="en-US"/>
                </a:p>
              </c:txPr>
              <c:dLblPos val="r"/>
              <c:showLegendKey val="0"/>
              <c:showVal val="0"/>
              <c:showCatName val="0"/>
              <c:showSerName val="0"/>
              <c:showPercent val="0"/>
              <c:showBubbleSize val="0"/>
            </c:dLbl>
            <c:dLbl>
              <c:idx val="30"/>
              <c:tx>
                <c:strRef>
                  <c:f>'ln 23 x ln 22'!$B$56</c:f>
                  <c:strCache>
                    <c:ptCount val="1"/>
                    <c:pt idx="0">
                      <c:v>2008</c:v>
                    </c:pt>
                  </c:strCache>
                </c:strRef>
              </c:tx>
              <c:spPr/>
              <c:txPr>
                <a:bodyPr/>
                <a:lstStyle/>
                <a:p>
                  <a:pPr>
                    <a:defRPr/>
                  </a:pPr>
                  <a:endParaRPr lang="en-US"/>
                </a:p>
              </c:txPr>
              <c:dLblPos val="r"/>
              <c:showLegendKey val="0"/>
              <c:showVal val="0"/>
              <c:showCatName val="0"/>
              <c:showSerName val="0"/>
              <c:showPercent val="0"/>
              <c:showBubbleSize val="0"/>
            </c:dLbl>
            <c:dLbl>
              <c:idx val="31"/>
              <c:tx>
                <c:strRef>
                  <c:f>'ln 23 x ln 22'!$B$57</c:f>
                  <c:strCache>
                    <c:ptCount val="1"/>
                    <c:pt idx="0">
                      <c:v>2009</c:v>
                    </c:pt>
                  </c:strCache>
                </c:strRef>
              </c:tx>
              <c:spPr/>
              <c:txPr>
                <a:bodyPr/>
                <a:lstStyle/>
                <a:p>
                  <a:pPr>
                    <a:defRPr/>
                  </a:pPr>
                  <a:endParaRPr lang="en-US"/>
                </a:p>
              </c:txPr>
              <c:dLblPos val="r"/>
              <c:showLegendKey val="0"/>
              <c:showVal val="0"/>
              <c:showCatName val="0"/>
              <c:showSerName val="0"/>
              <c:showPercent val="0"/>
              <c:showBubbleSize val="0"/>
            </c:dLbl>
            <c:dLbl>
              <c:idx val="32"/>
              <c:tx>
                <c:strRef>
                  <c:f>'ln 23 x ln 22'!$B$62</c:f>
                  <c:strCache>
                    <c:ptCount val="1"/>
                    <c:pt idx="0">
                      <c:v>2014</c:v>
                    </c:pt>
                  </c:strCache>
                </c:strRef>
              </c:tx>
              <c:spPr/>
              <c:txPr>
                <a:bodyPr/>
                <a:lstStyle/>
                <a:p>
                  <a:pPr>
                    <a:defRPr/>
                  </a:pPr>
                  <a:endParaRPr lang="en-US"/>
                </a:p>
              </c:txPr>
              <c:dLblPos val="r"/>
              <c:showLegendKey val="0"/>
              <c:showVal val="0"/>
              <c:showCatName val="0"/>
              <c:showSerName val="0"/>
              <c:showPercent val="0"/>
              <c:showBubbleSize val="0"/>
            </c:dLbl>
            <c:dLbl>
              <c:idx val="33"/>
              <c:tx>
                <c:strRef>
                  <c:f>'ln 23 x ln 22'!$B$63</c:f>
                  <c:strCache>
                    <c:ptCount val="1"/>
                  </c:strCache>
                </c:strRef>
              </c:tx>
              <c:spPr/>
              <c:txPr>
                <a:bodyPr/>
                <a:lstStyle/>
                <a:p>
                  <a:pPr>
                    <a:defRPr/>
                  </a:pPr>
                  <a:endParaRPr lang="en-US"/>
                </a:p>
              </c:txPr>
              <c:dLblPos val="r"/>
              <c:showLegendKey val="0"/>
              <c:showVal val="0"/>
              <c:showCatName val="0"/>
              <c:showSerName val="0"/>
              <c:showPercent val="0"/>
              <c:showBubbleSize val="0"/>
            </c:dLbl>
            <c:dLbl>
              <c:idx val="34"/>
              <c:tx>
                <c:strRef>
                  <c:f>'ln 23 x ln 22'!$B$64</c:f>
                  <c:strCache>
                    <c:ptCount val="1"/>
                    <c:pt idx="0">
                      <c:v>2015</c:v>
                    </c:pt>
                  </c:strCache>
                </c:strRef>
              </c:tx>
              <c:spPr/>
              <c:txPr>
                <a:bodyPr/>
                <a:lstStyle/>
                <a:p>
                  <a:pPr>
                    <a:defRPr/>
                  </a:pPr>
                  <a:endParaRPr lang="en-US"/>
                </a:p>
              </c:txPr>
              <c:dLblPos val="r"/>
              <c:showLegendKey val="0"/>
              <c:showVal val="0"/>
              <c:showCatName val="0"/>
              <c:showSerName val="0"/>
              <c:showPercent val="0"/>
              <c:showBubbleSize val="0"/>
            </c:dLbl>
            <c:showLegendKey val="0"/>
            <c:showVal val="1"/>
            <c:showCatName val="0"/>
            <c:showSerName val="0"/>
            <c:showPercent val="0"/>
            <c:showBubbleSize val="0"/>
            <c:showLeaderLines val="0"/>
          </c:dLbls>
          <c:trendline>
            <c:spPr>
              <a:ln w="25400">
                <a:solidFill>
                  <a:srgbClr val="000000"/>
                </a:solidFill>
                <a:prstDash val="solid"/>
              </a:ln>
            </c:spPr>
            <c:trendlineType val="linear"/>
            <c:dispRSqr val="1"/>
            <c:dispEq val="1"/>
            <c:trendlineLbl>
              <c:layout>
                <c:manualLayout>
                  <c:x val="0.1195825447753"/>
                  <c:y val="-0.239256868614237"/>
                </c:manualLayout>
              </c:layout>
              <c:numFmt formatCode="General" sourceLinked="0"/>
              <c:spPr>
                <a:noFill/>
                <a:ln w="25400">
                  <a:noFill/>
                </a:ln>
              </c:spPr>
              <c:txPr>
                <a:bodyPr/>
                <a:lstStyle/>
                <a:p>
                  <a:pPr algn="ctr" rtl="1">
                    <a:defRPr sz="1000" b="0" i="0" u="none" strike="noStrike" baseline="0">
                      <a:solidFill>
                        <a:srgbClr val="000000"/>
                      </a:solidFill>
                      <a:latin typeface="Arial"/>
                      <a:ea typeface="Arial"/>
                      <a:cs typeface="Arial"/>
                    </a:defRPr>
                  </a:pPr>
                  <a:endParaRPr lang="en-US"/>
                </a:p>
              </c:txPr>
            </c:trendlineLbl>
          </c:trendline>
          <c:xVal>
            <c:numRef>
              <c:f>'ln 23 x ln 22'!$Y$26:$Y$64</c:f>
              <c:numCache>
                <c:formatCode>General</c:formatCode>
                <c:ptCount val="39"/>
                <c:pt idx="0">
                  <c:v>8.808518618782816</c:v>
                </c:pt>
                <c:pt idx="1">
                  <c:v>8.111328003286733</c:v>
                </c:pt>
                <c:pt idx="2">
                  <c:v>9.25903529351494</c:v>
                </c:pt>
                <c:pt idx="3">
                  <c:v>8.950708935929158</c:v>
                </c:pt>
                <c:pt idx="4">
                  <c:v>9.450666643193</c:v>
                </c:pt>
                <c:pt idx="5">
                  <c:v>7.48020397183251</c:v>
                </c:pt>
                <c:pt idx="6">
                  <c:v>7.668093709082406</c:v>
                </c:pt>
                <c:pt idx="7">
                  <c:v>8.756367559802974</c:v>
                </c:pt>
                <c:pt idx="8">
                  <c:v>10.85072453147196</c:v>
                </c:pt>
                <c:pt idx="9">
                  <c:v>9.588088666872241</c:v>
                </c:pt>
                <c:pt idx="10">
                  <c:v>8.67060073804555</c:v>
                </c:pt>
                <c:pt idx="11">
                  <c:v>6.104793232414985</c:v>
                </c:pt>
                <c:pt idx="12">
                  <c:v>7.655390644826152</c:v>
                </c:pt>
                <c:pt idx="13">
                  <c:v>7.064646200914268</c:v>
                </c:pt>
                <c:pt idx="14">
                  <c:v>4.414167747421413</c:v>
                </c:pt>
                <c:pt idx="15">
                  <c:v>7.257391912019018</c:v>
                </c:pt>
                <c:pt idx="16" formatCode="0.0000_)">
                  <c:v>7.127693699347398</c:v>
                </c:pt>
                <c:pt idx="17" formatCode="0.0000_)">
                  <c:v>6.006353159601732</c:v>
                </c:pt>
                <c:pt idx="18" formatCode="0.0000_)">
                  <c:v>6.925595197110468</c:v>
                </c:pt>
                <c:pt idx="19" formatCode="0.0000_)">
                  <c:v>6.848005274576363</c:v>
                </c:pt>
                <c:pt idx="20" formatCode="0.0000_)">
                  <c:v>5.774551545544408</c:v>
                </c:pt>
                <c:pt idx="21" formatCode="0.0000_)">
                  <c:v>5.438079308923195</c:v>
                </c:pt>
                <c:pt idx="22" formatCode="0.0000_)">
                  <c:v>8.293799608846818</c:v>
                </c:pt>
                <c:pt idx="23" formatCode="0.0000_)">
                  <c:v>7.773594467360194</c:v>
                </c:pt>
                <c:pt idx="24" formatCode="0.0000_)">
                  <c:v>7.436617265234226</c:v>
                </c:pt>
                <c:pt idx="25" formatCode="0.0000_)">
                  <c:v>5.762051382780176</c:v>
                </c:pt>
                <c:pt idx="26" formatCode="0.0000_)">
                  <c:v>5.849324779946859</c:v>
                </c:pt>
                <c:pt idx="27" formatCode="0.0000_)">
                  <c:v>7.198183577101943</c:v>
                </c:pt>
                <c:pt idx="28" formatCode="0.0000_)">
                  <c:v>5.129898714923073</c:v>
                </c:pt>
                <c:pt idx="29" formatCode="0.0000_)">
                  <c:v>6.56667242980324</c:v>
                </c:pt>
                <c:pt idx="30" formatCode="0.0000_)">
                  <c:v>6.953684210870537</c:v>
                </c:pt>
                <c:pt idx="31" formatCode="0.0000_)">
                  <c:v>8.068716192714781</c:v>
                </c:pt>
                <c:pt idx="32" formatCode="0.0000_)">
                  <c:v>6.242223265455165</c:v>
                </c:pt>
                <c:pt idx="33" formatCode="0.0000_)">
                  <c:v>9.511629447834181</c:v>
                </c:pt>
                <c:pt idx="34" formatCode="0.0000_)">
                  <c:v>6.313548046277095</c:v>
                </c:pt>
                <c:pt idx="35" formatCode="0.0000_)">
                  <c:v>7.955425088912671</c:v>
                </c:pt>
                <c:pt idx="36" formatCode="0.0000_)">
                  <c:v>6.731018100482082</c:v>
                </c:pt>
                <c:pt idx="38" formatCode="0.0000_)">
                  <c:v>6.232448016550522</c:v>
                </c:pt>
              </c:numCache>
            </c:numRef>
          </c:xVal>
          <c:yVal>
            <c:numRef>
              <c:f>'ln 23 x ln 22'!$AA$26:$AA$64</c:f>
              <c:numCache>
                <c:formatCode>General</c:formatCode>
                <c:ptCount val="39"/>
                <c:pt idx="0">
                  <c:v>9.8171668460696</c:v>
                </c:pt>
                <c:pt idx="1">
                  <c:v>7.498315870766981</c:v>
                </c:pt>
                <c:pt idx="2">
                  <c:v>7.859298321845718</c:v>
                </c:pt>
                <c:pt idx="3">
                  <c:v>9.082339293222405</c:v>
                </c:pt>
                <c:pt idx="4">
                  <c:v>9.033257393837523</c:v>
                </c:pt>
                <c:pt idx="5">
                  <c:v>7.578656850594762</c:v>
                </c:pt>
                <c:pt idx="6">
                  <c:v>8.906664409770051</c:v>
                </c:pt>
                <c:pt idx="7">
                  <c:v>9.95462904540241</c:v>
                </c:pt>
                <c:pt idx="8">
                  <c:v>10.59968612286745</c:v>
                </c:pt>
                <c:pt idx="9">
                  <c:v>10.3987019527879</c:v>
                </c:pt>
                <c:pt idx="10">
                  <c:v>6.373319789577012</c:v>
                </c:pt>
                <c:pt idx="11">
                  <c:v>8.88364023250367</c:v>
                </c:pt>
                <c:pt idx="12">
                  <c:v>7.010578979643993</c:v>
                </c:pt>
                <c:pt idx="13">
                  <c:v>6.638791298945747</c:v>
                </c:pt>
                <c:pt idx="14">
                  <c:v>8.549394905853518</c:v>
                </c:pt>
                <c:pt idx="15">
                  <c:v>7.918992488165245</c:v>
                </c:pt>
                <c:pt idx="16">
                  <c:v>6.393590753950631</c:v>
                </c:pt>
                <c:pt idx="17">
                  <c:v>7.45876269238096</c:v>
                </c:pt>
                <c:pt idx="18">
                  <c:v>7.457609289715605</c:v>
                </c:pt>
                <c:pt idx="19">
                  <c:v>6.46614472423762</c:v>
                </c:pt>
                <c:pt idx="20">
                  <c:v>7.305188215393037</c:v>
                </c:pt>
                <c:pt idx="21">
                  <c:v>5.75890177387728</c:v>
                </c:pt>
                <c:pt idx="22">
                  <c:v>9.391160802643871</c:v>
                </c:pt>
                <c:pt idx="23">
                  <c:v>8.035926369891791</c:v>
                </c:pt>
                <c:pt idx="24">
                  <c:v>6.368187186350492</c:v>
                </c:pt>
                <c:pt idx="25">
                  <c:v>7.373374309910049</c:v>
                </c:pt>
                <c:pt idx="26">
                  <c:v>5.25227342804663</c:v>
                </c:pt>
                <c:pt idx="27">
                  <c:v>6.401917196727185</c:v>
                </c:pt>
                <c:pt idx="28">
                  <c:v>6.045005314036012</c:v>
                </c:pt>
                <c:pt idx="29">
                  <c:v>8.21959545417708</c:v>
                </c:pt>
                <c:pt idx="30">
                  <c:v>8.002694162283937</c:v>
                </c:pt>
                <c:pt idx="31">
                  <c:v>7.474204806496124</c:v>
                </c:pt>
                <c:pt idx="32">
                  <c:v>5.272999558563747</c:v>
                </c:pt>
                <c:pt idx="33">
                  <c:v>8.745125259462243</c:v>
                </c:pt>
                <c:pt idx="34">
                  <c:v>8.243282523048375</c:v>
                </c:pt>
                <c:pt idx="35">
                  <c:v>8.023552392404347</c:v>
                </c:pt>
                <c:pt idx="36">
                  <c:v>3.828641396489095</c:v>
                </c:pt>
              </c:numCache>
            </c:numRef>
          </c:yVal>
          <c:smooth val="0"/>
        </c:ser>
        <c:ser>
          <c:idx val="1"/>
          <c:order val="1"/>
          <c:spPr>
            <a:ln w="3175">
              <a:solidFill>
                <a:srgbClr val="0000FF"/>
              </a:solidFill>
              <a:prstDash val="solid"/>
            </a:ln>
          </c:spPr>
          <c:marker>
            <c:symbol val="none"/>
          </c:marker>
          <c:xVal>
            <c:numRef>
              <c:f>'ln 23 x ln 22'!$Y$26:$Y$64</c:f>
              <c:numCache>
                <c:formatCode>General</c:formatCode>
                <c:ptCount val="39"/>
                <c:pt idx="0">
                  <c:v>8.808518618782816</c:v>
                </c:pt>
                <c:pt idx="1">
                  <c:v>8.111328003286733</c:v>
                </c:pt>
                <c:pt idx="2">
                  <c:v>9.25903529351494</c:v>
                </c:pt>
                <c:pt idx="3">
                  <c:v>8.950708935929158</c:v>
                </c:pt>
                <c:pt idx="4">
                  <c:v>9.450666643193</c:v>
                </c:pt>
                <c:pt idx="5">
                  <c:v>7.48020397183251</c:v>
                </c:pt>
                <c:pt idx="6">
                  <c:v>7.668093709082406</c:v>
                </c:pt>
                <c:pt idx="7">
                  <c:v>8.756367559802974</c:v>
                </c:pt>
                <c:pt idx="8">
                  <c:v>10.85072453147196</c:v>
                </c:pt>
                <c:pt idx="9">
                  <c:v>9.588088666872241</c:v>
                </c:pt>
                <c:pt idx="10">
                  <c:v>8.67060073804555</c:v>
                </c:pt>
                <c:pt idx="11">
                  <c:v>6.104793232414985</c:v>
                </c:pt>
                <c:pt idx="12">
                  <c:v>7.655390644826152</c:v>
                </c:pt>
                <c:pt idx="13">
                  <c:v>7.064646200914268</c:v>
                </c:pt>
                <c:pt idx="14">
                  <c:v>4.414167747421413</c:v>
                </c:pt>
                <c:pt idx="15">
                  <c:v>7.257391912019018</c:v>
                </c:pt>
                <c:pt idx="16" formatCode="0.0000_)">
                  <c:v>7.127693699347398</c:v>
                </c:pt>
                <c:pt idx="17" formatCode="0.0000_)">
                  <c:v>6.006353159601732</c:v>
                </c:pt>
                <c:pt idx="18" formatCode="0.0000_)">
                  <c:v>6.925595197110468</c:v>
                </c:pt>
                <c:pt idx="19" formatCode="0.0000_)">
                  <c:v>6.848005274576363</c:v>
                </c:pt>
                <c:pt idx="20" formatCode="0.0000_)">
                  <c:v>5.774551545544408</c:v>
                </c:pt>
                <c:pt idx="21" formatCode="0.0000_)">
                  <c:v>5.438079308923195</c:v>
                </c:pt>
                <c:pt idx="22" formatCode="0.0000_)">
                  <c:v>8.293799608846818</c:v>
                </c:pt>
                <c:pt idx="23" formatCode="0.0000_)">
                  <c:v>7.773594467360194</c:v>
                </c:pt>
                <c:pt idx="24" formatCode="0.0000_)">
                  <c:v>7.436617265234226</c:v>
                </c:pt>
                <c:pt idx="25" formatCode="0.0000_)">
                  <c:v>5.762051382780176</c:v>
                </c:pt>
                <c:pt idx="26" formatCode="0.0000_)">
                  <c:v>5.849324779946859</c:v>
                </c:pt>
                <c:pt idx="27" formatCode="0.0000_)">
                  <c:v>7.198183577101943</c:v>
                </c:pt>
                <c:pt idx="28" formatCode="0.0000_)">
                  <c:v>5.129898714923073</c:v>
                </c:pt>
                <c:pt idx="29" formatCode="0.0000_)">
                  <c:v>6.56667242980324</c:v>
                </c:pt>
                <c:pt idx="30" formatCode="0.0000_)">
                  <c:v>6.953684210870537</c:v>
                </c:pt>
                <c:pt idx="31" formatCode="0.0000_)">
                  <c:v>8.068716192714781</c:v>
                </c:pt>
                <c:pt idx="32" formatCode="0.0000_)">
                  <c:v>6.242223265455165</c:v>
                </c:pt>
                <c:pt idx="33" formatCode="0.0000_)">
                  <c:v>9.511629447834181</c:v>
                </c:pt>
                <c:pt idx="34" formatCode="0.0000_)">
                  <c:v>6.313548046277095</c:v>
                </c:pt>
                <c:pt idx="35" formatCode="0.0000_)">
                  <c:v>7.955425088912671</c:v>
                </c:pt>
                <c:pt idx="36" formatCode="0.0000_)">
                  <c:v>6.731018100482082</c:v>
                </c:pt>
                <c:pt idx="38" formatCode="0.0000_)">
                  <c:v>6.232448016550522</c:v>
                </c:pt>
              </c:numCache>
            </c:numRef>
          </c:xVal>
          <c:yVal>
            <c:numRef>
              <c:f>'ln 23 x ln 22'!$AC$26:$AC$64</c:f>
              <c:numCache>
                <c:formatCode>General</c:formatCode>
                <c:ptCount val="39"/>
                <c:pt idx="0">
                  <c:v>-1.539572805801633</c:v>
                </c:pt>
                <c:pt idx="1">
                  <c:v>-1.539572805801633</c:v>
                </c:pt>
                <c:pt idx="2">
                  <c:v>-1.539572805801633</c:v>
                </c:pt>
                <c:pt idx="3">
                  <c:v>-1.539572805801633</c:v>
                </c:pt>
                <c:pt idx="4">
                  <c:v>-1.539572805801633</c:v>
                </c:pt>
                <c:pt idx="5">
                  <c:v>-1.539572805801633</c:v>
                </c:pt>
                <c:pt idx="6">
                  <c:v>-1.539572805801633</c:v>
                </c:pt>
                <c:pt idx="7">
                  <c:v>-1.539572805801633</c:v>
                </c:pt>
                <c:pt idx="8">
                  <c:v>-1.539572805801633</c:v>
                </c:pt>
                <c:pt idx="9">
                  <c:v>-1.539572805801633</c:v>
                </c:pt>
                <c:pt idx="10">
                  <c:v>-1.539572805801633</c:v>
                </c:pt>
                <c:pt idx="11">
                  <c:v>-1.539572805801633</c:v>
                </c:pt>
                <c:pt idx="12">
                  <c:v>-1.539572805801633</c:v>
                </c:pt>
                <c:pt idx="13">
                  <c:v>-1.539572805801633</c:v>
                </c:pt>
                <c:pt idx="14">
                  <c:v>-1.539572805801633</c:v>
                </c:pt>
                <c:pt idx="15">
                  <c:v>-1.539572805801633</c:v>
                </c:pt>
                <c:pt idx="16">
                  <c:v>-1.539572805801633</c:v>
                </c:pt>
                <c:pt idx="17">
                  <c:v>-1.539572805801633</c:v>
                </c:pt>
                <c:pt idx="18">
                  <c:v>-1.539572805801633</c:v>
                </c:pt>
                <c:pt idx="19">
                  <c:v>-1.539572805801633</c:v>
                </c:pt>
                <c:pt idx="20">
                  <c:v>-1.539572805801633</c:v>
                </c:pt>
                <c:pt idx="21">
                  <c:v>-1.539572805801633</c:v>
                </c:pt>
                <c:pt idx="22">
                  <c:v>-1.539572805801633</c:v>
                </c:pt>
                <c:pt idx="23">
                  <c:v>-1.539572805801633</c:v>
                </c:pt>
                <c:pt idx="24">
                  <c:v>-1.539572805801633</c:v>
                </c:pt>
                <c:pt idx="25">
                  <c:v>-1.539572805801633</c:v>
                </c:pt>
                <c:pt idx="26">
                  <c:v>-1.539572805801633</c:v>
                </c:pt>
                <c:pt idx="27">
                  <c:v>-1.539572805801633</c:v>
                </c:pt>
                <c:pt idx="28">
                  <c:v>-1.539572805801633</c:v>
                </c:pt>
                <c:pt idx="29">
                  <c:v>-1.539572805801633</c:v>
                </c:pt>
                <c:pt idx="30">
                  <c:v>-1.539572805801633</c:v>
                </c:pt>
                <c:pt idx="31">
                  <c:v>-1.539572805801633</c:v>
                </c:pt>
                <c:pt idx="32">
                  <c:v>-1.539572805801633</c:v>
                </c:pt>
                <c:pt idx="33">
                  <c:v>-1.539572805801633</c:v>
                </c:pt>
                <c:pt idx="34">
                  <c:v>-1.539572805801633</c:v>
                </c:pt>
                <c:pt idx="35">
                  <c:v>-1.539572805801633</c:v>
                </c:pt>
                <c:pt idx="36">
                  <c:v>-1.539572805801633</c:v>
                </c:pt>
                <c:pt idx="38">
                  <c:v>-1.694776001210187</c:v>
                </c:pt>
              </c:numCache>
            </c:numRef>
          </c:yVal>
          <c:smooth val="0"/>
        </c:ser>
        <c:ser>
          <c:idx val="2"/>
          <c:order val="2"/>
          <c:spPr>
            <a:ln w="3175">
              <a:solidFill>
                <a:srgbClr val="FFFF00"/>
              </a:solidFill>
              <a:prstDash val="solid"/>
            </a:ln>
          </c:spPr>
          <c:marker>
            <c:symbol val="none"/>
          </c:marker>
          <c:xVal>
            <c:numRef>
              <c:f>'ln 23 x ln 22'!$Y$26:$Y$64</c:f>
              <c:numCache>
                <c:formatCode>General</c:formatCode>
                <c:ptCount val="39"/>
                <c:pt idx="0">
                  <c:v>8.808518618782816</c:v>
                </c:pt>
                <c:pt idx="1">
                  <c:v>8.111328003286733</c:v>
                </c:pt>
                <c:pt idx="2">
                  <c:v>9.25903529351494</c:v>
                </c:pt>
                <c:pt idx="3">
                  <c:v>8.950708935929158</c:v>
                </c:pt>
                <c:pt idx="4">
                  <c:v>9.450666643193</c:v>
                </c:pt>
                <c:pt idx="5">
                  <c:v>7.48020397183251</c:v>
                </c:pt>
                <c:pt idx="6">
                  <c:v>7.668093709082406</c:v>
                </c:pt>
                <c:pt idx="7">
                  <c:v>8.756367559802974</c:v>
                </c:pt>
                <c:pt idx="8">
                  <c:v>10.85072453147196</c:v>
                </c:pt>
                <c:pt idx="9">
                  <c:v>9.588088666872241</c:v>
                </c:pt>
                <c:pt idx="10">
                  <c:v>8.67060073804555</c:v>
                </c:pt>
                <c:pt idx="11">
                  <c:v>6.104793232414985</c:v>
                </c:pt>
                <c:pt idx="12">
                  <c:v>7.655390644826152</c:v>
                </c:pt>
                <c:pt idx="13">
                  <c:v>7.064646200914268</c:v>
                </c:pt>
                <c:pt idx="14">
                  <c:v>4.414167747421413</c:v>
                </c:pt>
                <c:pt idx="15">
                  <c:v>7.257391912019018</c:v>
                </c:pt>
                <c:pt idx="16" formatCode="0.0000_)">
                  <c:v>7.127693699347398</c:v>
                </c:pt>
                <c:pt idx="17" formatCode="0.0000_)">
                  <c:v>6.006353159601732</c:v>
                </c:pt>
                <c:pt idx="18" formatCode="0.0000_)">
                  <c:v>6.925595197110468</c:v>
                </c:pt>
                <c:pt idx="19" formatCode="0.0000_)">
                  <c:v>6.848005274576363</c:v>
                </c:pt>
                <c:pt idx="20" formatCode="0.0000_)">
                  <c:v>5.774551545544408</c:v>
                </c:pt>
                <c:pt idx="21" formatCode="0.0000_)">
                  <c:v>5.438079308923195</c:v>
                </c:pt>
                <c:pt idx="22" formatCode="0.0000_)">
                  <c:v>8.293799608846818</c:v>
                </c:pt>
                <c:pt idx="23" formatCode="0.0000_)">
                  <c:v>7.773594467360194</c:v>
                </c:pt>
                <c:pt idx="24" formatCode="0.0000_)">
                  <c:v>7.436617265234226</c:v>
                </c:pt>
                <c:pt idx="25" formatCode="0.0000_)">
                  <c:v>5.762051382780176</c:v>
                </c:pt>
                <c:pt idx="26" formatCode="0.0000_)">
                  <c:v>5.849324779946859</c:v>
                </c:pt>
                <c:pt idx="27" formatCode="0.0000_)">
                  <c:v>7.198183577101943</c:v>
                </c:pt>
                <c:pt idx="28" formatCode="0.0000_)">
                  <c:v>5.129898714923073</c:v>
                </c:pt>
                <c:pt idx="29" formatCode="0.0000_)">
                  <c:v>6.56667242980324</c:v>
                </c:pt>
                <c:pt idx="30" formatCode="0.0000_)">
                  <c:v>6.953684210870537</c:v>
                </c:pt>
                <c:pt idx="31" formatCode="0.0000_)">
                  <c:v>8.068716192714781</c:v>
                </c:pt>
                <c:pt idx="32" formatCode="0.0000_)">
                  <c:v>6.242223265455165</c:v>
                </c:pt>
                <c:pt idx="33" formatCode="0.0000_)">
                  <c:v>9.511629447834181</c:v>
                </c:pt>
                <c:pt idx="34" formatCode="0.0000_)">
                  <c:v>6.313548046277095</c:v>
                </c:pt>
                <c:pt idx="35" formatCode="0.0000_)">
                  <c:v>7.955425088912671</c:v>
                </c:pt>
                <c:pt idx="36" formatCode="0.0000_)">
                  <c:v>6.731018100482082</c:v>
                </c:pt>
                <c:pt idx="38" formatCode="0.0000_)">
                  <c:v>6.232448016550522</c:v>
                </c:pt>
              </c:numCache>
            </c:numRef>
          </c:xVal>
          <c:yVal>
            <c:numRef>
              <c:f>'ln 23 x ln 22'!$AD$26:$AD$64</c:f>
              <c:numCache>
                <c:formatCode>General</c:formatCode>
                <c:ptCount val="39"/>
                <c:pt idx="0">
                  <c:v>1.539572805801633</c:v>
                </c:pt>
                <c:pt idx="1">
                  <c:v>1.539572805801633</c:v>
                </c:pt>
                <c:pt idx="2">
                  <c:v>1.539572805801633</c:v>
                </c:pt>
                <c:pt idx="3">
                  <c:v>1.539572805801633</c:v>
                </c:pt>
                <c:pt idx="4">
                  <c:v>1.539572805801633</c:v>
                </c:pt>
                <c:pt idx="5">
                  <c:v>1.539572805801633</c:v>
                </c:pt>
                <c:pt idx="6">
                  <c:v>1.539572805801633</c:v>
                </c:pt>
                <c:pt idx="7">
                  <c:v>1.539572805801633</c:v>
                </c:pt>
                <c:pt idx="8">
                  <c:v>1.539572805801633</c:v>
                </c:pt>
                <c:pt idx="9">
                  <c:v>1.539572805801633</c:v>
                </c:pt>
                <c:pt idx="10">
                  <c:v>1.539572805801633</c:v>
                </c:pt>
                <c:pt idx="11">
                  <c:v>1.539572805801633</c:v>
                </c:pt>
                <c:pt idx="12">
                  <c:v>1.539572805801633</c:v>
                </c:pt>
                <c:pt idx="13">
                  <c:v>1.539572805801633</c:v>
                </c:pt>
                <c:pt idx="14">
                  <c:v>1.539572805801633</c:v>
                </c:pt>
                <c:pt idx="15">
                  <c:v>1.539572805801633</c:v>
                </c:pt>
                <c:pt idx="16">
                  <c:v>1.539572805801633</c:v>
                </c:pt>
                <c:pt idx="17">
                  <c:v>1.539572805801633</c:v>
                </c:pt>
                <c:pt idx="18">
                  <c:v>1.539572805801633</c:v>
                </c:pt>
                <c:pt idx="19">
                  <c:v>1.539572805801633</c:v>
                </c:pt>
                <c:pt idx="20">
                  <c:v>1.539572805801633</c:v>
                </c:pt>
                <c:pt idx="21">
                  <c:v>1.539572805801633</c:v>
                </c:pt>
                <c:pt idx="22">
                  <c:v>1.539572805801633</c:v>
                </c:pt>
                <c:pt idx="23">
                  <c:v>1.539572805801633</c:v>
                </c:pt>
                <c:pt idx="24">
                  <c:v>1.539572805801633</c:v>
                </c:pt>
                <c:pt idx="25">
                  <c:v>1.539572805801633</c:v>
                </c:pt>
                <c:pt idx="26">
                  <c:v>1.539572805801633</c:v>
                </c:pt>
                <c:pt idx="27">
                  <c:v>1.539572805801633</c:v>
                </c:pt>
                <c:pt idx="28">
                  <c:v>1.539572805801633</c:v>
                </c:pt>
                <c:pt idx="29">
                  <c:v>1.539572805801633</c:v>
                </c:pt>
                <c:pt idx="30">
                  <c:v>1.539572805801633</c:v>
                </c:pt>
                <c:pt idx="31">
                  <c:v>1.539572805801633</c:v>
                </c:pt>
                <c:pt idx="32">
                  <c:v>1.539572805801633</c:v>
                </c:pt>
                <c:pt idx="33">
                  <c:v>1.539572805801633</c:v>
                </c:pt>
                <c:pt idx="34">
                  <c:v>1.539572805801633</c:v>
                </c:pt>
                <c:pt idx="35">
                  <c:v>1.539572805801633</c:v>
                </c:pt>
                <c:pt idx="36">
                  <c:v>1.539572805801633</c:v>
                </c:pt>
                <c:pt idx="38">
                  <c:v>1.694776001210187</c:v>
                </c:pt>
              </c:numCache>
            </c:numRef>
          </c:yVal>
          <c:smooth val="0"/>
        </c:ser>
        <c:ser>
          <c:idx val="3"/>
          <c:order val="3"/>
          <c:tx>
            <c:v>Forecast</c:v>
          </c:tx>
          <c:spPr>
            <a:ln w="3175">
              <a:solidFill>
                <a:srgbClr val="FF00FF"/>
              </a:solidFill>
              <a:prstDash val="solid"/>
            </a:ln>
          </c:spPr>
          <c:marker>
            <c:symbol val="diamond"/>
            <c:size val="5"/>
            <c:spPr>
              <a:noFill/>
              <a:ln>
                <a:solidFill>
                  <a:srgbClr val="FF00FF"/>
                </a:solidFill>
                <a:prstDash val="solid"/>
              </a:ln>
            </c:spPr>
          </c:marker>
          <c:xVal>
            <c:numRef>
              <c:f>'ln 23 x ln 22'!$Y$26:$Y$64</c:f>
              <c:numCache>
                <c:formatCode>General</c:formatCode>
                <c:ptCount val="39"/>
                <c:pt idx="0">
                  <c:v>8.808518618782816</c:v>
                </c:pt>
                <c:pt idx="1">
                  <c:v>8.111328003286733</c:v>
                </c:pt>
                <c:pt idx="2">
                  <c:v>9.25903529351494</c:v>
                </c:pt>
                <c:pt idx="3">
                  <c:v>8.950708935929158</c:v>
                </c:pt>
                <c:pt idx="4">
                  <c:v>9.450666643193</c:v>
                </c:pt>
                <c:pt idx="5">
                  <c:v>7.48020397183251</c:v>
                </c:pt>
                <c:pt idx="6">
                  <c:v>7.668093709082406</c:v>
                </c:pt>
                <c:pt idx="7">
                  <c:v>8.756367559802974</c:v>
                </c:pt>
                <c:pt idx="8">
                  <c:v>10.85072453147196</c:v>
                </c:pt>
                <c:pt idx="9">
                  <c:v>9.588088666872241</c:v>
                </c:pt>
                <c:pt idx="10">
                  <c:v>8.67060073804555</c:v>
                </c:pt>
                <c:pt idx="11">
                  <c:v>6.104793232414985</c:v>
                </c:pt>
                <c:pt idx="12">
                  <c:v>7.655390644826152</c:v>
                </c:pt>
                <c:pt idx="13">
                  <c:v>7.064646200914268</c:v>
                </c:pt>
                <c:pt idx="14">
                  <c:v>4.414167747421413</c:v>
                </c:pt>
                <c:pt idx="15">
                  <c:v>7.257391912019018</c:v>
                </c:pt>
                <c:pt idx="16" formatCode="0.0000_)">
                  <c:v>7.127693699347398</c:v>
                </c:pt>
                <c:pt idx="17" formatCode="0.0000_)">
                  <c:v>6.006353159601732</c:v>
                </c:pt>
                <c:pt idx="18" formatCode="0.0000_)">
                  <c:v>6.925595197110468</c:v>
                </c:pt>
                <c:pt idx="19" formatCode="0.0000_)">
                  <c:v>6.848005274576363</c:v>
                </c:pt>
                <c:pt idx="20" formatCode="0.0000_)">
                  <c:v>5.774551545544408</c:v>
                </c:pt>
                <c:pt idx="21" formatCode="0.0000_)">
                  <c:v>5.438079308923195</c:v>
                </c:pt>
                <c:pt idx="22" formatCode="0.0000_)">
                  <c:v>8.293799608846818</c:v>
                </c:pt>
                <c:pt idx="23" formatCode="0.0000_)">
                  <c:v>7.773594467360194</c:v>
                </c:pt>
                <c:pt idx="24" formatCode="0.0000_)">
                  <c:v>7.436617265234226</c:v>
                </c:pt>
                <c:pt idx="25" formatCode="0.0000_)">
                  <c:v>5.762051382780176</c:v>
                </c:pt>
                <c:pt idx="26" formatCode="0.0000_)">
                  <c:v>5.849324779946859</c:v>
                </c:pt>
                <c:pt idx="27" formatCode="0.0000_)">
                  <c:v>7.198183577101943</c:v>
                </c:pt>
                <c:pt idx="28" formatCode="0.0000_)">
                  <c:v>5.129898714923073</c:v>
                </c:pt>
                <c:pt idx="29" formatCode="0.0000_)">
                  <c:v>6.56667242980324</c:v>
                </c:pt>
                <c:pt idx="30" formatCode="0.0000_)">
                  <c:v>6.953684210870537</c:v>
                </c:pt>
                <c:pt idx="31" formatCode="0.0000_)">
                  <c:v>8.068716192714781</c:v>
                </c:pt>
                <c:pt idx="32" formatCode="0.0000_)">
                  <c:v>6.242223265455165</c:v>
                </c:pt>
                <c:pt idx="33" formatCode="0.0000_)">
                  <c:v>9.511629447834181</c:v>
                </c:pt>
                <c:pt idx="34" formatCode="0.0000_)">
                  <c:v>6.313548046277095</c:v>
                </c:pt>
                <c:pt idx="35" formatCode="0.0000_)">
                  <c:v>7.955425088912671</c:v>
                </c:pt>
                <c:pt idx="36" formatCode="0.0000_)">
                  <c:v>6.731018100482082</c:v>
                </c:pt>
                <c:pt idx="38" formatCode="0.0000_)">
                  <c:v>6.232448016550522</c:v>
                </c:pt>
              </c:numCache>
            </c:numRef>
          </c:xVal>
          <c:yVal>
            <c:numRef>
              <c:f>'ln 23 x ln 22'!$AE$26:$AE$64</c:f>
              <c:numCache>
                <c:formatCode>General</c:formatCode>
                <c:ptCount val="39"/>
                <c:pt idx="38">
                  <c:v>0.0</c:v>
                </c:pt>
              </c:numCache>
            </c:numRef>
          </c:yVal>
          <c:smooth val="0"/>
        </c:ser>
        <c:dLbls>
          <c:showLegendKey val="0"/>
          <c:showVal val="0"/>
          <c:showCatName val="0"/>
          <c:showSerName val="0"/>
          <c:showPercent val="0"/>
          <c:showBubbleSize val="0"/>
        </c:dLbls>
        <c:axId val="-2078651976"/>
        <c:axId val="-2078643016"/>
      </c:scatterChart>
      <c:valAx>
        <c:axId val="-2078651976"/>
        <c:scaling>
          <c:orientation val="minMax"/>
          <c:min val="3.0"/>
        </c:scaling>
        <c:delete val="0"/>
        <c:axPos val="b"/>
        <c:title>
          <c:tx>
            <c:rich>
              <a:bodyPr/>
              <a:lstStyle/>
              <a:p>
                <a:pPr>
                  <a:defRPr sz="1000" b="0" i="0" u="none" strike="noStrike" baseline="0">
                    <a:solidFill>
                      <a:srgbClr val="000000"/>
                    </a:solidFill>
                    <a:latin typeface="Arial"/>
                    <a:ea typeface="Arial"/>
                    <a:cs typeface="Arial"/>
                  </a:defRPr>
                </a:pPr>
                <a:r>
                  <a:rPr lang="en-US"/>
                  <a:t>LN AGED 2.2</a:t>
                </a:r>
              </a:p>
            </c:rich>
          </c:tx>
          <c:layout>
            <c:manualLayout>
              <c:xMode val="edge"/>
              <c:yMode val="edge"/>
              <c:x val="0.467274235881805"/>
              <c:y val="0.838050100539342"/>
            </c:manualLayout>
          </c:layout>
          <c:overlay val="0"/>
          <c:spPr>
            <a:noFill/>
            <a:ln w="25400">
              <a:noFill/>
            </a:ln>
          </c:spPr>
        </c:title>
        <c:numFmt formatCode="General" sourceLinked="1"/>
        <c:majorTickMark val="in"/>
        <c:minorTickMark val="none"/>
        <c:tickLblPos val="low"/>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78643016"/>
        <c:crosses val="autoZero"/>
        <c:crossBetween val="midCat"/>
      </c:valAx>
      <c:valAx>
        <c:axId val="-2078643016"/>
        <c:scaling>
          <c:orientation val="minMax"/>
          <c:min val="4.0"/>
        </c:scaling>
        <c:delete val="0"/>
        <c:axPos val="l"/>
        <c:title>
          <c:tx>
            <c:rich>
              <a:bodyPr/>
              <a:lstStyle/>
              <a:p>
                <a:pPr>
                  <a:defRPr sz="1000" b="0" i="0" u="none" strike="noStrike" baseline="0">
                    <a:solidFill>
                      <a:srgbClr val="000000"/>
                    </a:solidFill>
                    <a:latin typeface="Arial"/>
                    <a:ea typeface="Arial"/>
                    <a:cs typeface="Arial"/>
                  </a:defRPr>
                </a:pPr>
                <a:r>
                  <a:rPr lang="en-US"/>
                  <a:t>LN AGED 2.3</a:t>
                </a:r>
              </a:p>
            </c:rich>
          </c:tx>
          <c:layout>
            <c:manualLayout>
              <c:xMode val="edge"/>
              <c:yMode val="edge"/>
              <c:x val="0.0258697824062315"/>
              <c:y val="0.401871973640526"/>
            </c:manualLayout>
          </c:layout>
          <c:overlay val="0"/>
          <c:spPr>
            <a:noFill/>
            <a:ln w="25400">
              <a:noFill/>
            </a:ln>
          </c:spPr>
        </c:title>
        <c:numFmt formatCode="General" sourceLinked="1"/>
        <c:majorTickMark val="in"/>
        <c:minorTickMark val="none"/>
        <c:tickLblPos val="nextTo"/>
        <c:spPr>
          <a:ln w="12700">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78651976"/>
        <c:crosses val="autoZero"/>
        <c:crossBetween val="midCat"/>
      </c:valAx>
      <c:spPr>
        <a:solidFill>
          <a:srgbClr val="FFFFFF"/>
        </a:solidFill>
        <a:ln w="12700">
          <a:solidFill>
            <a:srgbClr val="000000"/>
          </a:solidFill>
          <a:prstDash val="solid"/>
        </a:ln>
      </c:spPr>
    </c:plotArea>
    <c:legend>
      <c:legendPos val="b"/>
      <c:layout>
        <c:manualLayout>
          <c:xMode val="edge"/>
          <c:yMode val="edge"/>
          <c:x val="0.151985437304208"/>
          <c:y val="0.923815358402396"/>
          <c:w val="0.761543984421302"/>
          <c:h val="0.0588104410576363"/>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 r="0.75" t="1.0" header="0.5" footer="0.5"/>
    <c:pageSetup orientation="landscape"/>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4" Type="http://schemas.openxmlformats.org/officeDocument/2006/relationships/chart" Target="../charts/chart4.xml"/><Relationship Id="rId1" Type="http://schemas.openxmlformats.org/officeDocument/2006/relationships/chart" Target="../charts/chart1.xml"/><Relationship Id="rId2" Type="http://schemas.openxmlformats.org/officeDocument/2006/relationships/chart" Target="../charts/chart2.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2.xml"/></Relationships>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16</xdr:col>
      <xdr:colOff>336550</xdr:colOff>
      <xdr:row>103</xdr:row>
      <xdr:rowOff>3175</xdr:rowOff>
    </xdr:from>
    <xdr:to>
      <xdr:col>26</xdr:col>
      <xdr:colOff>247650</xdr:colOff>
      <xdr:row>127</xdr:row>
      <xdr:rowOff>107950</xdr:rowOff>
    </xdr:to>
    <xdr:graphicFrame macro="">
      <xdr:nvGraphicFramePr>
        <xdr:cNvPr id="13842"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358775</xdr:colOff>
      <xdr:row>83</xdr:row>
      <xdr:rowOff>12700</xdr:rowOff>
    </xdr:from>
    <xdr:to>
      <xdr:col>23</xdr:col>
      <xdr:colOff>679450</xdr:colOff>
      <xdr:row>101</xdr:row>
      <xdr:rowOff>196850</xdr:rowOff>
    </xdr:to>
    <xdr:graphicFrame macro="">
      <xdr:nvGraphicFramePr>
        <xdr:cNvPr id="1384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43</xdr:col>
      <xdr:colOff>520700</xdr:colOff>
      <xdr:row>0</xdr:row>
      <xdr:rowOff>177800</xdr:rowOff>
    </xdr:from>
    <xdr:to>
      <xdr:col>58</xdr:col>
      <xdr:colOff>355600</xdr:colOff>
      <xdr:row>50</xdr:row>
      <xdr:rowOff>25400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44</xdr:col>
      <xdr:colOff>0</xdr:colOff>
      <xdr:row>53</xdr:row>
      <xdr:rowOff>0</xdr:rowOff>
    </xdr:from>
    <xdr:to>
      <xdr:col>58</xdr:col>
      <xdr:colOff>660400</xdr:colOff>
      <xdr:row>104</xdr:row>
      <xdr:rowOff>88900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21</xdr:col>
      <xdr:colOff>676275</xdr:colOff>
      <xdr:row>16</xdr:row>
      <xdr:rowOff>38100</xdr:rowOff>
    </xdr:from>
    <xdr:to>
      <xdr:col>31</xdr:col>
      <xdr:colOff>533400</xdr:colOff>
      <xdr:row>45</xdr:row>
      <xdr:rowOff>47625</xdr:rowOff>
    </xdr:to>
    <xdr:graphicFrame macro="">
      <xdr:nvGraphicFramePr>
        <xdr:cNvPr id="1137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57150</xdr:colOff>
      <xdr:row>52</xdr:row>
      <xdr:rowOff>171450</xdr:rowOff>
    </xdr:from>
    <xdr:to>
      <xdr:col>14</xdr:col>
      <xdr:colOff>666750</xdr:colOff>
      <xdr:row>56</xdr:row>
      <xdr:rowOff>85725</xdr:rowOff>
    </xdr:to>
    <xdr:sp macro="" textlink="">
      <xdr:nvSpPr>
        <xdr:cNvPr id="9218" name="Text Box 2"/>
        <xdr:cNvSpPr txBox="1">
          <a:spLocks noChangeArrowheads="1"/>
        </xdr:cNvSpPr>
      </xdr:nvSpPr>
      <xdr:spPr bwMode="auto">
        <a:xfrm>
          <a:off x="9953625" y="10077450"/>
          <a:ext cx="2266950" cy="676275"/>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1" i="0" u="none" strike="noStrike" baseline="0">
              <a:solidFill>
                <a:srgbClr val="FF0000"/>
              </a:solidFill>
              <a:latin typeface="SWISS"/>
            </a:rPr>
            <a:t>Enter 2002 Unakwik total harvest</a:t>
          </a:r>
        </a:p>
      </xdr:txBody>
    </xdr:sp>
    <xdr:clientData/>
  </xdr:twoCellAnchor>
  <xdr:twoCellAnchor>
    <xdr:from>
      <xdr:col>10</xdr:col>
      <xdr:colOff>66675</xdr:colOff>
      <xdr:row>48</xdr:row>
      <xdr:rowOff>95250</xdr:rowOff>
    </xdr:from>
    <xdr:to>
      <xdr:col>11</xdr:col>
      <xdr:colOff>800100</xdr:colOff>
      <xdr:row>53</xdr:row>
      <xdr:rowOff>114300</xdr:rowOff>
    </xdr:to>
    <xdr:sp macro="" textlink="">
      <xdr:nvSpPr>
        <xdr:cNvPr id="9973" name="Line 3"/>
        <xdr:cNvSpPr>
          <a:spLocks noChangeShapeType="1"/>
        </xdr:cNvSpPr>
      </xdr:nvSpPr>
      <xdr:spPr bwMode="auto">
        <a:xfrm flipH="1" flipV="1">
          <a:off x="8305800" y="9239250"/>
          <a:ext cx="1562100" cy="9715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69</xdr:row>
      <xdr:rowOff>104775</xdr:rowOff>
    </xdr:from>
    <xdr:to>
      <xdr:col>13</xdr:col>
      <xdr:colOff>76200</xdr:colOff>
      <xdr:row>102</xdr:row>
      <xdr:rowOff>38100</xdr:rowOff>
    </xdr:to>
    <xdr:graphicFrame macro="">
      <xdr:nvGraphicFramePr>
        <xdr:cNvPr id="141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9</xdr:col>
          <xdr:colOff>139700</xdr:colOff>
          <xdr:row>3</xdr:row>
          <xdr:rowOff>25400</xdr:rowOff>
        </xdr:from>
        <xdr:to>
          <xdr:col>11</xdr:col>
          <xdr:colOff>317500</xdr:colOff>
          <xdr:row>5</xdr:row>
          <xdr:rowOff>38100</xdr:rowOff>
        </xdr:to>
        <xdr:sp macro="" textlink="">
          <xdr:nvSpPr>
            <xdr:cNvPr id="1027" name="CommandButton1"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9525</xdr:colOff>
      <xdr:row>67</xdr:row>
      <xdr:rowOff>9525</xdr:rowOff>
    </xdr:from>
    <xdr:to>
      <xdr:col>9</xdr:col>
      <xdr:colOff>485775</xdr:colOff>
      <xdr:row>88</xdr:row>
      <xdr:rowOff>0</xdr:rowOff>
    </xdr:to>
    <xdr:graphicFrame macro="">
      <xdr:nvGraphicFramePr>
        <xdr:cNvPr id="243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9</xdr:col>
          <xdr:colOff>228600</xdr:colOff>
          <xdr:row>2</xdr:row>
          <xdr:rowOff>25400</xdr:rowOff>
        </xdr:from>
        <xdr:to>
          <xdr:col>11</xdr:col>
          <xdr:colOff>571500</xdr:colOff>
          <xdr:row>4</xdr:row>
          <xdr:rowOff>139700</xdr:rowOff>
        </xdr:to>
        <xdr:sp macro="" textlink="">
          <xdr:nvSpPr>
            <xdr:cNvPr id="2053" name="CommandButton1" hidden="1">
              <a:extLst>
                <a:ext uri="{63B3BB69-23CF-44E3-9099-C40C66FF867C}">
                  <a14:compatExt spid="_x0000_s2053"/>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9525</xdr:colOff>
      <xdr:row>67</xdr:row>
      <xdr:rowOff>9525</xdr:rowOff>
    </xdr:from>
    <xdr:to>
      <xdr:col>9</xdr:col>
      <xdr:colOff>485775</xdr:colOff>
      <xdr:row>91</xdr:row>
      <xdr:rowOff>76200</xdr:rowOff>
    </xdr:to>
    <xdr:graphicFrame macro="">
      <xdr:nvGraphicFramePr>
        <xdr:cNvPr id="3458"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546100</xdr:colOff>
          <xdr:row>3</xdr:row>
          <xdr:rowOff>25400</xdr:rowOff>
        </xdr:from>
        <xdr:to>
          <xdr:col>11</xdr:col>
          <xdr:colOff>228600</xdr:colOff>
          <xdr:row>5</xdr:row>
          <xdr:rowOff>139700</xdr:rowOff>
        </xdr:to>
        <xdr:sp macro="" textlink="">
          <xdr:nvSpPr>
            <xdr:cNvPr id="3079" name="CommandButton1" hidden="1">
              <a:extLst>
                <a:ext uri="{63B3BB69-23CF-44E3-9099-C40C66FF867C}">
                  <a14:compatExt spid="_x0000_s3079"/>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9525</xdr:colOff>
      <xdr:row>69</xdr:row>
      <xdr:rowOff>9525</xdr:rowOff>
    </xdr:from>
    <xdr:to>
      <xdr:col>9</xdr:col>
      <xdr:colOff>0</xdr:colOff>
      <xdr:row>90</xdr:row>
      <xdr:rowOff>0</xdr:rowOff>
    </xdr:to>
    <xdr:graphicFrame macro="">
      <xdr:nvGraphicFramePr>
        <xdr:cNvPr id="4482"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711200</xdr:colOff>
          <xdr:row>3</xdr:row>
          <xdr:rowOff>25400</xdr:rowOff>
        </xdr:from>
        <xdr:to>
          <xdr:col>10</xdr:col>
          <xdr:colOff>711200</xdr:colOff>
          <xdr:row>5</xdr:row>
          <xdr:rowOff>139700</xdr:rowOff>
        </xdr:to>
        <xdr:sp macro="" textlink="">
          <xdr:nvSpPr>
            <xdr:cNvPr id="4105" name="CommandButton1" hidden="1">
              <a:extLst>
                <a:ext uri="{63B3BB69-23CF-44E3-9099-C40C66FF867C}">
                  <a14:compatExt spid="_x0000_s4105"/>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9525</xdr:colOff>
      <xdr:row>69</xdr:row>
      <xdr:rowOff>9525</xdr:rowOff>
    </xdr:from>
    <xdr:to>
      <xdr:col>9</xdr:col>
      <xdr:colOff>0</xdr:colOff>
      <xdr:row>90</xdr:row>
      <xdr:rowOff>0</xdr:rowOff>
    </xdr:to>
    <xdr:graphicFrame macro="">
      <xdr:nvGraphicFramePr>
        <xdr:cNvPr id="550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228600</xdr:colOff>
          <xdr:row>3</xdr:row>
          <xdr:rowOff>25400</xdr:rowOff>
        </xdr:from>
        <xdr:to>
          <xdr:col>10</xdr:col>
          <xdr:colOff>571500</xdr:colOff>
          <xdr:row>5</xdr:row>
          <xdr:rowOff>139700</xdr:rowOff>
        </xdr:to>
        <xdr:sp macro="" textlink="">
          <xdr:nvSpPr>
            <xdr:cNvPr id="5131" name="CommandButton1" hidden="1">
              <a:extLst>
                <a:ext uri="{63B3BB69-23CF-44E3-9099-C40C66FF867C}">
                  <a14:compatExt spid="_x0000_s5131"/>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9525</xdr:colOff>
      <xdr:row>69</xdr:row>
      <xdr:rowOff>9525</xdr:rowOff>
    </xdr:from>
    <xdr:to>
      <xdr:col>9</xdr:col>
      <xdr:colOff>0</xdr:colOff>
      <xdr:row>90</xdr:row>
      <xdr:rowOff>0</xdr:rowOff>
    </xdr:to>
    <xdr:graphicFrame macro="">
      <xdr:nvGraphicFramePr>
        <xdr:cNvPr id="6533"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228600</xdr:colOff>
          <xdr:row>3</xdr:row>
          <xdr:rowOff>25400</xdr:rowOff>
        </xdr:from>
        <xdr:to>
          <xdr:col>10</xdr:col>
          <xdr:colOff>444500</xdr:colOff>
          <xdr:row>5</xdr:row>
          <xdr:rowOff>139700</xdr:rowOff>
        </xdr:to>
        <xdr:sp macro="" textlink="">
          <xdr:nvSpPr>
            <xdr:cNvPr id="6156" name="CommandButton1"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9525</xdr:colOff>
      <xdr:row>69</xdr:row>
      <xdr:rowOff>9525</xdr:rowOff>
    </xdr:from>
    <xdr:to>
      <xdr:col>9</xdr:col>
      <xdr:colOff>0</xdr:colOff>
      <xdr:row>90</xdr:row>
      <xdr:rowOff>0</xdr:rowOff>
    </xdr:to>
    <xdr:graphicFrame macro="">
      <xdr:nvGraphicFramePr>
        <xdr:cNvPr id="7558"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8</xdr:col>
          <xdr:colOff>406400</xdr:colOff>
          <xdr:row>3</xdr:row>
          <xdr:rowOff>25400</xdr:rowOff>
        </xdr:from>
        <xdr:to>
          <xdr:col>11</xdr:col>
          <xdr:colOff>88900</xdr:colOff>
          <xdr:row>5</xdr:row>
          <xdr:rowOff>139700</xdr:rowOff>
        </xdr:to>
        <xdr:sp macro="" textlink="">
          <xdr:nvSpPr>
            <xdr:cNvPr id="7181" name="CommandButton1" hidden="1">
              <a:extLst>
                <a:ext uri="{63B3BB69-23CF-44E3-9099-C40C66FF867C}">
                  <a14:compatExt spid="_x0000_s718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5.vml"/><Relationship Id="rId3"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7.vml"/><Relationship Id="rId3" Type="http://schemas.openxmlformats.org/officeDocument/2006/relationships/comments" Target="../comments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 Id="rId2" Type="http://schemas.openxmlformats.org/officeDocument/2006/relationships/vmlDrawing" Target="../drawings/vmlDrawing8.vml"/><Relationship Id="rId3"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 Id="rId2" Type="http://schemas.openxmlformats.org/officeDocument/2006/relationships/vmlDrawing" Target="../drawings/vmlDrawing9.vml"/><Relationship Id="rId3"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 Id="rId2" Type="http://schemas.openxmlformats.org/officeDocument/2006/relationships/vmlDrawing" Target="../drawings/vmlDrawing10.vml"/><Relationship Id="rId3"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 Id="rId2" Type="http://schemas.openxmlformats.org/officeDocument/2006/relationships/vmlDrawing" Target="../drawings/vmlDrawing11.vml"/><Relationship Id="rId3"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 Id="rId2" Type="http://schemas.openxmlformats.org/officeDocument/2006/relationships/vmlDrawing" Target="../drawings/vmlDrawing12.vml"/><Relationship Id="rId3"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 Id="rId2" Type="http://schemas.openxmlformats.org/officeDocument/2006/relationships/vmlDrawing" Target="../drawings/vmlDrawing13.vml"/><Relationship Id="rId3"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 enableFormatConditionsCalculation="0">
    <pageSetUpPr fitToPage="1"/>
  </sheetPr>
  <dimension ref="A1:M49"/>
  <sheetViews>
    <sheetView defaultGridColor="0" colorId="22" zoomScale="75" workbookViewId="0"/>
  </sheetViews>
  <sheetFormatPr baseColWidth="10" defaultColWidth="9.625" defaultRowHeight="16" x14ac:dyDescent="0"/>
  <cols>
    <col min="1" max="1" width="9.625" style="352"/>
    <col min="2" max="2" width="3.5" style="352" customWidth="1"/>
    <col min="3" max="16384" width="9.625" style="352"/>
  </cols>
  <sheetData>
    <row r="1" spans="1:13">
      <c r="B1" s="353" t="str">
        <f ca="1">CELL("filename",B1)</f>
        <v>NWCLM04072996:Users:eric.ward:Documents:NCEAS-covariation:data:salmon data:[2015 Coghill Lake Wild Sockeye forecast-FINAL.xlsm]Notes</v>
      </c>
    </row>
    <row r="3" spans="1:13">
      <c r="B3" s="125" t="s">
        <v>354</v>
      </c>
    </row>
    <row r="6" spans="1:13">
      <c r="B6" s="352" t="s">
        <v>0</v>
      </c>
    </row>
    <row r="8" spans="1:13">
      <c r="B8" s="352" t="s">
        <v>1</v>
      </c>
    </row>
    <row r="9" spans="1:13">
      <c r="B9" s="352" t="s">
        <v>2</v>
      </c>
    </row>
    <row r="11" spans="1:13" ht="17" thickBot="1">
      <c r="B11" s="125" t="s">
        <v>458</v>
      </c>
    </row>
    <row r="12" spans="1:13" ht="18" thickTop="1" thickBot="1">
      <c r="A12" s="470" t="s">
        <v>125</v>
      </c>
      <c r="B12" s="354">
        <v>1</v>
      </c>
      <c r="C12" s="352" t="s">
        <v>435</v>
      </c>
    </row>
    <row r="13" spans="1:13" ht="18" thickTop="1" thickBot="1">
      <c r="B13" s="354"/>
      <c r="C13" s="352" t="s">
        <v>383</v>
      </c>
    </row>
    <row r="14" spans="1:13" ht="18" thickTop="1" thickBot="1">
      <c r="A14" s="470" t="s">
        <v>125</v>
      </c>
      <c r="B14" s="354">
        <v>2</v>
      </c>
      <c r="C14" s="352" t="s">
        <v>363</v>
      </c>
    </row>
    <row r="15" spans="1:13" ht="18" thickTop="1" thickBot="1">
      <c r="B15" s="354"/>
      <c r="C15" s="352" t="s">
        <v>394</v>
      </c>
    </row>
    <row r="16" spans="1:13" ht="18" thickTop="1" thickBot="1">
      <c r="A16" s="470" t="s">
        <v>125</v>
      </c>
      <c r="B16" s="354">
        <v>3</v>
      </c>
      <c r="C16" s="352" t="s">
        <v>384</v>
      </c>
    </row>
    <row r="17" spans="1:3" ht="18" thickTop="1" thickBot="1">
      <c r="B17" s="354"/>
      <c r="C17" s="352" t="s">
        <v>403</v>
      </c>
    </row>
    <row r="18" spans="1:3" ht="18" thickTop="1" thickBot="1">
      <c r="A18" s="470" t="s">
        <v>125</v>
      </c>
      <c r="B18" s="354">
        <v>4</v>
      </c>
      <c r="C18" s="352" t="s">
        <v>408</v>
      </c>
    </row>
    <row r="19" spans="1:3" ht="18" thickTop="1" thickBot="1">
      <c r="B19" s="354"/>
      <c r="C19" s="352" t="s">
        <v>421</v>
      </c>
    </row>
    <row r="20" spans="1:3" ht="18" thickTop="1" thickBot="1">
      <c r="A20" s="470" t="s">
        <v>125</v>
      </c>
      <c r="B20" s="354">
        <v>5</v>
      </c>
      <c r="C20" s="352" t="s">
        <v>355</v>
      </c>
    </row>
    <row r="21" spans="1:3" ht="18" thickTop="1" thickBot="1">
      <c r="B21" s="354"/>
      <c r="C21" s="352" t="s">
        <v>356</v>
      </c>
    </row>
    <row r="22" spans="1:3" ht="18" thickTop="1" thickBot="1">
      <c r="A22" s="470" t="s">
        <v>125</v>
      </c>
      <c r="B22" s="354">
        <v>6</v>
      </c>
      <c r="C22" s="352" t="s">
        <v>460</v>
      </c>
    </row>
    <row r="23" spans="1:3" ht="18" thickTop="1" thickBot="1">
      <c r="C23" s="352" t="s">
        <v>357</v>
      </c>
    </row>
    <row r="24" spans="1:3" ht="18" thickTop="1" thickBot="1">
      <c r="A24" s="470" t="s">
        <v>125</v>
      </c>
      <c r="B24" s="354">
        <v>7</v>
      </c>
      <c r="C24" s="352" t="s">
        <v>366</v>
      </c>
    </row>
    <row r="25" spans="1:3" ht="17" thickTop="1">
      <c r="B25" s="354"/>
      <c r="C25" s="352" t="s">
        <v>407</v>
      </c>
    </row>
    <row r="26" spans="1:3">
      <c r="C26" s="352" t="s">
        <v>406</v>
      </c>
    </row>
    <row r="27" spans="1:3" ht="17" thickBot="1">
      <c r="A27" s="125" t="s">
        <v>385</v>
      </c>
      <c r="B27" s="354">
        <v>8</v>
      </c>
      <c r="C27" s="352" t="s">
        <v>395</v>
      </c>
    </row>
    <row r="28" spans="1:3" ht="18" thickTop="1" thickBot="1">
      <c r="A28" s="470"/>
      <c r="B28" s="354">
        <v>9</v>
      </c>
      <c r="C28" s="352" t="s">
        <v>387</v>
      </c>
    </row>
    <row r="29" spans="1:3" ht="17" thickTop="1">
      <c r="B29" s="354"/>
      <c r="C29" s="352" t="s">
        <v>386</v>
      </c>
    </row>
    <row r="30" spans="1:3" ht="17" thickBot="1">
      <c r="B30" s="354"/>
      <c r="C30" s="352" t="s">
        <v>360</v>
      </c>
    </row>
    <row r="31" spans="1:3" ht="18" thickTop="1" thickBot="1">
      <c r="A31" s="470"/>
      <c r="B31" s="354">
        <v>10</v>
      </c>
      <c r="C31" s="352" t="s">
        <v>361</v>
      </c>
    </row>
    <row r="32" spans="1:3" ht="18" thickTop="1" thickBot="1">
      <c r="A32" s="470"/>
      <c r="B32" s="354">
        <v>11</v>
      </c>
      <c r="C32" s="352" t="s">
        <v>362</v>
      </c>
    </row>
    <row r="33" spans="2:3" ht="17" thickTop="1">
      <c r="B33" s="354"/>
      <c r="C33" s="352" t="s">
        <v>422</v>
      </c>
    </row>
    <row r="34" spans="2:3">
      <c r="B34" s="354"/>
      <c r="C34" s="352" t="s">
        <v>411</v>
      </c>
    </row>
    <row r="35" spans="2:3">
      <c r="B35" s="354"/>
    </row>
    <row r="36" spans="2:3">
      <c r="B36" s="354"/>
    </row>
    <row r="37" spans="2:3">
      <c r="B37" s="354"/>
    </row>
    <row r="38" spans="2:3">
      <c r="B38" s="354"/>
    </row>
    <row r="39" spans="2:3">
      <c r="B39" s="354"/>
    </row>
    <row r="40" spans="2:3">
      <c r="B40" s="354"/>
    </row>
    <row r="41" spans="2:3">
      <c r="B41" s="354"/>
    </row>
    <row r="42" spans="2:3">
      <c r="B42" s="354"/>
    </row>
    <row r="43" spans="2:3">
      <c r="B43" s="354"/>
    </row>
    <row r="44" spans="2:3">
      <c r="B44" s="354"/>
    </row>
    <row r="45" spans="2:3">
      <c r="B45" s="354"/>
    </row>
    <row r="46" spans="2:3">
      <c r="B46" s="354"/>
    </row>
    <row r="47" spans="2:3">
      <c r="B47" s="354"/>
    </row>
    <row r="48" spans="2:3">
      <c r="B48" s="354"/>
    </row>
    <row r="49" spans="2:2">
      <c r="B49" s="354"/>
    </row>
  </sheetData>
  <phoneticPr fontId="11" type="noConversion"/>
  <pageMargins left="0.5" right="0.5" top="1" bottom="0.55000000000000004" header="0.5" footer="0.5"/>
  <pageSetup scale="88" orientation="portrait"/>
  <headerFooter alignWithMargins="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C35"/>
  <sheetViews>
    <sheetView workbookViewId="0"/>
  </sheetViews>
  <sheetFormatPr baseColWidth="10" defaultColWidth="8.625" defaultRowHeight="16" x14ac:dyDescent="0"/>
  <sheetData>
    <row r="1" spans="1:3">
      <c r="A1" s="519"/>
      <c r="B1" s="639" t="s">
        <v>77</v>
      </c>
      <c r="C1" s="639"/>
    </row>
    <row r="2" spans="1:3">
      <c r="A2" s="520"/>
      <c r="B2" s="640" t="s">
        <v>420</v>
      </c>
      <c r="C2" s="640"/>
    </row>
    <row r="3" spans="1:3">
      <c r="A3" s="521" t="s">
        <v>42</v>
      </c>
      <c r="B3" s="521" t="s">
        <v>55</v>
      </c>
      <c r="C3" s="522" t="s">
        <v>378</v>
      </c>
    </row>
    <row r="4" spans="1:3">
      <c r="A4" s="523">
        <v>1983</v>
      </c>
      <c r="B4" s="524"/>
      <c r="C4" s="525">
        <v>781</v>
      </c>
    </row>
    <row r="5" spans="1:3">
      <c r="A5" s="523">
        <v>1984</v>
      </c>
      <c r="B5" s="524"/>
      <c r="C5" s="525">
        <v>249</v>
      </c>
    </row>
    <row r="6" spans="1:3">
      <c r="A6" s="523">
        <v>1985</v>
      </c>
      <c r="B6" s="524"/>
      <c r="C6" s="525">
        <v>554</v>
      </c>
    </row>
    <row r="7" spans="1:3">
      <c r="A7" s="523">
        <v>1986</v>
      </c>
      <c r="B7" s="524"/>
      <c r="C7" s="525">
        <v>657</v>
      </c>
    </row>
    <row r="8" spans="1:3">
      <c r="A8" s="523">
        <v>1987</v>
      </c>
      <c r="B8" s="524"/>
      <c r="C8" s="525">
        <v>417</v>
      </c>
    </row>
    <row r="9" spans="1:3">
      <c r="A9" s="523">
        <v>1988</v>
      </c>
      <c r="B9" s="524"/>
      <c r="C9" s="525">
        <v>146</v>
      </c>
    </row>
    <row r="10" spans="1:3">
      <c r="A10" s="523">
        <v>1989</v>
      </c>
      <c r="B10" s="524"/>
      <c r="C10" s="525">
        <v>344</v>
      </c>
    </row>
    <row r="11" spans="1:3">
      <c r="A11" s="523">
        <v>1990</v>
      </c>
      <c r="B11" s="525">
        <v>165</v>
      </c>
      <c r="C11" s="525">
        <v>49</v>
      </c>
    </row>
    <row r="12" spans="1:3">
      <c r="A12" s="523">
        <v>1991</v>
      </c>
      <c r="B12" s="525">
        <v>9</v>
      </c>
      <c r="C12" s="525">
        <v>0</v>
      </c>
    </row>
    <row r="13" spans="1:3">
      <c r="A13" s="523">
        <v>1992</v>
      </c>
      <c r="B13" s="525">
        <v>66</v>
      </c>
      <c r="C13" s="525">
        <v>0</v>
      </c>
    </row>
    <row r="14" spans="1:3">
      <c r="A14" s="523">
        <v>1993</v>
      </c>
      <c r="B14" s="525">
        <v>114</v>
      </c>
      <c r="C14" s="525">
        <v>79</v>
      </c>
    </row>
    <row r="15" spans="1:3">
      <c r="A15" s="526">
        <v>1994</v>
      </c>
      <c r="B15" s="525">
        <v>19</v>
      </c>
      <c r="C15" s="525">
        <v>19</v>
      </c>
    </row>
    <row r="16" spans="1:3">
      <c r="A16" s="526">
        <v>1995</v>
      </c>
      <c r="B16" s="525">
        <v>606</v>
      </c>
      <c r="C16" s="525">
        <v>62</v>
      </c>
    </row>
    <row r="17" spans="1:3">
      <c r="A17" s="526">
        <v>1996</v>
      </c>
      <c r="B17" s="525">
        <v>1411</v>
      </c>
      <c r="C17" s="525">
        <v>631</v>
      </c>
    </row>
    <row r="18" spans="1:3">
      <c r="A18" s="526">
        <v>1997</v>
      </c>
      <c r="B18" s="525">
        <v>1731</v>
      </c>
      <c r="C18" s="525">
        <v>788</v>
      </c>
    </row>
    <row r="19" spans="1:3">
      <c r="A19" s="526">
        <v>1998</v>
      </c>
      <c r="B19" s="525">
        <v>1518</v>
      </c>
      <c r="C19" s="525">
        <v>349</v>
      </c>
    </row>
    <row r="20" spans="1:3">
      <c r="A20" s="526">
        <v>1999</v>
      </c>
      <c r="B20" s="525">
        <v>1739</v>
      </c>
      <c r="C20" s="525">
        <v>752</v>
      </c>
    </row>
    <row r="21" spans="1:3">
      <c r="A21" s="526">
        <v>2000</v>
      </c>
      <c r="B21" s="525">
        <v>131</v>
      </c>
      <c r="C21" s="525">
        <v>106</v>
      </c>
    </row>
    <row r="22" spans="1:3">
      <c r="A22" s="526">
        <v>2001</v>
      </c>
      <c r="B22" s="525">
        <v>97</v>
      </c>
      <c r="C22" s="525">
        <v>77</v>
      </c>
    </row>
    <row r="23" spans="1:3">
      <c r="A23" s="526">
        <v>2002</v>
      </c>
      <c r="B23" s="525">
        <v>392</v>
      </c>
      <c r="C23" s="525">
        <v>297</v>
      </c>
    </row>
    <row r="24" spans="1:3">
      <c r="A24" s="526">
        <v>2003</v>
      </c>
      <c r="B24" s="525">
        <v>1761</v>
      </c>
      <c r="C24" s="525">
        <v>625</v>
      </c>
    </row>
    <row r="25" spans="1:3">
      <c r="A25" s="526">
        <v>2004</v>
      </c>
      <c r="B25" s="525">
        <v>54</v>
      </c>
      <c r="C25" s="525">
        <v>0</v>
      </c>
    </row>
    <row r="26" spans="1:3">
      <c r="A26" s="526">
        <v>2005</v>
      </c>
      <c r="B26" s="525">
        <v>0</v>
      </c>
      <c r="C26" s="525">
        <v>0</v>
      </c>
    </row>
    <row r="27" spans="1:3">
      <c r="A27" s="526">
        <v>2006</v>
      </c>
      <c r="B27" s="525">
        <v>99</v>
      </c>
      <c r="C27" s="525">
        <v>99</v>
      </c>
    </row>
    <row r="28" spans="1:3">
      <c r="A28" s="526">
        <v>2007</v>
      </c>
      <c r="B28" s="525">
        <v>683</v>
      </c>
      <c r="C28" s="525">
        <v>639</v>
      </c>
    </row>
    <row r="29" spans="1:3">
      <c r="A29" s="526">
        <v>2008</v>
      </c>
      <c r="B29" s="527">
        <v>241</v>
      </c>
      <c r="C29" s="527">
        <v>241</v>
      </c>
    </row>
    <row r="30" spans="1:3">
      <c r="A30" s="526">
        <v>2009</v>
      </c>
      <c r="B30" s="525">
        <v>17</v>
      </c>
      <c r="C30" s="525">
        <v>17</v>
      </c>
    </row>
    <row r="31" spans="1:3">
      <c r="A31" s="526">
        <v>2010</v>
      </c>
      <c r="B31" s="525">
        <v>0</v>
      </c>
      <c r="C31" s="525">
        <v>0</v>
      </c>
    </row>
    <row r="32" spans="1:3">
      <c r="A32" s="526">
        <v>2011</v>
      </c>
      <c r="B32" s="525">
        <v>210</v>
      </c>
      <c r="C32">
        <f>116+94</f>
        <v>210</v>
      </c>
    </row>
    <row r="33" spans="1:3">
      <c r="A33" s="526">
        <v>2012</v>
      </c>
      <c r="B33" s="525">
        <v>0</v>
      </c>
      <c r="C33" s="525">
        <v>0</v>
      </c>
    </row>
    <row r="34" spans="1:3">
      <c r="A34" s="526">
        <v>2013</v>
      </c>
      <c r="B34" s="525">
        <v>0</v>
      </c>
      <c r="C34" s="525">
        <v>0</v>
      </c>
    </row>
    <row r="35" spans="1:3">
      <c r="A35" s="526">
        <v>2014</v>
      </c>
    </row>
  </sheetData>
  <mergeCells count="2">
    <mergeCell ref="B1:C1"/>
    <mergeCell ref="B2:C2"/>
  </mergeCells>
  <pageMargins left="0.7" right="0.7" top="0.75" bottom="0.75" header="0.3" footer="0.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4" enableFormatConditionsCalculation="0"/>
  <dimension ref="A1:HJ141"/>
  <sheetViews>
    <sheetView tabSelected="1" defaultGridColor="0" colorId="22" zoomScale="75" workbookViewId="0">
      <pane xSplit="2" ySplit="10" topLeftCell="AH11" activePane="bottomRight" state="frozen"/>
      <selection pane="topRight" activeCell="C1" sqref="C1"/>
      <selection pane="bottomLeft" activeCell="A11" sqref="A11"/>
      <selection pane="bottomRight" activeCell="A11" sqref="A11"/>
    </sheetView>
  </sheetViews>
  <sheetFormatPr baseColWidth="10" defaultColWidth="9.625" defaultRowHeight="15" x14ac:dyDescent="0"/>
  <cols>
    <col min="1" max="1" width="28.25" style="124" customWidth="1"/>
    <col min="2" max="2" width="10.625" style="124" customWidth="1"/>
    <col min="3" max="4" width="7.625" style="124" customWidth="1"/>
    <col min="5" max="5" width="7.25" style="124" customWidth="1"/>
    <col min="6" max="6" width="9.875" style="124" customWidth="1"/>
    <col min="7" max="7" width="7.625" style="124" customWidth="1"/>
    <col min="8" max="8" width="9.25" style="124" customWidth="1"/>
    <col min="9" max="9" width="10.625" style="124" customWidth="1"/>
    <col min="10" max="10" width="7.25" style="124" customWidth="1"/>
    <col min="11" max="11" width="9.875" style="124" customWidth="1"/>
    <col min="12" max="12" width="7.75" style="124" customWidth="1"/>
    <col min="13" max="13" width="9.125" style="124" customWidth="1"/>
    <col min="14" max="14" width="9.375" style="124" customWidth="1"/>
    <col min="15" max="15" width="9.625" style="124" customWidth="1"/>
    <col min="16" max="16" width="6.875" style="124" customWidth="1"/>
    <col min="17" max="17" width="12.125" style="124" customWidth="1"/>
    <col min="18" max="18" width="8.125" style="124" customWidth="1"/>
    <col min="19" max="19" width="8.875" style="124" customWidth="1"/>
    <col min="20" max="20" width="7.875" style="124" customWidth="1"/>
    <col min="21" max="22" width="9.25" style="124" customWidth="1"/>
    <col min="23" max="23" width="9.75" style="124" customWidth="1"/>
    <col min="24" max="24" width="8.25" style="124" customWidth="1"/>
    <col min="25" max="25" width="9.125" style="124" customWidth="1"/>
    <col min="26" max="27" width="8.875" style="124" customWidth="1"/>
    <col min="28" max="28" width="7.75" style="124" customWidth="1"/>
    <col min="29" max="29" width="8.5" style="124" customWidth="1"/>
    <col min="30" max="30" width="7.625" style="124" customWidth="1"/>
    <col min="31" max="31" width="9.125" style="124" customWidth="1"/>
    <col min="32" max="32" width="8.875" style="124" customWidth="1"/>
    <col min="33" max="33" width="8.375" style="124" customWidth="1"/>
    <col min="34" max="34" width="10.25" style="124" customWidth="1"/>
    <col min="35" max="35" width="11.75" style="124" customWidth="1"/>
    <col min="36" max="36" width="9.625" style="124"/>
    <col min="37" max="37" width="12.625" style="124" customWidth="1"/>
    <col min="38" max="40" width="11.75" style="124" customWidth="1"/>
    <col min="41" max="42" width="9.625" style="124"/>
    <col min="43" max="43" width="11.5" style="124" customWidth="1"/>
    <col min="44" max="16384" width="9.625" style="124"/>
  </cols>
  <sheetData>
    <row r="1" spans="1:218">
      <c r="A1" s="213" t="str">
        <f ca="1">CELL("filename",A1)</f>
        <v>NWCLM04072996:Users:eric.ward:Documents:NCEAS-covariation:data:salmon data:[2015 Coghill Lake Wild Sockeye forecast-FINAL.xlsm]BroodTab</v>
      </c>
    </row>
    <row r="3" spans="1:218">
      <c r="B3" s="124" t="s">
        <v>344</v>
      </c>
    </row>
    <row r="5" spans="1:218">
      <c r="B5" s="124" t="s">
        <v>343</v>
      </c>
    </row>
    <row r="6" spans="1:218">
      <c r="B6" s="124" t="s">
        <v>32</v>
      </c>
    </row>
    <row r="7" spans="1:218">
      <c r="B7" s="124" t="s">
        <v>33</v>
      </c>
      <c r="AH7" s="124" t="s">
        <v>34</v>
      </c>
    </row>
    <row r="8" spans="1:218">
      <c r="F8" s="148"/>
      <c r="L8" s="148"/>
      <c r="R8" s="148"/>
      <c r="X8" s="148"/>
      <c r="AD8" s="148"/>
      <c r="AI8" s="225" t="s">
        <v>35</v>
      </c>
      <c r="AK8" s="126" t="s">
        <v>36</v>
      </c>
      <c r="AL8" s="124" t="s">
        <v>36</v>
      </c>
      <c r="AM8" s="124" t="s">
        <v>36</v>
      </c>
    </row>
    <row r="9" spans="1:218">
      <c r="A9" s="226" t="s">
        <v>37</v>
      </c>
      <c r="B9" s="227" t="s">
        <v>38</v>
      </c>
      <c r="C9" s="228" t="s">
        <v>39</v>
      </c>
      <c r="D9" s="229" t="s">
        <v>40</v>
      </c>
      <c r="E9" s="230"/>
      <c r="F9" s="230"/>
      <c r="G9" s="231" t="s">
        <v>345</v>
      </c>
      <c r="H9" s="230"/>
      <c r="I9" s="232"/>
      <c r="J9" s="229" t="s">
        <v>40</v>
      </c>
      <c r="K9" s="233"/>
      <c r="L9" s="230"/>
      <c r="M9" s="231" t="s">
        <v>346</v>
      </c>
      <c r="N9" s="230"/>
      <c r="O9" s="232"/>
      <c r="P9" s="229" t="s">
        <v>40</v>
      </c>
      <c r="Q9" s="230"/>
      <c r="R9" s="230"/>
      <c r="S9" s="231" t="s">
        <v>347</v>
      </c>
      <c r="T9" s="230"/>
      <c r="U9" s="232"/>
      <c r="V9" s="239" t="s">
        <v>40</v>
      </c>
      <c r="W9" s="233"/>
      <c r="X9" s="230"/>
      <c r="Y9" s="231" t="s">
        <v>348</v>
      </c>
      <c r="Z9" s="230"/>
      <c r="AA9" s="232"/>
      <c r="AB9" s="234" t="s">
        <v>40</v>
      </c>
      <c r="AC9" s="233"/>
      <c r="AD9" s="230"/>
      <c r="AE9" s="231" t="s">
        <v>349</v>
      </c>
      <c r="AF9" s="230"/>
      <c r="AG9" s="232"/>
      <c r="AH9" s="126" t="s">
        <v>41</v>
      </c>
      <c r="AI9" s="188" t="s">
        <v>28</v>
      </c>
      <c r="AK9" s="126" t="s">
        <v>404</v>
      </c>
      <c r="AL9" s="124" t="s">
        <v>405</v>
      </c>
      <c r="AM9" s="124" t="s">
        <v>480</v>
      </c>
    </row>
    <row r="10" spans="1:218">
      <c r="A10" s="235" t="s">
        <v>42</v>
      </c>
      <c r="B10" s="236" t="s">
        <v>43</v>
      </c>
      <c r="C10" s="237" t="s">
        <v>43</v>
      </c>
      <c r="D10" s="238" t="s">
        <v>42</v>
      </c>
      <c r="E10" s="239" t="s">
        <v>44</v>
      </c>
      <c r="F10" s="239" t="s">
        <v>45</v>
      </c>
      <c r="G10" s="240" t="s">
        <v>367</v>
      </c>
      <c r="H10" s="239" t="s">
        <v>46</v>
      </c>
      <c r="I10" s="241" t="s">
        <v>368</v>
      </c>
      <c r="J10" s="238" t="s">
        <v>42</v>
      </c>
      <c r="K10" s="239" t="s">
        <v>44</v>
      </c>
      <c r="L10" s="239" t="s">
        <v>45</v>
      </c>
      <c r="M10" s="240" t="s">
        <v>367</v>
      </c>
      <c r="N10" s="239" t="s">
        <v>46</v>
      </c>
      <c r="O10" s="241" t="s">
        <v>368</v>
      </c>
      <c r="P10" s="238" t="s">
        <v>42</v>
      </c>
      <c r="Q10" s="239" t="s">
        <v>44</v>
      </c>
      <c r="R10" s="239" t="s">
        <v>45</v>
      </c>
      <c r="S10" s="240" t="s">
        <v>367</v>
      </c>
      <c r="T10" s="239" t="s">
        <v>46</v>
      </c>
      <c r="U10" s="241" t="s">
        <v>368</v>
      </c>
      <c r="V10" s="239" t="s">
        <v>42</v>
      </c>
      <c r="W10" s="239" t="s">
        <v>44</v>
      </c>
      <c r="X10" s="239" t="s">
        <v>45</v>
      </c>
      <c r="Y10" s="240" t="s">
        <v>367</v>
      </c>
      <c r="Z10" s="239" t="s">
        <v>46</v>
      </c>
      <c r="AA10" s="241" t="s">
        <v>368</v>
      </c>
      <c r="AB10" s="242" t="s">
        <v>42</v>
      </c>
      <c r="AC10" s="239" t="s">
        <v>44</v>
      </c>
      <c r="AD10" s="239" t="s">
        <v>45</v>
      </c>
      <c r="AE10" s="240" t="s">
        <v>367</v>
      </c>
      <c r="AF10" s="239" t="s">
        <v>46</v>
      </c>
      <c r="AG10" s="241" t="s">
        <v>368</v>
      </c>
      <c r="AH10" s="126" t="s">
        <v>42</v>
      </c>
      <c r="AI10" s="243" t="s">
        <v>40</v>
      </c>
      <c r="AJ10" s="124" t="s">
        <v>36</v>
      </c>
      <c r="AK10" s="126" t="s">
        <v>28</v>
      </c>
      <c r="AL10" s="124" t="s">
        <v>28</v>
      </c>
      <c r="AM10" s="124" t="s">
        <v>378</v>
      </c>
      <c r="AN10" s="126" t="s">
        <v>479</v>
      </c>
    </row>
    <row r="11" spans="1:218">
      <c r="A11" s="244">
        <v>1</v>
      </c>
      <c r="B11" s="245">
        <v>2</v>
      </c>
      <c r="C11" s="244">
        <v>3</v>
      </c>
      <c r="D11" s="245">
        <v>4</v>
      </c>
      <c r="E11" s="244">
        <v>5</v>
      </c>
      <c r="F11" s="245">
        <v>6</v>
      </c>
      <c r="G11" s="244">
        <v>7</v>
      </c>
      <c r="H11" s="245">
        <v>8</v>
      </c>
      <c r="I11" s="244">
        <v>9</v>
      </c>
      <c r="J11" s="245">
        <v>10</v>
      </c>
      <c r="K11" s="244">
        <v>11</v>
      </c>
      <c r="L11" s="245">
        <v>12</v>
      </c>
      <c r="M11" s="244">
        <v>13</v>
      </c>
      <c r="N11" s="245">
        <v>14</v>
      </c>
      <c r="O11" s="244">
        <v>15</v>
      </c>
      <c r="P11" s="245">
        <v>16</v>
      </c>
      <c r="Q11" s="244">
        <v>17</v>
      </c>
      <c r="R11" s="245">
        <v>18</v>
      </c>
      <c r="S11" s="244">
        <v>19</v>
      </c>
      <c r="T11" s="245">
        <v>20</v>
      </c>
      <c r="U11" s="244">
        <v>21</v>
      </c>
      <c r="V11" s="245">
        <v>22</v>
      </c>
      <c r="W11" s="244">
        <v>23</v>
      </c>
      <c r="X11" s="245">
        <v>24</v>
      </c>
      <c r="Y11" s="244">
        <v>25</v>
      </c>
      <c r="Z11" s="245">
        <v>26</v>
      </c>
      <c r="AA11" s="244">
        <v>27</v>
      </c>
      <c r="AB11" s="245">
        <v>28</v>
      </c>
      <c r="AC11" s="244">
        <v>29</v>
      </c>
      <c r="AD11" s="245">
        <v>30</v>
      </c>
      <c r="AE11" s="244">
        <v>31</v>
      </c>
      <c r="AF11" s="245">
        <v>32</v>
      </c>
      <c r="AG11" s="244">
        <v>33</v>
      </c>
      <c r="AH11" s="245">
        <v>34</v>
      </c>
      <c r="AI11" s="244">
        <v>35</v>
      </c>
      <c r="AJ11" s="245">
        <v>36</v>
      </c>
      <c r="AK11" s="244">
        <v>37</v>
      </c>
      <c r="AL11" s="471"/>
      <c r="AM11" s="471"/>
      <c r="AN11" s="471"/>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213"/>
      <c r="DW11" s="213"/>
      <c r="DX11" s="213"/>
      <c r="DY11" s="213"/>
      <c r="DZ11" s="213"/>
      <c r="EA11" s="213"/>
      <c r="EB11" s="213"/>
      <c r="EC11" s="213"/>
      <c r="ED11" s="213"/>
      <c r="EE11" s="213"/>
      <c r="EF11" s="213"/>
      <c r="EG11" s="213"/>
      <c r="EH11" s="213"/>
      <c r="EI11" s="213"/>
      <c r="EJ11" s="213"/>
      <c r="EK11" s="213"/>
      <c r="EL11" s="213"/>
      <c r="EM11" s="213"/>
      <c r="EN11" s="213"/>
      <c r="EO11" s="213"/>
      <c r="EP11" s="213"/>
      <c r="EQ11" s="213"/>
      <c r="ER11" s="213"/>
      <c r="ES11" s="213"/>
      <c r="ET11" s="213"/>
      <c r="EU11" s="213"/>
      <c r="EV11" s="213"/>
      <c r="EW11" s="213"/>
      <c r="EX11" s="213"/>
      <c r="EY11" s="213"/>
      <c r="EZ11" s="213"/>
      <c r="FA11" s="213"/>
      <c r="FB11" s="213"/>
      <c r="FC11" s="213"/>
      <c r="FD11" s="213"/>
      <c r="FE11" s="213"/>
      <c r="FF11" s="213"/>
      <c r="FG11" s="213"/>
      <c r="FH11" s="213"/>
      <c r="FI11" s="213"/>
      <c r="FJ11" s="213"/>
      <c r="FK11" s="213"/>
      <c r="FL11" s="213"/>
      <c r="FM11" s="213"/>
      <c r="FN11" s="213"/>
      <c r="FO11" s="213"/>
      <c r="FP11" s="213"/>
      <c r="FQ11" s="213"/>
      <c r="FR11" s="213"/>
      <c r="FS11" s="213"/>
      <c r="FT11" s="213"/>
      <c r="FU11" s="213"/>
      <c r="FV11" s="213"/>
      <c r="FW11" s="213"/>
      <c r="FX11" s="213"/>
      <c r="FY11" s="213"/>
      <c r="FZ11" s="213"/>
      <c r="GA11" s="213"/>
      <c r="GB11" s="213"/>
      <c r="GC11" s="213"/>
      <c r="GD11" s="213"/>
      <c r="GE11" s="213"/>
      <c r="GF11" s="213"/>
      <c r="GG11" s="213"/>
      <c r="GH11" s="213"/>
      <c r="GI11" s="213"/>
      <c r="GJ11" s="213"/>
      <c r="GK11" s="213"/>
      <c r="GL11" s="213"/>
      <c r="GM11" s="213"/>
      <c r="GN11" s="213"/>
      <c r="GO11" s="213"/>
      <c r="GP11" s="213"/>
      <c r="GQ11" s="213"/>
      <c r="GR11" s="213"/>
      <c r="GS11" s="213"/>
      <c r="GT11" s="213"/>
      <c r="GU11" s="213"/>
      <c r="GV11" s="213"/>
      <c r="GW11" s="213"/>
      <c r="GX11" s="213"/>
      <c r="GY11" s="213"/>
      <c r="GZ11" s="213"/>
      <c r="HA11" s="213"/>
      <c r="HB11" s="213"/>
      <c r="HC11" s="213"/>
      <c r="HD11" s="213"/>
      <c r="HE11" s="213"/>
      <c r="HF11" s="213"/>
      <c r="HG11" s="213"/>
      <c r="HH11" s="213"/>
      <c r="HI11" s="213"/>
      <c r="HJ11" s="213"/>
    </row>
    <row r="12" spans="1:218">
      <c r="A12" s="246">
        <v>1962</v>
      </c>
      <c r="B12" s="623">
        <v>26866</v>
      </c>
      <c r="C12" s="616">
        <f t="shared" ref="C12:C43" si="0">LN(B12)</f>
        <v>10.198616825622958</v>
      </c>
      <c r="D12" s="247">
        <f t="shared" ref="D12:D61" si="1">A12+3</f>
        <v>1965</v>
      </c>
      <c r="E12" s="164">
        <v>2</v>
      </c>
      <c r="F12" s="616">
        <f>LN(E12)</f>
        <v>0.69314718055994529</v>
      </c>
      <c r="G12" s="616">
        <f t="shared" ref="G12:G39" si="2">F12^2</f>
        <v>0.48045301391820139</v>
      </c>
      <c r="H12" s="613">
        <f t="shared" ref="H12:H39" si="3">LN(E12/$B12)</f>
        <v>-9.5054696450630125</v>
      </c>
      <c r="I12" s="218">
        <f t="shared" ref="I12:I39" si="4">H12^2</f>
        <v>90.35395317321435</v>
      </c>
      <c r="J12" s="247">
        <f t="shared" ref="J12:J60" si="5">A12+4</f>
        <v>1966</v>
      </c>
      <c r="K12" s="215">
        <v>17815</v>
      </c>
      <c r="L12" s="616">
        <f t="shared" ref="L12:L38" si="6">LN(K12)</f>
        <v>9.7877960780399356</v>
      </c>
      <c r="M12" s="616">
        <f t="shared" ref="M12:M38" si="7">L12^2</f>
        <v>95.800952065293941</v>
      </c>
      <c r="N12" s="616">
        <f t="shared" ref="N12:N38" si="8">LN(K12/$B12)</f>
        <v>-0.41082074758302212</v>
      </c>
      <c r="O12" s="616">
        <f t="shared" ref="O12:O38" si="9">N12^2</f>
        <v>0.16877368664467318</v>
      </c>
      <c r="P12" s="247">
        <f t="shared" ref="P12:P59" si="10">A12+5</f>
        <v>1967</v>
      </c>
      <c r="Q12" s="215">
        <v>34021</v>
      </c>
      <c r="R12" s="616">
        <f t="shared" ref="R12:R37" si="11">LN(Q12)</f>
        <v>10.434733259991683</v>
      </c>
      <c r="S12" s="616">
        <f t="shared" ref="S12:S37" si="12">R12^2</f>
        <v>108.88365820717665</v>
      </c>
      <c r="T12" s="616">
        <f>LN(Q12/$B12)</f>
        <v>0.23611643436872409</v>
      </c>
      <c r="U12" s="616">
        <f t="shared" ref="U12:U37" si="13">T12^2</f>
        <v>5.5750970578999991E-2</v>
      </c>
      <c r="V12" s="350">
        <f>A12+5</f>
        <v>1967</v>
      </c>
      <c r="W12" s="215">
        <v>2195</v>
      </c>
      <c r="X12" s="616">
        <f t="shared" ref="X12:X37" si="14">LN(W12)</f>
        <v>7.693937325509272</v>
      </c>
      <c r="Y12" s="616">
        <f t="shared" ref="Y12:Y37" si="15">X12^2</f>
        <v>59.196671568864772</v>
      </c>
      <c r="Z12" s="616">
        <f t="shared" ref="Z12:Z37" si="16">LN(W12/$B12)</f>
        <v>-2.5046795001136868</v>
      </c>
      <c r="AA12" s="616">
        <f t="shared" ref="AA12:AA37" si="17">Z12^2</f>
        <v>6.2734193982897475</v>
      </c>
      <c r="AB12" s="247">
        <f t="shared" ref="AB12:AB58" si="18">A12+6</f>
        <v>1968</v>
      </c>
      <c r="AC12" s="215">
        <v>489</v>
      </c>
      <c r="AD12" s="616">
        <f t="shared" ref="AD12:AD36" si="19">LN(AC12)</f>
        <v>6.1923624894748723</v>
      </c>
      <c r="AE12" s="616">
        <f t="shared" ref="AE12:AE36" si="20">AD12^2</f>
        <v>38.345353201055438</v>
      </c>
      <c r="AF12" s="616">
        <f t="shared" ref="AF12:AF36" si="21">LN(AC12/$B12)</f>
        <v>-4.0062543361480865</v>
      </c>
      <c r="AG12" s="617">
        <f t="shared" ref="AG12:AG36" si="22">AF12^2</f>
        <v>16.050073805905345</v>
      </c>
      <c r="AH12" s="622">
        <f>A12</f>
        <v>1962</v>
      </c>
      <c r="AI12" s="259">
        <f t="shared" ref="AI12:AI50" si="23">AC12+W12+Q12+K12+E12</f>
        <v>54522</v>
      </c>
      <c r="AL12" s="472"/>
      <c r="AM12" s="472"/>
      <c r="AN12" s="217">
        <f t="shared" ref="AN12:AN59" si="24">AI12-B12</f>
        <v>27656</v>
      </c>
    </row>
    <row r="13" spans="1:218">
      <c r="A13" s="246">
        <v>1963</v>
      </c>
      <c r="B13" s="623">
        <v>1</v>
      </c>
      <c r="C13" s="616">
        <f t="shared" si="0"/>
        <v>0</v>
      </c>
      <c r="D13" s="247">
        <f t="shared" si="1"/>
        <v>1966</v>
      </c>
      <c r="E13" s="164">
        <v>159</v>
      </c>
      <c r="F13" s="616">
        <f>LN(E13)</f>
        <v>5.0689042022202315</v>
      </c>
      <c r="G13" s="616">
        <f t="shared" si="2"/>
        <v>25.693789811285921</v>
      </c>
      <c r="H13" s="613">
        <f t="shared" si="3"/>
        <v>5.0689042022202315</v>
      </c>
      <c r="I13" s="218">
        <f t="shared" si="4"/>
        <v>25.693789811285921</v>
      </c>
      <c r="J13" s="247">
        <f t="shared" si="5"/>
        <v>1967</v>
      </c>
      <c r="K13" s="215">
        <v>4391</v>
      </c>
      <c r="L13" s="616">
        <f t="shared" si="6"/>
        <v>8.3873122705617167</v>
      </c>
      <c r="M13" s="616">
        <f t="shared" si="7"/>
        <v>70.347007123915134</v>
      </c>
      <c r="N13" s="616">
        <f t="shared" si="8"/>
        <v>8.3873122705617167</v>
      </c>
      <c r="O13" s="616">
        <f t="shared" si="9"/>
        <v>70.347007123915134</v>
      </c>
      <c r="P13" s="247">
        <f t="shared" si="10"/>
        <v>1968</v>
      </c>
      <c r="Q13" s="215">
        <v>53756</v>
      </c>
      <c r="R13" s="616">
        <f t="shared" si="11"/>
        <v>10.892210567666956</v>
      </c>
      <c r="S13" s="616">
        <f t="shared" si="12"/>
        <v>118.6402510503957</v>
      </c>
      <c r="T13" s="616">
        <f>LN(Q13/$B13)</f>
        <v>10.892210567666956</v>
      </c>
      <c r="U13" s="616">
        <f t="shared" si="13"/>
        <v>118.6402510503957</v>
      </c>
      <c r="V13" s="350">
        <f t="shared" ref="V13:V59" si="25">A13+5</f>
        <v>1968</v>
      </c>
      <c r="W13" s="215">
        <v>318</v>
      </c>
      <c r="X13" s="616">
        <f t="shared" si="14"/>
        <v>5.7620513827801769</v>
      </c>
      <c r="Y13" s="616">
        <f t="shared" si="15"/>
        <v>33.201236137798951</v>
      </c>
      <c r="Z13" s="616">
        <f t="shared" si="16"/>
        <v>5.7620513827801769</v>
      </c>
      <c r="AA13" s="616">
        <f t="shared" si="17"/>
        <v>33.201236137798951</v>
      </c>
      <c r="AB13" s="247">
        <f t="shared" si="18"/>
        <v>1969</v>
      </c>
      <c r="AC13" s="215">
        <v>5325</v>
      </c>
      <c r="AD13" s="616">
        <f t="shared" si="19"/>
        <v>8.5801679905776265</v>
      </c>
      <c r="AE13" s="616">
        <f t="shared" si="20"/>
        <v>73.619282746532903</v>
      </c>
      <c r="AF13" s="616">
        <f t="shared" si="21"/>
        <v>8.5801679905776265</v>
      </c>
      <c r="AG13" s="617">
        <f t="shared" si="22"/>
        <v>73.619282746532903</v>
      </c>
      <c r="AH13" s="622">
        <f t="shared" ref="AH13:AH61" si="26">A13</f>
        <v>1963</v>
      </c>
      <c r="AI13" s="259">
        <f>AC13+W13+Q13+K13+E13</f>
        <v>63949</v>
      </c>
      <c r="AL13" s="472"/>
      <c r="AM13" s="472"/>
      <c r="AN13" s="217">
        <f t="shared" si="24"/>
        <v>63948</v>
      </c>
      <c r="AO13" s="124" t="s">
        <v>60</v>
      </c>
      <c r="AP13" s="308" t="s">
        <v>475</v>
      </c>
      <c r="AQ13" s="124" t="s">
        <v>476</v>
      </c>
    </row>
    <row r="14" spans="1:218">
      <c r="A14" s="246">
        <v>1964</v>
      </c>
      <c r="B14" s="623">
        <v>22200</v>
      </c>
      <c r="C14" s="616">
        <f t="shared" si="0"/>
        <v>10.00784756786037</v>
      </c>
      <c r="D14" s="247">
        <f t="shared" si="1"/>
        <v>1967</v>
      </c>
      <c r="E14" s="164">
        <v>2</v>
      </c>
      <c r="F14" s="616">
        <f>LN(E14)</f>
        <v>0.69314718055994529</v>
      </c>
      <c r="G14" s="616">
        <f t="shared" si="2"/>
        <v>0.48045301391820139</v>
      </c>
      <c r="H14" s="613">
        <f t="shared" si="3"/>
        <v>-9.3147003873004248</v>
      </c>
      <c r="I14" s="218">
        <f t="shared" si="4"/>
        <v>86.763643305174682</v>
      </c>
      <c r="J14" s="247">
        <f t="shared" si="5"/>
        <v>1968</v>
      </c>
      <c r="K14" s="215">
        <v>32538</v>
      </c>
      <c r="L14" s="616">
        <f t="shared" si="6"/>
        <v>10.390163916069115</v>
      </c>
      <c r="M14" s="616">
        <f t="shared" si="7"/>
        <v>107.95550620278469</v>
      </c>
      <c r="N14" s="616">
        <f t="shared" si="8"/>
        <v>0.38231634820874483</v>
      </c>
      <c r="O14" s="616">
        <f t="shared" si="9"/>
        <v>0.14616579010767022</v>
      </c>
      <c r="P14" s="247">
        <f t="shared" si="10"/>
        <v>1969</v>
      </c>
      <c r="Q14" s="215">
        <v>124343</v>
      </c>
      <c r="R14" s="616">
        <f t="shared" si="11"/>
        <v>11.730799154924901</v>
      </c>
      <c r="S14" s="616">
        <f t="shared" si="12"/>
        <v>137.61164881318678</v>
      </c>
      <c r="T14" s="616">
        <f t="shared" ref="T14:T37" si="27">LN(Q14/$B14)</f>
        <v>1.72295158706453</v>
      </c>
      <c r="U14" s="616">
        <f t="shared" si="13"/>
        <v>2.9685621713681827</v>
      </c>
      <c r="V14" s="350">
        <f t="shared" si="25"/>
        <v>1969</v>
      </c>
      <c r="W14" s="215">
        <v>4154</v>
      </c>
      <c r="X14" s="616">
        <f t="shared" si="14"/>
        <v>8.3318270044360574</v>
      </c>
      <c r="Y14" s="616">
        <f t="shared" si="15"/>
        <v>69.419341231849927</v>
      </c>
      <c r="Z14" s="616">
        <f t="shared" si="16"/>
        <v>-1.6760205634243133</v>
      </c>
      <c r="AA14" s="616">
        <f t="shared" si="17"/>
        <v>2.8090449290211525</v>
      </c>
      <c r="AB14" s="247">
        <f t="shared" si="18"/>
        <v>1970</v>
      </c>
      <c r="AC14" s="215">
        <v>2095</v>
      </c>
      <c r="AD14" s="616">
        <f t="shared" si="19"/>
        <v>7.6473088323562379</v>
      </c>
      <c r="AE14" s="616">
        <f t="shared" si="20"/>
        <v>58.481332377433731</v>
      </c>
      <c r="AF14" s="616">
        <f t="shared" si="21"/>
        <v>-2.3605387355041327</v>
      </c>
      <c r="AG14" s="617">
        <f t="shared" si="22"/>
        <v>5.5721431218154498</v>
      </c>
      <c r="AH14" s="622">
        <f t="shared" si="26"/>
        <v>1964</v>
      </c>
      <c r="AI14" s="259">
        <f t="shared" si="23"/>
        <v>163132</v>
      </c>
      <c r="AJ14" s="213">
        <v>1968</v>
      </c>
      <c r="AK14" s="217">
        <f t="shared" ref="AK14:AK59" si="28">E15+K14+Q13+W13+AC12</f>
        <v>87325</v>
      </c>
      <c r="AL14" s="472"/>
      <c r="AM14" s="472">
        <v>75525</v>
      </c>
      <c r="AN14" s="217">
        <f t="shared" si="24"/>
        <v>140932</v>
      </c>
      <c r="AP14" s="213">
        <f t="shared" ref="AP14:AP58" si="29">RANK(AK14,$AK$14:$AK$58)</f>
        <v>31</v>
      </c>
    </row>
    <row r="15" spans="1:218">
      <c r="A15" s="246">
        <v>1965</v>
      </c>
      <c r="B15" s="623">
        <v>62500</v>
      </c>
      <c r="C15" s="616">
        <f t="shared" si="0"/>
        <v>11.042921835724492</v>
      </c>
      <c r="D15" s="247">
        <f t="shared" si="1"/>
        <v>1968</v>
      </c>
      <c r="E15" s="164">
        <v>224</v>
      </c>
      <c r="F15" s="616">
        <f>LN(E15)</f>
        <v>5.4116460518550396</v>
      </c>
      <c r="G15" s="616">
        <f t="shared" si="2"/>
        <v>29.285912990558238</v>
      </c>
      <c r="H15" s="613">
        <f t="shared" si="3"/>
        <v>-5.6312757838694534</v>
      </c>
      <c r="I15" s="218">
        <f t="shared" si="4"/>
        <v>31.711266953994528</v>
      </c>
      <c r="J15" s="247">
        <f t="shared" si="5"/>
        <v>1969</v>
      </c>
      <c r="K15" s="215">
        <v>25199</v>
      </c>
      <c r="L15" s="616">
        <f t="shared" si="6"/>
        <v>10.13455959017246</v>
      </c>
      <c r="M15" s="616">
        <f t="shared" si="7"/>
        <v>102.70929808675658</v>
      </c>
      <c r="N15" s="616">
        <f t="shared" si="8"/>
        <v>-0.9083622455520336</v>
      </c>
      <c r="O15" s="616">
        <f t="shared" si="9"/>
        <v>0.825121969144333</v>
      </c>
      <c r="P15" s="247">
        <f t="shared" si="10"/>
        <v>1970</v>
      </c>
      <c r="Q15" s="215">
        <v>48915</v>
      </c>
      <c r="R15" s="616">
        <f t="shared" si="11"/>
        <v>10.797839376891529</v>
      </c>
      <c r="S15" s="616">
        <f t="shared" si="12"/>
        <v>116.59333520914925</v>
      </c>
      <c r="T15" s="616">
        <f t="shared" si="27"/>
        <v>-0.24508245883296367</v>
      </c>
      <c r="U15" s="616">
        <f t="shared" si="13"/>
        <v>6.0065411627611337E-2</v>
      </c>
      <c r="V15" s="350">
        <f t="shared" si="25"/>
        <v>1970</v>
      </c>
      <c r="W15" s="215">
        <v>1634</v>
      </c>
      <c r="X15" s="616">
        <f t="shared" si="14"/>
        <v>7.3987862754199485</v>
      </c>
      <c r="Y15" s="616">
        <f t="shared" si="15"/>
        <v>54.742038349342593</v>
      </c>
      <c r="Z15" s="616">
        <f t="shared" si="16"/>
        <v>-3.6441355603045444</v>
      </c>
      <c r="AA15" s="616">
        <f t="shared" si="17"/>
        <v>13.279723981876115</v>
      </c>
      <c r="AB15" s="247">
        <f t="shared" si="18"/>
        <v>1971</v>
      </c>
      <c r="AC15" s="215">
        <v>1694</v>
      </c>
      <c r="AD15" s="616">
        <f t="shared" si="19"/>
        <v>7.4348478752119993</v>
      </c>
      <c r="AE15" s="616">
        <f t="shared" si="20"/>
        <v>55.276962927544382</v>
      </c>
      <c r="AF15" s="616">
        <f t="shared" si="21"/>
        <v>-3.6080739605124932</v>
      </c>
      <c r="AG15" s="617">
        <f t="shared" si="22"/>
        <v>13.018197704528308</v>
      </c>
      <c r="AH15" s="622">
        <f t="shared" si="26"/>
        <v>1965</v>
      </c>
      <c r="AI15" s="259">
        <f t="shared" si="23"/>
        <v>77666</v>
      </c>
      <c r="AJ15" s="213">
        <f t="shared" ref="AJ15:AJ60" si="30">AJ14+1</f>
        <v>1969</v>
      </c>
      <c r="AK15" s="217">
        <f t="shared" si="28"/>
        <v>159288</v>
      </c>
      <c r="AL15" s="472"/>
      <c r="AM15" s="472">
        <v>78288</v>
      </c>
      <c r="AN15" s="217">
        <f t="shared" si="24"/>
        <v>15166</v>
      </c>
      <c r="AP15" s="213">
        <f t="shared" si="29"/>
        <v>17</v>
      </c>
    </row>
    <row r="16" spans="1:218">
      <c r="A16" s="246">
        <v>1966</v>
      </c>
      <c r="B16" s="623">
        <v>82500</v>
      </c>
      <c r="C16" s="616">
        <f t="shared" si="0"/>
        <v>11.320553572322773</v>
      </c>
      <c r="D16" s="247">
        <f t="shared" si="1"/>
        <v>1969</v>
      </c>
      <c r="E16" s="164">
        <v>267</v>
      </c>
      <c r="F16" s="616">
        <f t="shared" ref="F16:F39" si="31">LN(E16)</f>
        <v>5.5872486584002496</v>
      </c>
      <c r="G16" s="616">
        <f t="shared" si="2"/>
        <v>31.21734757079539</v>
      </c>
      <c r="H16" s="613">
        <f t="shared" si="3"/>
        <v>-5.7333049139225229</v>
      </c>
      <c r="I16" s="218">
        <f t="shared" si="4"/>
        <v>32.870785236008146</v>
      </c>
      <c r="J16" s="247">
        <f t="shared" si="5"/>
        <v>1970</v>
      </c>
      <c r="K16" s="215">
        <v>9913.0000000000091</v>
      </c>
      <c r="L16" s="616">
        <f t="shared" si="6"/>
        <v>9.201602306032898</v>
      </c>
      <c r="M16" s="616">
        <f t="shared" si="7"/>
        <v>84.669484998389947</v>
      </c>
      <c r="N16" s="616">
        <f t="shared" si="8"/>
        <v>-2.1189512662898742</v>
      </c>
      <c r="O16" s="616">
        <f t="shared" si="9"/>
        <v>4.4899544689114617</v>
      </c>
      <c r="P16" s="247">
        <f t="shared" si="10"/>
        <v>1971</v>
      </c>
      <c r="Q16" s="215">
        <v>54766</v>
      </c>
      <c r="R16" s="616">
        <f t="shared" si="11"/>
        <v>10.910824842428626</v>
      </c>
      <c r="S16" s="616">
        <f t="shared" si="12"/>
        <v>119.04609874215765</v>
      </c>
      <c r="T16" s="616">
        <f t="shared" si="27"/>
        <v>-0.40972872989414683</v>
      </c>
      <c r="U16" s="616">
        <f t="shared" si="13"/>
        <v>0.16787763210067072</v>
      </c>
      <c r="V16" s="350">
        <f t="shared" si="25"/>
        <v>1971</v>
      </c>
      <c r="W16" s="215">
        <v>303</v>
      </c>
      <c r="X16" s="616">
        <f t="shared" si="14"/>
        <v>5.7137328055093688</v>
      </c>
      <c r="Y16" s="616">
        <f t="shared" si="15"/>
        <v>32.646742572753965</v>
      </c>
      <c r="Z16" s="616">
        <f t="shared" si="16"/>
        <v>-5.6068207668134029</v>
      </c>
      <c r="AA16" s="616">
        <f t="shared" si="17"/>
        <v>31.436439111170035</v>
      </c>
      <c r="AB16" s="247">
        <f t="shared" si="18"/>
        <v>1972</v>
      </c>
      <c r="AC16" s="215">
        <v>20909.269686134299</v>
      </c>
      <c r="AD16" s="616">
        <f t="shared" si="19"/>
        <v>9.9479478652768325</v>
      </c>
      <c r="AE16" s="616">
        <f t="shared" si="20"/>
        <v>98.96166673026589</v>
      </c>
      <c r="AF16" s="616">
        <f t="shared" si="21"/>
        <v>-1.3726057070459403</v>
      </c>
      <c r="AG16" s="617">
        <f t="shared" si="22"/>
        <v>1.8840464270150856</v>
      </c>
      <c r="AH16" s="622">
        <f t="shared" si="26"/>
        <v>1966</v>
      </c>
      <c r="AI16" s="259">
        <f t="shared" si="23"/>
        <v>86158.269686134314</v>
      </c>
      <c r="AJ16" s="213">
        <f t="shared" si="30"/>
        <v>1970</v>
      </c>
      <c r="AK16" s="217">
        <f t="shared" si="28"/>
        <v>62559.000000000007</v>
      </c>
      <c r="AL16" s="472"/>
      <c r="AM16" s="472">
        <v>27359</v>
      </c>
      <c r="AN16" s="217">
        <f t="shared" si="24"/>
        <v>3658.2696861343138</v>
      </c>
      <c r="AP16" s="213">
        <f t="shared" si="29"/>
        <v>37</v>
      </c>
    </row>
    <row r="17" spans="1:43">
      <c r="A17" s="246">
        <v>1967</v>
      </c>
      <c r="B17" s="623">
        <v>33000</v>
      </c>
      <c r="C17" s="616">
        <f t="shared" si="0"/>
        <v>10.404262840448617</v>
      </c>
      <c r="D17" s="247">
        <f t="shared" si="1"/>
        <v>1970</v>
      </c>
      <c r="E17" s="164">
        <v>2</v>
      </c>
      <c r="F17" s="616">
        <f>LN(E17)</f>
        <v>0.69314718055994529</v>
      </c>
      <c r="G17" s="616">
        <f t="shared" si="2"/>
        <v>0.48045301391820139</v>
      </c>
      <c r="H17" s="613">
        <f t="shared" si="3"/>
        <v>-9.7111156598886712</v>
      </c>
      <c r="I17" s="218">
        <f t="shared" si="4"/>
        <v>94.305767359734986</v>
      </c>
      <c r="J17" s="247">
        <f t="shared" si="5"/>
        <v>1971</v>
      </c>
      <c r="K17" s="215">
        <v>3751</v>
      </c>
      <c r="L17" s="616">
        <f t="shared" si="6"/>
        <v>8.2297777500818867</v>
      </c>
      <c r="M17" s="616">
        <f t="shared" si="7"/>
        <v>67.729241815742881</v>
      </c>
      <c r="N17" s="616">
        <f t="shared" si="8"/>
        <v>-2.1744850903667299</v>
      </c>
      <c r="O17" s="616">
        <f t="shared" si="9"/>
        <v>4.7283854082272052</v>
      </c>
      <c r="P17" s="247">
        <f t="shared" si="10"/>
        <v>1972</v>
      </c>
      <c r="Q17" s="215">
        <v>140137.954628526</v>
      </c>
      <c r="R17" s="616">
        <f t="shared" si="11"/>
        <v>11.850382606616972</v>
      </c>
      <c r="S17" s="616">
        <f t="shared" si="12"/>
        <v>140.43156792321005</v>
      </c>
      <c r="T17" s="616">
        <f t="shared" si="27"/>
        <v>1.4461197661683549</v>
      </c>
      <c r="U17" s="616">
        <f t="shared" si="13"/>
        <v>2.0912623781028175</v>
      </c>
      <c r="V17" s="350">
        <f t="shared" si="25"/>
        <v>1972</v>
      </c>
      <c r="W17" s="215">
        <v>1396.3276916964601</v>
      </c>
      <c r="X17" s="616">
        <f t="shared" si="14"/>
        <v>7.2416009919483422</v>
      </c>
      <c r="Y17" s="616">
        <f t="shared" si="15"/>
        <v>52.440784926587213</v>
      </c>
      <c r="Z17" s="616">
        <f t="shared" si="16"/>
        <v>-3.1626618485002749</v>
      </c>
      <c r="AA17" s="616">
        <f t="shared" si="17"/>
        <v>10.002429967959175</v>
      </c>
      <c r="AB17" s="247">
        <f t="shared" si="18"/>
        <v>1973</v>
      </c>
      <c r="AC17" s="215">
        <v>8046.7910515331896</v>
      </c>
      <c r="AD17" s="616">
        <f t="shared" si="19"/>
        <v>8.9930286638009562</v>
      </c>
      <c r="AE17" s="616">
        <f t="shared" si="20"/>
        <v>80.87456454794561</v>
      </c>
      <c r="AF17" s="616">
        <f t="shared" si="21"/>
        <v>-1.411234176647661</v>
      </c>
      <c r="AG17" s="617">
        <f t="shared" si="22"/>
        <v>1.9915819013384017</v>
      </c>
      <c r="AH17" s="622">
        <f t="shared" si="26"/>
        <v>1967</v>
      </c>
      <c r="AI17" s="259">
        <f t="shared" si="23"/>
        <v>153334.07337175566</v>
      </c>
      <c r="AJ17" s="213">
        <f t="shared" si="30"/>
        <v>1971</v>
      </c>
      <c r="AK17" s="217">
        <f t="shared" si="28"/>
        <v>60516</v>
      </c>
      <c r="AL17" s="472"/>
      <c r="AM17" s="472">
        <v>45516</v>
      </c>
      <c r="AN17" s="217">
        <f t="shared" si="24"/>
        <v>120334.07337175566</v>
      </c>
      <c r="AP17" s="213">
        <f t="shared" si="29"/>
        <v>39</v>
      </c>
    </row>
    <row r="18" spans="1:43">
      <c r="A18" s="246">
        <v>1968</v>
      </c>
      <c r="B18" s="623">
        <v>11800</v>
      </c>
      <c r="C18" s="616">
        <f t="shared" si="0"/>
        <v>9.375854810453756</v>
      </c>
      <c r="D18" s="247">
        <f t="shared" si="1"/>
        <v>1971</v>
      </c>
      <c r="E18" s="164">
        <v>2</v>
      </c>
      <c r="F18" s="616">
        <f t="shared" si="31"/>
        <v>0.69314718055994529</v>
      </c>
      <c r="G18" s="616">
        <f t="shared" si="2"/>
        <v>0.48045301391820139</v>
      </c>
      <c r="H18" s="613">
        <f t="shared" si="3"/>
        <v>-8.6827076298938106</v>
      </c>
      <c r="I18" s="218">
        <f t="shared" si="4"/>
        <v>75.389411786216201</v>
      </c>
      <c r="J18" s="247">
        <f t="shared" si="5"/>
        <v>1972</v>
      </c>
      <c r="K18" s="215">
        <v>22525.617322209</v>
      </c>
      <c r="L18" s="616">
        <f t="shared" si="6"/>
        <v>10.022408488192408</v>
      </c>
      <c r="M18" s="616">
        <f t="shared" si="7"/>
        <v>100.44867190419123</v>
      </c>
      <c r="N18" s="616">
        <f t="shared" si="8"/>
        <v>0.64655367773865202</v>
      </c>
      <c r="O18" s="616">
        <f t="shared" si="9"/>
        <v>0.4180316581973767</v>
      </c>
      <c r="P18" s="247">
        <f t="shared" si="10"/>
        <v>1973</v>
      </c>
      <c r="Q18" s="215">
        <v>108119.716904254</v>
      </c>
      <c r="R18" s="616">
        <f t="shared" si="11"/>
        <v>11.590994382039323</v>
      </c>
      <c r="S18" s="616">
        <f t="shared" si="12"/>
        <v>134.35115076446715</v>
      </c>
      <c r="T18" s="616">
        <f t="shared" si="27"/>
        <v>2.2151395715855675</v>
      </c>
      <c r="U18" s="616">
        <f t="shared" si="13"/>
        <v>4.9068433216042919</v>
      </c>
      <c r="V18" s="350">
        <f t="shared" si="25"/>
        <v>1973</v>
      </c>
      <c r="W18" s="215">
        <v>3219.3006857105001</v>
      </c>
      <c r="X18" s="616">
        <f t="shared" si="14"/>
        <v>8.0769194366010453</v>
      </c>
      <c r="Y18" s="616">
        <f t="shared" si="15"/>
        <v>65.23662758534374</v>
      </c>
      <c r="Z18" s="616">
        <f t="shared" si="16"/>
        <v>-1.2989353738527116</v>
      </c>
      <c r="AA18" s="616">
        <f t="shared" si="17"/>
        <v>1.6872331054458838</v>
      </c>
      <c r="AB18" s="247">
        <f t="shared" si="18"/>
        <v>1974</v>
      </c>
      <c r="AC18" s="215">
        <v>3643</v>
      </c>
      <c r="AD18" s="616">
        <f t="shared" si="19"/>
        <v>8.2005627970085637</v>
      </c>
      <c r="AE18" s="616">
        <f t="shared" si="20"/>
        <v>67.249230187680922</v>
      </c>
      <c r="AF18" s="616">
        <f t="shared" si="21"/>
        <v>-1.1752920134451923</v>
      </c>
      <c r="AG18" s="617">
        <f t="shared" si="22"/>
        <v>1.381311316868054</v>
      </c>
      <c r="AH18" s="622">
        <f t="shared" si="26"/>
        <v>1968</v>
      </c>
      <c r="AI18" s="259">
        <f t="shared" si="23"/>
        <v>137509.6349121735</v>
      </c>
      <c r="AJ18" s="213">
        <f t="shared" si="30"/>
        <v>1972</v>
      </c>
      <c r="AK18" s="217">
        <f t="shared" si="28"/>
        <v>184971.16932856577</v>
      </c>
      <c r="AL18" s="472"/>
      <c r="AM18" s="472">
        <v>133971.16933</v>
      </c>
      <c r="AN18" s="217">
        <f t="shared" si="24"/>
        <v>125709.6349121735</v>
      </c>
      <c r="AP18" s="213">
        <f t="shared" si="29"/>
        <v>13</v>
      </c>
    </row>
    <row r="19" spans="1:43">
      <c r="A19" s="246">
        <v>1969</v>
      </c>
      <c r="B19" s="623">
        <v>81000</v>
      </c>
      <c r="C19" s="616">
        <f t="shared" si="0"/>
        <v>11.302204433654575</v>
      </c>
      <c r="D19" s="247">
        <f t="shared" si="1"/>
        <v>1972</v>
      </c>
      <c r="E19" s="164">
        <v>2</v>
      </c>
      <c r="F19" s="616">
        <f t="shared" si="31"/>
        <v>0.69314718055994529</v>
      </c>
      <c r="G19" s="616">
        <f t="shared" si="2"/>
        <v>0.48045301391820139</v>
      </c>
      <c r="H19" s="613">
        <f t="shared" si="3"/>
        <v>-10.609057253094631</v>
      </c>
      <c r="I19" s="218">
        <f t="shared" si="4"/>
        <v>112.55209579943981</v>
      </c>
      <c r="J19" s="247">
        <f t="shared" si="5"/>
        <v>1973</v>
      </c>
      <c r="K19" s="215">
        <v>12896.191358501799</v>
      </c>
      <c r="L19" s="616">
        <f t="shared" si="6"/>
        <v>9.4646873032298213</v>
      </c>
      <c r="M19" s="616">
        <f t="shared" si="7"/>
        <v>89.580305747919795</v>
      </c>
      <c r="N19" s="616">
        <f t="shared" si="8"/>
        <v>-1.8375171304247553</v>
      </c>
      <c r="O19" s="616">
        <f t="shared" si="9"/>
        <v>3.3764692046044273</v>
      </c>
      <c r="P19" s="247">
        <f t="shared" si="10"/>
        <v>1974</v>
      </c>
      <c r="Q19" s="215">
        <v>60811</v>
      </c>
      <c r="R19" s="616">
        <f t="shared" si="11"/>
        <v>11.015525972642649</v>
      </c>
      <c r="S19" s="616">
        <f t="shared" si="12"/>
        <v>121.34181245396479</v>
      </c>
      <c r="T19" s="616">
        <f t="shared" si="27"/>
        <v>-0.28667846101192573</v>
      </c>
      <c r="U19" s="616">
        <f t="shared" si="13"/>
        <v>8.2184540008166218E-2</v>
      </c>
      <c r="V19" s="350">
        <f t="shared" si="25"/>
        <v>1974</v>
      </c>
      <c r="W19" s="215">
        <v>7908</v>
      </c>
      <c r="X19" s="616">
        <f t="shared" si="14"/>
        <v>8.9756301842905071</v>
      </c>
      <c r="Y19" s="616">
        <f t="shared" si="15"/>
        <v>80.561937205146847</v>
      </c>
      <c r="Z19" s="616">
        <f t="shared" si="16"/>
        <v>-2.3265742493640684</v>
      </c>
      <c r="AA19" s="616">
        <f t="shared" si="17"/>
        <v>5.4129477378039788</v>
      </c>
      <c r="AB19" s="247">
        <f t="shared" si="18"/>
        <v>1975</v>
      </c>
      <c r="AC19" s="215">
        <v>10133</v>
      </c>
      <c r="AD19" s="616">
        <f t="shared" si="19"/>
        <v>9.223552703448318</v>
      </c>
      <c r="AE19" s="616">
        <f t="shared" si="20"/>
        <v>85.07392447328877</v>
      </c>
      <c r="AF19" s="616">
        <f t="shared" si="21"/>
        <v>-2.0786517302062584</v>
      </c>
      <c r="AG19" s="617">
        <f t="shared" si="22"/>
        <v>4.3207930154894711</v>
      </c>
      <c r="AH19" s="622">
        <f t="shared" si="26"/>
        <v>1969</v>
      </c>
      <c r="AI19" s="259">
        <f t="shared" si="23"/>
        <v>91750.191358501805</v>
      </c>
      <c r="AJ19" s="213">
        <f t="shared" si="30"/>
        <v>1973</v>
      </c>
      <c r="AK19" s="217">
        <f t="shared" si="28"/>
        <v>132283.99999999951</v>
      </c>
      <c r="AL19" s="472"/>
      <c r="AM19" s="472">
        <v>77284</v>
      </c>
      <c r="AN19" s="217">
        <f t="shared" si="24"/>
        <v>10750.191358501805</v>
      </c>
      <c r="AP19" s="213">
        <f t="shared" si="29"/>
        <v>22</v>
      </c>
    </row>
    <row r="20" spans="1:43">
      <c r="A20" s="246">
        <v>1970</v>
      </c>
      <c r="B20" s="623">
        <v>35200</v>
      </c>
      <c r="C20" s="616">
        <f t="shared" si="0"/>
        <v>10.468801361586188</v>
      </c>
      <c r="D20" s="247">
        <f t="shared" si="1"/>
        <v>1973</v>
      </c>
      <c r="E20" s="164">
        <v>2</v>
      </c>
      <c r="F20" s="616">
        <f t="shared" si="31"/>
        <v>0.69314718055994529</v>
      </c>
      <c r="G20" s="616">
        <f t="shared" si="2"/>
        <v>0.48045301391820139</v>
      </c>
      <c r="H20" s="613">
        <f t="shared" si="3"/>
        <v>-9.7756541810262423</v>
      </c>
      <c r="I20" s="218">
        <f t="shared" si="4"/>
        <v>95.563414667015849</v>
      </c>
      <c r="J20" s="247">
        <f t="shared" si="5"/>
        <v>1974</v>
      </c>
      <c r="K20" s="215">
        <v>49280</v>
      </c>
      <c r="L20" s="616">
        <f t="shared" si="6"/>
        <v>10.805273598207402</v>
      </c>
      <c r="M20" s="616">
        <f t="shared" si="7"/>
        <v>116.75393753211793</v>
      </c>
      <c r="N20" s="616">
        <f t="shared" si="8"/>
        <v>0.33647223662121289</v>
      </c>
      <c r="O20" s="616">
        <f t="shared" si="9"/>
        <v>0.11321356601688148</v>
      </c>
      <c r="P20" s="247">
        <f t="shared" si="10"/>
        <v>1975</v>
      </c>
      <c r="Q20" s="215">
        <v>158164</v>
      </c>
      <c r="R20" s="616">
        <f t="shared" si="11"/>
        <v>11.971387748369406</v>
      </c>
      <c r="S20" s="616">
        <f t="shared" si="12"/>
        <v>143.3141246218091</v>
      </c>
      <c r="T20" s="616">
        <f t="shared" si="27"/>
        <v>1.5025863867832163</v>
      </c>
      <c r="U20" s="616">
        <f t="shared" si="13"/>
        <v>2.2577658497462414</v>
      </c>
      <c r="V20" s="350">
        <f t="shared" si="25"/>
        <v>1975</v>
      </c>
      <c r="W20" s="215">
        <v>8803</v>
      </c>
      <c r="X20" s="616">
        <f t="shared" si="14"/>
        <v>9.0828478514609063</v>
      </c>
      <c r="Y20" s="616">
        <f t="shared" si="15"/>
        <v>82.498125092788001</v>
      </c>
      <c r="Z20" s="616">
        <f t="shared" si="16"/>
        <v>-1.3859535101252825</v>
      </c>
      <c r="AA20" s="616">
        <f t="shared" si="17"/>
        <v>1.9208671322285915</v>
      </c>
      <c r="AB20" s="247">
        <f t="shared" si="18"/>
        <v>1976</v>
      </c>
      <c r="AC20" s="215">
        <v>4619</v>
      </c>
      <c r="AD20" s="616">
        <f t="shared" si="19"/>
        <v>8.4379335104306055</v>
      </c>
      <c r="AE20" s="616">
        <f t="shared" si="20"/>
        <v>71.19872192644776</v>
      </c>
      <c r="AF20" s="616">
        <f t="shared" si="21"/>
        <v>-2.0308678511555831</v>
      </c>
      <c r="AG20" s="617">
        <f t="shared" si="22"/>
        <v>4.1244242288572952</v>
      </c>
      <c r="AH20" s="622">
        <f t="shared" si="26"/>
        <v>1970</v>
      </c>
      <c r="AI20" s="259">
        <f t="shared" si="23"/>
        <v>220868</v>
      </c>
      <c r="AJ20" s="213">
        <f t="shared" si="30"/>
        <v>1974</v>
      </c>
      <c r="AK20" s="217">
        <f t="shared" si="28"/>
        <v>121757</v>
      </c>
      <c r="AL20" s="472"/>
      <c r="AM20" s="472">
        <v>99423</v>
      </c>
      <c r="AN20" s="217">
        <f t="shared" si="24"/>
        <v>185668</v>
      </c>
      <c r="AO20" s="604">
        <f t="shared" ref="AO20:AO60" si="32">B24</f>
        <v>22334</v>
      </c>
      <c r="AP20" s="213">
        <f t="shared" si="29"/>
        <v>26</v>
      </c>
      <c r="AQ20" s="608">
        <f t="shared" ref="AQ20:AQ59" si="33">(AK20-AO20)/AK20</f>
        <v>0.81656906789753358</v>
      </c>
    </row>
    <row r="21" spans="1:43">
      <c r="A21" s="246">
        <v>1971</v>
      </c>
      <c r="B21" s="623">
        <v>15000</v>
      </c>
      <c r="C21" s="616">
        <f t="shared" si="0"/>
        <v>9.6158054800843473</v>
      </c>
      <c r="D21" s="247">
        <f t="shared" si="1"/>
        <v>1974</v>
      </c>
      <c r="E21" s="164">
        <v>115</v>
      </c>
      <c r="F21" s="616">
        <f t="shared" si="31"/>
        <v>4.7449321283632502</v>
      </c>
      <c r="G21" s="616">
        <f t="shared" si="2"/>
        <v>22.514380902773802</v>
      </c>
      <c r="H21" s="613">
        <f t="shared" si="3"/>
        <v>-4.8708733517210971</v>
      </c>
      <c r="I21" s="218">
        <f t="shared" si="4"/>
        <v>23.725407208506716</v>
      </c>
      <c r="J21" s="247">
        <f t="shared" si="5"/>
        <v>1975</v>
      </c>
      <c r="K21" s="215">
        <v>5604</v>
      </c>
      <c r="L21" s="616">
        <f t="shared" si="6"/>
        <v>8.6312359074568974</v>
      </c>
      <c r="M21" s="616">
        <f t="shared" si="7"/>
        <v>74.498233290173289</v>
      </c>
      <c r="N21" s="616">
        <f t="shared" si="8"/>
        <v>-0.98456957262744949</v>
      </c>
      <c r="O21" s="616">
        <f t="shared" si="9"/>
        <v>0.96937724334379849</v>
      </c>
      <c r="P21" s="247">
        <f t="shared" si="10"/>
        <v>1976</v>
      </c>
      <c r="Q21" s="215">
        <v>32566</v>
      </c>
      <c r="R21" s="616">
        <f t="shared" si="11"/>
        <v>10.391024078324165</v>
      </c>
      <c r="S21" s="616">
        <f t="shared" si="12"/>
        <v>107.97338139631256</v>
      </c>
      <c r="T21" s="616">
        <f t="shared" si="27"/>
        <v>0.77521859823981831</v>
      </c>
      <c r="U21" s="616">
        <f t="shared" si="13"/>
        <v>0.60096387505690885</v>
      </c>
      <c r="V21" s="350">
        <f t="shared" si="25"/>
        <v>1976</v>
      </c>
      <c r="W21" s="215">
        <v>2782</v>
      </c>
      <c r="X21" s="616">
        <f t="shared" si="14"/>
        <v>7.9309253724833884</v>
      </c>
      <c r="Y21" s="616">
        <f t="shared" si="15"/>
        <v>62.899577263900774</v>
      </c>
      <c r="Z21" s="616">
        <f t="shared" si="16"/>
        <v>-1.684880107600959</v>
      </c>
      <c r="AA21" s="616">
        <f t="shared" si="17"/>
        <v>2.8388209769894193</v>
      </c>
      <c r="AB21" s="247">
        <f t="shared" si="18"/>
        <v>1977</v>
      </c>
      <c r="AC21" s="215">
        <v>5661</v>
      </c>
      <c r="AD21" s="616">
        <f t="shared" si="19"/>
        <v>8.6413558340366592</v>
      </c>
      <c r="AE21" s="616">
        <f t="shared" si="20"/>
        <v>74.673030650439401</v>
      </c>
      <c r="AF21" s="616">
        <f t="shared" si="21"/>
        <v>-0.97444964604768713</v>
      </c>
      <c r="AG21" s="617">
        <f t="shared" si="22"/>
        <v>0.94955211268246276</v>
      </c>
      <c r="AH21" s="622">
        <f t="shared" si="26"/>
        <v>1971</v>
      </c>
      <c r="AI21" s="259">
        <f t="shared" si="23"/>
        <v>46728</v>
      </c>
      <c r="AJ21" s="213">
        <f t="shared" si="30"/>
        <v>1975</v>
      </c>
      <c r="AK21" s="217">
        <f t="shared" si="28"/>
        <v>182706</v>
      </c>
      <c r="AL21" s="472"/>
      <c r="AM21" s="472">
        <v>147851</v>
      </c>
      <c r="AN21" s="217">
        <f t="shared" si="24"/>
        <v>31728</v>
      </c>
      <c r="AO21" s="604">
        <f t="shared" si="32"/>
        <v>34855</v>
      </c>
      <c r="AP21" s="213">
        <f t="shared" si="29"/>
        <v>15</v>
      </c>
      <c r="AQ21" s="608">
        <f t="shared" si="33"/>
        <v>0.80922903462393136</v>
      </c>
    </row>
    <row r="22" spans="1:43">
      <c r="A22" s="246">
        <v>1972</v>
      </c>
      <c r="B22" s="623">
        <v>51000</v>
      </c>
      <c r="C22" s="616">
        <f t="shared" si="0"/>
        <v>10.839580911706463</v>
      </c>
      <c r="D22" s="247">
        <f t="shared" si="1"/>
        <v>1975</v>
      </c>
      <c r="E22" s="164">
        <v>2</v>
      </c>
      <c r="F22" s="616">
        <f t="shared" si="31"/>
        <v>0.69314718055994529</v>
      </c>
      <c r="G22" s="616">
        <f t="shared" si="2"/>
        <v>0.48045301391820139</v>
      </c>
      <c r="H22" s="613">
        <f t="shared" si="3"/>
        <v>-10.146433731146518</v>
      </c>
      <c r="I22" s="218">
        <f t="shared" si="4"/>
        <v>102.95011746054784</v>
      </c>
      <c r="J22" s="247">
        <f t="shared" si="5"/>
        <v>1976</v>
      </c>
      <c r="K22" s="215">
        <v>29452</v>
      </c>
      <c r="L22" s="616">
        <f t="shared" si="6"/>
        <v>10.290517098488607</v>
      </c>
      <c r="M22" s="616">
        <f t="shared" si="7"/>
        <v>105.89474215428638</v>
      </c>
      <c r="N22" s="616">
        <f t="shared" si="8"/>
        <v>-0.54906381321785547</v>
      </c>
      <c r="O22" s="616">
        <f t="shared" si="9"/>
        <v>0.3014710709853321</v>
      </c>
      <c r="P22" s="247">
        <f t="shared" si="10"/>
        <v>1977</v>
      </c>
      <c r="Q22" s="215">
        <v>164079</v>
      </c>
      <c r="R22" s="616">
        <f t="shared" si="11"/>
        <v>12.008103298139684</v>
      </c>
      <c r="S22" s="616">
        <f t="shared" si="12"/>
        <v>144.19454481879316</v>
      </c>
      <c r="T22" s="616">
        <f t="shared" si="27"/>
        <v>1.1685223864332215</v>
      </c>
      <c r="U22" s="616">
        <f t="shared" si="13"/>
        <v>1.3654445675955911</v>
      </c>
      <c r="V22" s="350">
        <f t="shared" si="25"/>
        <v>1977</v>
      </c>
      <c r="W22" s="215">
        <v>6691</v>
      </c>
      <c r="X22" s="616">
        <f t="shared" si="14"/>
        <v>8.8085186187828164</v>
      </c>
      <c r="Y22" s="616">
        <f t="shared" si="15"/>
        <v>77.590000257443535</v>
      </c>
      <c r="Z22" s="616">
        <f t="shared" si="16"/>
        <v>-2.0310622929236462</v>
      </c>
      <c r="AA22" s="616">
        <f t="shared" si="17"/>
        <v>4.1252140377362592</v>
      </c>
      <c r="AB22" s="247">
        <f t="shared" si="18"/>
        <v>1978</v>
      </c>
      <c r="AC22" s="215">
        <v>18346</v>
      </c>
      <c r="AD22" s="616">
        <f t="shared" si="19"/>
        <v>9.8171668460696004</v>
      </c>
      <c r="AE22" s="616">
        <f t="shared" si="20"/>
        <v>96.376764883568143</v>
      </c>
      <c r="AF22" s="616">
        <f t="shared" si="21"/>
        <v>-1.0224140656368621</v>
      </c>
      <c r="AG22" s="617">
        <f t="shared" si="22"/>
        <v>1.0453305216120978</v>
      </c>
      <c r="AH22" s="622">
        <f t="shared" si="26"/>
        <v>1972</v>
      </c>
      <c r="AI22" s="259">
        <f t="shared" si="23"/>
        <v>218570</v>
      </c>
      <c r="AJ22" s="213">
        <f t="shared" si="30"/>
        <v>1976</v>
      </c>
      <c r="AK22" s="217">
        <f t="shared" si="28"/>
        <v>69421</v>
      </c>
      <c r="AL22" s="472"/>
      <c r="AM22" s="472">
        <v>60365</v>
      </c>
      <c r="AN22" s="217">
        <f t="shared" si="24"/>
        <v>167570</v>
      </c>
      <c r="AO22" s="604">
        <f t="shared" si="32"/>
        <v>9056</v>
      </c>
      <c r="AP22" s="213">
        <f t="shared" si="29"/>
        <v>33</v>
      </c>
      <c r="AQ22" s="608">
        <f t="shared" si="33"/>
        <v>0.8695495599314329</v>
      </c>
    </row>
    <row r="23" spans="1:43">
      <c r="A23" s="246">
        <v>1973</v>
      </c>
      <c r="B23" s="623">
        <v>55000</v>
      </c>
      <c r="C23" s="616">
        <f t="shared" si="0"/>
        <v>10.915088464214607</v>
      </c>
      <c r="D23" s="247">
        <f t="shared" si="1"/>
        <v>1976</v>
      </c>
      <c r="E23" s="164">
        <v>2</v>
      </c>
      <c r="F23" s="616">
        <f t="shared" si="31"/>
        <v>0.69314718055994529</v>
      </c>
      <c r="G23" s="616">
        <f t="shared" si="2"/>
        <v>0.48045301391820139</v>
      </c>
      <c r="H23" s="613">
        <f t="shared" si="3"/>
        <v>-10.221941283654663</v>
      </c>
      <c r="I23" s="218">
        <f t="shared" si="4"/>
        <v>104.48808360648356</v>
      </c>
      <c r="J23" s="247">
        <f t="shared" si="5"/>
        <v>1977</v>
      </c>
      <c r="K23" s="215">
        <v>25454</v>
      </c>
      <c r="L23" s="616">
        <f t="shared" si="6"/>
        <v>10.144628180551992</v>
      </c>
      <c r="M23" s="616">
        <f t="shared" si="7"/>
        <v>102.91348092164962</v>
      </c>
      <c r="N23" s="616">
        <f t="shared" si="8"/>
        <v>-0.77046028366261554</v>
      </c>
      <c r="O23" s="616">
        <f t="shared" si="9"/>
        <v>0.59360904870147801</v>
      </c>
      <c r="P23" s="247">
        <f t="shared" si="10"/>
        <v>1978</v>
      </c>
      <c r="Q23" s="215">
        <v>203097</v>
      </c>
      <c r="R23" s="616">
        <f t="shared" si="11"/>
        <v>12.221438976410639</v>
      </c>
      <c r="S23" s="616">
        <f t="shared" si="12"/>
        <v>149.36357065412912</v>
      </c>
      <c r="T23" s="616">
        <f t="shared" si="27"/>
        <v>1.3063505121960306</v>
      </c>
      <c r="U23" s="616">
        <f t="shared" si="13"/>
        <v>1.7065516607148314</v>
      </c>
      <c r="V23" s="350">
        <f t="shared" si="25"/>
        <v>1978</v>
      </c>
      <c r="W23" s="215">
        <v>3332</v>
      </c>
      <c r="X23" s="616">
        <f t="shared" si="14"/>
        <v>8.111328003286733</v>
      </c>
      <c r="Y23" s="616">
        <f t="shared" si="15"/>
        <v>65.793641976903544</v>
      </c>
      <c r="Z23" s="616">
        <f t="shared" si="16"/>
        <v>-2.8037604609278746</v>
      </c>
      <c r="AA23" s="616">
        <f t="shared" si="17"/>
        <v>7.8610727222624872</v>
      </c>
      <c r="AB23" s="247">
        <f t="shared" si="18"/>
        <v>1979</v>
      </c>
      <c r="AC23" s="215">
        <v>1805</v>
      </c>
      <c r="AD23" s="616">
        <f t="shared" si="19"/>
        <v>7.498315870766981</v>
      </c>
      <c r="AE23" s="616">
        <f t="shared" si="20"/>
        <v>56.224740897795989</v>
      </c>
      <c r="AF23" s="616">
        <f t="shared" si="21"/>
        <v>-3.416772593447627</v>
      </c>
      <c r="AG23" s="617">
        <f t="shared" si="22"/>
        <v>11.674334955334823</v>
      </c>
      <c r="AH23" s="622">
        <f t="shared" si="26"/>
        <v>1973</v>
      </c>
      <c r="AI23" s="259">
        <f t="shared" si="23"/>
        <v>233690</v>
      </c>
      <c r="AJ23" s="213">
        <f t="shared" si="30"/>
        <v>1977</v>
      </c>
      <c r="AK23" s="217">
        <f t="shared" si="28"/>
        <v>202340</v>
      </c>
      <c r="AL23" s="472"/>
      <c r="AM23" s="472">
        <v>170778</v>
      </c>
      <c r="AN23" s="217">
        <f t="shared" si="24"/>
        <v>178690</v>
      </c>
      <c r="AO23" s="604">
        <f t="shared" si="32"/>
        <v>31562</v>
      </c>
      <c r="AP23" s="213">
        <f t="shared" si="29"/>
        <v>10</v>
      </c>
      <c r="AQ23" s="608">
        <f t="shared" si="33"/>
        <v>0.84401502421666497</v>
      </c>
    </row>
    <row r="24" spans="1:43">
      <c r="A24" s="246">
        <v>1974</v>
      </c>
      <c r="B24" s="215">
        <v>22334</v>
      </c>
      <c r="C24" s="616">
        <f t="shared" si="0"/>
        <v>10.013865460005738</v>
      </c>
      <c r="D24" s="247">
        <f t="shared" si="1"/>
        <v>1977</v>
      </c>
      <c r="E24" s="164">
        <v>455</v>
      </c>
      <c r="F24" s="616">
        <f t="shared" si="31"/>
        <v>6.1202974189509503</v>
      </c>
      <c r="G24" s="616">
        <f t="shared" si="2"/>
        <v>37.458040496417667</v>
      </c>
      <c r="H24" s="613">
        <f t="shared" si="3"/>
        <v>-3.8935680410547873</v>
      </c>
      <c r="I24" s="218">
        <f t="shared" si="4"/>
        <v>15.159872090323214</v>
      </c>
      <c r="J24" s="247">
        <f t="shared" si="5"/>
        <v>1978</v>
      </c>
      <c r="K24" s="215">
        <v>21031</v>
      </c>
      <c r="L24" s="616">
        <f t="shared" si="6"/>
        <v>9.9537528186836788</v>
      </c>
      <c r="M24" s="616">
        <f t="shared" si="7"/>
        <v>99.077195175453284</v>
      </c>
      <c r="N24" s="616">
        <f t="shared" si="8"/>
        <v>-6.0112641322059193E-2</v>
      </c>
      <c r="O24" s="616">
        <f t="shared" si="9"/>
        <v>3.6135296467145386E-3</v>
      </c>
      <c r="P24" s="247">
        <f t="shared" si="10"/>
        <v>1979</v>
      </c>
      <c r="Q24" s="215">
        <v>76250</v>
      </c>
      <c r="R24" s="616">
        <f t="shared" si="11"/>
        <v>11.241772694469658</v>
      </c>
      <c r="S24" s="616">
        <f t="shared" si="12"/>
        <v>126.37745331412358</v>
      </c>
      <c r="T24" s="616">
        <f t="shared" si="27"/>
        <v>1.2279072344639206</v>
      </c>
      <c r="U24" s="616">
        <f t="shared" si="13"/>
        <v>1.5077561764488336</v>
      </c>
      <c r="V24" s="350">
        <f t="shared" si="25"/>
        <v>1979</v>
      </c>
      <c r="W24" s="215">
        <v>10499</v>
      </c>
      <c r="X24" s="616">
        <f t="shared" si="14"/>
        <v>9.2590352935149411</v>
      </c>
      <c r="Y24" s="616">
        <f t="shared" si="15"/>
        <v>85.729734566555308</v>
      </c>
      <c r="Z24" s="616">
        <f t="shared" si="16"/>
        <v>-0.75483016649079615</v>
      </c>
      <c r="AA24" s="616">
        <f t="shared" si="17"/>
        <v>0.56976858024452304</v>
      </c>
      <c r="AB24" s="247">
        <f t="shared" si="18"/>
        <v>1980</v>
      </c>
      <c r="AC24" s="215">
        <v>2589.7026000000001</v>
      </c>
      <c r="AD24" s="616">
        <f t="shared" si="19"/>
        <v>7.859298321845718</v>
      </c>
      <c r="AE24" s="616">
        <f t="shared" si="20"/>
        <v>61.76857011176692</v>
      </c>
      <c r="AF24" s="616">
        <f t="shared" si="21"/>
        <v>-2.1545671381600191</v>
      </c>
      <c r="AG24" s="617">
        <f t="shared" si="22"/>
        <v>4.6421595528390549</v>
      </c>
      <c r="AH24" s="622">
        <f t="shared" si="26"/>
        <v>1974</v>
      </c>
      <c r="AI24" s="259">
        <f t="shared" si="23"/>
        <v>110824.7026</v>
      </c>
      <c r="AJ24" s="213">
        <f t="shared" si="30"/>
        <v>1978</v>
      </c>
      <c r="AK24" s="217">
        <f t="shared" si="28"/>
        <v>245808</v>
      </c>
      <c r="AL24" s="472"/>
      <c r="AM24" s="472">
        <v>203524</v>
      </c>
      <c r="AN24" s="217">
        <f t="shared" si="24"/>
        <v>88490.702600000004</v>
      </c>
      <c r="AO24" s="604">
        <f t="shared" si="32"/>
        <v>42284</v>
      </c>
      <c r="AP24" s="213">
        <f t="shared" si="29"/>
        <v>7</v>
      </c>
      <c r="AQ24" s="608">
        <f t="shared" si="33"/>
        <v>0.8279795612836035</v>
      </c>
    </row>
    <row r="25" spans="1:43">
      <c r="A25" s="246">
        <v>1975</v>
      </c>
      <c r="B25" s="215">
        <v>34855</v>
      </c>
      <c r="C25" s="616">
        <f t="shared" si="0"/>
        <v>10.4589518779205</v>
      </c>
      <c r="D25" s="247">
        <f t="shared" si="1"/>
        <v>1978</v>
      </c>
      <c r="E25" s="164">
        <v>2</v>
      </c>
      <c r="F25" s="616">
        <f t="shared" si="31"/>
        <v>0.69314718055994529</v>
      </c>
      <c r="G25" s="616">
        <f t="shared" si="2"/>
        <v>0.48045301391820139</v>
      </c>
      <c r="H25" s="613">
        <f t="shared" si="3"/>
        <v>-9.7658046973605543</v>
      </c>
      <c r="I25" s="218">
        <f t="shared" si="4"/>
        <v>95.370941386989472</v>
      </c>
      <c r="J25" s="247">
        <f t="shared" si="5"/>
        <v>1979</v>
      </c>
      <c r="K25" s="215">
        <v>38347</v>
      </c>
      <c r="L25" s="616">
        <f t="shared" si="6"/>
        <v>10.554431576877635</v>
      </c>
      <c r="M25" s="616">
        <f t="shared" si="7"/>
        <v>111.39602591099171</v>
      </c>
      <c r="N25" s="616">
        <f t="shared" si="8"/>
        <v>9.547969895713504E-2</v>
      </c>
      <c r="O25" s="616">
        <f t="shared" si="9"/>
        <v>9.1163729129451337E-3</v>
      </c>
      <c r="P25" s="247">
        <f t="shared" si="10"/>
        <v>1980</v>
      </c>
      <c r="Q25" s="215">
        <v>136669.58619999999</v>
      </c>
      <c r="R25" s="616">
        <f t="shared" si="11"/>
        <v>11.825321512223232</v>
      </c>
      <c r="S25" s="616">
        <f t="shared" si="12"/>
        <v>139.83822886744954</v>
      </c>
      <c r="T25" s="616">
        <f t="shared" si="27"/>
        <v>1.3663696343027323</v>
      </c>
      <c r="U25" s="616">
        <f t="shared" si="13"/>
        <v>1.8669659775445824</v>
      </c>
      <c r="V25" s="350">
        <f t="shared" si="25"/>
        <v>1980</v>
      </c>
      <c r="W25" s="215">
        <v>7713.3581999999997</v>
      </c>
      <c r="X25" s="616">
        <f t="shared" si="14"/>
        <v>8.9507089359291587</v>
      </c>
      <c r="Y25" s="616">
        <f t="shared" si="15"/>
        <v>80.115190455722086</v>
      </c>
      <c r="Z25" s="616">
        <f t="shared" si="16"/>
        <v>-1.508242941991341</v>
      </c>
      <c r="AA25" s="616">
        <f t="shared" si="17"/>
        <v>2.2747967720666957</v>
      </c>
      <c r="AB25" s="247">
        <f t="shared" si="18"/>
        <v>1981</v>
      </c>
      <c r="AC25" s="215">
        <v>8798.5242999999991</v>
      </c>
      <c r="AD25" s="616">
        <f t="shared" si="19"/>
        <v>9.0823392932224056</v>
      </c>
      <c r="AE25" s="616">
        <f t="shared" si="20"/>
        <v>82.488887037211668</v>
      </c>
      <c r="AF25" s="616">
        <f t="shared" si="21"/>
        <v>-1.3766125846980932</v>
      </c>
      <c r="AG25" s="617">
        <f t="shared" si="22"/>
        <v>1.8950622083491648</v>
      </c>
      <c r="AH25" s="622">
        <f t="shared" si="26"/>
        <v>1975</v>
      </c>
      <c r="AI25" s="259">
        <f t="shared" si="23"/>
        <v>191530.4687</v>
      </c>
      <c r="AJ25" s="213">
        <f t="shared" si="30"/>
        <v>1979</v>
      </c>
      <c r="AK25" s="217">
        <f t="shared" si="28"/>
        <v>126991</v>
      </c>
      <c r="AL25" s="472"/>
      <c r="AM25" s="472">
        <v>78710</v>
      </c>
      <c r="AN25" s="217">
        <f t="shared" si="24"/>
        <v>156675.4687</v>
      </c>
      <c r="AO25" s="604">
        <f t="shared" si="32"/>
        <v>48281</v>
      </c>
      <c r="AP25" s="213">
        <f t="shared" si="29"/>
        <v>24</v>
      </c>
      <c r="AQ25" s="608">
        <f t="shared" si="33"/>
        <v>0.61980770290808007</v>
      </c>
    </row>
    <row r="26" spans="1:43">
      <c r="A26" s="246">
        <v>1976</v>
      </c>
      <c r="B26" s="215">
        <v>9056</v>
      </c>
      <c r="C26" s="616">
        <f t="shared" si="0"/>
        <v>9.1111828004429647</v>
      </c>
      <c r="D26" s="247">
        <f t="shared" si="1"/>
        <v>1979</v>
      </c>
      <c r="E26" s="164">
        <v>90</v>
      </c>
      <c r="F26" s="616">
        <f t="shared" si="31"/>
        <v>4.499809670330265</v>
      </c>
      <c r="G26" s="616">
        <f t="shared" si="2"/>
        <v>20.248287069197769</v>
      </c>
      <c r="H26" s="613">
        <f t="shared" si="3"/>
        <v>-4.6113731301126988</v>
      </c>
      <c r="I26" s="218">
        <f t="shared" si="4"/>
        <v>21.264762145125388</v>
      </c>
      <c r="J26" s="247">
        <f t="shared" si="5"/>
        <v>1980</v>
      </c>
      <c r="K26" s="215">
        <v>52433.730600000003</v>
      </c>
      <c r="L26" s="616">
        <f t="shared" si="6"/>
        <v>10.86730537695477</v>
      </c>
      <c r="M26" s="616">
        <f t="shared" si="7"/>
        <v>118.09832615599005</v>
      </c>
      <c r="N26" s="616">
        <f t="shared" si="8"/>
        <v>1.756122576511806</v>
      </c>
      <c r="O26" s="616">
        <f t="shared" si="9"/>
        <v>3.0839665037344641</v>
      </c>
      <c r="P26" s="247">
        <f t="shared" si="10"/>
        <v>1981</v>
      </c>
      <c r="Q26" s="215">
        <v>99913.3924999999</v>
      </c>
      <c r="R26" s="616">
        <f t="shared" si="11"/>
        <v>11.512059014710591</v>
      </c>
      <c r="S26" s="616">
        <f t="shared" si="12"/>
        <v>132.52750275817937</v>
      </c>
      <c r="T26" s="616">
        <f t="shared" si="27"/>
        <v>2.4008762142676261</v>
      </c>
      <c r="U26" s="616">
        <f t="shared" si="13"/>
        <v>5.7642065962360478</v>
      </c>
      <c r="V26" s="350">
        <f t="shared" si="25"/>
        <v>1981</v>
      </c>
      <c r="W26" s="215">
        <v>12716.6399</v>
      </c>
      <c r="X26" s="616">
        <f t="shared" si="14"/>
        <v>9.4506666431929993</v>
      </c>
      <c r="Y26" s="616">
        <f t="shared" si="15"/>
        <v>89.315100000760836</v>
      </c>
      <c r="Z26" s="616">
        <f t="shared" si="16"/>
        <v>0.33948384275003485</v>
      </c>
      <c r="AA26" s="616">
        <f t="shared" si="17"/>
        <v>0.11524927948833039</v>
      </c>
      <c r="AB26" s="247">
        <f t="shared" si="18"/>
        <v>1982</v>
      </c>
      <c r="AC26" s="215">
        <v>8377.1026999999995</v>
      </c>
      <c r="AD26" s="616">
        <f t="shared" si="19"/>
        <v>9.0332573938375234</v>
      </c>
      <c r="AE26" s="616">
        <f t="shared" si="20"/>
        <v>81.599739143320278</v>
      </c>
      <c r="AF26" s="616">
        <f t="shared" si="21"/>
        <v>-7.792540660544138E-2</v>
      </c>
      <c r="AG26" s="617">
        <f t="shared" si="22"/>
        <v>6.072368994623367E-3</v>
      </c>
      <c r="AH26" s="622">
        <f t="shared" si="26"/>
        <v>1976</v>
      </c>
      <c r="AI26" s="259">
        <f t="shared" si="23"/>
        <v>173530.86569999991</v>
      </c>
      <c r="AJ26" s="213">
        <f t="shared" si="30"/>
        <v>1980</v>
      </c>
      <c r="AK26" s="217">
        <f t="shared" si="28"/>
        <v>201386.99999999997</v>
      </c>
      <c r="AL26" s="472"/>
      <c r="AM26" s="472">
        <v>59134</v>
      </c>
      <c r="AN26" s="217">
        <f t="shared" si="24"/>
        <v>164474.86569999991</v>
      </c>
      <c r="AO26" s="604">
        <f t="shared" si="32"/>
        <v>142253</v>
      </c>
      <c r="AP26" s="213">
        <f t="shared" si="29"/>
        <v>11</v>
      </c>
      <c r="AQ26" s="608">
        <f t="shared" si="33"/>
        <v>0.29363365063286101</v>
      </c>
    </row>
    <row r="27" spans="1:43">
      <c r="A27" s="246">
        <v>1977</v>
      </c>
      <c r="B27" s="215">
        <v>31562</v>
      </c>
      <c r="C27" s="616">
        <f t="shared" si="0"/>
        <v>10.359709144308079</v>
      </c>
      <c r="D27" s="247">
        <f t="shared" si="1"/>
        <v>1980</v>
      </c>
      <c r="E27" s="627">
        <v>1980.6224</v>
      </c>
      <c r="F27" s="616">
        <f t="shared" si="31"/>
        <v>7.5911664177273783</v>
      </c>
      <c r="G27" s="616">
        <f t="shared" si="2"/>
        <v>57.625807581631918</v>
      </c>
      <c r="H27" s="613">
        <f t="shared" si="3"/>
        <v>-2.7685427265806997</v>
      </c>
      <c r="I27" s="218">
        <f t="shared" si="4"/>
        <v>7.6648288289028947</v>
      </c>
      <c r="J27" s="247">
        <f t="shared" si="5"/>
        <v>1981</v>
      </c>
      <c r="K27" s="215">
        <v>137082.77290000001</v>
      </c>
      <c r="L27" s="616">
        <f t="shared" si="6"/>
        <v>11.828340204117774</v>
      </c>
      <c r="M27" s="616">
        <f t="shared" si="7"/>
        <v>139.90963198434892</v>
      </c>
      <c r="N27" s="616">
        <f>LN(K27/$B27)</f>
        <v>1.468631059809697</v>
      </c>
      <c r="O27" s="616">
        <f t="shared" si="9"/>
        <v>2.1568771898377537</v>
      </c>
      <c r="P27" s="247">
        <f t="shared" si="10"/>
        <v>1982</v>
      </c>
      <c r="Q27" s="215">
        <v>1108256.29</v>
      </c>
      <c r="R27" s="616">
        <f t="shared" si="11"/>
        <v>13.918298428205901</v>
      </c>
      <c r="S27" s="616">
        <f t="shared" si="12"/>
        <v>193.71903113659886</v>
      </c>
      <c r="T27" s="616">
        <f>LN(Q27/$B27)</f>
        <v>3.5585892838978235</v>
      </c>
      <c r="U27" s="616">
        <f t="shared" si="13"/>
        <v>12.663557691472423</v>
      </c>
      <c r="V27" s="350">
        <f t="shared" si="25"/>
        <v>1982</v>
      </c>
      <c r="W27" s="215">
        <v>1772.6023</v>
      </c>
      <c r="X27" s="616">
        <f t="shared" si="14"/>
        <v>7.4802039718325091</v>
      </c>
      <c r="Y27" s="616">
        <f t="shared" si="15"/>
        <v>55.953451460218844</v>
      </c>
      <c r="Z27" s="616">
        <f t="shared" si="16"/>
        <v>-2.8795051724755689</v>
      </c>
      <c r="AA27" s="616">
        <f t="shared" si="17"/>
        <v>8.2915500383135559</v>
      </c>
      <c r="AB27" s="247">
        <f t="shared" si="18"/>
        <v>1983</v>
      </c>
      <c r="AC27" s="215">
        <v>1956</v>
      </c>
      <c r="AD27" s="616">
        <f t="shared" si="19"/>
        <v>7.5786568505947622</v>
      </c>
      <c r="AE27" s="616">
        <f t="shared" si="20"/>
        <v>57.436039659066921</v>
      </c>
      <c r="AF27" s="616">
        <f t="shared" si="21"/>
        <v>-2.7810522937133153</v>
      </c>
      <c r="AG27" s="617">
        <f t="shared" si="22"/>
        <v>7.7342518603680919</v>
      </c>
      <c r="AH27" s="622">
        <f t="shared" si="26"/>
        <v>1977</v>
      </c>
      <c r="AI27" s="259">
        <f t="shared" si="23"/>
        <v>1251048.2875999999</v>
      </c>
      <c r="AJ27" s="213">
        <f t="shared" si="30"/>
        <v>1981</v>
      </c>
      <c r="AK27" s="217">
        <f t="shared" si="28"/>
        <v>259166.99999999991</v>
      </c>
      <c r="AL27" s="472"/>
      <c r="AM27" s="472">
        <v>103055</v>
      </c>
      <c r="AN27" s="217">
        <f t="shared" si="24"/>
        <v>1219486.2875999999</v>
      </c>
      <c r="AO27" s="604">
        <f t="shared" si="32"/>
        <v>156112</v>
      </c>
      <c r="AP27" s="213">
        <f t="shared" si="29"/>
        <v>6</v>
      </c>
      <c r="AQ27" s="608">
        <f t="shared" si="33"/>
        <v>0.39763935994937605</v>
      </c>
    </row>
    <row r="28" spans="1:43">
      <c r="A28" s="246">
        <v>1978</v>
      </c>
      <c r="B28" s="215">
        <v>42284</v>
      </c>
      <c r="C28" s="616">
        <f t="shared" si="0"/>
        <v>10.652164042888554</v>
      </c>
      <c r="D28" s="247">
        <f t="shared" si="1"/>
        <v>1981</v>
      </c>
      <c r="E28" s="627">
        <v>655.67039999999997</v>
      </c>
      <c r="F28" s="616">
        <f t="shared" si="31"/>
        <v>6.4856582236549167</v>
      </c>
      <c r="G28" s="616">
        <f t="shared" si="2"/>
        <v>42.063762594062652</v>
      </c>
      <c r="H28" s="613">
        <f t="shared" si="3"/>
        <v>-4.1665058192336373</v>
      </c>
      <c r="I28" s="218">
        <f t="shared" si="4"/>
        <v>17.359770741707763</v>
      </c>
      <c r="J28" s="247">
        <f t="shared" si="5"/>
        <v>1982</v>
      </c>
      <c r="K28" s="215">
        <v>8798.8061000000107</v>
      </c>
      <c r="L28" s="616">
        <f t="shared" si="6"/>
        <v>9.0823713208076846</v>
      </c>
      <c r="M28" s="616">
        <f t="shared" si="7"/>
        <v>82.48946880902993</v>
      </c>
      <c r="N28" s="616">
        <f t="shared" si="8"/>
        <v>-1.5697927220808687</v>
      </c>
      <c r="O28" s="616">
        <f t="shared" si="9"/>
        <v>2.4642491902980637</v>
      </c>
      <c r="P28" s="247">
        <f t="shared" si="10"/>
        <v>1983</v>
      </c>
      <c r="Q28" s="215">
        <v>51329</v>
      </c>
      <c r="R28" s="616">
        <f t="shared" si="11"/>
        <v>10.846011173580045</v>
      </c>
      <c r="S28" s="616">
        <f t="shared" si="12"/>
        <v>117.63595837742319</v>
      </c>
      <c r="T28" s="616">
        <f>LN(Q28/$B28)</f>
        <v>0.19384713069149123</v>
      </c>
      <c r="U28" s="616">
        <f t="shared" si="13"/>
        <v>3.7576710077324084E-2</v>
      </c>
      <c r="V28" s="350">
        <f t="shared" si="25"/>
        <v>1983</v>
      </c>
      <c r="W28" s="215">
        <v>2139</v>
      </c>
      <c r="X28" s="616">
        <f t="shared" si="14"/>
        <v>7.668093709082406</v>
      </c>
      <c r="Y28" s="616">
        <f t="shared" si="15"/>
        <v>58.799661131269168</v>
      </c>
      <c r="Z28" s="616">
        <f t="shared" si="16"/>
        <v>-2.9840703338061481</v>
      </c>
      <c r="AA28" s="616">
        <f t="shared" si="17"/>
        <v>8.9046757571019359</v>
      </c>
      <c r="AB28" s="247">
        <f t="shared" si="18"/>
        <v>1984</v>
      </c>
      <c r="AC28" s="215">
        <v>7381</v>
      </c>
      <c r="AD28" s="616">
        <f t="shared" si="19"/>
        <v>8.9066644097700518</v>
      </c>
      <c r="AE28" s="616">
        <f t="shared" si="20"/>
        <v>79.328670908264499</v>
      </c>
      <c r="AF28" s="616">
        <f t="shared" si="21"/>
        <v>-1.7454996331185013</v>
      </c>
      <c r="AG28" s="617">
        <f t="shared" si="22"/>
        <v>3.0467689692168225</v>
      </c>
      <c r="AH28" s="622">
        <f t="shared" si="26"/>
        <v>1978</v>
      </c>
      <c r="AI28" s="259">
        <f t="shared" si="23"/>
        <v>70303.476500000019</v>
      </c>
      <c r="AJ28" s="213">
        <f t="shared" si="30"/>
        <v>1982</v>
      </c>
      <c r="AK28" s="217">
        <f t="shared" si="28"/>
        <v>1127475.2720999999</v>
      </c>
      <c r="AL28" s="472"/>
      <c r="AM28" s="472">
        <v>947161.27209999994</v>
      </c>
      <c r="AN28" s="217">
        <f t="shared" si="24"/>
        <v>28019.476500000019</v>
      </c>
      <c r="AO28" s="604">
        <f t="shared" si="32"/>
        <v>180314</v>
      </c>
      <c r="AP28" s="213">
        <f t="shared" si="29"/>
        <v>1</v>
      </c>
      <c r="AQ28" s="608">
        <f t="shared" si="33"/>
        <v>0.84007276748149617</v>
      </c>
    </row>
    <row r="29" spans="1:43">
      <c r="A29" s="246">
        <v>1979</v>
      </c>
      <c r="B29" s="215">
        <v>48281</v>
      </c>
      <c r="C29" s="616">
        <f t="shared" si="0"/>
        <v>10.784793387507323</v>
      </c>
      <c r="D29" s="247">
        <f t="shared" si="1"/>
        <v>1982</v>
      </c>
      <c r="E29" s="627">
        <v>270.471</v>
      </c>
      <c r="F29" s="616">
        <f t="shared" si="31"/>
        <v>5.6001648836667961</v>
      </c>
      <c r="G29" s="616">
        <f t="shared" si="2"/>
        <v>31.36184672425474</v>
      </c>
      <c r="H29" s="613">
        <f t="shared" si="3"/>
        <v>-5.1846285038405275</v>
      </c>
      <c r="I29" s="218">
        <f t="shared" si="4"/>
        <v>26.880372722835666</v>
      </c>
      <c r="J29" s="247">
        <f t="shared" si="5"/>
        <v>1983</v>
      </c>
      <c r="K29" s="215">
        <v>17439</v>
      </c>
      <c r="L29" s="616">
        <f t="shared" si="6"/>
        <v>9.7664643563694611</v>
      </c>
      <c r="M29" s="616">
        <f t="shared" si="7"/>
        <v>95.383826024235148</v>
      </c>
      <c r="N29" s="616">
        <f t="shared" si="8"/>
        <v>-1.0183290311378628</v>
      </c>
      <c r="O29" s="616">
        <f t="shared" si="9"/>
        <v>1.0369940156581783</v>
      </c>
      <c r="P29" s="247">
        <f t="shared" si="10"/>
        <v>1984</v>
      </c>
      <c r="Q29" s="215">
        <v>105297</v>
      </c>
      <c r="R29" s="616">
        <f t="shared" si="11"/>
        <v>11.564540207687728</v>
      </c>
      <c r="S29" s="616">
        <f t="shared" si="12"/>
        <v>133.73859021522611</v>
      </c>
      <c r="T29" s="616">
        <f t="shared" si="27"/>
        <v>0.7797468201804052</v>
      </c>
      <c r="U29" s="616">
        <f t="shared" si="13"/>
        <v>0.60800510358145321</v>
      </c>
      <c r="V29" s="350">
        <f t="shared" si="25"/>
        <v>1984</v>
      </c>
      <c r="W29" s="215">
        <v>6351</v>
      </c>
      <c r="X29" s="616">
        <f t="shared" si="14"/>
        <v>8.7563675598029747</v>
      </c>
      <c r="Y29" s="616">
        <f t="shared" si="15"/>
        <v>76.673972842369906</v>
      </c>
      <c r="Z29" s="616">
        <f t="shared" si="16"/>
        <v>-2.0284258277043481</v>
      </c>
      <c r="AA29" s="616">
        <f t="shared" si="17"/>
        <v>4.1145113384980698</v>
      </c>
      <c r="AB29" s="247">
        <f t="shared" si="18"/>
        <v>1985</v>
      </c>
      <c r="AC29" s="215">
        <v>21049.436000000002</v>
      </c>
      <c r="AD29" s="616">
        <f t="shared" si="19"/>
        <v>9.9546290454024113</v>
      </c>
      <c r="AE29" s="616">
        <f t="shared" si="20"/>
        <v>99.09463943156932</v>
      </c>
      <c r="AF29" s="616">
        <f t="shared" si="21"/>
        <v>-0.83016434210491219</v>
      </c>
      <c r="AG29" s="617">
        <f t="shared" si="22"/>
        <v>0.68917283490248171</v>
      </c>
      <c r="AH29" s="622">
        <f t="shared" si="26"/>
        <v>1979</v>
      </c>
      <c r="AI29" s="259">
        <f t="shared" si="23"/>
        <v>150406.90699999998</v>
      </c>
      <c r="AJ29" s="213">
        <f t="shared" si="30"/>
        <v>1983</v>
      </c>
      <c r="AK29" s="217">
        <f t="shared" si="28"/>
        <v>73025</v>
      </c>
      <c r="AL29" s="472"/>
      <c r="AM29" s="472">
        <v>34242</v>
      </c>
      <c r="AN29" s="217">
        <f t="shared" si="24"/>
        <v>102125.90699999998</v>
      </c>
      <c r="AO29" s="604">
        <f t="shared" si="32"/>
        <v>38783</v>
      </c>
      <c r="AP29" s="213">
        <f t="shared" si="29"/>
        <v>32</v>
      </c>
      <c r="AQ29" s="608">
        <f t="shared" si="33"/>
        <v>0.46890790825059914</v>
      </c>
    </row>
    <row r="30" spans="1:43">
      <c r="A30" s="246">
        <v>1980</v>
      </c>
      <c r="B30" s="215">
        <v>142253</v>
      </c>
      <c r="C30" s="616">
        <f t="shared" si="0"/>
        <v>11.865362441397126</v>
      </c>
      <c r="D30" s="247">
        <f t="shared" si="1"/>
        <v>1983</v>
      </c>
      <c r="E30" s="627">
        <v>162</v>
      </c>
      <c r="F30" s="616">
        <f t="shared" si="31"/>
        <v>5.0875963352323836</v>
      </c>
      <c r="G30" s="616">
        <f t="shared" si="2"/>
        <v>25.88363647026998</v>
      </c>
      <c r="H30" s="613">
        <f t="shared" si="3"/>
        <v>-6.7777661061647416</v>
      </c>
      <c r="I30" s="218">
        <f t="shared" si="4"/>
        <v>45.938113389875561</v>
      </c>
      <c r="J30" s="247">
        <f t="shared" si="5"/>
        <v>1984</v>
      </c>
      <c r="K30" s="215">
        <v>37780</v>
      </c>
      <c r="L30" s="616">
        <f t="shared" si="6"/>
        <v>10.5395351410555</v>
      </c>
      <c r="M30" s="616">
        <f t="shared" si="7"/>
        <v>111.08180098954379</v>
      </c>
      <c r="N30" s="616">
        <f t="shared" si="8"/>
        <v>-1.325827300341625</v>
      </c>
      <c r="O30" s="616">
        <f t="shared" si="9"/>
        <v>1.7578180303311615</v>
      </c>
      <c r="P30" s="247">
        <f t="shared" si="10"/>
        <v>1985</v>
      </c>
      <c r="Q30" s="215">
        <v>344020.06300000002</v>
      </c>
      <c r="R30" s="616">
        <f t="shared" si="11"/>
        <v>12.748455257329253</v>
      </c>
      <c r="S30" s="616">
        <f t="shared" si="12"/>
        <v>162.52311144812586</v>
      </c>
      <c r="T30" s="616">
        <f t="shared" si="27"/>
        <v>0.88309281593212741</v>
      </c>
      <c r="U30" s="616">
        <f t="shared" si="13"/>
        <v>0.77985292155093422</v>
      </c>
      <c r="V30" s="350">
        <f t="shared" si="25"/>
        <v>1985</v>
      </c>
      <c r="W30" s="215">
        <v>51571.502999999997</v>
      </c>
      <c r="X30" s="616">
        <f t="shared" si="14"/>
        <v>10.850724531471959</v>
      </c>
      <c r="Y30" s="616">
        <f t="shared" si="15"/>
        <v>117.73822285788737</v>
      </c>
      <c r="Z30" s="616">
        <f t="shared" si="16"/>
        <v>-1.0146379099251661</v>
      </c>
      <c r="AA30" s="616">
        <f t="shared" si="17"/>
        <v>1.0294900882573095</v>
      </c>
      <c r="AB30" s="247">
        <f t="shared" si="18"/>
        <v>1986</v>
      </c>
      <c r="AC30" s="215">
        <v>40122.241999999998</v>
      </c>
      <c r="AD30" s="616">
        <f t="shared" si="19"/>
        <v>10.599686122867453</v>
      </c>
      <c r="AE30" s="616">
        <f t="shared" si="20"/>
        <v>112.35334590330886</v>
      </c>
      <c r="AF30" s="616">
        <f t="shared" si="21"/>
        <v>-1.2656763185296731</v>
      </c>
      <c r="AG30" s="617">
        <f t="shared" si="22"/>
        <v>1.6019365432868264</v>
      </c>
      <c r="AH30" s="622">
        <f t="shared" si="26"/>
        <v>1980</v>
      </c>
      <c r="AI30" s="259">
        <f t="shared" si="23"/>
        <v>473655.80800000002</v>
      </c>
      <c r="AJ30" s="213">
        <f t="shared" si="30"/>
        <v>1984</v>
      </c>
      <c r="AK30" s="217">
        <f t="shared" si="28"/>
        <v>157245</v>
      </c>
      <c r="AL30" s="472"/>
      <c r="AM30" s="472">
        <v>93623</v>
      </c>
      <c r="AN30" s="217">
        <f t="shared" si="24"/>
        <v>331402.80800000002</v>
      </c>
      <c r="AO30" s="604">
        <f t="shared" si="32"/>
        <v>63622</v>
      </c>
      <c r="AP30" s="213">
        <f t="shared" si="29"/>
        <v>18</v>
      </c>
      <c r="AQ30" s="608">
        <f t="shared" si="33"/>
        <v>0.59539572005469177</v>
      </c>
    </row>
    <row r="31" spans="1:43">
      <c r="A31" s="246">
        <v>1981</v>
      </c>
      <c r="B31" s="215">
        <v>156112</v>
      </c>
      <c r="C31" s="616">
        <f t="shared" si="0"/>
        <v>11.958328977347731</v>
      </c>
      <c r="D31" s="247">
        <f t="shared" si="1"/>
        <v>1984</v>
      </c>
      <c r="E31" s="627">
        <v>436</v>
      </c>
      <c r="F31" s="616">
        <f t="shared" si="31"/>
        <v>6.0776422433490342</v>
      </c>
      <c r="G31" s="616">
        <f t="shared" si="2"/>
        <v>36.937735238140682</v>
      </c>
      <c r="H31" s="613">
        <f t="shared" si="3"/>
        <v>-5.8806867339986972</v>
      </c>
      <c r="I31" s="218">
        <f t="shared" si="4"/>
        <v>34.582476463428264</v>
      </c>
      <c r="J31" s="247">
        <f t="shared" si="5"/>
        <v>1985</v>
      </c>
      <c r="K31" s="215">
        <v>92478.074000000095</v>
      </c>
      <c r="L31" s="616">
        <f t="shared" si="6"/>
        <v>11.434726857564771</v>
      </c>
      <c r="M31" s="616">
        <f t="shared" si="7"/>
        <v>130.7529783071131</v>
      </c>
      <c r="N31" s="616">
        <f>LN(K31/$B31)</f>
        <v>-0.52360211978296001</v>
      </c>
      <c r="O31" s="616">
        <f t="shared" si="9"/>
        <v>0.27415917984120919</v>
      </c>
      <c r="P31" s="247">
        <f t="shared" si="10"/>
        <v>1986</v>
      </c>
      <c r="Q31" s="215">
        <v>355917.22859999997</v>
      </c>
      <c r="R31" s="616">
        <f t="shared" si="11"/>
        <v>12.782453478868353</v>
      </c>
      <c r="S31" s="616">
        <f t="shared" si="12"/>
        <v>163.39111693943366</v>
      </c>
      <c r="T31" s="616">
        <f t="shared" si="27"/>
        <v>0.82412450152062222</v>
      </c>
      <c r="U31" s="616">
        <f t="shared" si="13"/>
        <v>0.67918119400661403</v>
      </c>
      <c r="V31" s="350">
        <f t="shared" si="25"/>
        <v>1986</v>
      </c>
      <c r="W31" s="215">
        <v>14589.9566</v>
      </c>
      <c r="X31" s="616">
        <f t="shared" si="14"/>
        <v>9.5880886668722418</v>
      </c>
      <c r="Y31" s="616">
        <f t="shared" si="15"/>
        <v>91.931444283803927</v>
      </c>
      <c r="Z31" s="616">
        <f t="shared" si="16"/>
        <v>-2.3702403104754888</v>
      </c>
      <c r="AA31" s="616">
        <f t="shared" si="17"/>
        <v>5.6180391294029413</v>
      </c>
      <c r="AB31" s="247">
        <f t="shared" si="18"/>
        <v>1987</v>
      </c>
      <c r="AC31" s="215">
        <v>32817</v>
      </c>
      <c r="AD31" s="616">
        <f t="shared" si="19"/>
        <v>10.398701952787901</v>
      </c>
      <c r="AE31" s="616">
        <f t="shared" si="20"/>
        <v>108.1330023029149</v>
      </c>
      <c r="AF31" s="616">
        <f t="shared" si="21"/>
        <v>-1.5596270245598307</v>
      </c>
      <c r="AG31" s="617">
        <f t="shared" si="22"/>
        <v>2.4324364557373506</v>
      </c>
      <c r="AH31" s="622">
        <f t="shared" si="26"/>
        <v>1981</v>
      </c>
      <c r="AI31" s="259">
        <f t="shared" si="23"/>
        <v>496238.25920000003</v>
      </c>
      <c r="AJ31" s="213">
        <f t="shared" si="30"/>
        <v>1985</v>
      </c>
      <c r="AK31" s="217">
        <f t="shared" si="28"/>
        <v>509273.83158215007</v>
      </c>
      <c r="AL31" s="472"/>
      <c r="AM31" s="472">
        <v>345931.83158</v>
      </c>
      <c r="AN31" s="217">
        <f t="shared" si="24"/>
        <v>340126.25920000003</v>
      </c>
      <c r="AO31" s="604">
        <f t="shared" si="32"/>
        <v>163342</v>
      </c>
      <c r="AP31" s="213">
        <f t="shared" si="29"/>
        <v>4</v>
      </c>
      <c r="AQ31" s="608">
        <f t="shared" si="33"/>
        <v>0.67926488684378517</v>
      </c>
    </row>
    <row r="32" spans="1:43">
      <c r="A32" s="246">
        <v>1982</v>
      </c>
      <c r="B32" s="215">
        <v>180314</v>
      </c>
      <c r="C32" s="616">
        <f t="shared" si="0"/>
        <v>12.102455054540769</v>
      </c>
      <c r="D32" s="247">
        <f t="shared" si="1"/>
        <v>1985</v>
      </c>
      <c r="E32" s="627">
        <v>154.75558215000001</v>
      </c>
      <c r="F32" s="616">
        <f t="shared" si="31"/>
        <v>5.0418469829658212</v>
      </c>
      <c r="G32" s="616">
        <f t="shared" si="2"/>
        <v>25.420220999641554</v>
      </c>
      <c r="H32" s="613">
        <f t="shared" si="3"/>
        <v>-7.0606080715749471</v>
      </c>
      <c r="I32" s="218">
        <f t="shared" si="4"/>
        <v>49.852186340389295</v>
      </c>
      <c r="J32" s="247">
        <f t="shared" si="5"/>
        <v>1986</v>
      </c>
      <c r="K32" s="215">
        <v>58604.135370000004</v>
      </c>
      <c r="L32" s="616">
        <f t="shared" si="6"/>
        <v>10.978560542529122</v>
      </c>
      <c r="M32" s="616">
        <f t="shared" si="7"/>
        <v>120.52879158597733</v>
      </c>
      <c r="N32" s="616">
        <f t="shared" si="8"/>
        <v>-1.1238945120116464</v>
      </c>
      <c r="O32" s="616">
        <f t="shared" si="9"/>
        <v>1.2631388741298968</v>
      </c>
      <c r="P32" s="247">
        <f t="shared" si="10"/>
        <v>1987</v>
      </c>
      <c r="Q32" s="215">
        <v>546985</v>
      </c>
      <c r="R32" s="616">
        <f t="shared" si="11"/>
        <v>13.212176658724646</v>
      </c>
      <c r="S32" s="616">
        <f t="shared" si="12"/>
        <v>174.56161206134834</v>
      </c>
      <c r="T32" s="616">
        <f t="shared" si="27"/>
        <v>1.109721604183878</v>
      </c>
      <c r="U32" s="616">
        <f t="shared" si="13"/>
        <v>1.2314820387924397</v>
      </c>
      <c r="V32" s="350">
        <f t="shared" si="25"/>
        <v>1987</v>
      </c>
      <c r="W32" s="215">
        <v>5829</v>
      </c>
      <c r="X32" s="616">
        <f t="shared" si="14"/>
        <v>8.6706007380455503</v>
      </c>
      <c r="Y32" s="616">
        <f t="shared" si="15"/>
        <v>75.179317158596035</v>
      </c>
      <c r="Z32" s="616">
        <f t="shared" si="16"/>
        <v>-3.4318543164952189</v>
      </c>
      <c r="AA32" s="616">
        <f t="shared" si="17"/>
        <v>11.777624049646866</v>
      </c>
      <c r="AB32" s="247">
        <f t="shared" si="18"/>
        <v>1988</v>
      </c>
      <c r="AC32" s="215">
        <v>586</v>
      </c>
      <c r="AD32" s="616">
        <f t="shared" si="19"/>
        <v>6.3733197895770122</v>
      </c>
      <c r="AE32" s="616">
        <f t="shared" si="20"/>
        <v>40.619205140213971</v>
      </c>
      <c r="AF32" s="616">
        <f t="shared" si="21"/>
        <v>-5.7291352649637561</v>
      </c>
      <c r="AG32" s="617">
        <f t="shared" si="22"/>
        <v>32.822990884251325</v>
      </c>
      <c r="AH32" s="622">
        <f t="shared" si="26"/>
        <v>1982</v>
      </c>
      <c r="AI32" s="259">
        <f t="shared" si="23"/>
        <v>612158.89095214999</v>
      </c>
      <c r="AJ32" s="213">
        <f t="shared" si="30"/>
        <v>1986</v>
      </c>
      <c r="AK32" s="217">
        <f t="shared" si="28"/>
        <v>469304.65756999992</v>
      </c>
      <c r="AL32" s="472"/>
      <c r="AM32" s="472">
        <v>395169.65756999998</v>
      </c>
      <c r="AN32" s="217">
        <f t="shared" si="24"/>
        <v>431844.89095214999</v>
      </c>
      <c r="AO32" s="604">
        <f t="shared" si="32"/>
        <v>74135</v>
      </c>
      <c r="AP32" s="213">
        <f t="shared" si="29"/>
        <v>5</v>
      </c>
      <c r="AQ32" s="608">
        <f t="shared" si="33"/>
        <v>0.84203225174908414</v>
      </c>
    </row>
    <row r="33" spans="1:43">
      <c r="A33" s="246">
        <v>1983</v>
      </c>
      <c r="B33" s="215">
        <v>38783</v>
      </c>
      <c r="C33" s="616">
        <f t="shared" si="0"/>
        <v>10.565737285268195</v>
      </c>
      <c r="D33" s="247">
        <f t="shared" si="1"/>
        <v>1986</v>
      </c>
      <c r="E33" s="627">
        <v>71.094999999999999</v>
      </c>
      <c r="F33" s="616">
        <f t="shared" si="31"/>
        <v>4.2640170108483382</v>
      </c>
      <c r="G33" s="616">
        <f t="shared" si="2"/>
        <v>18.181841068803998</v>
      </c>
      <c r="H33" s="613">
        <f t="shared" si="3"/>
        <v>-6.301720274419857</v>
      </c>
      <c r="I33" s="218">
        <f t="shared" si="4"/>
        <v>39.711678417034278</v>
      </c>
      <c r="J33" s="247">
        <f t="shared" si="5"/>
        <v>1987</v>
      </c>
      <c r="K33" s="215">
        <v>11755</v>
      </c>
      <c r="L33" s="616">
        <f t="shared" si="6"/>
        <v>9.3720339609741696</v>
      </c>
      <c r="M33" s="616">
        <f t="shared" si="7"/>
        <v>87.835020565653181</v>
      </c>
      <c r="N33" s="616">
        <f t="shared" si="8"/>
        <v>-1.1937033242940249</v>
      </c>
      <c r="O33" s="616">
        <f t="shared" si="9"/>
        <v>1.4249276264306061</v>
      </c>
      <c r="P33" s="247">
        <f t="shared" si="10"/>
        <v>1988</v>
      </c>
      <c r="Q33" s="215">
        <v>86810</v>
      </c>
      <c r="R33" s="616">
        <f t="shared" si="11"/>
        <v>11.371477101385853</v>
      </c>
      <c r="S33" s="616">
        <f t="shared" si="12"/>
        <v>129.31049146734281</v>
      </c>
      <c r="T33" s="616">
        <f t="shared" si="27"/>
        <v>0.80573981611765888</v>
      </c>
      <c r="U33" s="616">
        <f t="shared" si="13"/>
        <v>0.64921665127731876</v>
      </c>
      <c r="V33" s="350">
        <f t="shared" si="25"/>
        <v>1988</v>
      </c>
      <c r="W33" s="215">
        <v>448</v>
      </c>
      <c r="X33" s="616">
        <f t="shared" si="14"/>
        <v>6.1047932324149849</v>
      </c>
      <c r="Y33" s="616">
        <f t="shared" si="15"/>
        <v>37.268500410539801</v>
      </c>
      <c r="Z33" s="616">
        <f t="shared" si="16"/>
        <v>-4.4609440528532094</v>
      </c>
      <c r="AA33" s="616">
        <f t="shared" si="17"/>
        <v>19.900021842686417</v>
      </c>
      <c r="AB33" s="247">
        <f t="shared" si="18"/>
        <v>1989</v>
      </c>
      <c r="AC33" s="215">
        <v>7213</v>
      </c>
      <c r="AD33" s="616">
        <f t="shared" si="19"/>
        <v>8.883640232503673</v>
      </c>
      <c r="AE33" s="616">
        <f t="shared" si="20"/>
        <v>78.919063780557906</v>
      </c>
      <c r="AF33" s="616">
        <f t="shared" si="21"/>
        <v>-1.6820970527645223</v>
      </c>
      <c r="AG33" s="617">
        <f t="shared" si="22"/>
        <v>2.829450494919092</v>
      </c>
      <c r="AH33" s="622">
        <f t="shared" si="26"/>
        <v>1983</v>
      </c>
      <c r="AI33" s="259">
        <f t="shared" si="23"/>
        <v>106297.095</v>
      </c>
      <c r="AJ33" s="213">
        <f t="shared" si="30"/>
        <v>1987</v>
      </c>
      <c r="AK33" s="217">
        <f t="shared" si="28"/>
        <v>598733</v>
      </c>
      <c r="AL33" s="472"/>
      <c r="AM33" s="472">
        <v>411470</v>
      </c>
      <c r="AN33" s="217">
        <f t="shared" si="24"/>
        <v>67514.095000000001</v>
      </c>
      <c r="AO33" s="604">
        <f t="shared" si="32"/>
        <v>187263</v>
      </c>
      <c r="AP33" s="213">
        <f t="shared" si="29"/>
        <v>2</v>
      </c>
      <c r="AQ33" s="608">
        <f t="shared" si="33"/>
        <v>0.68723454361125913</v>
      </c>
    </row>
    <row r="34" spans="1:43">
      <c r="A34" s="246">
        <v>1984</v>
      </c>
      <c r="B34" s="215">
        <v>63622</v>
      </c>
      <c r="C34" s="616">
        <f t="shared" si="0"/>
        <v>11.060714601464154</v>
      </c>
      <c r="D34" s="247">
        <f t="shared" si="1"/>
        <v>1987</v>
      </c>
      <c r="E34" s="627">
        <v>1347</v>
      </c>
      <c r="F34" s="616">
        <f t="shared" si="31"/>
        <v>7.2056351764103637</v>
      </c>
      <c r="G34" s="616">
        <f t="shared" si="2"/>
        <v>51.921178295522409</v>
      </c>
      <c r="H34" s="613">
        <f t="shared" si="3"/>
        <v>-3.8550794250537899</v>
      </c>
      <c r="I34" s="218">
        <f t="shared" si="4"/>
        <v>14.861637373473059</v>
      </c>
      <c r="J34" s="247">
        <f t="shared" si="5"/>
        <v>1988</v>
      </c>
      <c r="K34" s="215">
        <v>64775</v>
      </c>
      <c r="L34" s="616">
        <f t="shared" si="6"/>
        <v>11.078675005430311</v>
      </c>
      <c r="M34" s="616">
        <f t="shared" si="7"/>
        <v>122.73703987594629</v>
      </c>
      <c r="N34" s="616">
        <f t="shared" si="8"/>
        <v>1.7960403966156908E-2</v>
      </c>
      <c r="O34" s="616">
        <f t="shared" si="9"/>
        <v>3.2257611062754476E-4</v>
      </c>
      <c r="P34" s="247">
        <f t="shared" si="10"/>
        <v>1989</v>
      </c>
      <c r="Q34" s="215">
        <v>133744</v>
      </c>
      <c r="R34" s="616">
        <f t="shared" si="11"/>
        <v>11.803682803938937</v>
      </c>
      <c r="S34" s="616">
        <f t="shared" si="12"/>
        <v>139.32692773600377</v>
      </c>
      <c r="T34" s="616">
        <f t="shared" si="27"/>
        <v>0.74296820247478357</v>
      </c>
      <c r="U34" s="616">
        <f t="shared" si="13"/>
        <v>0.55200174988861095</v>
      </c>
      <c r="V34" s="350">
        <f t="shared" si="25"/>
        <v>1989</v>
      </c>
      <c r="W34" s="215">
        <v>2112</v>
      </c>
      <c r="X34" s="616">
        <f t="shared" si="14"/>
        <v>7.6553906448261522</v>
      </c>
      <c r="Y34" s="616">
        <f t="shared" si="15"/>
        <v>58.605005924891771</v>
      </c>
      <c r="Z34" s="616">
        <f t="shared" si="16"/>
        <v>-3.4053239566380018</v>
      </c>
      <c r="AA34" s="616">
        <f t="shared" si="17"/>
        <v>11.596231249652696</v>
      </c>
      <c r="AB34" s="247">
        <f t="shared" si="18"/>
        <v>1990</v>
      </c>
      <c r="AC34" s="215">
        <v>1108.296</v>
      </c>
      <c r="AD34" s="616">
        <f t="shared" si="19"/>
        <v>7.0105789796439932</v>
      </c>
      <c r="AE34" s="616">
        <f t="shared" si="20"/>
        <v>49.148217629826213</v>
      </c>
      <c r="AF34" s="616">
        <f t="shared" si="21"/>
        <v>-4.0501356218201607</v>
      </c>
      <c r="AG34" s="617">
        <f t="shared" si="22"/>
        <v>16.403598555136579</v>
      </c>
      <c r="AH34" s="622">
        <f t="shared" si="26"/>
        <v>1984</v>
      </c>
      <c r="AI34" s="259">
        <f t="shared" si="23"/>
        <v>203086.296</v>
      </c>
      <c r="AJ34" s="213">
        <f t="shared" si="30"/>
        <v>1988</v>
      </c>
      <c r="AK34" s="217">
        <f t="shared" si="28"/>
        <v>152650</v>
      </c>
      <c r="AL34" s="472"/>
      <c r="AM34" s="472">
        <v>80627</v>
      </c>
      <c r="AN34" s="217">
        <f t="shared" si="24"/>
        <v>139464.296</v>
      </c>
      <c r="AO34" s="604">
        <f t="shared" si="32"/>
        <v>72023</v>
      </c>
      <c r="AP34" s="213">
        <f t="shared" si="29"/>
        <v>19</v>
      </c>
      <c r="AQ34" s="608">
        <f t="shared" si="33"/>
        <v>0.52818211595152309</v>
      </c>
    </row>
    <row r="35" spans="1:43">
      <c r="A35" s="246">
        <v>1985</v>
      </c>
      <c r="B35" s="215">
        <v>163342</v>
      </c>
      <c r="C35" s="616">
        <f t="shared" si="0"/>
        <v>12.003601441235492</v>
      </c>
      <c r="D35" s="247">
        <f t="shared" si="1"/>
        <v>1988</v>
      </c>
      <c r="E35" s="627">
        <v>31</v>
      </c>
      <c r="F35" s="616">
        <f t="shared" si="31"/>
        <v>3.4339872044851463</v>
      </c>
      <c r="G35" s="616">
        <f t="shared" si="2"/>
        <v>11.79226812056771</v>
      </c>
      <c r="H35" s="613">
        <f t="shared" si="3"/>
        <v>-8.5696142367503469</v>
      </c>
      <c r="I35" s="218">
        <f t="shared" si="4"/>
        <v>73.43828816671423</v>
      </c>
      <c r="J35" s="247">
        <f t="shared" si="5"/>
        <v>1989</v>
      </c>
      <c r="K35" s="215">
        <v>1682</v>
      </c>
      <c r="L35" s="616">
        <f t="shared" si="6"/>
        <v>7.4277388405328937</v>
      </c>
      <c r="M35" s="616">
        <f t="shared" si="7"/>
        <v>55.171304283160936</v>
      </c>
      <c r="N35" s="616">
        <f t="shared" si="8"/>
        <v>-4.5758626007025995</v>
      </c>
      <c r="O35" s="616">
        <f t="shared" si="9"/>
        <v>20.938518540508756</v>
      </c>
      <c r="P35" s="247">
        <f t="shared" si="10"/>
        <v>1990</v>
      </c>
      <c r="Q35" s="215">
        <v>12950.644</v>
      </c>
      <c r="R35" s="616">
        <f t="shared" si="11"/>
        <v>9.4689007956209323</v>
      </c>
      <c r="S35" s="616">
        <f t="shared" si="12"/>
        <v>89.660082277310721</v>
      </c>
      <c r="T35" s="616">
        <f t="shared" si="27"/>
        <v>-2.5347006456145609</v>
      </c>
      <c r="U35" s="616">
        <f t="shared" si="13"/>
        <v>6.4247073628788716</v>
      </c>
      <c r="V35" s="350">
        <f t="shared" si="25"/>
        <v>1990</v>
      </c>
      <c r="W35" s="215">
        <v>1169.8679999999999</v>
      </c>
      <c r="X35" s="616">
        <f t="shared" si="14"/>
        <v>7.0646462009142681</v>
      </c>
      <c r="Y35" s="616">
        <f t="shared" si="15"/>
        <v>49.909225944092398</v>
      </c>
      <c r="Z35" s="616">
        <f t="shared" si="16"/>
        <v>-4.9389552403212242</v>
      </c>
      <c r="AA35" s="616">
        <f t="shared" si="17"/>
        <v>24.39327886589648</v>
      </c>
      <c r="AB35" s="247">
        <f t="shared" si="18"/>
        <v>1991</v>
      </c>
      <c r="AC35" s="215">
        <v>764.17078055617992</v>
      </c>
      <c r="AD35" s="616">
        <f t="shared" si="19"/>
        <v>6.6387912989457467</v>
      </c>
      <c r="AE35" s="616">
        <f t="shared" si="20"/>
        <v>44.073549910957752</v>
      </c>
      <c r="AF35" s="616">
        <f t="shared" si="21"/>
        <v>-5.3648101422897456</v>
      </c>
      <c r="AG35" s="617">
        <f t="shared" si="22"/>
        <v>28.781187862814921</v>
      </c>
      <c r="AH35" s="622">
        <f t="shared" si="26"/>
        <v>1985</v>
      </c>
      <c r="AI35" s="259">
        <f t="shared" si="23"/>
        <v>16597.682780556181</v>
      </c>
      <c r="AJ35" s="213">
        <f t="shared" si="30"/>
        <v>1989</v>
      </c>
      <c r="AK35" s="217">
        <f t="shared" si="28"/>
        <v>144785</v>
      </c>
      <c r="AL35" s="472"/>
      <c r="AM35" s="472">
        <v>107904</v>
      </c>
      <c r="AN35" s="217">
        <f t="shared" si="24"/>
        <v>-146744.31721944382</v>
      </c>
      <c r="AO35" s="604">
        <f t="shared" si="32"/>
        <v>36881</v>
      </c>
      <c r="AP35" s="213">
        <f t="shared" si="29"/>
        <v>21</v>
      </c>
      <c r="AQ35" s="608">
        <f t="shared" si="33"/>
        <v>0.74527057360914462</v>
      </c>
    </row>
    <row r="36" spans="1:43">
      <c r="A36" s="246">
        <v>1986</v>
      </c>
      <c r="B36" s="215">
        <v>74135</v>
      </c>
      <c r="C36" s="616">
        <f t="shared" si="0"/>
        <v>11.213643034452126</v>
      </c>
      <c r="D36" s="247">
        <f t="shared" si="1"/>
        <v>1989</v>
      </c>
      <c r="E36" s="627">
        <v>34</v>
      </c>
      <c r="F36" s="616">
        <f t="shared" si="31"/>
        <v>3.5263605246161616</v>
      </c>
      <c r="G36" s="616">
        <f t="shared" si="2"/>
        <v>12.43521854957117</v>
      </c>
      <c r="H36" s="613">
        <f t="shared" si="3"/>
        <v>-7.6872825098359652</v>
      </c>
      <c r="I36" s="218">
        <f t="shared" si="4"/>
        <v>59.094312386029934</v>
      </c>
      <c r="J36" s="247">
        <f t="shared" si="5"/>
        <v>1990</v>
      </c>
      <c r="K36" s="215">
        <v>4371.6120000000001</v>
      </c>
      <c r="L36" s="616">
        <f t="shared" si="6"/>
        <v>8.3828870987891442</v>
      </c>
      <c r="M36" s="616">
        <f t="shared" si="7"/>
        <v>70.27279611104548</v>
      </c>
      <c r="N36" s="616">
        <f t="shared" si="8"/>
        <v>-2.830755935662983</v>
      </c>
      <c r="O36" s="616">
        <f t="shared" si="9"/>
        <v>8.0131791672912112</v>
      </c>
      <c r="P36" s="247">
        <f t="shared" si="10"/>
        <v>1991</v>
      </c>
      <c r="Q36" s="215">
        <v>17266.128987701795</v>
      </c>
      <c r="R36" s="616">
        <f t="shared" si="11"/>
        <v>9.7565019993862236</v>
      </c>
      <c r="S36" s="616">
        <f t="shared" si="12"/>
        <v>95.189331264027373</v>
      </c>
      <c r="T36" s="616">
        <f t="shared" si="27"/>
        <v>-1.4571410350659026</v>
      </c>
      <c r="U36" s="616">
        <f t="shared" si="13"/>
        <v>2.1232599960729299</v>
      </c>
      <c r="V36" s="350">
        <f t="shared" si="25"/>
        <v>1991</v>
      </c>
      <c r="W36" s="215">
        <v>82.613057357424864</v>
      </c>
      <c r="X36" s="616">
        <f t="shared" si="14"/>
        <v>4.4141677474214127</v>
      </c>
      <c r="Y36" s="616">
        <f t="shared" si="15"/>
        <v>19.484876902375429</v>
      </c>
      <c r="Z36" s="616">
        <f t="shared" si="16"/>
        <v>-6.799475287030714</v>
      </c>
      <c r="AA36" s="616">
        <f t="shared" si="17"/>
        <v>46.232864178941412</v>
      </c>
      <c r="AB36" s="247">
        <f t="shared" si="18"/>
        <v>1992</v>
      </c>
      <c r="AC36" s="215">
        <v>5163.6289999999999</v>
      </c>
      <c r="AD36" s="616">
        <f t="shared" si="19"/>
        <v>8.5493949058535179</v>
      </c>
      <c r="AE36" s="616">
        <f t="shared" si="20"/>
        <v>73.092153256234084</v>
      </c>
      <c r="AF36" s="616">
        <f t="shared" si="21"/>
        <v>-2.6642481285986093</v>
      </c>
      <c r="AG36" s="617">
        <f t="shared" si="22"/>
        <v>7.0982180907411916</v>
      </c>
      <c r="AH36" s="622">
        <f t="shared" si="26"/>
        <v>1986</v>
      </c>
      <c r="AI36" s="259">
        <f t="shared" si="23"/>
        <v>26917.98304505922</v>
      </c>
      <c r="AJ36" s="213">
        <f t="shared" si="30"/>
        <v>1990</v>
      </c>
      <c r="AK36" s="217">
        <f t="shared" si="28"/>
        <v>19620.419999999998</v>
      </c>
      <c r="AL36" s="472"/>
      <c r="AM36" s="472">
        <v>11370.42</v>
      </c>
      <c r="AN36" s="217">
        <f t="shared" si="24"/>
        <v>-47217.01695494078</v>
      </c>
      <c r="AO36" s="604">
        <f t="shared" si="32"/>
        <v>8250</v>
      </c>
      <c r="AP36" s="213">
        <f t="shared" si="29"/>
        <v>44</v>
      </c>
      <c r="AQ36" s="608">
        <f t="shared" si="33"/>
        <v>0.57951970447115808</v>
      </c>
    </row>
    <row r="37" spans="1:43">
      <c r="A37" s="246">
        <v>1987</v>
      </c>
      <c r="B37" s="215">
        <v>187263</v>
      </c>
      <c r="C37" s="616">
        <f t="shared" si="0"/>
        <v>12.1402693248708</v>
      </c>
      <c r="D37" s="247">
        <f t="shared" si="1"/>
        <v>1990</v>
      </c>
      <c r="E37" s="627">
        <v>20</v>
      </c>
      <c r="F37" s="616">
        <f t="shared" si="31"/>
        <v>2.9957322735539909</v>
      </c>
      <c r="G37" s="616">
        <f t="shared" si="2"/>
        <v>8.9744118548129634</v>
      </c>
      <c r="H37" s="613">
        <f t="shared" si="3"/>
        <v>-9.1445370513168101</v>
      </c>
      <c r="I37" s="218">
        <f t="shared" si="4"/>
        <v>83.622557882905937</v>
      </c>
      <c r="J37" s="247">
        <f t="shared" si="5"/>
        <v>1991</v>
      </c>
      <c r="K37" s="215">
        <v>2168.5927556324027</v>
      </c>
      <c r="L37" s="616">
        <f t="shared" si="6"/>
        <v>7.6818337364590459</v>
      </c>
      <c r="M37" s="616">
        <f t="shared" si="7"/>
        <v>59.010569554600345</v>
      </c>
      <c r="N37" s="616">
        <f t="shared" si="8"/>
        <v>-4.4584355884117555</v>
      </c>
      <c r="O37" s="616">
        <f t="shared" si="9"/>
        <v>19.877647896016477</v>
      </c>
      <c r="P37" s="247">
        <f t="shared" si="10"/>
        <v>1992</v>
      </c>
      <c r="Q37" s="215">
        <v>53696.974000000002</v>
      </c>
      <c r="R37" s="616">
        <f t="shared" si="11"/>
        <v>10.89111192881612</v>
      </c>
      <c r="S37" s="616">
        <f t="shared" si="12"/>
        <v>118.61631904600078</v>
      </c>
      <c r="T37" s="616">
        <f t="shared" si="27"/>
        <v>-1.2491573960546811</v>
      </c>
      <c r="U37" s="616">
        <f t="shared" si="13"/>
        <v>1.5603942001181115</v>
      </c>
      <c r="V37" s="350">
        <f t="shared" si="25"/>
        <v>1992</v>
      </c>
      <c r="W37" s="215">
        <v>1418.5519999999999</v>
      </c>
      <c r="X37" s="616">
        <f t="shared" si="14"/>
        <v>7.2573919120190178</v>
      </c>
      <c r="Y37" s="616">
        <f t="shared" si="15"/>
        <v>52.669737364639055</v>
      </c>
      <c r="Z37" s="616">
        <f t="shared" si="16"/>
        <v>-4.8828774128517836</v>
      </c>
      <c r="AA37" s="616">
        <f t="shared" si="17"/>
        <v>23.842491828938126</v>
      </c>
      <c r="AB37" s="247">
        <f t="shared" si="18"/>
        <v>1993</v>
      </c>
      <c r="AC37" s="217">
        <f>503+2246</f>
        <v>2749</v>
      </c>
      <c r="AD37" s="616">
        <f t="shared" ref="AD37:AD53" si="34">LN(AC37)</f>
        <v>7.9189924881652454</v>
      </c>
      <c r="AE37" s="616">
        <f t="shared" ref="AE37:AE53" si="35">AD37^2</f>
        <v>62.710442027617582</v>
      </c>
      <c r="AF37" s="616">
        <f t="shared" ref="AF37:AF45" si="36">LN(AC37/$B37)</f>
        <v>-4.2212768367055551</v>
      </c>
      <c r="AG37" s="617">
        <f t="shared" ref="AG37:AG53" si="37">AF37^2</f>
        <v>17.819178132106856</v>
      </c>
      <c r="AH37" s="622">
        <f t="shared" si="26"/>
        <v>1987</v>
      </c>
      <c r="AI37" s="259">
        <f t="shared" si="23"/>
        <v>60053.1187556324</v>
      </c>
      <c r="AJ37" s="213">
        <f t="shared" si="30"/>
        <v>1991</v>
      </c>
      <c r="AK37" s="217">
        <f t="shared" si="28"/>
        <v>20302.158845587157</v>
      </c>
      <c r="AL37" s="472"/>
      <c r="AM37" s="472">
        <v>10601.15885</v>
      </c>
      <c r="AN37" s="217">
        <f t="shared" si="24"/>
        <v>-127209.8812443676</v>
      </c>
      <c r="AO37" s="604">
        <f t="shared" si="32"/>
        <v>9701</v>
      </c>
      <c r="AP37" s="213">
        <f t="shared" si="29"/>
        <v>43</v>
      </c>
      <c r="AQ37" s="608">
        <f t="shared" si="33"/>
        <v>0.52216904252482521</v>
      </c>
    </row>
    <row r="38" spans="1:43">
      <c r="A38" s="246">
        <v>1988</v>
      </c>
      <c r="B38" s="215">
        <v>72023</v>
      </c>
      <c r="C38" s="616">
        <f t="shared" si="0"/>
        <v>11.184740791431123</v>
      </c>
      <c r="D38" s="247">
        <f t="shared" si="1"/>
        <v>1991</v>
      </c>
      <c r="E38" s="627">
        <v>20.653264339356216</v>
      </c>
      <c r="F38" s="616">
        <f t="shared" si="31"/>
        <v>3.0278733863015224</v>
      </c>
      <c r="G38" s="616">
        <f t="shared" si="2"/>
        <v>9.1680172434730487</v>
      </c>
      <c r="H38" s="613">
        <f t="shared" si="3"/>
        <v>-8.1568674051296011</v>
      </c>
      <c r="I38" s="218">
        <f t="shared" si="4"/>
        <v>66.534485864865715</v>
      </c>
      <c r="J38" s="247">
        <f t="shared" si="5"/>
        <v>1992</v>
      </c>
      <c r="K38" s="215">
        <v>6913.1229999999996</v>
      </c>
      <c r="L38" s="616">
        <f t="shared" si="6"/>
        <v>8.841176768351712</v>
      </c>
      <c r="M38" s="616">
        <f t="shared" si="7"/>
        <v>78.16640664924202</v>
      </c>
      <c r="N38" s="616">
        <f t="shared" si="8"/>
        <v>-2.3435640230794115</v>
      </c>
      <c r="O38" s="616">
        <f t="shared" si="9"/>
        <v>5.4922923302721562</v>
      </c>
      <c r="P38" s="247">
        <f t="shared" si="10"/>
        <v>1993</v>
      </c>
      <c r="Q38" s="217">
        <f>7683-49+34083</f>
        <v>41717</v>
      </c>
      <c r="R38" s="616">
        <f t="shared" ref="R38:R54" si="38">LN(Q38)</f>
        <v>10.638663998571394</v>
      </c>
      <c r="S38" s="616">
        <f t="shared" ref="S38:S54" si="39">R38^2</f>
        <v>113.18117167449908</v>
      </c>
      <c r="T38" s="616">
        <f t="shared" ref="T38:T46" si="40">LN(Q38/$B38)</f>
        <v>-0.54607679285972988</v>
      </c>
      <c r="U38" s="616">
        <f t="shared" ref="U38:U54" si="41">T38^2</f>
        <v>0.29819986369996831</v>
      </c>
      <c r="V38" s="350">
        <f t="shared" si="25"/>
        <v>1993</v>
      </c>
      <c r="W38" s="217">
        <f>228+1018</f>
        <v>1246</v>
      </c>
      <c r="X38" s="616">
        <f t="shared" ref="X38:X54" si="42">LN(W38)</f>
        <v>7.1276936993473985</v>
      </c>
      <c r="Y38" s="616">
        <f t="shared" ref="Y38:Y54" si="43">X38^2</f>
        <v>50.804017471716605</v>
      </c>
      <c r="Z38" s="616">
        <f t="shared" ref="Z38:Z46" si="44">LN(W38/$B38)</f>
        <v>-4.0570470920837254</v>
      </c>
      <c r="AA38" s="616">
        <f t="shared" ref="AA38:AA54" si="45">Z38^2</f>
        <v>16.459631107385011</v>
      </c>
      <c r="AB38" s="247">
        <f t="shared" si="18"/>
        <v>1994</v>
      </c>
      <c r="AC38" s="215">
        <v>598</v>
      </c>
      <c r="AD38" s="616">
        <f t="shared" si="34"/>
        <v>6.3935907539506314</v>
      </c>
      <c r="AE38" s="616">
        <f t="shared" si="35"/>
        <v>40.878002729003001</v>
      </c>
      <c r="AF38" s="616">
        <f t="shared" si="36"/>
        <v>-4.7911500374804916</v>
      </c>
      <c r="AG38" s="617">
        <f t="shared" si="37"/>
        <v>22.955118681649317</v>
      </c>
      <c r="AH38" s="622">
        <f t="shared" si="26"/>
        <v>1988</v>
      </c>
      <c r="AI38" s="259">
        <f t="shared" si="23"/>
        <v>50494.776264339358</v>
      </c>
      <c r="AJ38" s="213">
        <f t="shared" si="30"/>
        <v>1992</v>
      </c>
      <c r="AK38" s="217">
        <f t="shared" si="28"/>
        <v>67203.278000000006</v>
      </c>
      <c r="AL38" s="472"/>
      <c r="AM38" s="472">
        <v>37561.277999999998</v>
      </c>
      <c r="AN38" s="217">
        <f t="shared" si="24"/>
        <v>-21528.223735660642</v>
      </c>
      <c r="AO38" s="604">
        <f t="shared" si="32"/>
        <v>29642</v>
      </c>
      <c r="AP38" s="213">
        <f t="shared" si="29"/>
        <v>34</v>
      </c>
      <c r="AQ38" s="608">
        <f t="shared" si="33"/>
        <v>0.55892032528532321</v>
      </c>
    </row>
    <row r="39" spans="1:43">
      <c r="A39" s="246">
        <v>1989</v>
      </c>
      <c r="B39" s="215">
        <v>36881</v>
      </c>
      <c r="C39" s="616">
        <f t="shared" si="0"/>
        <v>10.515451792270389</v>
      </c>
      <c r="D39" s="247">
        <f t="shared" si="1"/>
        <v>1992</v>
      </c>
      <c r="E39" s="627">
        <v>11</v>
      </c>
      <c r="F39" s="616">
        <f t="shared" si="31"/>
        <v>2.3978952727983707</v>
      </c>
      <c r="G39" s="616">
        <f t="shared" si="2"/>
        <v>5.7499017393087728</v>
      </c>
      <c r="H39" s="613">
        <f t="shared" si="3"/>
        <v>-8.1175565194720178</v>
      </c>
      <c r="I39" s="218">
        <f t="shared" si="4"/>
        <v>65.894723846822657</v>
      </c>
      <c r="J39" s="247">
        <f t="shared" si="5"/>
        <v>1993</v>
      </c>
      <c r="K39" s="217">
        <f>475+2121</f>
        <v>2596</v>
      </c>
      <c r="L39" s="616">
        <f t="shared" ref="L39:L54" si="46">LN(K39)</f>
        <v>7.8617270778239803</v>
      </c>
      <c r="M39" s="616">
        <f t="shared" ref="M39:M55" si="47">L39^2</f>
        <v>61.80675264619078</v>
      </c>
      <c r="N39" s="616">
        <f t="shared" ref="N39:N47" si="48">LN(K39/$B39)</f>
        <v>-2.6537247144464073</v>
      </c>
      <c r="O39" s="616">
        <f t="shared" ref="O39:O55" si="49">N39^2</f>
        <v>7.0422548600636663</v>
      </c>
      <c r="P39" s="247">
        <f t="shared" si="10"/>
        <v>1994</v>
      </c>
      <c r="Q39" s="215">
        <v>4662</v>
      </c>
      <c r="R39" s="616">
        <f t="shared" si="38"/>
        <v>8.4471998195957028</v>
      </c>
      <c r="S39" s="616">
        <f t="shared" si="39"/>
        <v>71.355184792177667</v>
      </c>
      <c r="T39" s="616">
        <f t="shared" si="40"/>
        <v>-2.0682519726746857</v>
      </c>
      <c r="U39" s="616">
        <f t="shared" si="41"/>
        <v>4.2776662224727291</v>
      </c>
      <c r="V39" s="350">
        <f t="shared" si="25"/>
        <v>1994</v>
      </c>
      <c r="W39" s="215">
        <v>406</v>
      </c>
      <c r="X39" s="616">
        <f t="shared" si="42"/>
        <v>6.0063531596017325</v>
      </c>
      <c r="Y39" s="616">
        <f t="shared" si="43"/>
        <v>36.076278277857718</v>
      </c>
      <c r="Z39" s="616">
        <f t="shared" si="44"/>
        <v>-4.5090986326686551</v>
      </c>
      <c r="AA39" s="616">
        <f t="shared" si="45"/>
        <v>20.331970479134334</v>
      </c>
      <c r="AB39" s="247">
        <f t="shared" si="18"/>
        <v>1995</v>
      </c>
      <c r="AC39" s="215">
        <v>1735</v>
      </c>
      <c r="AD39" s="616">
        <f t="shared" si="34"/>
        <v>7.4587626923809598</v>
      </c>
      <c r="AE39" s="616">
        <f t="shared" si="35"/>
        <v>55.633140901254066</v>
      </c>
      <c r="AF39" s="616">
        <f t="shared" si="36"/>
        <v>-3.0566890998894283</v>
      </c>
      <c r="AG39" s="617">
        <f t="shared" si="37"/>
        <v>9.3433482533828425</v>
      </c>
      <c r="AH39" s="622">
        <f t="shared" si="26"/>
        <v>1989</v>
      </c>
      <c r="AI39" s="259">
        <f t="shared" si="23"/>
        <v>9410</v>
      </c>
      <c r="AJ39" s="213">
        <f t="shared" si="30"/>
        <v>1993</v>
      </c>
      <c r="AK39" s="217">
        <f t="shared" si="28"/>
        <v>48357</v>
      </c>
      <c r="AL39" s="472"/>
      <c r="AM39" s="472">
        <v>39125</v>
      </c>
      <c r="AN39" s="217">
        <f t="shared" si="24"/>
        <v>-27471</v>
      </c>
      <c r="AO39" s="604">
        <f t="shared" si="32"/>
        <v>9232</v>
      </c>
      <c r="AP39" s="213">
        <f t="shared" si="29"/>
        <v>41</v>
      </c>
      <c r="AQ39" s="608">
        <f t="shared" si="33"/>
        <v>0.80908658518932108</v>
      </c>
    </row>
    <row r="40" spans="1:43">
      <c r="A40" s="246">
        <v>1990</v>
      </c>
      <c r="B40" s="215">
        <v>8250</v>
      </c>
      <c r="C40" s="616">
        <f t="shared" si="0"/>
        <v>9.0179684793287258</v>
      </c>
      <c r="D40" s="247">
        <f t="shared" si="1"/>
        <v>1993</v>
      </c>
      <c r="E40" s="627">
        <v>49</v>
      </c>
      <c r="F40" s="616">
        <f t="shared" ref="F40:F48" si="50">LN(E40)</f>
        <v>3.8918202981106265</v>
      </c>
      <c r="G40" s="616">
        <f t="shared" ref="G40:G55" si="51">F40^2</f>
        <v>15.146265232785886</v>
      </c>
      <c r="H40" s="613">
        <f t="shared" ref="H40:H48" si="52">LN(E40/$B40)</f>
        <v>-5.1261481812180998</v>
      </c>
      <c r="I40" s="218">
        <f t="shared" ref="I40:I56" si="53">H40^2</f>
        <v>26.277395175805633</v>
      </c>
      <c r="J40" s="247">
        <f t="shared" si="5"/>
        <v>1994</v>
      </c>
      <c r="K40" s="215">
        <v>3519</v>
      </c>
      <c r="L40" s="616">
        <f t="shared" si="46"/>
        <v>8.165932137321585</v>
      </c>
      <c r="M40" s="616">
        <f t="shared" si="47"/>
        <v>66.682447671341464</v>
      </c>
      <c r="N40" s="616">
        <f t="shared" si="48"/>
        <v>-0.85203634200714151</v>
      </c>
      <c r="O40" s="616">
        <f t="shared" si="49"/>
        <v>0.72596592810091065</v>
      </c>
      <c r="P40" s="247">
        <f t="shared" si="10"/>
        <v>1995</v>
      </c>
      <c r="Q40" s="215">
        <v>19808</v>
      </c>
      <c r="R40" s="616">
        <f t="shared" si="38"/>
        <v>9.8938411754843223</v>
      </c>
      <c r="S40" s="616">
        <f t="shared" si="39"/>
        <v>97.888093205708998</v>
      </c>
      <c r="T40" s="616">
        <f t="shared" si="40"/>
        <v>0.87587269615559593</v>
      </c>
      <c r="U40" s="616">
        <f t="shared" si="41"/>
        <v>0.76715297987087283</v>
      </c>
      <c r="V40" s="350">
        <f t="shared" si="25"/>
        <v>1995</v>
      </c>
      <c r="W40" s="215">
        <v>1018</v>
      </c>
      <c r="X40" s="616">
        <f t="shared" si="42"/>
        <v>6.9255951971104679</v>
      </c>
      <c r="Y40" s="616">
        <f t="shared" si="43"/>
        <v>47.963868834239584</v>
      </c>
      <c r="Z40" s="616">
        <f t="shared" si="44"/>
        <v>-2.0923732822182588</v>
      </c>
      <c r="AA40" s="616">
        <f t="shared" si="45"/>
        <v>4.3780259521408089</v>
      </c>
      <c r="AB40" s="247">
        <f t="shared" si="18"/>
        <v>1996</v>
      </c>
      <c r="AC40" s="215">
        <v>1733</v>
      </c>
      <c r="AD40" s="616">
        <f t="shared" si="34"/>
        <v>7.4576092897156059</v>
      </c>
      <c r="AE40" s="616">
        <f t="shared" si="35"/>
        <v>55.615936318052505</v>
      </c>
      <c r="AF40" s="616">
        <f t="shared" si="36"/>
        <v>-1.5603591896131206</v>
      </c>
      <c r="AG40" s="617">
        <f t="shared" si="37"/>
        <v>2.4347208006101142</v>
      </c>
      <c r="AH40" s="622">
        <f t="shared" si="26"/>
        <v>1990</v>
      </c>
      <c r="AI40" s="259">
        <f t="shared" si="23"/>
        <v>26127</v>
      </c>
      <c r="AJ40" s="213">
        <f t="shared" si="30"/>
        <v>1994</v>
      </c>
      <c r="AK40" s="217">
        <f t="shared" si="28"/>
        <v>9291</v>
      </c>
      <c r="AL40" s="472"/>
      <c r="AM40" s="472">
        <v>2027</v>
      </c>
      <c r="AN40" s="217">
        <f t="shared" si="24"/>
        <v>17877</v>
      </c>
      <c r="AO40" s="604">
        <f t="shared" si="32"/>
        <v>7264</v>
      </c>
      <c r="AP40" s="213">
        <f t="shared" si="29"/>
        <v>45</v>
      </c>
      <c r="AQ40" s="608">
        <f t="shared" si="33"/>
        <v>0.21816811968571737</v>
      </c>
    </row>
    <row r="41" spans="1:43">
      <c r="A41" s="246">
        <v>1991</v>
      </c>
      <c r="B41" s="215">
        <v>9701</v>
      </c>
      <c r="C41" s="616">
        <f t="shared" si="0"/>
        <v>9.1799842519612831</v>
      </c>
      <c r="D41" s="247">
        <f t="shared" si="1"/>
        <v>1994</v>
      </c>
      <c r="E41" s="627">
        <v>106</v>
      </c>
      <c r="F41" s="616">
        <f t="shared" si="50"/>
        <v>4.6634390941120669</v>
      </c>
      <c r="G41" s="616">
        <f t="shared" si="51"/>
        <v>21.747664184492777</v>
      </c>
      <c r="H41" s="613">
        <f t="shared" si="52"/>
        <v>-4.5165451578492162</v>
      </c>
      <c r="I41" s="218">
        <f t="shared" si="53"/>
        <v>20.399180162891202</v>
      </c>
      <c r="J41" s="247">
        <f t="shared" si="5"/>
        <v>1995</v>
      </c>
      <c r="K41" s="215">
        <v>38575</v>
      </c>
      <c r="L41" s="616">
        <f t="shared" si="46"/>
        <v>10.560359677231361</v>
      </c>
      <c r="M41" s="616">
        <f t="shared" si="47"/>
        <v>111.52119651249406</v>
      </c>
      <c r="N41" s="616">
        <f t="shared" si="48"/>
        <v>1.3803754252700782</v>
      </c>
      <c r="O41" s="616">
        <f t="shared" si="49"/>
        <v>1.9054363146895492</v>
      </c>
      <c r="P41" s="247">
        <f t="shared" si="10"/>
        <v>1996</v>
      </c>
      <c r="Q41" s="215">
        <v>113543</v>
      </c>
      <c r="R41" s="616">
        <f t="shared" si="38"/>
        <v>11.639936898781851</v>
      </c>
      <c r="S41" s="616">
        <f t="shared" si="39"/>
        <v>135.48813100762325</v>
      </c>
      <c r="T41" s="616">
        <f t="shared" si="40"/>
        <v>2.4599526468205686</v>
      </c>
      <c r="U41" s="616">
        <f t="shared" si="41"/>
        <v>6.0513670245995206</v>
      </c>
      <c r="V41" s="350">
        <f t="shared" si="25"/>
        <v>1996</v>
      </c>
      <c r="W41" s="215">
        <v>942</v>
      </c>
      <c r="X41" s="616">
        <f t="shared" si="42"/>
        <v>6.8480052745763631</v>
      </c>
      <c r="Y41" s="616">
        <f t="shared" si="43"/>
        <v>46.895176240625688</v>
      </c>
      <c r="Z41" s="616">
        <f t="shared" si="44"/>
        <v>-2.3319789773849204</v>
      </c>
      <c r="AA41" s="616">
        <f t="shared" si="45"/>
        <v>5.4381259509652189</v>
      </c>
      <c r="AB41" s="247">
        <f t="shared" si="18"/>
        <v>1997</v>
      </c>
      <c r="AC41" s="215">
        <v>643</v>
      </c>
      <c r="AD41" s="616">
        <f t="shared" si="34"/>
        <v>6.4661447242376191</v>
      </c>
      <c r="AE41" s="616">
        <f t="shared" si="35"/>
        <v>41.811027594785998</v>
      </c>
      <c r="AF41" s="616">
        <f t="shared" si="36"/>
        <v>-2.713839527723664</v>
      </c>
      <c r="AG41" s="617">
        <f t="shared" si="37"/>
        <v>7.3649249822353999</v>
      </c>
      <c r="AH41" s="622">
        <f t="shared" si="26"/>
        <v>1991</v>
      </c>
      <c r="AI41" s="259">
        <f t="shared" si="23"/>
        <v>153809</v>
      </c>
      <c r="AJ41" s="213">
        <f t="shared" si="30"/>
        <v>1995</v>
      </c>
      <c r="AK41" s="217">
        <f t="shared" si="28"/>
        <v>61296</v>
      </c>
      <c r="AL41" s="472"/>
      <c r="AM41" s="472">
        <v>30914</v>
      </c>
      <c r="AN41" s="217">
        <f t="shared" si="24"/>
        <v>144108</v>
      </c>
      <c r="AO41" s="604">
        <f t="shared" si="32"/>
        <v>30382</v>
      </c>
      <c r="AP41" s="213">
        <f t="shared" si="29"/>
        <v>38</v>
      </c>
      <c r="AQ41" s="608">
        <f t="shared" si="33"/>
        <v>0.50433959801618378</v>
      </c>
    </row>
    <row r="42" spans="1:43">
      <c r="A42" s="246">
        <v>1992</v>
      </c>
      <c r="B42" s="215">
        <v>29642</v>
      </c>
      <c r="C42" s="616">
        <f t="shared" si="0"/>
        <v>10.29694755351686</v>
      </c>
      <c r="D42" s="247">
        <f t="shared" si="1"/>
        <v>1995</v>
      </c>
      <c r="E42" s="627">
        <v>160</v>
      </c>
      <c r="F42" s="616">
        <f t="shared" si="50"/>
        <v>5.0751738152338266</v>
      </c>
      <c r="G42" s="616">
        <f t="shared" si="51"/>
        <v>25.757389254835076</v>
      </c>
      <c r="H42" s="613">
        <f t="shared" si="52"/>
        <v>-5.2217737382830336</v>
      </c>
      <c r="I42" s="218">
        <f t="shared" si="53"/>
        <v>27.266920973822366</v>
      </c>
      <c r="J42" s="247">
        <f t="shared" si="5"/>
        <v>1996</v>
      </c>
      <c r="K42" s="215">
        <v>14841</v>
      </c>
      <c r="L42" s="616">
        <f t="shared" si="46"/>
        <v>9.6051488998958181</v>
      </c>
      <c r="M42" s="616">
        <f t="shared" si="47"/>
        <v>92.258885389169848</v>
      </c>
      <c r="N42" s="616">
        <f t="shared" si="48"/>
        <v>-0.69179865362104209</v>
      </c>
      <c r="O42" s="616">
        <f t="shared" si="49"/>
        <v>0.47858537715188659</v>
      </c>
      <c r="P42" s="247">
        <f t="shared" si="10"/>
        <v>1997</v>
      </c>
      <c r="Q42" s="215">
        <v>97317</v>
      </c>
      <c r="R42" s="616">
        <f t="shared" si="38"/>
        <v>11.485728970281757</v>
      </c>
      <c r="S42" s="616">
        <f t="shared" si="39"/>
        <v>131.92196997876962</v>
      </c>
      <c r="T42" s="616">
        <f t="shared" si="40"/>
        <v>1.1887814167648962</v>
      </c>
      <c r="U42" s="616">
        <f t="shared" si="41"/>
        <v>1.4132012568455539</v>
      </c>
      <c r="V42" s="350">
        <f t="shared" si="25"/>
        <v>1997</v>
      </c>
      <c r="W42" s="215">
        <v>322</v>
      </c>
      <c r="X42" s="616">
        <f t="shared" si="42"/>
        <v>5.7745515455444085</v>
      </c>
      <c r="Y42" s="616">
        <f t="shared" si="43"/>
        <v>33.345445552149314</v>
      </c>
      <c r="Z42" s="616">
        <f t="shared" si="44"/>
        <v>-4.5223960079724517</v>
      </c>
      <c r="AA42" s="616">
        <f t="shared" si="45"/>
        <v>20.452065652925167</v>
      </c>
      <c r="AB42" s="247">
        <f t="shared" si="18"/>
        <v>1998</v>
      </c>
      <c r="AC42" s="215">
        <v>1488</v>
      </c>
      <c r="AD42" s="616">
        <f t="shared" si="34"/>
        <v>7.305188215393037</v>
      </c>
      <c r="AE42" s="616">
        <f t="shared" si="35"/>
        <v>53.365774862317302</v>
      </c>
      <c r="AF42" s="616">
        <f t="shared" si="36"/>
        <v>-2.9917593381238232</v>
      </c>
      <c r="AG42" s="617">
        <f t="shared" si="37"/>
        <v>8.9506239372510965</v>
      </c>
      <c r="AH42" s="622">
        <f t="shared" si="26"/>
        <v>1992</v>
      </c>
      <c r="AI42" s="259">
        <f t="shared" si="23"/>
        <v>114128</v>
      </c>
      <c r="AJ42" s="213">
        <f t="shared" si="30"/>
        <v>1996</v>
      </c>
      <c r="AK42" s="217">
        <f t="shared" si="28"/>
        <v>131181</v>
      </c>
      <c r="AL42" s="472"/>
      <c r="AM42" s="472">
        <v>92488</v>
      </c>
      <c r="AN42" s="217">
        <f t="shared" si="24"/>
        <v>84486</v>
      </c>
      <c r="AO42" s="604">
        <f t="shared" si="32"/>
        <v>38693</v>
      </c>
      <c r="AP42" s="213">
        <f t="shared" si="29"/>
        <v>23</v>
      </c>
      <c r="AQ42" s="608">
        <f t="shared" si="33"/>
        <v>0.70504112638263161</v>
      </c>
    </row>
    <row r="43" spans="1:43">
      <c r="A43" s="246">
        <v>1993</v>
      </c>
      <c r="B43" s="215">
        <v>9232</v>
      </c>
      <c r="C43" s="616">
        <f t="shared" si="0"/>
        <v>9.1304309887478805</v>
      </c>
      <c r="D43" s="247">
        <f t="shared" si="1"/>
        <v>1996</v>
      </c>
      <c r="E43" s="627">
        <v>122</v>
      </c>
      <c r="F43" s="616">
        <f t="shared" si="50"/>
        <v>4.8040210447332568</v>
      </c>
      <c r="G43" s="616">
        <f t="shared" si="51"/>
        <v>23.078618198240012</v>
      </c>
      <c r="H43" s="613">
        <f t="shared" si="52"/>
        <v>-4.3264099440146246</v>
      </c>
      <c r="I43" s="218">
        <f t="shared" si="53"/>
        <v>18.717823003668627</v>
      </c>
      <c r="J43" s="247">
        <f t="shared" si="5"/>
        <v>1997</v>
      </c>
      <c r="K43" s="215">
        <v>8466.9830000000002</v>
      </c>
      <c r="L43" s="616">
        <f t="shared" si="46"/>
        <v>9.043929525845293</v>
      </c>
      <c r="M43" s="616">
        <f t="shared" si="47"/>
        <v>81.792661268456271</v>
      </c>
      <c r="N43" s="616">
        <f t="shared" si="48"/>
        <v>-8.6501462902587908E-2</v>
      </c>
      <c r="O43" s="616">
        <f t="shared" si="49"/>
        <v>7.4825030842877917E-3</v>
      </c>
      <c r="P43" s="247">
        <f t="shared" si="10"/>
        <v>1998</v>
      </c>
      <c r="Q43" s="215">
        <v>58365</v>
      </c>
      <c r="R43" s="616">
        <f t="shared" si="38"/>
        <v>10.974471674086764</v>
      </c>
      <c r="S43" s="616">
        <f t="shared" si="39"/>
        <v>120.43902852533274</v>
      </c>
      <c r="T43" s="616">
        <f t="shared" si="40"/>
        <v>1.8440406853388829</v>
      </c>
      <c r="U43" s="616">
        <f t="shared" si="41"/>
        <v>3.4004860491850968</v>
      </c>
      <c r="V43" s="350">
        <f t="shared" si="25"/>
        <v>1998</v>
      </c>
      <c r="W43" s="215">
        <v>230</v>
      </c>
      <c r="X43" s="616">
        <f t="shared" si="42"/>
        <v>5.4380793089231956</v>
      </c>
      <c r="Y43" s="616">
        <f t="shared" si="43"/>
        <v>29.572706570138582</v>
      </c>
      <c r="Z43" s="616">
        <f t="shared" si="44"/>
        <v>-3.6923516798246854</v>
      </c>
      <c r="AA43" s="616">
        <f t="shared" si="45"/>
        <v>13.633460927504176</v>
      </c>
      <c r="AB43" s="247">
        <f t="shared" si="18"/>
        <v>1999</v>
      </c>
      <c r="AC43" s="215">
        <v>317</v>
      </c>
      <c r="AD43" s="616">
        <f t="shared" si="34"/>
        <v>5.7589017738772803</v>
      </c>
      <c r="AE43" s="616">
        <f t="shared" si="35"/>
        <v>33.164949641166885</v>
      </c>
      <c r="AF43" s="616">
        <f t="shared" si="36"/>
        <v>-3.3715292148706002</v>
      </c>
      <c r="AG43" s="617">
        <f t="shared" si="37"/>
        <v>11.367209246725967</v>
      </c>
      <c r="AH43" s="622">
        <f t="shared" si="26"/>
        <v>1993</v>
      </c>
      <c r="AI43" s="259">
        <f>AC43+W43+Q43+K43+E43</f>
        <v>67500.983000000007</v>
      </c>
      <c r="AJ43" s="213">
        <f t="shared" si="30"/>
        <v>1997</v>
      </c>
      <c r="AK43" s="217">
        <f t="shared" si="28"/>
        <v>106750.98300000001</v>
      </c>
      <c r="AL43" s="472"/>
      <c r="AM43" s="472">
        <v>71740.982999999993</v>
      </c>
      <c r="AN43" s="217">
        <f t="shared" si="24"/>
        <v>58268.983000000007</v>
      </c>
      <c r="AO43" s="604">
        <f t="shared" si="32"/>
        <v>35010</v>
      </c>
      <c r="AP43" s="213">
        <f t="shared" si="29"/>
        <v>29</v>
      </c>
      <c r="AQ43" s="608">
        <f t="shared" si="33"/>
        <v>0.67204049071847893</v>
      </c>
    </row>
    <row r="44" spans="1:43">
      <c r="A44" s="246">
        <v>1994</v>
      </c>
      <c r="B44" s="215">
        <v>7264</v>
      </c>
      <c r="C44" s="616">
        <f>LN(B44)</f>
        <v>8.890685920281129</v>
      </c>
      <c r="D44" s="247">
        <f t="shared" si="1"/>
        <v>1997</v>
      </c>
      <c r="E44" s="627">
        <v>2</v>
      </c>
      <c r="F44" s="616">
        <f>LN(E44)</f>
        <v>0.69314718055994529</v>
      </c>
      <c r="G44" s="616">
        <f t="shared" si="51"/>
        <v>0.48045301391820139</v>
      </c>
      <c r="H44" s="613">
        <f t="shared" si="52"/>
        <v>-8.1975387397211836</v>
      </c>
      <c r="I44" s="218">
        <f t="shared" si="53"/>
        <v>67.199641389229569</v>
      </c>
      <c r="J44" s="247">
        <f t="shared" si="5"/>
        <v>1998</v>
      </c>
      <c r="K44" s="215">
        <v>2313</v>
      </c>
      <c r="L44" s="616">
        <f t="shared" si="46"/>
        <v>7.7463006622314392</v>
      </c>
      <c r="M44" s="616">
        <f t="shared" si="47"/>
        <v>60.005173949687233</v>
      </c>
      <c r="N44" s="616">
        <f t="shared" si="48"/>
        <v>-1.14438525804969</v>
      </c>
      <c r="O44" s="616">
        <f t="shared" si="49"/>
        <v>1.3096176188414557</v>
      </c>
      <c r="P44" s="247">
        <f t="shared" si="10"/>
        <v>1999</v>
      </c>
      <c r="Q44" s="215">
        <v>9645</v>
      </c>
      <c r="R44" s="616">
        <f t="shared" si="38"/>
        <v>9.1741949253398296</v>
      </c>
      <c r="S44" s="616">
        <f t="shared" si="39"/>
        <v>84.165852528131083</v>
      </c>
      <c r="T44" s="616">
        <f t="shared" si="40"/>
        <v>0.28350900505870025</v>
      </c>
      <c r="U44" s="616">
        <f t="shared" si="41"/>
        <v>8.0377355949374119E-2</v>
      </c>
      <c r="V44" s="350">
        <f t="shared" si="25"/>
        <v>1999</v>
      </c>
      <c r="W44" s="215">
        <v>3999</v>
      </c>
      <c r="X44" s="616">
        <f t="shared" si="42"/>
        <v>8.2937996088468182</v>
      </c>
      <c r="Y44" s="616">
        <f t="shared" si="43"/>
        <v>68.787111951707629</v>
      </c>
      <c r="Z44" s="616">
        <f t="shared" si="44"/>
        <v>-0.59688631143431092</v>
      </c>
      <c r="AA44" s="616">
        <f t="shared" si="45"/>
        <v>0.35627326877765719</v>
      </c>
      <c r="AB44" s="247">
        <f t="shared" si="18"/>
        <v>2000</v>
      </c>
      <c r="AC44" s="215">
        <v>11982</v>
      </c>
      <c r="AD44" s="616">
        <f t="shared" si="34"/>
        <v>9.3911608026438707</v>
      </c>
      <c r="AE44" s="616">
        <f t="shared" si="35"/>
        <v>88.193901221114672</v>
      </c>
      <c r="AF44" s="616">
        <f t="shared" si="36"/>
        <v>0.50047488236274107</v>
      </c>
      <c r="AG44" s="617">
        <f t="shared" si="37"/>
        <v>0.25047510787599953</v>
      </c>
      <c r="AH44" s="622">
        <f t="shared" si="26"/>
        <v>1994</v>
      </c>
      <c r="AI44" s="259">
        <f t="shared" si="23"/>
        <v>27941</v>
      </c>
      <c r="AJ44" s="213">
        <f t="shared" si="30"/>
        <v>1998</v>
      </c>
      <c r="AK44" s="217">
        <f t="shared" si="28"/>
        <v>63370</v>
      </c>
      <c r="AL44" s="472"/>
      <c r="AM44" s="472">
        <v>34407</v>
      </c>
      <c r="AN44" s="217">
        <f t="shared" si="24"/>
        <v>20677</v>
      </c>
      <c r="AO44" s="604">
        <f t="shared" si="32"/>
        <v>28963</v>
      </c>
      <c r="AP44" s="213">
        <f t="shared" si="29"/>
        <v>36</v>
      </c>
      <c r="AQ44" s="608">
        <f t="shared" si="33"/>
        <v>0.54295407921729522</v>
      </c>
    </row>
    <row r="45" spans="1:43">
      <c r="A45" s="246">
        <v>1995</v>
      </c>
      <c r="B45" s="215">
        <v>30382</v>
      </c>
      <c r="C45" s="616">
        <f t="shared" ref="C45:C61" si="54">LN(B45)</f>
        <v>10.321605606767609</v>
      </c>
      <c r="D45" s="247">
        <f t="shared" si="1"/>
        <v>1998</v>
      </c>
      <c r="E45" s="627">
        <v>974</v>
      </c>
      <c r="F45" s="616">
        <f t="shared" si="50"/>
        <v>6.8814113036425351</v>
      </c>
      <c r="G45" s="616">
        <f t="shared" si="51"/>
        <v>47.353821529899257</v>
      </c>
      <c r="H45" s="613">
        <f t="shared" si="52"/>
        <v>-3.440194303125073</v>
      </c>
      <c r="I45" s="218">
        <f t="shared" si="53"/>
        <v>11.834936843254207</v>
      </c>
      <c r="J45" s="247">
        <f t="shared" si="5"/>
        <v>1999</v>
      </c>
      <c r="K45" s="215">
        <v>133847</v>
      </c>
      <c r="L45" s="616">
        <f t="shared" si="46"/>
        <v>11.804452635548273</v>
      </c>
      <c r="M45" s="616">
        <f t="shared" si="47"/>
        <v>139.34510202490256</v>
      </c>
      <c r="N45" s="616">
        <f t="shared" si="48"/>
        <v>1.4828470287806648</v>
      </c>
      <c r="O45" s="616">
        <f t="shared" si="49"/>
        <v>2.1988353107636458</v>
      </c>
      <c r="P45" s="247">
        <f t="shared" si="10"/>
        <v>2000</v>
      </c>
      <c r="Q45" s="215">
        <v>177119</v>
      </c>
      <c r="R45" s="616">
        <f t="shared" si="38"/>
        <v>12.084577102036734</v>
      </c>
      <c r="S45" s="616">
        <f t="shared" si="39"/>
        <v>146.03700373507056</v>
      </c>
      <c r="T45" s="616">
        <f t="shared" si="40"/>
        <v>1.7629714952691256</v>
      </c>
      <c r="U45" s="616">
        <f t="shared" si="41"/>
        <v>3.1080684931314564</v>
      </c>
      <c r="V45" s="350">
        <f t="shared" si="25"/>
        <v>2000</v>
      </c>
      <c r="W45" s="215">
        <v>2377</v>
      </c>
      <c r="X45" s="616">
        <f t="shared" si="42"/>
        <v>7.7735944673601942</v>
      </c>
      <c r="Y45" s="616">
        <f t="shared" si="43"/>
        <v>60.428770942973024</v>
      </c>
      <c r="Z45" s="616">
        <f t="shared" si="44"/>
        <v>-2.5480111394074143</v>
      </c>
      <c r="AA45" s="616">
        <f t="shared" si="45"/>
        <v>6.4923607665442695</v>
      </c>
      <c r="AB45" s="247">
        <f t="shared" si="18"/>
        <v>2001</v>
      </c>
      <c r="AC45" s="215">
        <v>3090</v>
      </c>
      <c r="AD45" s="616">
        <f t="shared" si="34"/>
        <v>8.0359263698917918</v>
      </c>
      <c r="AE45" s="616">
        <f t="shared" si="35"/>
        <v>64.57611262232227</v>
      </c>
      <c r="AF45" s="616">
        <f t="shared" si="36"/>
        <v>-2.2856792368758168</v>
      </c>
      <c r="AG45" s="618">
        <f t="shared" si="37"/>
        <v>5.2243295738852158</v>
      </c>
      <c r="AH45" s="622">
        <f t="shared" si="26"/>
        <v>1995</v>
      </c>
      <c r="AI45" s="259">
        <f>AC45+W45+Q45+K45+E45</f>
        <v>317407</v>
      </c>
      <c r="AJ45" s="213">
        <f t="shared" si="30"/>
        <v>1999</v>
      </c>
      <c r="AK45" s="217">
        <f t="shared" si="28"/>
        <v>148052</v>
      </c>
      <c r="AL45" s="472"/>
      <c r="AM45" s="472">
        <v>88835</v>
      </c>
      <c r="AN45" s="217">
        <f t="shared" si="24"/>
        <v>287025</v>
      </c>
      <c r="AO45" s="604">
        <f t="shared" si="32"/>
        <v>59311</v>
      </c>
      <c r="AP45" s="213">
        <f t="shared" si="29"/>
        <v>20</v>
      </c>
      <c r="AQ45" s="608">
        <f t="shared" si="33"/>
        <v>0.59939075459973523</v>
      </c>
    </row>
    <row r="46" spans="1:43">
      <c r="A46" s="246">
        <v>1996</v>
      </c>
      <c r="B46" s="215">
        <v>38693</v>
      </c>
      <c r="C46" s="616">
        <f t="shared" si="54"/>
        <v>10.563413984104404</v>
      </c>
      <c r="D46" s="247">
        <f t="shared" si="1"/>
        <v>1999</v>
      </c>
      <c r="E46" s="249">
        <v>244</v>
      </c>
      <c r="F46" s="269">
        <f t="shared" si="50"/>
        <v>5.4971682252932021</v>
      </c>
      <c r="G46" s="269">
        <f t="shared" si="51"/>
        <v>30.218858497173212</v>
      </c>
      <c r="H46" s="614">
        <f t="shared" si="52"/>
        <v>-5.0662457588112018</v>
      </c>
      <c r="I46" s="250">
        <f t="shared" si="53"/>
        <v>25.666846088672489</v>
      </c>
      <c r="J46" s="247">
        <f t="shared" si="5"/>
        <v>2000</v>
      </c>
      <c r="K46" s="199">
        <v>22334</v>
      </c>
      <c r="L46" s="269">
        <f t="shared" si="46"/>
        <v>10.013865460005738</v>
      </c>
      <c r="M46" s="269">
        <f t="shared" si="47"/>
        <v>100.27750145109592</v>
      </c>
      <c r="N46" s="269">
        <f t="shared" si="48"/>
        <v>-0.54954852409866584</v>
      </c>
      <c r="O46" s="269">
        <f t="shared" si="49"/>
        <v>0.30200358033902192</v>
      </c>
      <c r="P46" s="247">
        <f t="shared" si="10"/>
        <v>2001</v>
      </c>
      <c r="Q46" s="199">
        <v>108519</v>
      </c>
      <c r="R46" s="269">
        <f t="shared" si="38"/>
        <v>11.594680551839147</v>
      </c>
      <c r="S46" s="269">
        <f t="shared" si="39"/>
        <v>134.43661709919695</v>
      </c>
      <c r="T46" s="269">
        <f t="shared" si="40"/>
        <v>1.0312665677347432</v>
      </c>
      <c r="U46" s="269">
        <f t="shared" si="41"/>
        <v>1.0635107337273977</v>
      </c>
      <c r="V46" s="350">
        <f t="shared" si="25"/>
        <v>2001</v>
      </c>
      <c r="W46" s="199">
        <v>1697</v>
      </c>
      <c r="X46" s="269">
        <f t="shared" si="42"/>
        <v>7.4366172652342266</v>
      </c>
      <c r="Y46" s="269">
        <f t="shared" si="43"/>
        <v>55.303276349579789</v>
      </c>
      <c r="Z46" s="269">
        <f t="shared" si="44"/>
        <v>-3.1267967188701768</v>
      </c>
      <c r="AA46" s="269">
        <f t="shared" si="45"/>
        <v>9.7768577211373042</v>
      </c>
      <c r="AB46" s="247">
        <f t="shared" si="18"/>
        <v>2002</v>
      </c>
      <c r="AC46" s="199">
        <v>583</v>
      </c>
      <c r="AD46" s="616">
        <f t="shared" si="34"/>
        <v>6.3681871863504922</v>
      </c>
      <c r="AE46" s="616">
        <f t="shared" si="35"/>
        <v>40.5538080403986</v>
      </c>
      <c r="AF46" s="616">
        <f t="shared" ref="AF46:AF51" si="55">LN(AC46/$B46)</f>
        <v>-4.1952267977539108</v>
      </c>
      <c r="AG46" s="618">
        <f t="shared" si="37"/>
        <v>17.599927884592532</v>
      </c>
      <c r="AH46" s="622">
        <f t="shared" si="26"/>
        <v>1996</v>
      </c>
      <c r="AI46" s="267">
        <f>AC46+W46+Q46+K46+E46</f>
        <v>133377</v>
      </c>
      <c r="AJ46" s="213">
        <f t="shared" si="30"/>
        <v>2000</v>
      </c>
      <c r="AK46" s="217">
        <f t="shared" si="28"/>
        <v>213816</v>
      </c>
      <c r="AL46" s="472"/>
      <c r="AM46" s="472">
        <v>185400</v>
      </c>
      <c r="AN46" s="217">
        <f t="shared" si="24"/>
        <v>94684</v>
      </c>
      <c r="AO46" s="604">
        <f t="shared" si="32"/>
        <v>28416</v>
      </c>
      <c r="AP46" s="213">
        <f t="shared" si="29"/>
        <v>9</v>
      </c>
      <c r="AQ46" s="608">
        <f t="shared" si="33"/>
        <v>0.86710068470086432</v>
      </c>
    </row>
    <row r="47" spans="1:43">
      <c r="A47" s="246">
        <v>1997</v>
      </c>
      <c r="B47" s="215">
        <v>35010</v>
      </c>
      <c r="C47" s="616">
        <f t="shared" si="54"/>
        <v>10.463389013948712</v>
      </c>
      <c r="D47" s="247">
        <f t="shared" si="1"/>
        <v>2000</v>
      </c>
      <c r="E47" s="249">
        <v>4</v>
      </c>
      <c r="F47" s="269">
        <f t="shared" si="50"/>
        <v>1.3862943611198906</v>
      </c>
      <c r="G47" s="269">
        <f t="shared" si="51"/>
        <v>1.9218120556728056</v>
      </c>
      <c r="H47" s="614">
        <f t="shared" si="52"/>
        <v>-9.077094652828821</v>
      </c>
      <c r="I47" s="250">
        <f t="shared" si="53"/>
        <v>82.393647336413579</v>
      </c>
      <c r="J47" s="247">
        <f t="shared" si="5"/>
        <v>2001</v>
      </c>
      <c r="K47" s="199">
        <v>12566</v>
      </c>
      <c r="L47" s="269">
        <f t="shared" si="46"/>
        <v>9.4387500329628917</v>
      </c>
      <c r="M47" s="269">
        <f t="shared" si="47"/>
        <v>89.090002184756983</v>
      </c>
      <c r="N47" s="269">
        <f t="shared" si="48"/>
        <v>-1.024638980985819</v>
      </c>
      <c r="O47" s="269">
        <f>N47^2</f>
        <v>1.0498850413556575</v>
      </c>
      <c r="P47" s="247">
        <f t="shared" si="10"/>
        <v>2002</v>
      </c>
      <c r="Q47" s="199">
        <v>30255</v>
      </c>
      <c r="R47" s="269">
        <f t="shared" si="38"/>
        <v>10.317416739056421</v>
      </c>
      <c r="S47" s="269">
        <f t="shared" si="39"/>
        <v>106.44908816736164</v>
      </c>
      <c r="T47" s="269">
        <f t="shared" ref="T47:T52" si="56">LN(Q47/$B47)</f>
        <v>-0.14597227489228951</v>
      </c>
      <c r="U47" s="269">
        <f t="shared" si="41"/>
        <v>2.1307905037230134E-2</v>
      </c>
      <c r="V47" s="350">
        <f t="shared" si="25"/>
        <v>2002</v>
      </c>
      <c r="W47" s="199">
        <v>318</v>
      </c>
      <c r="X47" s="269">
        <f t="shared" si="42"/>
        <v>5.7620513827801769</v>
      </c>
      <c r="Y47" s="269">
        <f t="shared" si="43"/>
        <v>33.201236137798951</v>
      </c>
      <c r="Z47" s="269">
        <f t="shared" ref="Z47:Z52" si="57">LN(W47/$B47)</f>
        <v>-4.7013376311685349</v>
      </c>
      <c r="AA47" s="269">
        <f t="shared" si="45"/>
        <v>22.10257552224137</v>
      </c>
      <c r="AB47" s="247">
        <f t="shared" si="18"/>
        <v>2003</v>
      </c>
      <c r="AC47" s="199">
        <v>1593</v>
      </c>
      <c r="AD47" s="616">
        <f t="shared" si="34"/>
        <v>7.3733743099100488</v>
      </c>
      <c r="AE47" s="616">
        <f t="shared" si="35"/>
        <v>54.366648714041489</v>
      </c>
      <c r="AF47" s="616">
        <f t="shared" si="55"/>
        <v>-3.090014704038663</v>
      </c>
      <c r="AG47" s="618">
        <f t="shared" si="37"/>
        <v>9.5481908711751462</v>
      </c>
      <c r="AH47" s="622">
        <f t="shared" si="26"/>
        <v>1997</v>
      </c>
      <c r="AI47" s="267">
        <f>AC47+W47+Q47+K47+E47</f>
        <v>44736</v>
      </c>
      <c r="AJ47" s="213">
        <f t="shared" si="30"/>
        <v>2001</v>
      </c>
      <c r="AK47" s="217">
        <f t="shared" si="28"/>
        <v>126026</v>
      </c>
      <c r="AL47" s="472"/>
      <c r="AM47" s="472">
        <v>87479</v>
      </c>
      <c r="AN47" s="217">
        <f t="shared" si="24"/>
        <v>9726</v>
      </c>
      <c r="AO47" s="604">
        <f t="shared" si="32"/>
        <v>38547</v>
      </c>
      <c r="AP47" s="213">
        <f t="shared" si="29"/>
        <v>25</v>
      </c>
      <c r="AQ47" s="608">
        <f t="shared" si="33"/>
        <v>0.6941345436655928</v>
      </c>
    </row>
    <row r="48" spans="1:43">
      <c r="A48" s="246">
        <v>1998</v>
      </c>
      <c r="B48" s="215">
        <v>28963</v>
      </c>
      <c r="C48" s="616">
        <f t="shared" si="54"/>
        <v>10.27377443229468</v>
      </c>
      <c r="D48" s="247">
        <f t="shared" si="1"/>
        <v>2001</v>
      </c>
      <c r="E48" s="249">
        <v>154</v>
      </c>
      <c r="F48" s="269">
        <f t="shared" si="50"/>
        <v>5.0369526024136295</v>
      </c>
      <c r="G48" s="269">
        <f t="shared" si="51"/>
        <v>25.370891518961436</v>
      </c>
      <c r="H48" s="614">
        <f t="shared" si="52"/>
        <v>-5.2368218298810509</v>
      </c>
      <c r="I48" s="250">
        <f t="shared" si="53"/>
        <v>27.42430287791872</v>
      </c>
      <c r="J48" s="247">
        <f t="shared" si="5"/>
        <v>2002</v>
      </c>
      <c r="K48" s="199">
        <v>21013</v>
      </c>
      <c r="L48" s="269">
        <f t="shared" si="46"/>
        <v>9.9528965727936711</v>
      </c>
      <c r="M48" s="269">
        <f t="shared" si="47"/>
        <v>99.060150188728002</v>
      </c>
      <c r="N48" s="269">
        <f t="shared" ref="N48:N55" si="58">LN(K48/$B48)</f>
        <v>-0.32087785950100917</v>
      </c>
      <c r="O48" s="269">
        <f>N48^2</f>
        <v>0.10296260071794938</v>
      </c>
      <c r="P48" s="247">
        <f t="shared" si="10"/>
        <v>2003</v>
      </c>
      <c r="Q48" s="199">
        <v>67785</v>
      </c>
      <c r="R48" s="269">
        <f t="shared" si="38"/>
        <v>11.124096210513489</v>
      </c>
      <c r="S48" s="269">
        <f t="shared" si="39"/>
        <v>123.74551650076057</v>
      </c>
      <c r="T48" s="269">
        <f t="shared" si="56"/>
        <v>0.85032177821880983</v>
      </c>
      <c r="U48" s="269">
        <f t="shared" si="41"/>
        <v>0.7230471265131988</v>
      </c>
      <c r="V48" s="350">
        <f t="shared" si="25"/>
        <v>2003</v>
      </c>
      <c r="W48" s="199">
        <v>347</v>
      </c>
      <c r="X48" s="269">
        <f t="shared" si="42"/>
        <v>5.8493247799468593</v>
      </c>
      <c r="Y48" s="269">
        <f t="shared" si="43"/>
        <v>34.214600381300372</v>
      </c>
      <c r="Z48" s="269">
        <f t="shared" si="57"/>
        <v>-4.4244496523478212</v>
      </c>
      <c r="AA48" s="269">
        <f t="shared" si="45"/>
        <v>19.575754726160756</v>
      </c>
      <c r="AB48" s="247">
        <f t="shared" si="18"/>
        <v>2004</v>
      </c>
      <c r="AC48" s="199">
        <v>191</v>
      </c>
      <c r="AD48" s="616">
        <f t="shared" si="34"/>
        <v>5.2522734280466299</v>
      </c>
      <c r="AE48" s="616">
        <f t="shared" si="35"/>
        <v>27.586376162964697</v>
      </c>
      <c r="AF48" s="616">
        <f t="shared" si="55"/>
        <v>-5.0215010042480497</v>
      </c>
      <c r="AG48" s="618">
        <f t="shared" si="37"/>
        <v>25.21547233566417</v>
      </c>
      <c r="AH48" s="622">
        <f t="shared" si="26"/>
        <v>1998</v>
      </c>
      <c r="AI48" s="267">
        <f>AC48+W48+Q48+K48+E48</f>
        <v>89490</v>
      </c>
      <c r="AJ48" s="213">
        <f t="shared" si="30"/>
        <v>2002</v>
      </c>
      <c r="AK48" s="217">
        <f t="shared" si="28"/>
        <v>52603</v>
      </c>
      <c r="AL48" s="472"/>
      <c r="AM48" s="472">
        <v>24280</v>
      </c>
      <c r="AN48" s="217">
        <f t="shared" si="24"/>
        <v>60527</v>
      </c>
      <c r="AO48" s="604">
        <f t="shared" si="32"/>
        <v>28323</v>
      </c>
      <c r="AP48" s="213">
        <f t="shared" si="29"/>
        <v>40</v>
      </c>
      <c r="AQ48" s="608">
        <f t="shared" si="33"/>
        <v>0.46157063285363953</v>
      </c>
    </row>
    <row r="49" spans="1:43">
      <c r="A49" s="246">
        <v>1999</v>
      </c>
      <c r="B49" s="215">
        <v>59311</v>
      </c>
      <c r="C49" s="616">
        <f t="shared" si="54"/>
        <v>10.990550065253778</v>
      </c>
      <c r="D49" s="247">
        <f t="shared" si="1"/>
        <v>2002</v>
      </c>
      <c r="E49" s="249">
        <v>434</v>
      </c>
      <c r="F49" s="269">
        <f t="shared" ref="F49:F56" si="59">LN(E49)</f>
        <v>6.0730445341004051</v>
      </c>
      <c r="G49" s="269">
        <f t="shared" si="51"/>
        <v>36.88186991316681</v>
      </c>
      <c r="H49" s="614">
        <f t="shared" ref="H49:H54" si="60">LN(E49/$B49)</f>
        <v>-4.9175055311533722</v>
      </c>
      <c r="I49" s="250">
        <f t="shared" si="53"/>
        <v>24.181860648924008</v>
      </c>
      <c r="J49" s="247">
        <f t="shared" si="5"/>
        <v>2003</v>
      </c>
      <c r="K49" s="199">
        <v>99869</v>
      </c>
      <c r="L49" s="269">
        <f t="shared" si="46"/>
        <v>11.511614606170127</v>
      </c>
      <c r="M49" s="269">
        <f t="shared" si="47"/>
        <v>132.51727084098943</v>
      </c>
      <c r="N49" s="269">
        <f t="shared" si="58"/>
        <v>0.52106454091635024</v>
      </c>
      <c r="O49" s="269">
        <f t="shared" si="49"/>
        <v>0.2715082558003668</v>
      </c>
      <c r="P49" s="247">
        <f t="shared" si="10"/>
        <v>2004</v>
      </c>
      <c r="Q49" s="199">
        <v>132588</v>
      </c>
      <c r="R49" s="269">
        <f t="shared" si="38"/>
        <v>11.795001854901175</v>
      </c>
      <c r="S49" s="269">
        <f t="shared" si="39"/>
        <v>139.12206875712215</v>
      </c>
      <c r="T49" s="269">
        <f t="shared" si="56"/>
        <v>0.80445178964739794</v>
      </c>
      <c r="U49" s="269">
        <f t="shared" si="41"/>
        <v>0.64714268186690138</v>
      </c>
      <c r="V49" s="350">
        <f t="shared" si="25"/>
        <v>2004</v>
      </c>
      <c r="W49" s="199">
        <v>1337</v>
      </c>
      <c r="X49" s="269">
        <f t="shared" si="42"/>
        <v>7.1981835771019433</v>
      </c>
      <c r="Y49" s="269">
        <f t="shared" si="43"/>
        <v>51.813846809660127</v>
      </c>
      <c r="Z49" s="269">
        <f t="shared" si="57"/>
        <v>-3.7923664881518344</v>
      </c>
      <c r="AA49" s="269">
        <f t="shared" si="45"/>
        <v>14.382043580457077</v>
      </c>
      <c r="AB49" s="247">
        <f t="shared" si="18"/>
        <v>2005</v>
      </c>
      <c r="AC49" s="199">
        <v>603</v>
      </c>
      <c r="AD49" s="268">
        <f t="shared" si="34"/>
        <v>6.4019171967271857</v>
      </c>
      <c r="AE49" s="268">
        <f t="shared" si="35"/>
        <v>40.984543793751271</v>
      </c>
      <c r="AF49" s="268">
        <f t="shared" si="55"/>
        <v>-4.5886328685265916</v>
      </c>
      <c r="AG49" s="618">
        <f t="shared" si="37"/>
        <v>21.055551602122577</v>
      </c>
      <c r="AH49" s="622">
        <f t="shared" si="26"/>
        <v>1999</v>
      </c>
      <c r="AI49" s="267">
        <f>AC49+W49+Q49+K49+E49</f>
        <v>234831</v>
      </c>
      <c r="AJ49" s="213">
        <f t="shared" si="30"/>
        <v>2003</v>
      </c>
      <c r="AK49" s="217">
        <f t="shared" si="28"/>
        <v>170013</v>
      </c>
      <c r="AL49" s="472"/>
      <c r="AM49" s="472">
        <v>94586</v>
      </c>
      <c r="AN49" s="217">
        <f t="shared" si="24"/>
        <v>175520</v>
      </c>
      <c r="AO49" s="604">
        <f t="shared" si="32"/>
        <v>75427</v>
      </c>
      <c r="AP49" s="213">
        <f t="shared" si="29"/>
        <v>16</v>
      </c>
      <c r="AQ49" s="608">
        <f t="shared" si="33"/>
        <v>0.55634569121184851</v>
      </c>
    </row>
    <row r="50" spans="1:43">
      <c r="A50" s="246">
        <v>2000</v>
      </c>
      <c r="B50" s="215">
        <v>28416</v>
      </c>
      <c r="C50" s="616">
        <f t="shared" si="54"/>
        <v>10.254707645791896</v>
      </c>
      <c r="D50" s="247">
        <f t="shared" si="1"/>
        <v>2003</v>
      </c>
      <c r="E50" s="164">
        <v>419</v>
      </c>
      <c r="F50" s="269">
        <f t="shared" si="59"/>
        <v>6.0378709199221374</v>
      </c>
      <c r="G50" s="269">
        <f t="shared" si="51"/>
        <v>36.455885245641397</v>
      </c>
      <c r="H50" s="614">
        <f t="shared" si="60"/>
        <v>-4.2168367258697588</v>
      </c>
      <c r="I50" s="250">
        <f t="shared" si="53"/>
        <v>17.781711972643986</v>
      </c>
      <c r="J50" s="247">
        <f t="shared" si="5"/>
        <v>2004</v>
      </c>
      <c r="K50" s="215">
        <v>55977</v>
      </c>
      <c r="L50" s="269">
        <f t="shared" si="46"/>
        <v>10.932696171065359</v>
      </c>
      <c r="M50" s="269">
        <f t="shared" si="47"/>
        <v>119.52384556882717</v>
      </c>
      <c r="N50" s="269">
        <f>LN(K50/$B50)</f>
        <v>0.67798852527346209</v>
      </c>
      <c r="O50" s="269">
        <f t="shared" si="49"/>
        <v>0.45966844040248395</v>
      </c>
      <c r="P50" s="247">
        <f t="shared" si="10"/>
        <v>2005</v>
      </c>
      <c r="Q50" s="215">
        <v>86862</v>
      </c>
      <c r="R50" s="268">
        <f t="shared" si="38"/>
        <v>11.372075931382099</v>
      </c>
      <c r="S50" s="268">
        <f t="shared" si="39"/>
        <v>129.32411098912004</v>
      </c>
      <c r="T50" s="268">
        <f t="shared" si="56"/>
        <v>1.1173682855902018</v>
      </c>
      <c r="U50" s="268">
        <f t="shared" si="41"/>
        <v>1.2485118856427868</v>
      </c>
      <c r="V50" s="350">
        <f t="shared" si="25"/>
        <v>2005</v>
      </c>
      <c r="W50" s="215">
        <v>169</v>
      </c>
      <c r="X50" s="268">
        <f t="shared" si="42"/>
        <v>5.1298987149230735</v>
      </c>
      <c r="Y50" s="268">
        <f t="shared" si="43"/>
        <v>26.315860825369402</v>
      </c>
      <c r="Z50" s="268">
        <f t="shared" si="57"/>
        <v>-5.1248089308688227</v>
      </c>
      <c r="AA50" s="268">
        <f t="shared" si="45"/>
        <v>26.263666577912847</v>
      </c>
      <c r="AB50" s="247">
        <f t="shared" si="18"/>
        <v>2006</v>
      </c>
      <c r="AC50" s="215">
        <v>422</v>
      </c>
      <c r="AD50" s="268">
        <f t="shared" si="34"/>
        <v>6.045005314036012</v>
      </c>
      <c r="AE50" s="268">
        <f t="shared" si="35"/>
        <v>36.542089246723627</v>
      </c>
      <c r="AF50" s="268">
        <f t="shared" si="55"/>
        <v>-4.209702331755885</v>
      </c>
      <c r="AG50" s="618">
        <f t="shared" si="37"/>
        <v>17.721593721990935</v>
      </c>
      <c r="AH50" s="622">
        <f t="shared" si="26"/>
        <v>2000</v>
      </c>
      <c r="AI50" s="267">
        <f t="shared" si="23"/>
        <v>143849</v>
      </c>
      <c r="AJ50" s="213">
        <f t="shared" si="30"/>
        <v>2004</v>
      </c>
      <c r="AK50" s="217">
        <f t="shared" si="28"/>
        <v>190475</v>
      </c>
      <c r="AL50" s="472"/>
      <c r="AM50" s="472">
        <v>159906</v>
      </c>
      <c r="AN50" s="217">
        <f t="shared" si="24"/>
        <v>115433</v>
      </c>
      <c r="AO50" s="604">
        <f t="shared" si="32"/>
        <v>30569</v>
      </c>
      <c r="AP50" s="213">
        <f t="shared" si="29"/>
        <v>12</v>
      </c>
      <c r="AQ50" s="608">
        <f t="shared" si="33"/>
        <v>0.83951174694841846</v>
      </c>
    </row>
    <row r="51" spans="1:43">
      <c r="A51" s="366">
        <v>2001</v>
      </c>
      <c r="B51" s="274">
        <v>38547</v>
      </c>
      <c r="C51" s="369">
        <f t="shared" si="54"/>
        <v>10.55963355495159</v>
      </c>
      <c r="D51" s="367">
        <f t="shared" si="1"/>
        <v>2004</v>
      </c>
      <c r="E51" s="368">
        <v>382</v>
      </c>
      <c r="F51" s="369">
        <f t="shared" si="59"/>
        <v>5.9454206086065753</v>
      </c>
      <c r="G51" s="369">
        <f t="shared" si="51"/>
        <v>35.348026213243777</v>
      </c>
      <c r="H51" s="611">
        <f t="shared" si="60"/>
        <v>-4.614212946345015</v>
      </c>
      <c r="I51" s="369">
        <f t="shared" si="53"/>
        <v>21.290961114217943</v>
      </c>
      <c r="J51" s="367">
        <f t="shared" si="5"/>
        <v>2005</v>
      </c>
      <c r="K51" s="274">
        <v>6618</v>
      </c>
      <c r="L51" s="370">
        <f t="shared" si="46"/>
        <v>8.7975484884815582</v>
      </c>
      <c r="M51" s="370">
        <f t="shared" si="47"/>
        <v>77.396859407184152</v>
      </c>
      <c r="N51" s="370">
        <f t="shared" si="58"/>
        <v>-1.7620850664700329</v>
      </c>
      <c r="O51" s="370">
        <f t="shared" si="49"/>
        <v>3.1049437814767002</v>
      </c>
      <c r="P51" s="367">
        <f t="shared" si="10"/>
        <v>2006</v>
      </c>
      <c r="Q51" s="274">
        <v>4192</v>
      </c>
      <c r="R51" s="370">
        <f t="shared" si="38"/>
        <v>8.3409332260008782</v>
      </c>
      <c r="S51" s="370">
        <f t="shared" si="39"/>
        <v>69.57116708060542</v>
      </c>
      <c r="T51" s="370">
        <f t="shared" si="56"/>
        <v>-2.2187003289507121</v>
      </c>
      <c r="U51" s="370">
        <f t="shared" si="41"/>
        <v>4.9226311496859978</v>
      </c>
      <c r="V51" s="350">
        <f t="shared" si="25"/>
        <v>2006</v>
      </c>
      <c r="W51" s="274">
        <v>711</v>
      </c>
      <c r="X51" s="370">
        <f t="shared" si="42"/>
        <v>6.5666724298032406</v>
      </c>
      <c r="Y51" s="370">
        <f t="shared" si="43"/>
        <v>43.121186800337995</v>
      </c>
      <c r="Z51" s="370">
        <f t="shared" si="57"/>
        <v>-3.9929611251483497</v>
      </c>
      <c r="AA51" s="370">
        <f t="shared" si="45"/>
        <v>15.943738546945974</v>
      </c>
      <c r="AB51" s="367">
        <f t="shared" si="18"/>
        <v>2007</v>
      </c>
      <c r="AC51" s="274">
        <v>3713</v>
      </c>
      <c r="AD51" s="370">
        <f t="shared" si="34"/>
        <v>8.2195954541770799</v>
      </c>
      <c r="AE51" s="370">
        <f t="shared" si="35"/>
        <v>67.561749430328518</v>
      </c>
      <c r="AF51" s="370">
        <f t="shared" si="55"/>
        <v>-2.3400381007745104</v>
      </c>
      <c r="AG51" s="371">
        <f t="shared" si="37"/>
        <v>5.4757783130763773</v>
      </c>
      <c r="AH51" s="622">
        <f t="shared" si="26"/>
        <v>2001</v>
      </c>
      <c r="AI51" s="372">
        <f t="shared" ref="AI51:AI54" si="61">AC51+W51+Q51+K51+E51</f>
        <v>15616</v>
      </c>
      <c r="AJ51" s="213">
        <f t="shared" si="30"/>
        <v>2005</v>
      </c>
      <c r="AK51" s="217">
        <f t="shared" si="28"/>
        <v>94282</v>
      </c>
      <c r="AL51" s="472"/>
      <c r="AM51" s="472">
        <v>63969</v>
      </c>
      <c r="AN51" s="217">
        <f t="shared" si="24"/>
        <v>-22931</v>
      </c>
      <c r="AO51" s="604">
        <f t="shared" si="32"/>
        <v>30313</v>
      </c>
      <c r="AP51" s="213">
        <f t="shared" si="29"/>
        <v>30</v>
      </c>
      <c r="AQ51" s="608">
        <f t="shared" si="33"/>
        <v>0.67848581913832973</v>
      </c>
    </row>
    <row r="52" spans="1:43">
      <c r="A52" s="246">
        <v>2002</v>
      </c>
      <c r="B52" s="215">
        <v>28323</v>
      </c>
      <c r="C52" s="616">
        <f t="shared" si="54"/>
        <v>10.251429474400627</v>
      </c>
      <c r="D52" s="247">
        <f t="shared" si="1"/>
        <v>2005</v>
      </c>
      <c r="E52" s="164">
        <v>30</v>
      </c>
      <c r="F52" s="268">
        <f t="shared" si="59"/>
        <v>3.4011973816621555</v>
      </c>
      <c r="G52" s="268">
        <f t="shared" si="51"/>
        <v>11.568143629025503</v>
      </c>
      <c r="H52" s="612">
        <f t="shared" si="60"/>
        <v>-6.8502320927384712</v>
      </c>
      <c r="I52" s="268">
        <f t="shared" si="53"/>
        <v>46.925679724384096</v>
      </c>
      <c r="J52" s="247">
        <f t="shared" si="5"/>
        <v>2006</v>
      </c>
      <c r="K52" s="215">
        <v>27264</v>
      </c>
      <c r="L52" s="268">
        <f t="shared" si="46"/>
        <v>10.213322429629041</v>
      </c>
      <c r="M52" s="268">
        <f t="shared" si="47"/>
        <v>104.31195505156367</v>
      </c>
      <c r="N52" s="268">
        <f t="shared" si="58"/>
        <v>-3.8107044771583935E-2</v>
      </c>
      <c r="O52" s="268">
        <f t="shared" si="49"/>
        <v>1.4521468612235025E-3</v>
      </c>
      <c r="P52" s="247">
        <f t="shared" si="10"/>
        <v>2007</v>
      </c>
      <c r="Q52" s="215">
        <v>149002</v>
      </c>
      <c r="R52" s="268">
        <f t="shared" si="38"/>
        <v>11.911715007656303</v>
      </c>
      <c r="S52" s="268">
        <f t="shared" si="39"/>
        <v>141.8889544236244</v>
      </c>
      <c r="T52" s="268">
        <f t="shared" si="56"/>
        <v>1.6602855332556767</v>
      </c>
      <c r="U52" s="268">
        <f t="shared" si="41"/>
        <v>2.7565480519380867</v>
      </c>
      <c r="V52" s="350">
        <f t="shared" si="25"/>
        <v>2007</v>
      </c>
      <c r="W52" s="215">
        <v>1047</v>
      </c>
      <c r="X52" s="268">
        <f t="shared" si="42"/>
        <v>6.953684210870537</v>
      </c>
      <c r="Y52" s="268">
        <f t="shared" si="43"/>
        <v>48.353724104510206</v>
      </c>
      <c r="Z52" s="268">
        <f t="shared" si="57"/>
        <v>-3.2977452635300892</v>
      </c>
      <c r="AA52" s="268">
        <f t="shared" si="45"/>
        <v>10.875123823135137</v>
      </c>
      <c r="AB52" s="247">
        <f t="shared" si="18"/>
        <v>2008</v>
      </c>
      <c r="AC52" s="215">
        <v>2989</v>
      </c>
      <c r="AD52" s="616">
        <f t="shared" si="34"/>
        <v>8.0026941622839374</v>
      </c>
      <c r="AE52" s="616">
        <f t="shared" si="35"/>
        <v>64.043113855053406</v>
      </c>
      <c r="AF52" s="616">
        <f t="shared" ref="AF52:AF58" si="62">LN(AC52/$B52)</f>
        <v>-2.2487353121166884</v>
      </c>
      <c r="AG52" s="618">
        <f>AF52^2</f>
        <v>5.0568105039605404</v>
      </c>
      <c r="AH52" s="622">
        <f t="shared" si="26"/>
        <v>2002</v>
      </c>
      <c r="AI52" s="267">
        <f t="shared" si="61"/>
        <v>180332</v>
      </c>
      <c r="AJ52" s="213">
        <f t="shared" si="30"/>
        <v>2006</v>
      </c>
      <c r="AK52" s="217">
        <f t="shared" si="28"/>
        <v>32870</v>
      </c>
      <c r="AL52" s="472"/>
      <c r="AM52" s="472">
        <v>9391</v>
      </c>
      <c r="AN52" s="217">
        <f t="shared" si="24"/>
        <v>152009</v>
      </c>
      <c r="AO52" s="604">
        <f t="shared" si="32"/>
        <v>23479</v>
      </c>
      <c r="AP52" s="213">
        <f t="shared" si="29"/>
        <v>42</v>
      </c>
      <c r="AQ52" s="608">
        <f t="shared" si="33"/>
        <v>0.28570124733799818</v>
      </c>
    </row>
    <row r="53" spans="1:43">
      <c r="A53" s="246">
        <v>2003</v>
      </c>
      <c r="B53" s="215">
        <v>75427</v>
      </c>
      <c r="C53" s="616">
        <f t="shared" si="54"/>
        <v>11.230920580082735</v>
      </c>
      <c r="D53" s="247">
        <f t="shared" si="1"/>
        <v>2006</v>
      </c>
      <c r="E53" s="164">
        <v>281</v>
      </c>
      <c r="F53" s="268">
        <f t="shared" si="59"/>
        <v>5.6383546693337454</v>
      </c>
      <c r="G53" s="268">
        <f t="shared" si="51"/>
        <v>31.791043377197649</v>
      </c>
      <c r="H53" s="612">
        <f t="shared" si="60"/>
        <v>-5.5925659107489896</v>
      </c>
      <c r="I53" s="268">
        <f t="shared" si="53"/>
        <v>31.276793466071677</v>
      </c>
      <c r="J53" s="247">
        <v>2007</v>
      </c>
      <c r="K53" s="134">
        <v>29262</v>
      </c>
      <c r="L53" s="268">
        <f t="shared" si="46"/>
        <v>10.284045024938107</v>
      </c>
      <c r="M53" s="268">
        <f t="shared" si="47"/>
        <v>105.76158207495423</v>
      </c>
      <c r="N53" s="268">
        <f t="shared" si="58"/>
        <v>-0.9468755551446274</v>
      </c>
      <c r="O53" s="268">
        <f t="shared" si="49"/>
        <v>0.89657331693044628</v>
      </c>
      <c r="P53" s="247">
        <f t="shared" si="10"/>
        <v>2008</v>
      </c>
      <c r="Q53" s="215">
        <v>67899</v>
      </c>
      <c r="R53" s="269">
        <f t="shared" si="38"/>
        <v>11.125776585897835</v>
      </c>
      <c r="S53" s="269">
        <f t="shared" si="39"/>
        <v>123.78290463931249</v>
      </c>
      <c r="T53" s="269">
        <f t="shared" ref="T53:T59" si="63">LN(Q53/$B53)</f>
        <v>-0.10514399418489957</v>
      </c>
      <c r="U53" s="269">
        <f t="shared" si="41"/>
        <v>1.1055259513154196E-2</v>
      </c>
      <c r="V53" s="350">
        <f t="shared" si="25"/>
        <v>2008</v>
      </c>
      <c r="W53" s="215">
        <v>3193</v>
      </c>
      <c r="X53" s="269">
        <f t="shared" si="42"/>
        <v>8.0687161927147812</v>
      </c>
      <c r="Y53" s="269">
        <f t="shared" si="43"/>
        <v>65.104180998577718</v>
      </c>
      <c r="Z53" s="269">
        <f t="shared" ref="Z53:Z59" si="64">LN(W53/$B53)</f>
        <v>-3.1622043873679528</v>
      </c>
      <c r="AA53" s="269">
        <f t="shared" si="45"/>
        <v>9.9995365874891302</v>
      </c>
      <c r="AB53" s="247">
        <f t="shared" si="18"/>
        <v>2009</v>
      </c>
      <c r="AC53" s="215">
        <v>1762</v>
      </c>
      <c r="AD53" s="268">
        <f t="shared" si="34"/>
        <v>7.4742048064961244</v>
      </c>
      <c r="AE53" s="268">
        <f t="shared" si="35"/>
        <v>55.863737489449768</v>
      </c>
      <c r="AF53" s="268">
        <f t="shared" si="62"/>
        <v>-3.7567157735866101</v>
      </c>
      <c r="AG53" s="618">
        <f t="shared" si="37"/>
        <v>14.112913403514442</v>
      </c>
      <c r="AH53" s="622">
        <f t="shared" si="26"/>
        <v>2003</v>
      </c>
      <c r="AI53" s="267">
        <f t="shared" si="61"/>
        <v>102397</v>
      </c>
      <c r="AJ53" s="213">
        <v>2007</v>
      </c>
      <c r="AK53" s="217">
        <f t="shared" si="28"/>
        <v>183026</v>
      </c>
      <c r="AL53" s="472"/>
      <c r="AM53" s="472">
        <v>113025</v>
      </c>
      <c r="AN53" s="217">
        <f t="shared" si="24"/>
        <v>26970</v>
      </c>
      <c r="AO53" s="604">
        <f t="shared" si="32"/>
        <v>70001</v>
      </c>
      <c r="AP53" s="213">
        <f t="shared" si="29"/>
        <v>14</v>
      </c>
      <c r="AQ53" s="608">
        <f t="shared" si="33"/>
        <v>0.61753521357621322</v>
      </c>
    </row>
    <row r="54" spans="1:43">
      <c r="A54" s="246">
        <v>2004</v>
      </c>
      <c r="B54" s="215">
        <v>30569</v>
      </c>
      <c r="C54" s="616">
        <f t="shared" si="54"/>
        <v>10.327741702540875</v>
      </c>
      <c r="D54" s="247">
        <f t="shared" si="1"/>
        <v>2007</v>
      </c>
      <c r="E54" s="349">
        <v>2</v>
      </c>
      <c r="F54" s="268">
        <f t="shared" si="59"/>
        <v>0.69314718055994529</v>
      </c>
      <c r="G54" s="268">
        <f t="shared" si="51"/>
        <v>0.48045301391820139</v>
      </c>
      <c r="H54" s="612">
        <f t="shared" si="60"/>
        <v>-9.6345945219809295</v>
      </c>
      <c r="I54" s="268">
        <f t="shared" si="53"/>
        <v>92.825411602984929</v>
      </c>
      <c r="J54" s="247">
        <f t="shared" si="5"/>
        <v>2008</v>
      </c>
      <c r="K54" s="134">
        <v>45985</v>
      </c>
      <c r="L54" s="475">
        <f t="shared" si="46"/>
        <v>10.736070535336799</v>
      </c>
      <c r="M54" s="475">
        <f t="shared" si="47"/>
        <v>115.26321053972697</v>
      </c>
      <c r="N54" s="475">
        <f t="shared" si="58"/>
        <v>0.40832883279592369</v>
      </c>
      <c r="O54" s="475">
        <f t="shared" si="49"/>
        <v>0.16673243569248142</v>
      </c>
      <c r="P54" s="247">
        <f t="shared" si="10"/>
        <v>2009</v>
      </c>
      <c r="Q54" s="134">
        <v>107414</v>
      </c>
      <c r="R54" s="268">
        <f t="shared" si="38"/>
        <v>11.584445806379085</v>
      </c>
      <c r="S54" s="268">
        <f t="shared" si="39"/>
        <v>134.19938464093397</v>
      </c>
      <c r="T54" s="268">
        <f t="shared" si="63"/>
        <v>1.2567041038382112</v>
      </c>
      <c r="U54" s="268">
        <f t="shared" si="41"/>
        <v>1.5793052046038014</v>
      </c>
      <c r="V54" s="350">
        <f t="shared" si="25"/>
        <v>2009</v>
      </c>
      <c r="W54" s="215">
        <v>514</v>
      </c>
      <c r="X54" s="268">
        <f t="shared" si="42"/>
        <v>6.2422232654551655</v>
      </c>
      <c r="Y54" s="268">
        <f t="shared" si="43"/>
        <v>38.965351295789752</v>
      </c>
      <c r="Z54" s="268">
        <f t="shared" si="64"/>
        <v>-4.0855184370857094</v>
      </c>
      <c r="AA54" s="268">
        <f t="shared" si="45"/>
        <v>16.691460899767257</v>
      </c>
      <c r="AB54" s="247">
        <f t="shared" si="18"/>
        <v>2010</v>
      </c>
      <c r="AC54" s="215">
        <v>195</v>
      </c>
      <c r="AD54" s="616">
        <f>LN(AC54)</f>
        <v>5.2729995585637468</v>
      </c>
      <c r="AE54" s="616">
        <f>AD54^2</f>
        <v>27.804524344613469</v>
      </c>
      <c r="AF54" s="616">
        <f t="shared" si="62"/>
        <v>-5.0547421439771272</v>
      </c>
      <c r="AG54" s="618">
        <f>AF54^2</f>
        <v>25.550418142098483</v>
      </c>
      <c r="AH54" s="622">
        <f t="shared" si="26"/>
        <v>2004</v>
      </c>
      <c r="AI54" s="267">
        <f t="shared" si="61"/>
        <v>154110</v>
      </c>
      <c r="AJ54" s="213">
        <f t="shared" si="30"/>
        <v>2008</v>
      </c>
      <c r="AK54" s="217">
        <f t="shared" si="28"/>
        <v>120574</v>
      </c>
      <c r="AL54" s="472"/>
      <c r="AM54" s="472">
        <v>91276</v>
      </c>
      <c r="AN54" s="217">
        <f t="shared" si="24"/>
        <v>123541</v>
      </c>
      <c r="AO54" s="604">
        <f t="shared" si="32"/>
        <v>29298</v>
      </c>
      <c r="AP54" s="213">
        <f t="shared" si="29"/>
        <v>27</v>
      </c>
      <c r="AQ54" s="608">
        <f t="shared" si="33"/>
        <v>0.7570122912070596</v>
      </c>
    </row>
    <row r="55" spans="1:43">
      <c r="A55" s="246">
        <v>2005</v>
      </c>
      <c r="B55" s="215">
        <v>30313</v>
      </c>
      <c r="C55" s="616">
        <f t="shared" si="54"/>
        <v>10.319331942389161</v>
      </c>
      <c r="D55" s="247">
        <f t="shared" si="1"/>
        <v>2008</v>
      </c>
      <c r="E55" s="349">
        <v>508</v>
      </c>
      <c r="F55" s="269">
        <f>LN(E55)</f>
        <v>6.230481447578482</v>
      </c>
      <c r="G55" s="269">
        <f t="shared" si="51"/>
        <v>38.818899068619658</v>
      </c>
      <c r="H55" s="614">
        <f t="shared" ref="H55:H60" si="65">LN(E55/$B55)</f>
        <v>-4.0888504948106794</v>
      </c>
      <c r="I55" s="250">
        <f t="shared" si="53"/>
        <v>16.71869836891354</v>
      </c>
      <c r="J55" s="469">
        <f t="shared" si="5"/>
        <v>2009</v>
      </c>
      <c r="K55" s="134">
        <v>2810</v>
      </c>
      <c r="L55" s="475">
        <f t="shared" ref="L55:L60" si="66">LN(K55)</f>
        <v>7.9409397623277913</v>
      </c>
      <c r="M55" s="475">
        <f t="shared" si="47"/>
        <v>63.058524308918557</v>
      </c>
      <c r="N55" s="475">
        <f t="shared" si="58"/>
        <v>-2.3783921800613701</v>
      </c>
      <c r="O55" s="475">
        <f t="shared" si="49"/>
        <v>5.6567493621770764</v>
      </c>
      <c r="P55" s="247">
        <f t="shared" si="10"/>
        <v>2010</v>
      </c>
      <c r="Q55" s="134">
        <v>12640</v>
      </c>
      <c r="R55" s="268">
        <f>LN(Q55)</f>
        <v>9.444621667700849</v>
      </c>
      <c r="S55" s="268">
        <f>R55^2</f>
        <v>89.200878446004367</v>
      </c>
      <c r="T55" s="268">
        <f t="shared" si="63"/>
        <v>-0.87471027468831297</v>
      </c>
      <c r="U55" s="268">
        <f>T55^2</f>
        <v>0.76511806464530396</v>
      </c>
      <c r="V55" s="350">
        <f t="shared" si="25"/>
        <v>2010</v>
      </c>
      <c r="W55" s="215">
        <v>13516</v>
      </c>
      <c r="X55" s="269">
        <f>LN(W55)</f>
        <v>9.5116294478341814</v>
      </c>
      <c r="Y55" s="269">
        <f>X55^2</f>
        <v>90.471094752906382</v>
      </c>
      <c r="Z55" s="269">
        <f t="shared" si="64"/>
        <v>-0.80770249455498078</v>
      </c>
      <c r="AA55" s="269">
        <f>Z55^2</f>
        <v>0.6523833197103388</v>
      </c>
      <c r="AB55" s="247">
        <f t="shared" si="18"/>
        <v>2011</v>
      </c>
      <c r="AC55" s="134">
        <v>6280</v>
      </c>
      <c r="AD55" s="616">
        <f>LN(AC55)</f>
        <v>8.7451252594622435</v>
      </c>
      <c r="AE55" s="616">
        <f>AD55^2</f>
        <v>76.477215803684572</v>
      </c>
      <c r="AF55" s="616">
        <f t="shared" si="62"/>
        <v>-1.574206682926917</v>
      </c>
      <c r="AG55" s="618">
        <f>AF55^2</f>
        <v>2.478126680571767</v>
      </c>
      <c r="AH55" s="622">
        <f t="shared" si="26"/>
        <v>2005</v>
      </c>
      <c r="AI55" s="476">
        <f t="shared" ref="AI55:AI56" si="67">AC55+W55+Q55+K55+E55</f>
        <v>35754</v>
      </c>
      <c r="AJ55" s="213">
        <f t="shared" si="30"/>
        <v>2009</v>
      </c>
      <c r="AK55" s="217">
        <f t="shared" si="28"/>
        <v>113040</v>
      </c>
      <c r="AL55" s="219">
        <v>115899</v>
      </c>
      <c r="AM55" s="219">
        <v>89854</v>
      </c>
      <c r="AN55" s="217">
        <f t="shared" si="24"/>
        <v>5441</v>
      </c>
      <c r="AO55" s="604">
        <f t="shared" si="32"/>
        <v>23186</v>
      </c>
      <c r="AP55" s="213">
        <f t="shared" si="29"/>
        <v>28</v>
      </c>
      <c r="AQ55" s="608">
        <f t="shared" si="33"/>
        <v>0.79488676574663841</v>
      </c>
    </row>
    <row r="56" spans="1:43">
      <c r="A56" s="246">
        <v>2006</v>
      </c>
      <c r="B56" s="215">
        <v>23479</v>
      </c>
      <c r="C56" s="616">
        <f>LN(B56)</f>
        <v>10.063861683597258</v>
      </c>
      <c r="D56" s="247">
        <f t="shared" si="1"/>
        <v>2009</v>
      </c>
      <c r="E56" s="349">
        <v>540</v>
      </c>
      <c r="F56" s="268">
        <f t="shared" si="59"/>
        <v>6.2915691395583204</v>
      </c>
      <c r="G56" s="268">
        <f t="shared" ref="G56:G61" si="68">F56^2</f>
        <v>39.583842237842624</v>
      </c>
      <c r="H56" s="612">
        <f t="shared" si="65"/>
        <v>-3.7722925440389372</v>
      </c>
      <c r="I56" s="268">
        <f t="shared" si="53"/>
        <v>14.230191037811757</v>
      </c>
      <c r="J56" s="247">
        <f t="shared" si="5"/>
        <v>2010</v>
      </c>
      <c r="K56" s="134">
        <v>37325</v>
      </c>
      <c r="L56" s="268">
        <f t="shared" si="66"/>
        <v>10.52741862240739</v>
      </c>
      <c r="M56" s="268">
        <f>L56^2</f>
        <v>110.82654285140993</v>
      </c>
      <c r="N56" s="268">
        <f>LN(K56/$B56)</f>
        <v>0.46355693881013366</v>
      </c>
      <c r="O56" s="268">
        <f>N56^2</f>
        <v>0.21488503551902199</v>
      </c>
      <c r="P56" s="247">
        <f t="shared" si="10"/>
        <v>2011</v>
      </c>
      <c r="Q56" s="134">
        <v>122276</v>
      </c>
      <c r="R56" s="268">
        <f>LN(Q56)</f>
        <v>11.714036063660766</v>
      </c>
      <c r="S56" s="268">
        <f>R56^2</f>
        <v>137.21864090074502</v>
      </c>
      <c r="T56" s="268">
        <f t="shared" si="63"/>
        <v>1.6501743800635074</v>
      </c>
      <c r="U56" s="268">
        <f>T56^2</f>
        <v>2.723075484617981</v>
      </c>
      <c r="V56" s="350">
        <f t="shared" si="25"/>
        <v>2011</v>
      </c>
      <c r="W56" s="215">
        <v>552</v>
      </c>
      <c r="X56" s="269">
        <f>LN(W56)</f>
        <v>6.313548046277095</v>
      </c>
      <c r="Y56" s="269">
        <f>X56^2</f>
        <v>39.860888932649324</v>
      </c>
      <c r="Z56" s="269">
        <f t="shared" si="64"/>
        <v>-3.7503136373201622</v>
      </c>
      <c r="AA56" s="269">
        <f>Z56^2</f>
        <v>14.064852378269585</v>
      </c>
      <c r="AB56" s="247">
        <f t="shared" si="18"/>
        <v>2012</v>
      </c>
      <c r="AC56" s="134">
        <v>3802</v>
      </c>
      <c r="AD56" s="268">
        <f>LN(AC56)</f>
        <v>8.2432825230483751</v>
      </c>
      <c r="AE56" s="268">
        <f>AD56^2</f>
        <v>67.951706754794785</v>
      </c>
      <c r="AF56" s="268">
        <f t="shared" si="62"/>
        <v>-1.820579160548883</v>
      </c>
      <c r="AG56" s="618">
        <f>AF56^2</f>
        <v>3.3145084798248754</v>
      </c>
      <c r="AH56" s="622">
        <f t="shared" si="26"/>
        <v>2006</v>
      </c>
      <c r="AI56" s="267">
        <f t="shared" si="67"/>
        <v>164495</v>
      </c>
      <c r="AJ56" s="213">
        <f t="shared" si="30"/>
        <v>2010</v>
      </c>
      <c r="AK56" s="217">
        <f t="shared" si="28"/>
        <v>66793</v>
      </c>
      <c r="AM56" s="124">
        <v>42481</v>
      </c>
      <c r="AN56" s="217">
        <f t="shared" si="24"/>
        <v>141016</v>
      </c>
      <c r="AO56" s="604">
        <f t="shared" si="32"/>
        <v>24312</v>
      </c>
      <c r="AP56" s="213">
        <f t="shared" si="29"/>
        <v>35</v>
      </c>
      <c r="AQ56" s="608">
        <f t="shared" si="33"/>
        <v>0.63600976150195376</v>
      </c>
    </row>
    <row r="57" spans="1:43">
      <c r="A57" s="246">
        <v>2007</v>
      </c>
      <c r="B57" s="134">
        <v>70001</v>
      </c>
      <c r="C57" s="616">
        <f t="shared" si="54"/>
        <v>11.156264806643742</v>
      </c>
      <c r="D57" s="247">
        <f t="shared" si="1"/>
        <v>2010</v>
      </c>
      <c r="E57" s="349">
        <v>3117</v>
      </c>
      <c r="F57" s="269">
        <f>LN(E57)</f>
        <v>8.0446262797673374</v>
      </c>
      <c r="G57" s="269">
        <f t="shared" si="68"/>
        <v>64.716011981123273</v>
      </c>
      <c r="H57" s="614">
        <f t="shared" si="65"/>
        <v>-3.1116385268764049</v>
      </c>
      <c r="I57" s="250">
        <f>H57^2</f>
        <v>9.682294321941562</v>
      </c>
      <c r="J57" s="247">
        <f t="shared" si="5"/>
        <v>2011</v>
      </c>
      <c r="K57" s="134">
        <v>104874</v>
      </c>
      <c r="L57" s="268">
        <f t="shared" si="66"/>
        <v>11.560514908563141</v>
      </c>
      <c r="M57" s="268">
        <f>L57^2</f>
        <v>133.64550495111064</v>
      </c>
      <c r="N57" s="268">
        <f>LN(K57/$B57)</f>
        <v>0.40425010191939964</v>
      </c>
      <c r="O57" s="268">
        <f>N57^2</f>
        <v>0.163418144901845</v>
      </c>
      <c r="P57" s="247">
        <f t="shared" si="10"/>
        <v>2012</v>
      </c>
      <c r="Q57" s="134">
        <v>535148</v>
      </c>
      <c r="R57" s="268">
        <f>LN(Q57)</f>
        <v>13.190298623135615</v>
      </c>
      <c r="S57" s="268">
        <f>R57^2</f>
        <v>173.98397776749329</v>
      </c>
      <c r="T57" s="268">
        <f t="shared" si="63"/>
        <v>2.0340338164918719</v>
      </c>
      <c r="U57" s="268">
        <f>T57^2</f>
        <v>4.1372935666324899</v>
      </c>
      <c r="V57" s="350">
        <f t="shared" si="25"/>
        <v>2012</v>
      </c>
      <c r="W57" s="215">
        <v>2851</v>
      </c>
      <c r="X57" s="268">
        <f>LN(W57)</f>
        <v>7.9554250889126719</v>
      </c>
      <c r="Y57" s="268">
        <f>X57^2</f>
        <v>63.288788345301192</v>
      </c>
      <c r="Z57" s="268">
        <f t="shared" si="64"/>
        <v>-3.2008397177310699</v>
      </c>
      <c r="AA57" s="268">
        <f>Z57^2</f>
        <v>10.245374898604716</v>
      </c>
      <c r="AB57" s="247">
        <f t="shared" si="18"/>
        <v>2013</v>
      </c>
      <c r="AC57" s="134">
        <v>3052</v>
      </c>
      <c r="AD57" s="608">
        <f>LN(AC57)</f>
        <v>8.0235523924043477</v>
      </c>
      <c r="AE57" s="608">
        <f>AD57^2</f>
        <v>64.377392993657537</v>
      </c>
      <c r="AF57" s="608">
        <f t="shared" si="62"/>
        <v>-3.1327124142393941</v>
      </c>
      <c r="AG57" s="619">
        <f>AF57^2</f>
        <v>9.8138870703296135</v>
      </c>
      <c r="AH57" s="622">
        <f t="shared" si="26"/>
        <v>2007</v>
      </c>
      <c r="AI57" s="267">
        <f>AC57+W57+Q57+K57+E57</f>
        <v>649042</v>
      </c>
      <c r="AJ57" s="213">
        <f t="shared" si="30"/>
        <v>2011</v>
      </c>
      <c r="AK57" s="217">
        <f t="shared" si="28"/>
        <v>234022</v>
      </c>
      <c r="AM57" s="124">
        <v>131663</v>
      </c>
      <c r="AN57" s="217">
        <f t="shared" si="24"/>
        <v>579041</v>
      </c>
      <c r="AO57" s="604">
        <f t="shared" si="32"/>
        <v>102359</v>
      </c>
      <c r="AP57" s="213">
        <f t="shared" si="29"/>
        <v>8</v>
      </c>
      <c r="AQ57" s="608">
        <f t="shared" si="33"/>
        <v>0.56260949825230111</v>
      </c>
    </row>
    <row r="58" spans="1:43">
      <c r="A58" s="246">
        <v>2008</v>
      </c>
      <c r="B58" s="134">
        <v>29298</v>
      </c>
      <c r="C58" s="616">
        <f t="shared" si="54"/>
        <v>10.285274533289716</v>
      </c>
      <c r="D58" s="247">
        <f t="shared" si="1"/>
        <v>2011</v>
      </c>
      <c r="E58" s="207">
        <v>40</v>
      </c>
      <c r="F58" s="269">
        <f>LN(E58)</f>
        <v>3.6888794541139363</v>
      </c>
      <c r="G58" s="269">
        <f t="shared" si="68"/>
        <v>13.607831626983932</v>
      </c>
      <c r="H58" s="614">
        <f t="shared" si="65"/>
        <v>-6.5963950791757791</v>
      </c>
      <c r="I58" s="250">
        <f>H58^2</f>
        <v>43.512428040574434</v>
      </c>
      <c r="J58" s="247">
        <f t="shared" si="5"/>
        <v>2012</v>
      </c>
      <c r="K58" s="134">
        <v>30185</v>
      </c>
      <c r="L58" s="475">
        <f t="shared" si="66"/>
        <v>10.315100391230526</v>
      </c>
      <c r="M58" s="475">
        <f>L58^2</f>
        <v>106.40129608116416</v>
      </c>
      <c r="N58" s="475">
        <f>LN(K58/$B58)</f>
        <v>2.982585794081135E-2</v>
      </c>
      <c r="O58" s="475">
        <f>N58^2</f>
        <v>8.8958180190545943E-4</v>
      </c>
      <c r="P58" s="247">
        <f t="shared" si="10"/>
        <v>2013</v>
      </c>
      <c r="Q58" s="134">
        <v>40675</v>
      </c>
      <c r="R58" s="608">
        <f>LN(Q58)</f>
        <v>10.613368932087239</v>
      </c>
      <c r="S58" s="608">
        <f>R58^2</f>
        <v>112.64360008859461</v>
      </c>
      <c r="T58" s="608">
        <f t="shared" si="63"/>
        <v>0.32809439879752322</v>
      </c>
      <c r="U58" s="608">
        <f>T58^2</f>
        <v>0.10764593452230821</v>
      </c>
      <c r="V58" s="350">
        <f t="shared" si="25"/>
        <v>2013</v>
      </c>
      <c r="W58" s="215">
        <v>838</v>
      </c>
      <c r="X58" s="608">
        <f>LN(W58)</f>
        <v>6.7310181004820828</v>
      </c>
      <c r="Y58" s="608">
        <f>X58^2</f>
        <v>45.306604669017425</v>
      </c>
      <c r="Z58" s="608">
        <f t="shared" si="64"/>
        <v>-3.554256432807632</v>
      </c>
      <c r="AA58" s="608">
        <f>Z58^2</f>
        <v>12.632738790154434</v>
      </c>
      <c r="AB58" s="247">
        <f t="shared" si="18"/>
        <v>2014</v>
      </c>
      <c r="AC58" s="134">
        <v>46</v>
      </c>
      <c r="AD58" s="608">
        <f>LN(AC58)</f>
        <v>3.8286413964890951</v>
      </c>
      <c r="AE58" s="608">
        <f>AD58^2</f>
        <v>14.658494942909968</v>
      </c>
      <c r="AF58" s="608">
        <f t="shared" si="62"/>
        <v>-6.4566331368006207</v>
      </c>
      <c r="AG58" s="619">
        <f>AF58^2</f>
        <v>41.68811146323182</v>
      </c>
      <c r="AH58" s="622">
        <f t="shared" si="26"/>
        <v>2008</v>
      </c>
      <c r="AI58" s="267">
        <f>AC58+W58+Q58+K58+E58</f>
        <v>71784</v>
      </c>
      <c r="AJ58" s="213">
        <f t="shared" si="30"/>
        <v>2012</v>
      </c>
      <c r="AK58" s="217">
        <f t="shared" si="28"/>
        <v>573938</v>
      </c>
      <c r="AL58" s="544">
        <v>576570</v>
      </c>
      <c r="AM58" s="544">
        <v>501597</v>
      </c>
      <c r="AN58" s="217">
        <f t="shared" si="24"/>
        <v>42486</v>
      </c>
      <c r="AO58" s="604">
        <f t="shared" si="32"/>
        <v>74978</v>
      </c>
      <c r="AP58" s="213">
        <f t="shared" si="29"/>
        <v>3</v>
      </c>
      <c r="AQ58" s="608">
        <f t="shared" si="33"/>
        <v>0.86936219591663211</v>
      </c>
    </row>
    <row r="59" spans="1:43">
      <c r="A59" s="246">
        <v>2009</v>
      </c>
      <c r="B59" s="134">
        <v>23186</v>
      </c>
      <c r="C59" s="616">
        <f t="shared" si="54"/>
        <v>10.051303927230347</v>
      </c>
      <c r="D59" s="247">
        <f t="shared" si="1"/>
        <v>2012</v>
      </c>
      <c r="E59" s="349">
        <v>1952</v>
      </c>
      <c r="F59" s="269">
        <f>LN(E59)</f>
        <v>7.5766097669730375</v>
      </c>
      <c r="G59" s="269">
        <f t="shared" si="68"/>
        <v>57.405015560991224</v>
      </c>
      <c r="H59" s="614">
        <f t="shared" si="65"/>
        <v>-2.4746941602573092</v>
      </c>
      <c r="I59" s="250">
        <f>H59^2</f>
        <v>6.1241111868116285</v>
      </c>
      <c r="J59" s="247">
        <f t="shared" si="5"/>
        <v>2013</v>
      </c>
      <c r="K59" s="134">
        <v>35330</v>
      </c>
      <c r="L59" s="608">
        <f t="shared" si="66"/>
        <v>10.472487740353191</v>
      </c>
      <c r="M59" s="608">
        <f>L59^2</f>
        <v>109.67299947184789</v>
      </c>
      <c r="N59" s="608">
        <f>LN(K59/$B59)</f>
        <v>0.42118381312284414</v>
      </c>
      <c r="O59" s="608">
        <f>N59^2</f>
        <v>0.17739580443669889</v>
      </c>
      <c r="P59" s="247">
        <f t="shared" si="10"/>
        <v>2014</v>
      </c>
      <c r="Q59" s="134">
        <v>83113</v>
      </c>
      <c r="R59" s="608">
        <f>LN(Q59)</f>
        <v>11.327956406634861</v>
      </c>
      <c r="S59" s="608">
        <f>R59^2</f>
        <v>128.32259635061979</v>
      </c>
      <c r="T59" s="608">
        <f t="shared" si="63"/>
        <v>1.2766524794045149</v>
      </c>
      <c r="U59" s="608">
        <f>T59^2</f>
        <v>1.6298415531696953</v>
      </c>
      <c r="V59" s="350">
        <f t="shared" si="25"/>
        <v>2014</v>
      </c>
      <c r="W59" s="215">
        <v>509</v>
      </c>
      <c r="X59" s="608">
        <f>LN(W59)</f>
        <v>6.2324480165505225</v>
      </c>
      <c r="Y59" s="608">
        <f>X59^2</f>
        <v>38.843408279004542</v>
      </c>
      <c r="Z59" s="608">
        <f t="shared" si="64"/>
        <v>-3.8188559106798241</v>
      </c>
      <c r="AA59" s="608">
        <f>Z59^2</f>
        <v>14.583660466534228</v>
      </c>
      <c r="AB59" s="247"/>
      <c r="AC59" s="217"/>
      <c r="AD59" s="606"/>
      <c r="AE59" s="606"/>
      <c r="AF59" s="606"/>
      <c r="AG59" s="620"/>
      <c r="AH59" s="622">
        <f t="shared" si="26"/>
        <v>2009</v>
      </c>
      <c r="AI59" s="267">
        <f>AC59+W59+Q59+K59+E59</f>
        <v>120904</v>
      </c>
      <c r="AJ59" s="213">
        <f t="shared" si="30"/>
        <v>2013</v>
      </c>
      <c r="AK59" s="217">
        <f t="shared" si="28"/>
        <v>79944</v>
      </c>
      <c r="AL59" s="124">
        <v>89392</v>
      </c>
      <c r="AM59" s="124">
        <v>72161</v>
      </c>
      <c r="AN59" s="217">
        <f t="shared" si="24"/>
        <v>97718</v>
      </c>
      <c r="AO59" s="604">
        <f t="shared" si="32"/>
        <v>17231</v>
      </c>
      <c r="AP59" s="213">
        <f>RANK(AK59,AK14:AK59)</f>
        <v>32</v>
      </c>
      <c r="AQ59" s="608">
        <f t="shared" si="33"/>
        <v>0.78446162313619539</v>
      </c>
    </row>
    <row r="60" spans="1:43">
      <c r="A60" s="246">
        <v>2010</v>
      </c>
      <c r="B60" s="134">
        <v>24312</v>
      </c>
      <c r="C60" s="616">
        <f t="shared" si="54"/>
        <v>10.098725334596629</v>
      </c>
      <c r="D60" s="247">
        <f t="shared" si="1"/>
        <v>2013</v>
      </c>
      <c r="E60" s="207">
        <v>49</v>
      </c>
      <c r="F60" s="608">
        <f>LN(E60)</f>
        <v>3.8918202981106265</v>
      </c>
      <c r="G60" s="608">
        <f t="shared" si="68"/>
        <v>15.146265232785886</v>
      </c>
      <c r="H60" s="615">
        <f t="shared" si="65"/>
        <v>-6.2069050364860026</v>
      </c>
      <c r="I60" s="607">
        <f>H60^2</f>
        <v>38.525670131955302</v>
      </c>
      <c r="J60" s="247">
        <f t="shared" si="5"/>
        <v>2014</v>
      </c>
      <c r="K60" s="134">
        <v>20985</v>
      </c>
      <c r="L60" s="608">
        <f t="shared" si="66"/>
        <v>9.9515631757676921</v>
      </c>
      <c r="M60" s="608">
        <f>L60^2</f>
        <v>99.033609641295556</v>
      </c>
      <c r="N60" s="608">
        <f>LN(K60/$B60)</f>
        <v>-0.14716215882893768</v>
      </c>
      <c r="O60" s="608">
        <f>N60^2</f>
        <v>2.1656700991193482E-2</v>
      </c>
      <c r="P60" s="247"/>
      <c r="Q60" s="217"/>
      <c r="R60" s="606"/>
      <c r="S60" s="606"/>
      <c r="T60" s="606"/>
      <c r="U60" s="606"/>
      <c r="V60" s="350"/>
      <c r="W60" s="215"/>
      <c r="X60" s="606"/>
      <c r="Y60" s="606"/>
      <c r="Z60" s="606"/>
      <c r="AA60" s="606"/>
      <c r="AB60" s="200"/>
      <c r="AC60" s="217"/>
      <c r="AD60" s="606"/>
      <c r="AE60" s="606"/>
      <c r="AF60" s="606"/>
      <c r="AG60" s="620"/>
      <c r="AH60" s="622">
        <f t="shared" si="26"/>
        <v>2010</v>
      </c>
      <c r="AI60" s="476">
        <f>AC60+W60+Q60+K60+E60</f>
        <v>21034</v>
      </c>
      <c r="AJ60" s="213">
        <f t="shared" si="30"/>
        <v>2014</v>
      </c>
      <c r="AK60" s="217">
        <f>E61+K60+Q59+W59+AC58510</f>
        <v>104806</v>
      </c>
      <c r="AL60" s="124">
        <v>105379</v>
      </c>
      <c r="AM60" s="124">
        <v>83543</v>
      </c>
      <c r="AN60" s="217"/>
      <c r="AO60" s="604">
        <f t="shared" si="32"/>
        <v>21836</v>
      </c>
      <c r="AQ60" s="606"/>
    </row>
    <row r="61" spans="1:43">
      <c r="A61" s="246">
        <v>2011</v>
      </c>
      <c r="B61" s="609">
        <f>98359+4000</f>
        <v>102359</v>
      </c>
      <c r="C61" s="616">
        <f t="shared" si="54"/>
        <v>11.536241520784817</v>
      </c>
      <c r="D61" s="247">
        <f t="shared" si="1"/>
        <v>2014</v>
      </c>
      <c r="E61" s="207">
        <v>199</v>
      </c>
      <c r="F61" s="608">
        <f>LN(E61)</f>
        <v>5.2933048247244923</v>
      </c>
      <c r="G61" s="608">
        <f t="shared" si="68"/>
        <v>28.019075967451588</v>
      </c>
      <c r="H61" s="615">
        <f t="shared" ref="H61" si="69">LN(E61/$B61)</f>
        <v>-6.2429366960603234</v>
      </c>
      <c r="I61" s="607">
        <f>H61^2</f>
        <v>38.974258591016586</v>
      </c>
      <c r="J61" s="247"/>
      <c r="K61" s="217"/>
      <c r="L61" s="606"/>
      <c r="M61" s="606"/>
      <c r="N61" s="606"/>
      <c r="O61" s="606"/>
      <c r="P61" s="200"/>
      <c r="Q61" s="217"/>
      <c r="R61" s="606"/>
      <c r="S61" s="606"/>
      <c r="T61" s="606"/>
      <c r="U61" s="606"/>
      <c r="W61" s="215"/>
      <c r="X61" s="606"/>
      <c r="Y61" s="606"/>
      <c r="Z61" s="606"/>
      <c r="AA61" s="606"/>
      <c r="AB61" s="200"/>
      <c r="AC61" s="217"/>
      <c r="AD61" s="606"/>
      <c r="AE61" s="606"/>
      <c r="AF61" s="606"/>
      <c r="AG61" s="620"/>
      <c r="AH61" s="622">
        <f t="shared" si="26"/>
        <v>2011</v>
      </c>
      <c r="AI61" s="621">
        <f>AC61+W61+Q61+K61+E61</f>
        <v>199</v>
      </c>
      <c r="AJ61" s="213"/>
      <c r="AN61" s="217"/>
      <c r="AO61" s="604"/>
      <c r="AQ61" s="606"/>
    </row>
    <row r="62" spans="1:43">
      <c r="A62" s="246">
        <v>2012</v>
      </c>
      <c r="B62" s="134">
        <v>74978</v>
      </c>
      <c r="C62" s="616">
        <f>LN(B62)</f>
        <v>11.224950016154477</v>
      </c>
      <c r="D62" s="247"/>
      <c r="E62" s="206"/>
      <c r="F62" s="606"/>
      <c r="G62" s="606"/>
      <c r="H62" s="606"/>
      <c r="J62" s="200"/>
      <c r="K62" s="217"/>
      <c r="L62" s="606"/>
      <c r="M62" s="606"/>
      <c r="N62" s="606"/>
      <c r="O62" s="606"/>
      <c r="P62" s="200"/>
      <c r="Q62" s="217"/>
      <c r="R62" s="606"/>
      <c r="S62" s="606"/>
      <c r="T62" s="606"/>
      <c r="U62" s="606"/>
      <c r="W62" s="215"/>
      <c r="X62" s="606"/>
      <c r="Y62" s="606"/>
      <c r="Z62" s="606"/>
      <c r="AA62" s="606"/>
      <c r="AB62" s="200"/>
      <c r="AC62" s="217"/>
      <c r="AD62" s="606"/>
      <c r="AE62" s="606"/>
      <c r="AF62" s="606"/>
      <c r="AG62" s="620"/>
      <c r="AH62" s="246"/>
      <c r="AI62" s="200"/>
      <c r="AN62" s="217"/>
      <c r="AQ62" s="606"/>
    </row>
    <row r="63" spans="1:43">
      <c r="A63" s="246">
        <v>2013</v>
      </c>
      <c r="B63" s="134">
        <v>17231</v>
      </c>
      <c r="C63" s="616">
        <f>LN(B63)</f>
        <v>9.7544653661430996</v>
      </c>
      <c r="D63" s="200"/>
      <c r="E63" s="206"/>
      <c r="F63" s="606"/>
      <c r="G63" s="606"/>
      <c r="H63" s="606"/>
      <c r="J63" s="200"/>
      <c r="K63" s="217"/>
      <c r="L63" s="606"/>
      <c r="M63" s="606"/>
      <c r="N63" s="606"/>
      <c r="O63" s="606"/>
      <c r="P63" s="200"/>
      <c r="Q63" s="217"/>
      <c r="R63" s="606"/>
      <c r="S63" s="606"/>
      <c r="T63" s="606"/>
      <c r="U63" s="606"/>
      <c r="W63" s="215"/>
      <c r="X63" s="606"/>
      <c r="Y63" s="606"/>
      <c r="Z63" s="606"/>
      <c r="AA63" s="606"/>
      <c r="AB63" s="200"/>
      <c r="AC63" s="217"/>
      <c r="AD63" s="606"/>
      <c r="AE63" s="606"/>
      <c r="AF63" s="606"/>
      <c r="AG63" s="620"/>
      <c r="AH63" s="246"/>
      <c r="AI63" s="200"/>
    </row>
    <row r="64" spans="1:43">
      <c r="A64" s="246">
        <v>2014</v>
      </c>
      <c r="B64" s="134">
        <v>21836</v>
      </c>
      <c r="C64" s="616">
        <f>LN(B64)</f>
        <v>9.9913152629016491</v>
      </c>
      <c r="D64" s="200"/>
      <c r="E64" s="206"/>
      <c r="F64" s="606"/>
      <c r="G64" s="606"/>
      <c r="H64" s="606"/>
      <c r="J64" s="200"/>
      <c r="K64" s="217"/>
      <c r="L64" s="606"/>
      <c r="M64" s="606"/>
      <c r="N64" s="606"/>
      <c r="O64" s="606"/>
      <c r="P64" s="200"/>
      <c r="Q64" s="217"/>
      <c r="R64" s="606"/>
      <c r="S64" s="606"/>
      <c r="T64" s="606"/>
      <c r="U64" s="606"/>
      <c r="W64" s="215"/>
      <c r="X64" s="606"/>
      <c r="Y64" s="606"/>
      <c r="Z64" s="606"/>
      <c r="AA64" s="606"/>
      <c r="AB64" s="200"/>
      <c r="AC64" s="217"/>
      <c r="AD64" s="606"/>
      <c r="AE64" s="606"/>
      <c r="AF64" s="606"/>
      <c r="AG64" s="620"/>
      <c r="AH64" s="246"/>
      <c r="AI64" s="200"/>
    </row>
    <row r="65" spans="1:39">
      <c r="A65" s="246"/>
      <c r="B65" s="134"/>
      <c r="C65" s="616"/>
      <c r="D65" s="200"/>
      <c r="E65" s="206"/>
      <c r="F65" s="606"/>
      <c r="G65" s="606"/>
      <c r="H65" s="606"/>
      <c r="J65" s="200"/>
      <c r="K65" s="217"/>
      <c r="L65" s="606"/>
      <c r="M65" s="606"/>
      <c r="N65" s="606"/>
      <c r="O65" s="606"/>
      <c r="P65" s="200"/>
      <c r="Q65" s="217"/>
      <c r="R65" s="606"/>
      <c r="S65" s="606"/>
      <c r="T65" s="606"/>
      <c r="U65" s="606"/>
      <c r="W65" s="215"/>
      <c r="X65" s="606"/>
      <c r="Y65" s="606"/>
      <c r="Z65" s="606"/>
      <c r="AA65" s="606"/>
      <c r="AB65" s="200"/>
      <c r="AC65" s="217"/>
      <c r="AD65" s="606"/>
      <c r="AE65" s="606"/>
      <c r="AF65" s="606"/>
      <c r="AG65" s="620"/>
      <c r="AH65" s="246"/>
      <c r="AI65" s="200"/>
    </row>
    <row r="66" spans="1:39">
      <c r="A66" s="246"/>
      <c r="B66" s="134"/>
      <c r="C66" s="616"/>
      <c r="D66" s="200"/>
      <c r="E66" s="206"/>
      <c r="J66" s="200"/>
      <c r="K66" s="217"/>
      <c r="L66" s="606"/>
      <c r="M66" s="606"/>
      <c r="N66" s="606"/>
      <c r="O66" s="606"/>
      <c r="P66" s="200"/>
      <c r="Q66" s="217"/>
      <c r="R66" s="606"/>
      <c r="S66" s="606"/>
      <c r="T66" s="606"/>
      <c r="U66" s="606"/>
      <c r="W66" s="215"/>
      <c r="AB66" s="200"/>
      <c r="AC66" s="217"/>
      <c r="AG66" s="248"/>
      <c r="AH66" s="246"/>
      <c r="AI66" s="200"/>
    </row>
    <row r="67" spans="1:39">
      <c r="A67" s="246"/>
      <c r="B67" s="134"/>
      <c r="C67" s="616"/>
      <c r="D67" s="200"/>
      <c r="E67" s="206"/>
      <c r="J67" s="200"/>
      <c r="K67" s="217"/>
      <c r="P67" s="200"/>
      <c r="Q67" s="217"/>
      <c r="W67" s="215"/>
      <c r="AB67" s="200"/>
      <c r="AC67" s="217"/>
      <c r="AG67" s="248"/>
      <c r="AH67" s="246"/>
      <c r="AI67" s="200"/>
    </row>
    <row r="68" spans="1:39">
      <c r="A68" s="246"/>
      <c r="B68" s="134"/>
      <c r="C68" s="218"/>
      <c r="D68" s="200"/>
      <c r="E68" s="206"/>
      <c r="J68" s="200"/>
      <c r="K68" s="217"/>
      <c r="P68" s="200"/>
      <c r="Q68" s="217"/>
      <c r="W68" s="215"/>
      <c r="AB68" s="200"/>
      <c r="AC68" s="217"/>
      <c r="AG68" s="248"/>
      <c r="AH68" s="246"/>
      <c r="AI68" s="200"/>
    </row>
    <row r="69" spans="1:39">
      <c r="A69" s="253"/>
      <c r="B69" s="254"/>
      <c r="C69" s="254"/>
      <c r="D69" s="254"/>
      <c r="E69" s="254"/>
      <c r="F69" s="254"/>
      <c r="G69" s="254"/>
      <c r="H69" s="254"/>
      <c r="I69" s="254"/>
      <c r="J69" s="254"/>
      <c r="K69" s="254"/>
      <c r="L69" s="254"/>
      <c r="M69" s="254"/>
      <c r="N69" s="254"/>
      <c r="O69" s="254"/>
      <c r="P69" s="254"/>
      <c r="Q69" s="254"/>
      <c r="R69" s="254"/>
      <c r="S69" s="254"/>
      <c r="T69" s="254"/>
      <c r="U69" s="254"/>
      <c r="V69" s="254"/>
      <c r="W69" s="254"/>
      <c r="X69" s="254"/>
      <c r="Y69" s="254"/>
      <c r="Z69" s="254"/>
      <c r="AA69" s="254"/>
      <c r="AB69" s="254"/>
      <c r="AC69" s="254"/>
      <c r="AD69" s="254"/>
      <c r="AE69" s="254"/>
      <c r="AF69" s="254"/>
      <c r="AG69" s="255"/>
      <c r="AH69" s="256" t="s">
        <v>28</v>
      </c>
      <c r="AM69" s="472">
        <f>MEDIAN(AM14:AM60)</f>
        <v>83543</v>
      </c>
    </row>
    <row r="70" spans="1:39">
      <c r="A70" s="257" t="s">
        <v>413</v>
      </c>
      <c r="B70" s="217">
        <f>AVERAGEA(B24:B67)</f>
        <v>53117.634146341465</v>
      </c>
      <c r="C70" s="213"/>
      <c r="D70" s="213"/>
      <c r="E70" s="217">
        <f>AVERAGEA(E21:E67)</f>
        <v>381.17725967047215</v>
      </c>
      <c r="F70" s="213"/>
      <c r="G70" s="213"/>
      <c r="H70" s="213"/>
      <c r="I70" s="213"/>
      <c r="J70" s="213"/>
      <c r="K70" s="217">
        <f>AVERAGEA(K24:K67)</f>
        <v>35465.265668260334</v>
      </c>
      <c r="L70" s="213"/>
      <c r="M70" s="213"/>
      <c r="N70" s="213"/>
      <c r="O70" s="213"/>
      <c r="P70" s="213"/>
      <c r="Q70" s="217">
        <f>AVERAGEA(Q19:Q67)</f>
        <v>141911.37334848053</v>
      </c>
      <c r="R70" s="213"/>
      <c r="S70" s="213"/>
      <c r="T70" s="213"/>
      <c r="U70" s="213"/>
      <c r="V70" s="213"/>
      <c r="W70" s="217">
        <f>AVERAGEA(W19:W67)</f>
        <v>4538.246172130669</v>
      </c>
      <c r="X70" s="213"/>
      <c r="Y70" s="213"/>
      <c r="Z70" s="213"/>
      <c r="AA70" s="213"/>
      <c r="AB70" s="213"/>
      <c r="AC70" s="217">
        <f>AVERAGEA(AC18:AC67)</f>
        <v>5651.1976434281996</v>
      </c>
      <c r="AD70" s="213"/>
      <c r="AE70" s="213"/>
      <c r="AF70" s="213"/>
      <c r="AG70" s="258"/>
      <c r="AH70" s="259">
        <f>AC70+W70+Q70+K70+E70</f>
        <v>187947.26009197021</v>
      </c>
      <c r="AJ70" s="126"/>
      <c r="AK70" s="217"/>
    </row>
    <row r="71" spans="1:39">
      <c r="A71" s="257" t="s">
        <v>412</v>
      </c>
      <c r="B71" s="217">
        <f>AVERAGE(B39:B67)</f>
        <v>35061.692307692305</v>
      </c>
      <c r="C71" s="213"/>
      <c r="D71" s="213"/>
      <c r="E71" s="217">
        <f>AVERAGE(E39:E67)</f>
        <v>425.17391304347825</v>
      </c>
      <c r="F71" s="213"/>
      <c r="G71" s="213"/>
      <c r="H71" s="213"/>
      <c r="I71" s="213"/>
      <c r="J71" s="213"/>
      <c r="K71" s="217">
        <f>AVERAGE(K35:K67)</f>
        <v>29680.39656752432</v>
      </c>
      <c r="L71" s="213"/>
      <c r="M71" s="213"/>
      <c r="N71" s="213"/>
      <c r="O71" s="213"/>
      <c r="P71" s="213"/>
      <c r="Q71" s="217">
        <f>AVERAGE(Q34:Q67)</f>
        <v>88007.75949952699</v>
      </c>
      <c r="R71" s="213"/>
      <c r="S71" s="213"/>
      <c r="T71" s="213"/>
      <c r="U71" s="213"/>
      <c r="V71" s="213"/>
      <c r="W71" s="217">
        <f>AVERAGE(W34:W67)</f>
        <v>1650.8474252829778</v>
      </c>
      <c r="X71" s="213"/>
      <c r="Y71" s="213"/>
      <c r="Z71" s="213"/>
      <c r="AA71" s="213"/>
      <c r="AB71" s="213"/>
      <c r="AC71" s="217">
        <f>AVERAGE(AC33:AC67)</f>
        <v>2454.4267607906222</v>
      </c>
      <c r="AD71" s="213"/>
      <c r="AE71" s="213"/>
      <c r="AF71" s="213"/>
      <c r="AG71" s="258"/>
      <c r="AH71" s="259">
        <f>AC71+W71+Q71+K71+E71</f>
        <v>122218.60416616838</v>
      </c>
      <c r="AJ71" s="126"/>
      <c r="AK71" s="217"/>
    </row>
    <row r="72" spans="1:39">
      <c r="A72" s="257" t="s">
        <v>473</v>
      </c>
      <c r="B72" s="217">
        <f>AVERAGE(B60:B64)</f>
        <v>48143.199999999997</v>
      </c>
      <c r="C72" s="213"/>
      <c r="D72" s="213"/>
      <c r="E72" s="217">
        <f>AVERAGE(E57:E61)</f>
        <v>1071.4000000000001</v>
      </c>
      <c r="F72" s="213"/>
      <c r="G72" s="213"/>
      <c r="H72" s="213"/>
      <c r="I72" s="213"/>
      <c r="J72" s="213"/>
      <c r="K72" s="217">
        <f>AVERAGE(K56:K60)</f>
        <v>45739.8</v>
      </c>
      <c r="L72" s="213"/>
      <c r="M72" s="213"/>
      <c r="N72" s="213"/>
      <c r="O72" s="213"/>
      <c r="P72" s="213"/>
      <c r="Q72" s="217">
        <f>AVERAGE(Q55:Q59)</f>
        <v>158770.4</v>
      </c>
      <c r="R72" s="213"/>
      <c r="S72" s="213"/>
      <c r="T72" s="213"/>
      <c r="U72" s="213"/>
      <c r="V72" s="213"/>
      <c r="W72" s="217">
        <f>AVERAGE(W55:W59)</f>
        <v>3653.2</v>
      </c>
      <c r="X72" s="213"/>
      <c r="Y72" s="213"/>
      <c r="Z72" s="213"/>
      <c r="AA72" s="213"/>
      <c r="AB72" s="213"/>
      <c r="AC72" s="217">
        <f>AVERAGE(AC54:AC58)</f>
        <v>2675</v>
      </c>
      <c r="AD72" s="213"/>
      <c r="AE72" s="213"/>
      <c r="AF72" s="213"/>
      <c r="AG72" s="258"/>
      <c r="AH72" s="259"/>
      <c r="AJ72" s="126"/>
      <c r="AK72" s="217"/>
    </row>
    <row r="73" spans="1:39">
      <c r="A73" s="257" t="s">
        <v>478</v>
      </c>
      <c r="B73" s="217">
        <f>COUNTA(B24:B67)</f>
        <v>41</v>
      </c>
      <c r="C73" s="213"/>
      <c r="D73" s="213"/>
      <c r="E73" s="217">
        <f>COUNTA(E21:E66)</f>
        <v>41</v>
      </c>
      <c r="F73" s="213"/>
      <c r="G73" s="213"/>
      <c r="H73" s="213"/>
      <c r="I73" s="213"/>
      <c r="J73" s="213"/>
      <c r="K73" s="217">
        <f>COUNTA(K20:K66)</f>
        <v>41</v>
      </c>
      <c r="L73" s="213"/>
      <c r="M73" s="213"/>
      <c r="N73" s="213"/>
      <c r="O73" s="213"/>
      <c r="P73" s="213"/>
      <c r="Q73" s="217">
        <f>COUNTA(Q19:Q62)</f>
        <v>41</v>
      </c>
      <c r="R73" s="213"/>
      <c r="S73" s="213"/>
      <c r="T73" s="213"/>
      <c r="U73" s="213"/>
      <c r="V73" s="213"/>
      <c r="W73" s="217">
        <f>COUNTA(W19:W62)</f>
        <v>41</v>
      </c>
      <c r="X73" s="213"/>
      <c r="Y73" s="213"/>
      <c r="Z73" s="213"/>
      <c r="AA73" s="213"/>
      <c r="AB73" s="213"/>
      <c r="AC73" s="217">
        <f>COUNTA(AC18:AC62)</f>
        <v>41</v>
      </c>
      <c r="AD73" s="213"/>
      <c r="AE73" s="213"/>
      <c r="AF73" s="213"/>
      <c r="AG73" s="258"/>
      <c r="AH73" s="259"/>
      <c r="AJ73" s="126"/>
      <c r="AK73" s="134"/>
    </row>
    <row r="74" spans="1:39">
      <c r="A74" s="257" t="s">
        <v>50</v>
      </c>
      <c r="B74" s="217">
        <f>STDEVA(B24:B67)</f>
        <v>47912.471342937475</v>
      </c>
      <c r="C74" s="213"/>
      <c r="D74" s="213"/>
      <c r="E74" s="217">
        <f>STDEVA(E24:E67)</f>
        <v>661.05919396951083</v>
      </c>
      <c r="F74" s="213"/>
      <c r="G74" s="213"/>
      <c r="H74" s="213"/>
      <c r="I74" s="213"/>
      <c r="J74" s="213"/>
      <c r="K74" s="217">
        <f>STDEVA(K20:K67)</f>
        <v>34998.495479273959</v>
      </c>
      <c r="L74" s="213"/>
      <c r="M74" s="213"/>
      <c r="N74" s="213"/>
      <c r="O74" s="213"/>
      <c r="P74" s="213"/>
      <c r="Q74" s="217">
        <f>STDEVA(Q19:Q67)</f>
        <v>198235.76083111225</v>
      </c>
      <c r="R74" s="213"/>
      <c r="S74" s="213"/>
      <c r="T74" s="213"/>
      <c r="U74" s="213"/>
      <c r="V74" s="213"/>
      <c r="W74" s="217">
        <f>STDEVA(W19:W67)</f>
        <v>8496.6405052361788</v>
      </c>
      <c r="X74" s="213"/>
      <c r="Y74" s="213"/>
      <c r="Z74" s="213"/>
      <c r="AA74" s="213"/>
      <c r="AB74" s="213"/>
      <c r="AC74" s="217">
        <f>STDEVA(AC18:AC67)</f>
        <v>8493.1820369806501</v>
      </c>
      <c r="AD74" s="213"/>
      <c r="AE74" s="213"/>
      <c r="AF74" s="213"/>
      <c r="AG74" s="258"/>
      <c r="AH74" s="259"/>
      <c r="AJ74" s="126"/>
      <c r="AK74" s="134"/>
    </row>
    <row r="75" spans="1:39">
      <c r="A75" s="257" t="s">
        <v>51</v>
      </c>
      <c r="B75" s="473">
        <f>VLOOKUP(B73,ttab!$A$3:$G$43,5)</f>
        <v>1.6839999999999999</v>
      </c>
      <c r="C75" s="213"/>
      <c r="D75" s="213"/>
      <c r="E75" s="473">
        <f>VLOOKUP(E73,ttab!$A$3:$G$43,5)</f>
        <v>1.6839999999999999</v>
      </c>
      <c r="F75" s="213"/>
      <c r="G75" s="213"/>
      <c r="H75" s="213"/>
      <c r="I75" s="213"/>
      <c r="J75" s="213"/>
      <c r="K75" s="473">
        <f>VLOOKUP(K73,ttab!$A$3:$G$43,5)</f>
        <v>1.6839999999999999</v>
      </c>
      <c r="L75" s="213"/>
      <c r="M75" s="213"/>
      <c r="N75" s="213"/>
      <c r="O75" s="213"/>
      <c r="P75" s="213"/>
      <c r="Q75" s="473">
        <f>VLOOKUP(Q73,ttab!$A$3:$G$43,5)</f>
        <v>1.6839999999999999</v>
      </c>
      <c r="R75" s="213"/>
      <c r="S75" s="213"/>
      <c r="T75" s="213"/>
      <c r="U75" s="213"/>
      <c r="V75" s="213"/>
      <c r="W75" s="473">
        <f>VLOOKUP(W73,ttab!$A$3:$G$43,5)</f>
        <v>1.6839999999999999</v>
      </c>
      <c r="X75" s="213"/>
      <c r="Y75" s="213"/>
      <c r="Z75" s="213"/>
      <c r="AA75" s="213"/>
      <c r="AB75" s="213"/>
      <c r="AC75" s="473">
        <f>VLOOKUP(AC73,ttab!$A$3:$G$43,5)</f>
        <v>1.6839999999999999</v>
      </c>
      <c r="AD75" s="213"/>
      <c r="AE75" s="213"/>
      <c r="AF75" s="213"/>
      <c r="AG75" s="258"/>
      <c r="AH75" s="259"/>
      <c r="AJ75" s="126"/>
      <c r="AK75" s="134"/>
    </row>
    <row r="76" spans="1:39">
      <c r="A76" s="257" t="s">
        <v>457</v>
      </c>
      <c r="B76" s="217">
        <f>VLOOKUP(ForecastYr-1,A12:B68,2)</f>
        <v>21836</v>
      </c>
      <c r="C76" s="213"/>
      <c r="D76" s="213"/>
      <c r="E76" s="217">
        <f>VLOOKUP(ForecastYr-1,D12:E68,2)</f>
        <v>199</v>
      </c>
      <c r="F76" s="213"/>
      <c r="G76" s="213"/>
      <c r="H76" s="213"/>
      <c r="I76" s="213"/>
      <c r="J76" s="213"/>
      <c r="K76" s="217">
        <f>VLOOKUP(ForecastYr-1,J12:K68,2)</f>
        <v>20985</v>
      </c>
      <c r="L76" s="213"/>
      <c r="M76" s="213"/>
      <c r="N76" s="213"/>
      <c r="O76" s="213"/>
      <c r="P76" s="213"/>
      <c r="Q76" s="217">
        <f>VLOOKUP(ForecastYr-1,P12:Q68,2)</f>
        <v>83113</v>
      </c>
      <c r="R76" s="213"/>
      <c r="S76" s="213"/>
      <c r="T76" s="213"/>
      <c r="U76" s="213"/>
      <c r="V76" s="213"/>
      <c r="W76" s="217">
        <f>VLOOKUP(ForecastYr-1,V12:W68,2)</f>
        <v>509</v>
      </c>
      <c r="X76" s="213"/>
      <c r="Y76" s="213"/>
      <c r="Z76" s="213"/>
      <c r="AA76" s="213"/>
      <c r="AB76" s="213"/>
      <c r="AC76" s="217">
        <f>VLOOKUP(ForecastYr-1,AB12:AC68,2)</f>
        <v>46</v>
      </c>
      <c r="AD76" s="213"/>
      <c r="AE76" s="213"/>
      <c r="AF76" s="213"/>
      <c r="AG76" s="258"/>
      <c r="AH76" s="259">
        <f>SUM(E76,K76,Q76,W76,AC76)</f>
        <v>104852</v>
      </c>
      <c r="AJ76" s="126"/>
      <c r="AK76" s="134"/>
    </row>
    <row r="77" spans="1:39">
      <c r="A77" s="246"/>
      <c r="B77" s="217"/>
      <c r="C77" s="213"/>
      <c r="D77" s="213"/>
      <c r="E77" s="217"/>
      <c r="F77" s="213"/>
      <c r="G77" s="213"/>
      <c r="H77" s="213"/>
      <c r="I77" s="213"/>
      <c r="J77" s="213"/>
      <c r="K77" s="217"/>
      <c r="L77" s="213"/>
      <c r="M77" s="213"/>
      <c r="N77" s="213"/>
      <c r="O77" s="213"/>
      <c r="P77" s="213"/>
      <c r="Q77" s="217"/>
      <c r="R77" s="213"/>
      <c r="S77" s="213"/>
      <c r="T77" s="213"/>
      <c r="U77" s="213"/>
      <c r="V77" s="213"/>
      <c r="W77" s="217"/>
      <c r="X77" s="213"/>
      <c r="Y77" s="213"/>
      <c r="Z77" s="213"/>
      <c r="AA77" s="213"/>
      <c r="AB77" s="213"/>
      <c r="AC77" s="217"/>
      <c r="AD77" s="213"/>
      <c r="AE77" s="213"/>
      <c r="AF77" s="213"/>
      <c r="AG77" s="258"/>
      <c r="AH77" s="259"/>
      <c r="AJ77" s="126"/>
      <c r="AK77" s="134"/>
    </row>
    <row r="78" spans="1:39">
      <c r="A78" s="584" t="s">
        <v>433</v>
      </c>
      <c r="B78" s="542">
        <f>MEDIAN(B39:B67)</f>
        <v>29470</v>
      </c>
      <c r="C78" s="261"/>
      <c r="D78" s="261"/>
      <c r="E78" s="261"/>
      <c r="F78" s="261"/>
      <c r="G78" s="261"/>
      <c r="H78" s="261"/>
      <c r="I78" s="261"/>
      <c r="J78" s="261"/>
      <c r="K78" s="261"/>
      <c r="L78" s="261"/>
      <c r="M78" s="261"/>
      <c r="N78" s="261"/>
      <c r="O78" s="261"/>
      <c r="P78" s="261"/>
      <c r="Q78" s="261"/>
      <c r="R78" s="261"/>
      <c r="S78" s="261"/>
      <c r="T78" s="261"/>
      <c r="U78" s="261"/>
      <c r="V78" s="261"/>
      <c r="W78" s="261"/>
      <c r="X78" s="261"/>
      <c r="Y78" s="261"/>
      <c r="Z78" s="261"/>
      <c r="AA78" s="261"/>
      <c r="AB78" s="261"/>
      <c r="AC78" s="261"/>
      <c r="AD78" s="261"/>
      <c r="AE78" s="261"/>
      <c r="AF78" s="261"/>
      <c r="AG78" s="262"/>
      <c r="AH78" s="263"/>
    </row>
    <row r="79" spans="1:39">
      <c r="AK79" s="480"/>
    </row>
    <row r="81" spans="5:17">
      <c r="E81" s="374">
        <f>SUM(E70:P70,W70:AC70)</f>
        <v>46035.886743489667</v>
      </c>
    </row>
    <row r="82" spans="5:17">
      <c r="E82" s="374">
        <f t="shared" ref="E82:E86" si="70">SUM(E71:P71,W71:AC71)</f>
        <v>34210.844666641395</v>
      </c>
      <c r="F82" s="264"/>
      <c r="G82" s="264"/>
    </row>
    <row r="83" spans="5:17">
      <c r="E83" s="374">
        <f t="shared" si="70"/>
        <v>53139.4</v>
      </c>
    </row>
    <row r="84" spans="5:17">
      <c r="E84" s="374">
        <f t="shared" si="70"/>
        <v>164</v>
      </c>
    </row>
    <row r="85" spans="5:17">
      <c r="E85" s="374">
        <f t="shared" si="70"/>
        <v>52649.377215460299</v>
      </c>
    </row>
    <row r="86" spans="5:17">
      <c r="E86" s="374">
        <f t="shared" si="70"/>
        <v>6.7359999999999998</v>
      </c>
      <c r="Q86" s="265"/>
    </row>
    <row r="87" spans="5:17">
      <c r="E87" s="374">
        <f>SUM(E76:P76,W76:AC76)</f>
        <v>21739</v>
      </c>
    </row>
    <row r="88" spans="5:17">
      <c r="K88" s="124" t="s">
        <v>397</v>
      </c>
      <c r="L88" s="124" t="s">
        <v>125</v>
      </c>
      <c r="M88" s="124" t="s">
        <v>151</v>
      </c>
      <c r="O88" s="124" t="s">
        <v>125</v>
      </c>
      <c r="P88" s="124" t="s">
        <v>151</v>
      </c>
    </row>
    <row r="89" spans="5:17">
      <c r="K89" s="124" t="s">
        <v>398</v>
      </c>
      <c r="L89" s="124" t="s">
        <v>396</v>
      </c>
      <c r="M89" s="124" t="s">
        <v>396</v>
      </c>
      <c r="O89" s="124" t="s">
        <v>396</v>
      </c>
      <c r="P89" s="124" t="s">
        <v>396</v>
      </c>
    </row>
    <row r="90" spans="5:17">
      <c r="L90" s="124">
        <v>1.2</v>
      </c>
      <c r="M90" s="124">
        <v>1.3</v>
      </c>
      <c r="O90" s="124" t="s">
        <v>424</v>
      </c>
      <c r="P90" s="124" t="s">
        <v>423</v>
      </c>
    </row>
    <row r="92" spans="5:17">
      <c r="K92" s="124">
        <v>1966</v>
      </c>
      <c r="L92" s="124">
        <v>17815</v>
      </c>
      <c r="M92" s="124">
        <v>34021</v>
      </c>
      <c r="N92" s="213">
        <f>A12</f>
        <v>1962</v>
      </c>
      <c r="O92" s="605">
        <f>L12</f>
        <v>9.7877960780399356</v>
      </c>
      <c r="P92" s="605">
        <f>R12</f>
        <v>10.434733259991683</v>
      </c>
    </row>
    <row r="93" spans="5:17">
      <c r="K93" s="124">
        <v>1967</v>
      </c>
      <c r="L93" s="124">
        <v>4391</v>
      </c>
      <c r="M93" s="124">
        <v>53756</v>
      </c>
      <c r="N93" s="213">
        <f t="shared" ref="N93:N141" si="71">A13</f>
        <v>1963</v>
      </c>
      <c r="O93" s="605">
        <f t="shared" ref="O93:O136" si="72">L13</f>
        <v>8.3873122705617167</v>
      </c>
      <c r="P93" s="605">
        <f t="shared" ref="P93:P139" si="73">R13</f>
        <v>10.892210567666956</v>
      </c>
    </row>
    <row r="94" spans="5:17">
      <c r="K94" s="124">
        <v>1968</v>
      </c>
      <c r="L94" s="124">
        <v>32538</v>
      </c>
      <c r="M94" s="124">
        <v>124343</v>
      </c>
      <c r="N94" s="213">
        <f t="shared" si="71"/>
        <v>1964</v>
      </c>
      <c r="O94" s="605">
        <f t="shared" si="72"/>
        <v>10.390163916069115</v>
      </c>
      <c r="P94" s="605">
        <f t="shared" si="73"/>
        <v>11.730799154924901</v>
      </c>
    </row>
    <row r="95" spans="5:17">
      <c r="K95" s="124">
        <v>1969</v>
      </c>
      <c r="L95" s="124">
        <v>25199</v>
      </c>
      <c r="M95" s="124">
        <v>48915</v>
      </c>
      <c r="N95" s="213">
        <f t="shared" si="71"/>
        <v>1965</v>
      </c>
      <c r="O95" s="605">
        <f t="shared" si="72"/>
        <v>10.13455959017246</v>
      </c>
      <c r="P95" s="605">
        <f t="shared" si="73"/>
        <v>10.797839376891529</v>
      </c>
    </row>
    <row r="96" spans="5:17">
      <c r="K96" s="124">
        <v>1970</v>
      </c>
      <c r="L96" s="124">
        <v>9913.0000000000091</v>
      </c>
      <c r="M96" s="124">
        <v>54766</v>
      </c>
      <c r="N96" s="213">
        <f t="shared" si="71"/>
        <v>1966</v>
      </c>
      <c r="O96" s="605">
        <f t="shared" si="72"/>
        <v>9.201602306032898</v>
      </c>
      <c r="P96" s="605">
        <f t="shared" si="73"/>
        <v>10.910824842428626</v>
      </c>
    </row>
    <row r="97" spans="11:16">
      <c r="K97" s="124">
        <v>1971</v>
      </c>
      <c r="L97" s="124">
        <v>3751</v>
      </c>
      <c r="M97" s="124">
        <v>140137.954628526</v>
      </c>
      <c r="N97" s="213">
        <f t="shared" si="71"/>
        <v>1967</v>
      </c>
      <c r="O97" s="605">
        <f t="shared" si="72"/>
        <v>8.2297777500818867</v>
      </c>
      <c r="P97" s="605">
        <f t="shared" si="73"/>
        <v>11.850382606616972</v>
      </c>
    </row>
    <row r="98" spans="11:16">
      <c r="K98" s="124">
        <v>1972</v>
      </c>
      <c r="L98" s="124">
        <v>22525.617322209</v>
      </c>
      <c r="M98" s="124">
        <v>108119.716904254</v>
      </c>
      <c r="N98" s="213">
        <f t="shared" si="71"/>
        <v>1968</v>
      </c>
      <c r="O98" s="605">
        <f t="shared" si="72"/>
        <v>10.022408488192408</v>
      </c>
      <c r="P98" s="605">
        <f t="shared" si="73"/>
        <v>11.590994382039323</v>
      </c>
    </row>
    <row r="99" spans="11:16">
      <c r="K99" s="124">
        <v>1973</v>
      </c>
      <c r="L99" s="124">
        <v>12896.191358501799</v>
      </c>
      <c r="M99" s="124">
        <v>60811</v>
      </c>
      <c r="N99" s="213">
        <f t="shared" si="71"/>
        <v>1969</v>
      </c>
      <c r="O99" s="605">
        <f t="shared" si="72"/>
        <v>9.4646873032298213</v>
      </c>
      <c r="P99" s="605">
        <f t="shared" si="73"/>
        <v>11.015525972642649</v>
      </c>
    </row>
    <row r="100" spans="11:16">
      <c r="K100" s="124">
        <v>1974</v>
      </c>
      <c r="L100" s="124">
        <v>49280</v>
      </c>
      <c r="M100" s="124">
        <v>158164</v>
      </c>
      <c r="N100" s="213">
        <f t="shared" si="71"/>
        <v>1970</v>
      </c>
      <c r="O100" s="605">
        <f t="shared" si="72"/>
        <v>10.805273598207402</v>
      </c>
      <c r="P100" s="605">
        <f t="shared" si="73"/>
        <v>11.971387748369406</v>
      </c>
    </row>
    <row r="101" spans="11:16">
      <c r="K101" s="124">
        <v>1975</v>
      </c>
      <c r="L101" s="124">
        <v>5604</v>
      </c>
      <c r="M101" s="124">
        <v>32566</v>
      </c>
      <c r="N101" s="213">
        <f t="shared" si="71"/>
        <v>1971</v>
      </c>
      <c r="O101" s="605">
        <f t="shared" si="72"/>
        <v>8.6312359074568974</v>
      </c>
      <c r="P101" s="605">
        <f t="shared" si="73"/>
        <v>10.391024078324165</v>
      </c>
    </row>
    <row r="102" spans="11:16">
      <c r="K102" s="124">
        <v>1976</v>
      </c>
      <c r="L102" s="124">
        <v>29452</v>
      </c>
      <c r="M102" s="124">
        <v>164079</v>
      </c>
      <c r="N102" s="213">
        <f t="shared" si="71"/>
        <v>1972</v>
      </c>
      <c r="O102" s="605">
        <f t="shared" si="72"/>
        <v>10.290517098488607</v>
      </c>
      <c r="P102" s="605">
        <f t="shared" si="73"/>
        <v>12.008103298139684</v>
      </c>
    </row>
    <row r="103" spans="11:16">
      <c r="K103" s="124">
        <v>1977</v>
      </c>
      <c r="L103" s="124">
        <v>25454</v>
      </c>
      <c r="M103" s="124">
        <v>203097</v>
      </c>
      <c r="N103" s="213">
        <f t="shared" si="71"/>
        <v>1973</v>
      </c>
      <c r="O103" s="605">
        <f t="shared" si="72"/>
        <v>10.144628180551992</v>
      </c>
      <c r="P103" s="605">
        <f t="shared" si="73"/>
        <v>12.221438976410639</v>
      </c>
    </row>
    <row r="104" spans="11:16">
      <c r="K104" s="124">
        <v>1978</v>
      </c>
      <c r="L104" s="124">
        <v>21031</v>
      </c>
      <c r="M104" s="124">
        <v>76250</v>
      </c>
      <c r="N104" s="213">
        <f t="shared" si="71"/>
        <v>1974</v>
      </c>
      <c r="O104" s="605">
        <f t="shared" si="72"/>
        <v>9.9537528186836788</v>
      </c>
      <c r="P104" s="605">
        <f t="shared" si="73"/>
        <v>11.241772694469658</v>
      </c>
    </row>
    <row r="105" spans="11:16">
      <c r="K105" s="124">
        <v>1979</v>
      </c>
      <c r="L105" s="124">
        <v>38347</v>
      </c>
      <c r="M105" s="124">
        <v>136669.58619999999</v>
      </c>
      <c r="N105" s="213">
        <f t="shared" si="71"/>
        <v>1975</v>
      </c>
      <c r="O105" s="605">
        <f t="shared" si="72"/>
        <v>10.554431576877635</v>
      </c>
      <c r="P105" s="605">
        <f t="shared" si="73"/>
        <v>11.825321512223232</v>
      </c>
    </row>
    <row r="106" spans="11:16">
      <c r="K106" s="124">
        <v>1980</v>
      </c>
      <c r="L106" s="124">
        <v>52433.730600000003</v>
      </c>
      <c r="M106" s="124">
        <v>99913.3924999999</v>
      </c>
      <c r="N106" s="213">
        <f t="shared" si="71"/>
        <v>1976</v>
      </c>
      <c r="O106" s="605">
        <f t="shared" si="72"/>
        <v>10.86730537695477</v>
      </c>
      <c r="P106" s="605">
        <f t="shared" si="73"/>
        <v>11.512059014710591</v>
      </c>
    </row>
    <row r="107" spans="11:16">
      <c r="K107" s="124">
        <v>1981</v>
      </c>
      <c r="L107" s="124">
        <v>137082.77290000001</v>
      </c>
      <c r="M107" s="124">
        <v>1108256.29</v>
      </c>
      <c r="N107" s="213">
        <f t="shared" si="71"/>
        <v>1977</v>
      </c>
      <c r="O107" s="605">
        <f t="shared" si="72"/>
        <v>11.828340204117774</v>
      </c>
      <c r="P107" s="605">
        <f t="shared" si="73"/>
        <v>13.918298428205901</v>
      </c>
    </row>
    <row r="108" spans="11:16">
      <c r="K108" s="124">
        <v>1982</v>
      </c>
      <c r="L108" s="124">
        <v>8798.8061000000107</v>
      </c>
      <c r="M108" s="124">
        <v>51329</v>
      </c>
      <c r="N108" s="213">
        <f t="shared" si="71"/>
        <v>1978</v>
      </c>
      <c r="O108" s="605">
        <f t="shared" si="72"/>
        <v>9.0823713208076846</v>
      </c>
      <c r="P108" s="605">
        <f t="shared" si="73"/>
        <v>10.846011173580045</v>
      </c>
    </row>
    <row r="109" spans="11:16">
      <c r="K109" s="124">
        <v>1983</v>
      </c>
      <c r="L109" s="124">
        <v>17439</v>
      </c>
      <c r="M109" s="124">
        <v>105297</v>
      </c>
      <c r="N109" s="213">
        <f t="shared" si="71"/>
        <v>1979</v>
      </c>
      <c r="O109" s="605">
        <f t="shared" si="72"/>
        <v>9.7664643563694611</v>
      </c>
      <c r="P109" s="605">
        <f t="shared" si="73"/>
        <v>11.564540207687728</v>
      </c>
    </row>
    <row r="110" spans="11:16">
      <c r="K110" s="124">
        <v>1984</v>
      </c>
      <c r="L110" s="124">
        <v>37780</v>
      </c>
      <c r="M110" s="124">
        <v>344020.06300000002</v>
      </c>
      <c r="N110" s="213">
        <f t="shared" si="71"/>
        <v>1980</v>
      </c>
      <c r="O110" s="605">
        <f t="shared" si="72"/>
        <v>10.5395351410555</v>
      </c>
      <c r="P110" s="605">
        <f t="shared" si="73"/>
        <v>12.748455257329253</v>
      </c>
    </row>
    <row r="111" spans="11:16">
      <c r="K111" s="124">
        <v>1985</v>
      </c>
      <c r="L111" s="124">
        <v>92478.074000000095</v>
      </c>
      <c r="M111" s="124">
        <v>355917.22859999997</v>
      </c>
      <c r="N111" s="213">
        <f t="shared" si="71"/>
        <v>1981</v>
      </c>
      <c r="O111" s="605">
        <f t="shared" si="72"/>
        <v>11.434726857564771</v>
      </c>
      <c r="P111" s="605">
        <f t="shared" si="73"/>
        <v>12.782453478868353</v>
      </c>
    </row>
    <row r="112" spans="11:16">
      <c r="K112" s="124">
        <v>1986</v>
      </c>
      <c r="L112" s="124">
        <v>58604.135370000004</v>
      </c>
      <c r="M112" s="124">
        <v>546985</v>
      </c>
      <c r="N112" s="213">
        <f t="shared" si="71"/>
        <v>1982</v>
      </c>
      <c r="O112" s="605">
        <f t="shared" si="72"/>
        <v>10.978560542529122</v>
      </c>
      <c r="P112" s="605">
        <f t="shared" si="73"/>
        <v>13.212176658724646</v>
      </c>
    </row>
    <row r="113" spans="11:16">
      <c r="K113" s="124">
        <v>1987</v>
      </c>
      <c r="L113" s="124">
        <v>11755</v>
      </c>
      <c r="M113" s="124">
        <v>86810</v>
      </c>
      <c r="N113" s="213">
        <f t="shared" si="71"/>
        <v>1983</v>
      </c>
      <c r="O113" s="605">
        <f t="shared" si="72"/>
        <v>9.3720339609741696</v>
      </c>
      <c r="P113" s="605">
        <f t="shared" si="73"/>
        <v>11.371477101385853</v>
      </c>
    </row>
    <row r="114" spans="11:16">
      <c r="K114" s="124">
        <v>1988</v>
      </c>
      <c r="L114" s="124">
        <v>64775</v>
      </c>
      <c r="M114" s="124">
        <v>133744</v>
      </c>
      <c r="N114" s="213">
        <f t="shared" si="71"/>
        <v>1984</v>
      </c>
      <c r="O114" s="605">
        <f t="shared" si="72"/>
        <v>11.078675005430311</v>
      </c>
      <c r="P114" s="605">
        <f t="shared" si="73"/>
        <v>11.803682803938937</v>
      </c>
    </row>
    <row r="115" spans="11:16">
      <c r="K115" s="124">
        <v>1989</v>
      </c>
      <c r="L115" s="124">
        <v>1682</v>
      </c>
      <c r="M115" s="124">
        <v>12950.644</v>
      </c>
      <c r="N115" s="213">
        <f t="shared" si="71"/>
        <v>1985</v>
      </c>
      <c r="O115" s="605">
        <f t="shared" si="72"/>
        <v>7.4277388405328937</v>
      </c>
      <c r="P115" s="605">
        <f t="shared" si="73"/>
        <v>9.4689007956209323</v>
      </c>
    </row>
    <row r="116" spans="11:16">
      <c r="K116" s="124">
        <v>1990</v>
      </c>
      <c r="L116" s="124">
        <v>4371.6120000000001</v>
      </c>
      <c r="M116" s="124">
        <v>17266.128987701795</v>
      </c>
      <c r="N116" s="213">
        <f t="shared" si="71"/>
        <v>1986</v>
      </c>
      <c r="O116" s="605">
        <f t="shared" si="72"/>
        <v>8.3828870987891442</v>
      </c>
      <c r="P116" s="605">
        <f t="shared" si="73"/>
        <v>9.7565019993862236</v>
      </c>
    </row>
    <row r="117" spans="11:16">
      <c r="K117" s="124">
        <v>1991</v>
      </c>
      <c r="L117" s="124">
        <v>2168.5927556324027</v>
      </c>
      <c r="M117" s="124">
        <v>53696.974000000002</v>
      </c>
      <c r="N117" s="213">
        <f t="shared" si="71"/>
        <v>1987</v>
      </c>
      <c r="O117" s="605">
        <f t="shared" si="72"/>
        <v>7.6818337364590459</v>
      </c>
      <c r="P117" s="605">
        <f t="shared" si="73"/>
        <v>10.89111192881612</v>
      </c>
    </row>
    <row r="118" spans="11:16">
      <c r="K118" s="124">
        <v>1992</v>
      </c>
      <c r="L118" s="124">
        <v>6913.1229999999996</v>
      </c>
      <c r="M118" s="124">
        <v>41717</v>
      </c>
      <c r="N118" s="213">
        <f t="shared" si="71"/>
        <v>1988</v>
      </c>
      <c r="O118" s="605">
        <f t="shared" si="72"/>
        <v>8.841176768351712</v>
      </c>
      <c r="P118" s="605">
        <f t="shared" si="73"/>
        <v>10.638663998571394</v>
      </c>
    </row>
    <row r="119" spans="11:16">
      <c r="K119" s="124">
        <v>1993</v>
      </c>
      <c r="L119" s="124">
        <v>2596</v>
      </c>
      <c r="M119" s="124">
        <v>4662</v>
      </c>
      <c r="N119" s="213">
        <f t="shared" si="71"/>
        <v>1989</v>
      </c>
      <c r="O119" s="605">
        <f t="shared" si="72"/>
        <v>7.8617270778239803</v>
      </c>
      <c r="P119" s="605">
        <f t="shared" si="73"/>
        <v>8.4471998195957028</v>
      </c>
    </row>
    <row r="120" spans="11:16">
      <c r="K120" s="124">
        <v>1994</v>
      </c>
      <c r="L120" s="124">
        <v>3519</v>
      </c>
      <c r="M120" s="124">
        <v>19808</v>
      </c>
      <c r="N120" s="213">
        <f t="shared" si="71"/>
        <v>1990</v>
      </c>
      <c r="O120" s="605">
        <f t="shared" si="72"/>
        <v>8.165932137321585</v>
      </c>
      <c r="P120" s="605">
        <f t="shared" si="73"/>
        <v>9.8938411754843223</v>
      </c>
    </row>
    <row r="121" spans="11:16">
      <c r="K121" s="124">
        <v>1995</v>
      </c>
      <c r="L121" s="124">
        <v>38575</v>
      </c>
      <c r="M121" s="124">
        <v>113543</v>
      </c>
      <c r="N121" s="213">
        <f t="shared" si="71"/>
        <v>1991</v>
      </c>
      <c r="O121" s="605">
        <f t="shared" si="72"/>
        <v>10.560359677231361</v>
      </c>
      <c r="P121" s="605">
        <f t="shared" si="73"/>
        <v>11.639936898781851</v>
      </c>
    </row>
    <row r="122" spans="11:16">
      <c r="K122" s="124">
        <v>1996</v>
      </c>
      <c r="L122" s="124">
        <v>14841</v>
      </c>
      <c r="M122" s="124">
        <v>97317</v>
      </c>
      <c r="N122" s="213">
        <f t="shared" si="71"/>
        <v>1992</v>
      </c>
      <c r="O122" s="605">
        <f t="shared" si="72"/>
        <v>9.6051488998958181</v>
      </c>
      <c r="P122" s="605">
        <f t="shared" si="73"/>
        <v>11.485728970281757</v>
      </c>
    </row>
    <row r="123" spans="11:16">
      <c r="K123" s="124">
        <v>1997</v>
      </c>
      <c r="L123" s="124">
        <v>8466.9830000000002</v>
      </c>
      <c r="M123" s="124">
        <v>58365</v>
      </c>
      <c r="N123" s="213">
        <f t="shared" si="71"/>
        <v>1993</v>
      </c>
      <c r="O123" s="605">
        <f t="shared" si="72"/>
        <v>9.043929525845293</v>
      </c>
      <c r="P123" s="605">
        <f t="shared" si="73"/>
        <v>10.974471674086764</v>
      </c>
    </row>
    <row r="124" spans="11:16">
      <c r="K124" s="124">
        <v>1998</v>
      </c>
      <c r="L124" s="124">
        <v>2313</v>
      </c>
      <c r="M124" s="124">
        <v>9645</v>
      </c>
      <c r="N124" s="213">
        <f t="shared" si="71"/>
        <v>1994</v>
      </c>
      <c r="O124" s="605">
        <f t="shared" si="72"/>
        <v>7.7463006622314392</v>
      </c>
      <c r="P124" s="605">
        <f t="shared" si="73"/>
        <v>9.1741949253398296</v>
      </c>
    </row>
    <row r="125" spans="11:16">
      <c r="K125" s="124">
        <v>1999</v>
      </c>
      <c r="L125" s="124">
        <v>133941</v>
      </c>
      <c r="M125" s="124">
        <v>177119</v>
      </c>
      <c r="N125" s="213">
        <f t="shared" si="71"/>
        <v>1995</v>
      </c>
      <c r="O125" s="605">
        <f t="shared" si="72"/>
        <v>11.804452635548273</v>
      </c>
      <c r="P125" s="605">
        <f t="shared" si="73"/>
        <v>12.084577102036734</v>
      </c>
    </row>
    <row r="126" spans="11:16">
      <c r="K126" s="124">
        <v>2000</v>
      </c>
      <c r="L126" s="124">
        <v>22334</v>
      </c>
      <c r="M126" s="124">
        <v>108519</v>
      </c>
      <c r="N126" s="213">
        <f t="shared" si="71"/>
        <v>1996</v>
      </c>
      <c r="O126" s="605">
        <f t="shared" si="72"/>
        <v>10.013865460005738</v>
      </c>
      <c r="P126" s="605">
        <f t="shared" si="73"/>
        <v>11.594680551839147</v>
      </c>
    </row>
    <row r="127" spans="11:16">
      <c r="K127" s="124">
        <v>2001</v>
      </c>
      <c r="L127" s="124">
        <v>12566</v>
      </c>
      <c r="M127" s="124">
        <v>30255</v>
      </c>
      <c r="N127" s="213">
        <f t="shared" si="71"/>
        <v>1997</v>
      </c>
      <c r="O127" s="605">
        <f t="shared" si="72"/>
        <v>9.4387500329628917</v>
      </c>
      <c r="P127" s="605">
        <f t="shared" si="73"/>
        <v>10.317416739056421</v>
      </c>
    </row>
    <row r="128" spans="11:16">
      <c r="K128" s="124">
        <v>2002</v>
      </c>
      <c r="L128" s="124">
        <v>21013</v>
      </c>
      <c r="M128" s="124">
        <v>67785</v>
      </c>
      <c r="N128" s="213">
        <f t="shared" si="71"/>
        <v>1998</v>
      </c>
      <c r="O128" s="605">
        <f t="shared" si="72"/>
        <v>9.9528965727936711</v>
      </c>
      <c r="P128" s="605">
        <f t="shared" si="73"/>
        <v>11.124096210513489</v>
      </c>
    </row>
    <row r="129" spans="11:16">
      <c r="K129" s="124">
        <v>2003</v>
      </c>
      <c r="L129" s="124">
        <v>99869</v>
      </c>
      <c r="M129" s="124">
        <v>132588</v>
      </c>
      <c r="N129" s="213">
        <f t="shared" si="71"/>
        <v>1999</v>
      </c>
      <c r="O129" s="605">
        <f t="shared" si="72"/>
        <v>11.511614606170127</v>
      </c>
      <c r="P129" s="605">
        <f t="shared" si="73"/>
        <v>11.795001854901175</v>
      </c>
    </row>
    <row r="130" spans="11:16">
      <c r="K130" s="124">
        <v>2004</v>
      </c>
      <c r="L130" s="124">
        <v>55977</v>
      </c>
      <c r="M130" s="124">
        <v>86862</v>
      </c>
      <c r="N130" s="213">
        <f t="shared" si="71"/>
        <v>2000</v>
      </c>
      <c r="O130" s="605">
        <f t="shared" si="72"/>
        <v>10.932696171065359</v>
      </c>
      <c r="P130" s="605">
        <f t="shared" si="73"/>
        <v>11.372075931382099</v>
      </c>
    </row>
    <row r="131" spans="11:16">
      <c r="K131" s="124">
        <v>2005</v>
      </c>
      <c r="L131" s="124">
        <v>6618</v>
      </c>
      <c r="M131" s="124">
        <v>4192</v>
      </c>
      <c r="N131" s="213">
        <f t="shared" si="71"/>
        <v>2001</v>
      </c>
      <c r="O131" s="605">
        <f t="shared" si="72"/>
        <v>8.7975484884815582</v>
      </c>
      <c r="P131" s="605">
        <f t="shared" si="73"/>
        <v>8.3409332260008782</v>
      </c>
    </row>
    <row r="132" spans="11:16">
      <c r="K132" s="124">
        <v>2006</v>
      </c>
      <c r="L132" s="124">
        <v>27264</v>
      </c>
      <c r="M132" s="124">
        <v>149002</v>
      </c>
      <c r="N132" s="213">
        <f t="shared" si="71"/>
        <v>2002</v>
      </c>
      <c r="O132" s="605">
        <f t="shared" si="72"/>
        <v>10.213322429629041</v>
      </c>
      <c r="P132" s="605">
        <f t="shared" si="73"/>
        <v>11.911715007656303</v>
      </c>
    </row>
    <row r="133" spans="11:16">
      <c r="K133" s="124">
        <v>2007</v>
      </c>
      <c r="L133" s="124">
        <v>29262</v>
      </c>
      <c r="M133" s="124">
        <v>66271</v>
      </c>
      <c r="N133" s="213">
        <f t="shared" si="71"/>
        <v>2003</v>
      </c>
      <c r="O133" s="605">
        <f t="shared" si="72"/>
        <v>10.284045024938107</v>
      </c>
      <c r="P133" s="605">
        <f t="shared" si="73"/>
        <v>11.125776585897835</v>
      </c>
    </row>
    <row r="134" spans="11:16">
      <c r="K134" s="124">
        <v>2008</v>
      </c>
      <c r="L134" s="134">
        <v>45985</v>
      </c>
      <c r="M134" s="134">
        <v>105257</v>
      </c>
      <c r="N134" s="213">
        <f t="shared" si="71"/>
        <v>2004</v>
      </c>
      <c r="O134" s="605">
        <f t="shared" si="72"/>
        <v>10.736070535336799</v>
      </c>
      <c r="P134" s="605">
        <f t="shared" si="73"/>
        <v>11.584445806379085</v>
      </c>
    </row>
    <row r="135" spans="11:16">
      <c r="K135" s="124">
        <v>2009</v>
      </c>
      <c r="L135" s="134">
        <v>2810</v>
      </c>
      <c r="M135" s="134">
        <v>6835</v>
      </c>
      <c r="N135" s="213">
        <f t="shared" si="71"/>
        <v>2005</v>
      </c>
      <c r="O135" s="605">
        <f t="shared" si="72"/>
        <v>7.9409397623277913</v>
      </c>
      <c r="P135" s="605">
        <f t="shared" si="73"/>
        <v>9.444621667700849</v>
      </c>
    </row>
    <row r="136" spans="11:16">
      <c r="K136" s="124">
        <v>2010</v>
      </c>
      <c r="L136" s="134">
        <v>37325</v>
      </c>
      <c r="N136" s="213">
        <f t="shared" si="71"/>
        <v>2006</v>
      </c>
      <c r="O136" s="605">
        <f t="shared" si="72"/>
        <v>10.52741862240739</v>
      </c>
      <c r="P136" s="605">
        <f t="shared" si="73"/>
        <v>11.714036063660766</v>
      </c>
    </row>
    <row r="137" spans="11:16">
      <c r="N137" s="213">
        <f>A57</f>
        <v>2007</v>
      </c>
      <c r="O137" s="605">
        <f>L57</f>
        <v>11.560514908563141</v>
      </c>
      <c r="P137" s="605">
        <f>R57</f>
        <v>13.190298623135615</v>
      </c>
    </row>
    <row r="138" spans="11:16">
      <c r="N138" s="213">
        <f t="shared" si="71"/>
        <v>2008</v>
      </c>
      <c r="O138" s="605">
        <f>L58</f>
        <v>10.315100391230526</v>
      </c>
      <c r="P138" s="605">
        <f t="shared" si="73"/>
        <v>10.613368932087239</v>
      </c>
    </row>
    <row r="139" spans="11:16">
      <c r="N139" s="213">
        <f t="shared" si="71"/>
        <v>2009</v>
      </c>
      <c r="O139" s="605">
        <f>L59</f>
        <v>10.472487740353191</v>
      </c>
      <c r="P139" s="605">
        <f t="shared" si="73"/>
        <v>11.327956406634861</v>
      </c>
    </row>
    <row r="140" spans="11:16">
      <c r="N140" s="213">
        <f t="shared" si="71"/>
        <v>2010</v>
      </c>
      <c r="O140" s="605">
        <f>L60</f>
        <v>9.9515631757676921</v>
      </c>
      <c r="P140" s="605"/>
    </row>
    <row r="141" spans="11:16">
      <c r="N141" s="213">
        <f t="shared" si="71"/>
        <v>2011</v>
      </c>
      <c r="O141" s="605"/>
      <c r="P141" s="605"/>
    </row>
  </sheetData>
  <phoneticPr fontId="11" type="noConversion"/>
  <pageMargins left="0.5" right="0.5" top="1" bottom="0.55000000000000004" header="0.5" footer="0.5"/>
  <pageSetup orientation="landscape"/>
  <headerFooter alignWithMargins="0">
    <oddFooter>&amp;L&amp;D&amp;C+&amp;R^</oddFooter>
  </headerFooter>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3" enableFormatConditionsCalculation="0">
    <tabColor rgb="FF00B050"/>
    <pageSetUpPr fitToPage="1"/>
  </sheetPr>
  <dimension ref="A1:Z64"/>
  <sheetViews>
    <sheetView defaultGridColor="0" view="pageBreakPreview" colorId="22" zoomScale="85" zoomScaleSheetLayoutView="85" workbookViewId="0">
      <selection activeCell="N20" sqref="N20"/>
    </sheetView>
  </sheetViews>
  <sheetFormatPr baseColWidth="10" defaultColWidth="9.625" defaultRowHeight="15" x14ac:dyDescent="0"/>
  <cols>
    <col min="1" max="1" width="13.5" style="124" customWidth="1"/>
    <col min="2" max="2" width="9.125" style="124" customWidth="1"/>
    <col min="3" max="3" width="11.625" style="124" customWidth="1"/>
    <col min="4" max="5" width="10.625" style="124" customWidth="1"/>
    <col min="6" max="6" width="11.625" style="124" customWidth="1"/>
    <col min="7" max="7" width="27.625" style="124" customWidth="1"/>
    <col min="8" max="8" width="14.5" style="124" customWidth="1"/>
    <col min="9" max="9" width="12.625" style="124" customWidth="1"/>
    <col min="10" max="12" width="14.375" style="124" customWidth="1"/>
    <col min="13" max="13" width="15.25" style="124" customWidth="1"/>
    <col min="14" max="14" width="9.625" style="124"/>
    <col min="15" max="15" width="4.625" style="124" customWidth="1"/>
    <col min="16" max="17" width="8.625" style="124" customWidth="1"/>
    <col min="18" max="16384" width="9.625" style="124"/>
  </cols>
  <sheetData>
    <row r="1" spans="1:26">
      <c r="A1" s="213" t="str">
        <f ca="1">CELL("filename")</f>
        <v>NWCLM04072996:Users:eric.ward:Documents:NCEAS-covariation:data:salmon data:data for analysis:[Coghill_Wild_Sockeye.xlsx]Sheet1</v>
      </c>
    </row>
    <row r="2" spans="1:26">
      <c r="A2" s="213"/>
    </row>
    <row r="3" spans="1:26" ht="18">
      <c r="A3" s="333" t="s">
        <v>477</v>
      </c>
      <c r="B3" s="545">
        <v>2015</v>
      </c>
    </row>
    <row r="4" spans="1:26" ht="17" customHeight="1">
      <c r="A4" s="127"/>
    </row>
    <row r="5" spans="1:26" ht="21">
      <c r="A5" s="591">
        <f>B3</f>
        <v>2015</v>
      </c>
      <c r="B5" s="592" t="str">
        <f>"Coghill Lake wild stock returns, Mean returns and forecast total returns."</f>
        <v>Coghill Lake wild stock returns, Mean returns and forecast total returns.</v>
      </c>
    </row>
    <row r="6" spans="1:26" ht="16" thickBot="1"/>
    <row r="7" spans="1:26" ht="16" thickTop="1">
      <c r="A7" s="128"/>
      <c r="B7" s="129" t="s">
        <v>410</v>
      </c>
      <c r="C7" s="546" t="s">
        <v>48</v>
      </c>
      <c r="D7" s="130" t="s">
        <v>8</v>
      </c>
      <c r="E7" s="131"/>
      <c r="F7" s="132" t="s">
        <v>48</v>
      </c>
      <c r="G7" s="129" t="s">
        <v>9</v>
      </c>
      <c r="H7" s="132" t="s">
        <v>3</v>
      </c>
      <c r="I7" s="130" t="s">
        <v>8</v>
      </c>
      <c r="J7" s="131"/>
      <c r="K7" s="131"/>
      <c r="L7" s="131"/>
      <c r="M7" s="133" t="s">
        <v>10</v>
      </c>
      <c r="N7" s="134"/>
      <c r="O7" s="134"/>
      <c r="P7" s="134"/>
    </row>
    <row r="8" spans="1:26" ht="16" thickBot="1">
      <c r="A8" s="135" t="s">
        <v>11</v>
      </c>
      <c r="B8" s="593">
        <f>B3-1</f>
        <v>2014</v>
      </c>
      <c r="C8" s="594" t="str">
        <f>"1974"&amp;"-"&amp;TEXT(B3-1,"####")</f>
        <v>1974-2014</v>
      </c>
      <c r="D8" s="136" t="s">
        <v>4</v>
      </c>
      <c r="E8" s="136" t="s">
        <v>5</v>
      </c>
      <c r="F8" s="595" t="str">
        <f>"1989"&amp;"-"&amp;TEXT(B3-1,"####")</f>
        <v>1989-2014</v>
      </c>
      <c r="G8" s="135" t="s">
        <v>327</v>
      </c>
      <c r="H8" s="137" t="s">
        <v>390</v>
      </c>
      <c r="I8" s="136" t="s">
        <v>4</v>
      </c>
      <c r="J8" s="136" t="s">
        <v>5</v>
      </c>
      <c r="K8" s="137" t="s">
        <v>470</v>
      </c>
      <c r="L8" s="137" t="s">
        <v>471</v>
      </c>
      <c r="M8" s="138" t="s">
        <v>12</v>
      </c>
    </row>
    <row r="9" spans="1:26" ht="16" thickTop="1">
      <c r="A9" s="139">
        <v>1.1000000000000001</v>
      </c>
      <c r="B9" s="596">
        <f>BroodTab!E76</f>
        <v>199</v>
      </c>
      <c r="C9" s="276">
        <f>BroodTab!E70</f>
        <v>381.17725967047215</v>
      </c>
      <c r="D9" s="276">
        <f>C9-(BroodTab!E$75*(BroodTab!E$74/SQRT(BroodTab!E$73)))</f>
        <v>207.32092932836844</v>
      </c>
      <c r="E9" s="276">
        <f>C9+(BroodTab!E75*(BroodTab!E74/SQRT(BroodTab!E73)))</f>
        <v>555.03359001257581</v>
      </c>
      <c r="F9" s="277">
        <f>BroodTab!E71</f>
        <v>425.17391304347825</v>
      </c>
      <c r="G9" s="140"/>
      <c r="H9" s="141"/>
      <c r="I9" s="141"/>
      <c r="J9" s="141"/>
      <c r="K9" s="277">
        <f>C9-D9</f>
        <v>173.85633034210372</v>
      </c>
      <c r="L9" s="277">
        <f>E9-C9</f>
        <v>173.85633034210366</v>
      </c>
      <c r="M9" s="142"/>
      <c r="O9" s="210" t="s">
        <v>358</v>
      </c>
      <c r="Q9" s="563" t="s">
        <v>461</v>
      </c>
      <c r="R9" s="564"/>
      <c r="S9" s="564"/>
      <c r="T9" s="564"/>
      <c r="U9" s="564"/>
      <c r="V9" s="564"/>
      <c r="W9" s="564"/>
      <c r="X9" s="564"/>
      <c r="Y9" s="565"/>
    </row>
    <row r="10" spans="1:26">
      <c r="A10" s="143">
        <v>1.2</v>
      </c>
      <c r="B10" s="597">
        <f>BroodTab!K76</f>
        <v>20985</v>
      </c>
      <c r="C10" s="278">
        <f>BroodTab!K70</f>
        <v>35465.265668260334</v>
      </c>
      <c r="D10" s="276">
        <f>C10-(BroodTab!K$75*(BroodTab!K$74/SQRT(BroodTab!K$73)))</f>
        <v>26260.779826404068</v>
      </c>
      <c r="E10" s="276">
        <f>C10+(BroodTab!K$75*(BroodTab!K$74/SQRT(BroodTab!K$73)))</f>
        <v>44669.751510116599</v>
      </c>
      <c r="F10" s="251">
        <f>BroodTab!K71</f>
        <v>29680.39656752432</v>
      </c>
      <c r="G10" s="140" t="s">
        <v>13</v>
      </c>
      <c r="H10" s="277">
        <f>'ln12rps x BYE'!U64</f>
        <v>22754.01264678521</v>
      </c>
      <c r="I10" s="277">
        <f>'ln12rps x BYE'!V64</f>
        <v>4178.0242444127543</v>
      </c>
      <c r="J10" s="277">
        <f>'ln12rps x BYE'!W64</f>
        <v>123921.03569586478</v>
      </c>
      <c r="K10" s="277">
        <f>C10-D10</f>
        <v>9204.4858418562653</v>
      </c>
      <c r="L10" s="277">
        <f>E10-C10</f>
        <v>9204.4858418562653</v>
      </c>
      <c r="M10" s="281">
        <f>'ln12rps x BYE'!X67</f>
        <v>1.2135285483180955</v>
      </c>
      <c r="N10" s="139"/>
      <c r="O10" s="211" t="s">
        <v>359</v>
      </c>
      <c r="Q10" s="566"/>
      <c r="R10" s="557"/>
      <c r="S10" s="557"/>
      <c r="T10" s="557"/>
      <c r="U10" s="557"/>
      <c r="V10" s="557"/>
      <c r="W10" s="557"/>
      <c r="X10" s="557"/>
      <c r="Y10" s="567"/>
      <c r="Z10" s="550"/>
    </row>
    <row r="11" spans="1:26">
      <c r="A11" s="139"/>
      <c r="B11" s="543"/>
      <c r="C11" s="276"/>
      <c r="D11" s="276"/>
      <c r="E11" s="276"/>
      <c r="F11" s="277"/>
      <c r="G11" s="145" t="s">
        <v>14</v>
      </c>
      <c r="H11" s="282">
        <f>'ln 12 x ln 11'!U62</f>
        <v>22634.262937812924</v>
      </c>
      <c r="I11" s="282">
        <f>'ln 12 x ln 11'!V62</f>
        <v>5099.7539462444693</v>
      </c>
      <c r="J11" s="282">
        <f>'ln 12 x ln 11'!W62</f>
        <v>100457.76014651138</v>
      </c>
      <c r="M11" s="283">
        <f>'ln 12 x ln 11'!X65</f>
        <v>0.87868661311444662</v>
      </c>
      <c r="N11" s="146" t="s">
        <v>15</v>
      </c>
      <c r="O11" s="286">
        <f>H11/H17*100</f>
        <v>18.344484808569923</v>
      </c>
      <c r="Q11" s="568"/>
      <c r="R11" s="552" t="s">
        <v>135</v>
      </c>
      <c r="S11" s="552" t="s">
        <v>4</v>
      </c>
      <c r="T11" s="551"/>
      <c r="U11" s="552" t="s">
        <v>5</v>
      </c>
      <c r="V11" s="557"/>
      <c r="W11" s="557"/>
      <c r="X11" s="557" t="s">
        <v>462</v>
      </c>
      <c r="Y11" s="567" t="s">
        <v>463</v>
      </c>
      <c r="Z11" s="550"/>
    </row>
    <row r="12" spans="1:26">
      <c r="A12" s="143">
        <v>1.3</v>
      </c>
      <c r="B12" s="597">
        <f>BroodTab!Q76</f>
        <v>83113</v>
      </c>
      <c r="C12" s="278">
        <f>BroodTab!Q70</f>
        <v>141911.37334848053</v>
      </c>
      <c r="D12" s="276">
        <f>C12-(BroodTab!Q$75*(BroodTab!Q$74/SQRT(BroodTab!Q$73)))</f>
        <v>89776.039273901901</v>
      </c>
      <c r="E12" s="276">
        <f>C12+(BroodTab!Q$75*(BroodTab!Q$74/SQRT(BroodTab!Q$73)))</f>
        <v>194046.70742305915</v>
      </c>
      <c r="F12" s="251">
        <f>BroodTab!Q71</f>
        <v>88007.75949952699</v>
      </c>
      <c r="G12" s="145" t="s">
        <v>16</v>
      </c>
      <c r="H12" s="282">
        <f>'ln 13 x ln 12'!U63</f>
        <v>77348.679102910974</v>
      </c>
      <c r="I12" s="282">
        <f>'ln 13 x ln 12'!V63</f>
        <v>29916.730971450597</v>
      </c>
      <c r="J12" s="282">
        <f>'ln 13 x ln 12'!W63</f>
        <v>199982.3498320881</v>
      </c>
      <c r="K12" s="277">
        <f>H12-I12</f>
        <v>47431.948131460376</v>
      </c>
      <c r="L12" s="277">
        <f>J12-H12</f>
        <v>122633.67072917713</v>
      </c>
      <c r="M12" s="283">
        <f>'ln 13 x ln 12'!X66</f>
        <v>0.32501808640696933</v>
      </c>
      <c r="N12" s="146" t="s">
        <v>17</v>
      </c>
      <c r="O12" s="286">
        <f>H12/H17*100</f>
        <v>62.689104242747042</v>
      </c>
      <c r="Q12" s="569" t="s">
        <v>464</v>
      </c>
      <c r="R12" s="559">
        <v>12169</v>
      </c>
      <c r="S12" s="559">
        <v>7158</v>
      </c>
      <c r="T12" s="560" t="s">
        <v>465</v>
      </c>
      <c r="U12" s="561">
        <v>16703</v>
      </c>
      <c r="V12" s="557"/>
      <c r="W12" s="557"/>
      <c r="X12" s="562">
        <f>R12-S12</f>
        <v>5011</v>
      </c>
      <c r="Y12" s="570">
        <f>U12-R12</f>
        <v>4534</v>
      </c>
      <c r="Z12" s="550"/>
    </row>
    <row r="13" spans="1:26">
      <c r="A13" s="139"/>
      <c r="B13" s="543"/>
      <c r="C13" s="276"/>
      <c r="D13" s="276"/>
      <c r="E13" s="276"/>
      <c r="F13" s="277"/>
      <c r="G13" s="140" t="s">
        <v>18</v>
      </c>
      <c r="H13" s="277">
        <f>'ln13rps x BYE'!U63</f>
        <v>62185.427680159846</v>
      </c>
      <c r="I13" s="277">
        <f>'ln13rps x BYE'!V63</f>
        <v>10777.569774522643</v>
      </c>
      <c r="J13" s="277">
        <f>'ln13rps x BYE'!W63</f>
        <v>358803.28280553099</v>
      </c>
      <c r="K13" s="277"/>
      <c r="L13" s="277"/>
      <c r="M13" s="281">
        <f>'ln13rps x BYE'!X66</f>
        <v>1.6838207970616323</v>
      </c>
      <c r="N13" s="147"/>
      <c r="O13" s="287"/>
      <c r="Q13" s="569" t="s">
        <v>466</v>
      </c>
      <c r="R13" s="559">
        <v>7217</v>
      </c>
      <c r="S13" s="559">
        <v>5850</v>
      </c>
      <c r="T13" s="560" t="s">
        <v>465</v>
      </c>
      <c r="U13" s="561">
        <v>8584</v>
      </c>
      <c r="V13" s="557"/>
      <c r="W13" s="557"/>
      <c r="X13" s="562">
        <f>R13-S13</f>
        <v>1367</v>
      </c>
      <c r="Y13" s="570">
        <f>U13-R13</f>
        <v>1367</v>
      </c>
      <c r="Z13" s="550"/>
    </row>
    <row r="14" spans="1:26">
      <c r="A14" s="143">
        <v>2.2000000000000002</v>
      </c>
      <c r="B14" s="597">
        <f>BroodTab!W76</f>
        <v>509</v>
      </c>
      <c r="C14" s="278">
        <f>BroodTab!W70</f>
        <v>4538.246172130669</v>
      </c>
      <c r="D14" s="276">
        <f>C14-(BroodTab!W$75*(BroodTab!W$74/SQRT(BroodTab!W$73)))</f>
        <v>2303.6584802082257</v>
      </c>
      <c r="E14" s="276">
        <f>C14+(BroodTab!W$75*(BroodTab!W$74/SQRT(BroodTab!W$73)))</f>
        <v>6772.8338640531128</v>
      </c>
      <c r="F14" s="251">
        <f>BroodTab!W71</f>
        <v>1650.8474252829778</v>
      </c>
      <c r="G14" s="140" t="s">
        <v>19</v>
      </c>
      <c r="H14" s="277">
        <f>'ln 22 x ln BY E'!U64</f>
        <v>1291.3885100562013</v>
      </c>
      <c r="I14" s="277">
        <f>'ln 22 x ln BY E'!V64</f>
        <v>189.96194541038136</v>
      </c>
      <c r="J14" s="277">
        <f>'ln 22 x ln BY E'!W64</f>
        <v>8779.044035911611</v>
      </c>
      <c r="K14" s="277">
        <f>C14-D14</f>
        <v>2234.5876919224434</v>
      </c>
      <c r="L14" s="277">
        <f>E14-C14</f>
        <v>2234.5876919224438</v>
      </c>
      <c r="M14" s="281">
        <f>'ln 22 x ln BY E'!X67</f>
        <v>1.4678074218174819</v>
      </c>
      <c r="N14" s="147"/>
      <c r="O14" s="287"/>
      <c r="Q14" s="569" t="s">
        <v>467</v>
      </c>
      <c r="R14" s="559">
        <v>4211</v>
      </c>
      <c r="S14" s="559">
        <v>3103</v>
      </c>
      <c r="T14" s="560" t="s">
        <v>465</v>
      </c>
      <c r="U14" s="561">
        <v>5319</v>
      </c>
      <c r="V14" s="557"/>
      <c r="W14" s="557"/>
      <c r="X14" s="562">
        <f>R14-S14</f>
        <v>1108</v>
      </c>
      <c r="Y14" s="570">
        <f>U14-R14</f>
        <v>1108</v>
      </c>
      <c r="Z14" s="550"/>
    </row>
    <row r="15" spans="1:26">
      <c r="A15" s="139"/>
      <c r="B15" s="543"/>
      <c r="C15" s="276"/>
      <c r="D15" s="276"/>
      <c r="E15" s="276"/>
      <c r="F15" s="277"/>
      <c r="G15" s="140" t="s">
        <v>20</v>
      </c>
      <c r="H15" s="277">
        <f>'ln 22 x ln 12'!U64</f>
        <v>1563.9464563526451</v>
      </c>
      <c r="I15" s="277">
        <f>'ln 22 x ln 12'!V64</f>
        <v>237.91139594466944</v>
      </c>
      <c r="J15" s="277">
        <f>'ln 22 x ln 12'!W64</f>
        <v>10280.837992757777</v>
      </c>
      <c r="K15" s="277"/>
      <c r="L15" s="277"/>
      <c r="M15" s="281">
        <f>'ln 22 x ln 12'!X67</f>
        <v>1.3128992307908123</v>
      </c>
      <c r="N15" s="146" t="s">
        <v>21</v>
      </c>
      <c r="O15" s="286">
        <f>H15/H17*100</f>
        <v>1.2675381605666751</v>
      </c>
      <c r="Q15" s="571" t="s">
        <v>468</v>
      </c>
      <c r="R15" s="553">
        <v>6143</v>
      </c>
      <c r="S15" s="553">
        <v>4450</v>
      </c>
      <c r="T15" s="554" t="s">
        <v>465</v>
      </c>
      <c r="U15" s="555">
        <v>7835</v>
      </c>
      <c r="V15" s="556"/>
      <c r="W15" s="557"/>
      <c r="X15" s="558">
        <f>R15-S15</f>
        <v>1693</v>
      </c>
      <c r="Y15" s="572">
        <f>U15-R15</f>
        <v>1692</v>
      </c>
      <c r="Z15" s="550"/>
    </row>
    <row r="16" spans="1:26" ht="16" thickBot="1">
      <c r="A16" s="149">
        <v>2.2999999999999998</v>
      </c>
      <c r="B16" s="598">
        <f>BroodTab!AC76</f>
        <v>46</v>
      </c>
      <c r="C16" s="279">
        <f>BroodTab!AC70</f>
        <v>5651.1976434281996</v>
      </c>
      <c r="D16" s="279">
        <f>C16-(BroodTab!AC$75*(BroodTab!AC$74/SQRT(BroodTab!AC$73)))</f>
        <v>3417.5195169501158</v>
      </c>
      <c r="E16" s="279">
        <f>C16+(BroodTab!AC$75*(BroodTab!AC$74/SQRT(BroodTab!AC$73)))</f>
        <v>7884.8757699062835</v>
      </c>
      <c r="F16" s="280">
        <f>BroodTab!AC71</f>
        <v>2454.4267607906222</v>
      </c>
      <c r="G16" s="135" t="s">
        <v>22</v>
      </c>
      <c r="H16" s="280">
        <f>'ln 23 x ln 22'!U64</f>
        <v>1050.2998019685133</v>
      </c>
      <c r="I16" s="280">
        <f>'ln 23 x ln 22'!V64</f>
        <v>192.87743336254383</v>
      </c>
      <c r="J16" s="280">
        <f>'ln 23 x ln 22'!W64</f>
        <v>5719.3299121810242</v>
      </c>
      <c r="K16" s="277">
        <f>C16-D16</f>
        <v>2233.6781264780839</v>
      </c>
      <c r="L16" s="277">
        <f>E16-C16</f>
        <v>2233.6781264780839</v>
      </c>
      <c r="M16" s="549">
        <f>'ln 23 x ln 22'!X67</f>
        <v>1.513337514146593</v>
      </c>
      <c r="N16" s="146" t="s">
        <v>23</v>
      </c>
      <c r="O16" s="286">
        <f>H16/H17*100</f>
        <v>0.85124082964802383</v>
      </c>
      <c r="Q16" s="573" t="s">
        <v>469</v>
      </c>
      <c r="R16" s="574">
        <f>SUM(R12:R15)</f>
        <v>29740</v>
      </c>
      <c r="S16" s="574">
        <f>R16-X16</f>
        <v>24165.708744602591</v>
      </c>
      <c r="T16" s="575"/>
      <c r="U16" s="576">
        <f>R16+Y16</f>
        <v>34889.405111272565</v>
      </c>
      <c r="V16" s="577"/>
      <c r="W16" s="577"/>
      <c r="X16" s="574">
        <f>SQRT(SUMSQ(X12:X15))</f>
        <v>5574.2912553974074</v>
      </c>
      <c r="Y16" s="578">
        <f>SQRT(SUMSQ(Y12:Y15))</f>
        <v>5149.4051112725629</v>
      </c>
      <c r="Z16" s="550"/>
    </row>
    <row r="17" spans="1:26" ht="23" thickTop="1" thickBot="1">
      <c r="A17" s="599" t="s">
        <v>24</v>
      </c>
      <c r="B17" s="600">
        <f>SUM(B9:B16)</f>
        <v>104852</v>
      </c>
      <c r="C17" s="601">
        <f>SUM(C9:C16)</f>
        <v>187947.26009197018</v>
      </c>
      <c r="D17" s="275"/>
      <c r="E17" s="275"/>
      <c r="F17" s="275">
        <f>SUM(F9:F16)</f>
        <v>122218.60416616838</v>
      </c>
      <c r="G17" s="150" t="s">
        <v>25</v>
      </c>
      <c r="H17" s="373">
        <f>H12+C10+C9+C14+C16</f>
        <v>123384.56584640066</v>
      </c>
      <c r="I17" s="275">
        <f>H17-K17</f>
        <v>74964.268559956021</v>
      </c>
      <c r="J17" s="275">
        <f>H17+L17</f>
        <v>246403.88417597994</v>
      </c>
      <c r="K17" s="574">
        <f>SQRT(SUMSQ(K9:K16))</f>
        <v>48420.297286444635</v>
      </c>
      <c r="L17" s="578">
        <f>SQRT(SUMSQ(L9:L16))</f>
        <v>123019.3183295793</v>
      </c>
      <c r="M17" s="151"/>
      <c r="Z17" s="550"/>
    </row>
    <row r="18" spans="1:26" ht="18" thickTop="1" thickBot="1">
      <c r="A18" s="602" t="s">
        <v>474</v>
      </c>
      <c r="B18" s="603">
        <f>SUM(B9:B16)-B12</f>
        <v>21739</v>
      </c>
      <c r="C18" s="603">
        <f>SUM(C9:C16)-C12</f>
        <v>46035.886743489653</v>
      </c>
      <c r="D18" s="144"/>
      <c r="E18" s="144"/>
      <c r="F18" s="144"/>
      <c r="G18" s="152" t="s">
        <v>6</v>
      </c>
      <c r="H18" s="153">
        <v>30000</v>
      </c>
      <c r="I18" s="154"/>
      <c r="J18" s="155"/>
      <c r="K18" s="579"/>
      <c r="L18" s="579"/>
      <c r="S18" s="550"/>
      <c r="T18" s="550"/>
      <c r="U18" s="550"/>
      <c r="V18" s="550"/>
      <c r="W18" s="550"/>
      <c r="X18" s="550"/>
      <c r="Y18" s="550"/>
      <c r="Z18" s="550"/>
    </row>
    <row r="19" spans="1:26" ht="22" thickBot="1">
      <c r="A19" s="144"/>
      <c r="B19" s="144"/>
      <c r="C19" s="144"/>
      <c r="D19" s="144"/>
      <c r="E19" s="144"/>
      <c r="F19" s="144"/>
      <c r="G19" s="156" t="s">
        <v>7</v>
      </c>
      <c r="H19" s="284">
        <f>H17-H18</f>
        <v>93384.565846400656</v>
      </c>
      <c r="I19" s="284">
        <f>IF(I17-H18&lt;0,0,I17-H18)</f>
        <v>44964.268559956021</v>
      </c>
      <c r="J19" s="285">
        <f>J17-H18</f>
        <v>216403.88417597994</v>
      </c>
      <c r="K19" s="580"/>
      <c r="L19" s="580"/>
    </row>
    <row r="20" spans="1:26" ht="17" thickTop="1">
      <c r="A20" s="144"/>
      <c r="B20" s="144"/>
      <c r="C20" s="144"/>
      <c r="D20" s="144"/>
      <c r="E20" s="144"/>
      <c r="F20" s="144"/>
      <c r="G20" s="157"/>
      <c r="H20" s="158"/>
      <c r="I20" s="158"/>
      <c r="J20" s="158"/>
      <c r="K20" s="158"/>
      <c r="L20" s="158"/>
    </row>
    <row r="21" spans="1:26" ht="16" thickBot="1">
      <c r="A21" s="356" t="s">
        <v>391</v>
      </c>
      <c r="H21" s="480"/>
      <c r="I21" s="480"/>
      <c r="J21" s="480"/>
      <c r="K21" s="480"/>
      <c r="L21" s="480"/>
      <c r="Q21" s="550"/>
      <c r="R21" s="550"/>
    </row>
    <row r="22" spans="1:26" ht="18">
      <c r="A22" s="124" t="s">
        <v>26</v>
      </c>
      <c r="G22" s="334" t="s">
        <v>381</v>
      </c>
      <c r="H22" s="335"/>
      <c r="I22" s="335"/>
      <c r="J22" s="336"/>
      <c r="K22" s="200"/>
      <c r="L22" s="200"/>
    </row>
    <row r="23" spans="1:26" ht="16" thickBot="1">
      <c r="A23" s="124" t="s">
        <v>27</v>
      </c>
      <c r="G23" s="337"/>
      <c r="H23" s="216"/>
      <c r="I23" s="202"/>
      <c r="J23" s="338"/>
      <c r="K23" s="202"/>
      <c r="L23" s="202"/>
      <c r="M23" s="200"/>
    </row>
    <row r="24" spans="1:26" ht="17" thickTop="1">
      <c r="G24" s="337"/>
      <c r="H24" s="343" t="s">
        <v>401</v>
      </c>
      <c r="I24" s="347">
        <f>I17</f>
        <v>74964.268559956021</v>
      </c>
      <c r="J24" s="338"/>
      <c r="K24" s="202"/>
      <c r="L24" s="202"/>
      <c r="M24" s="200"/>
    </row>
    <row r="25" spans="1:26" ht="16">
      <c r="G25" s="337"/>
      <c r="H25" s="346" t="s">
        <v>379</v>
      </c>
      <c r="I25" s="348">
        <f>Forecast_Summary!H17</f>
        <v>123384.56584640066</v>
      </c>
      <c r="J25" s="338"/>
      <c r="K25" s="202"/>
      <c r="L25" s="202"/>
      <c r="M25" s="200"/>
    </row>
    <row r="26" spans="1:26" ht="17" thickBot="1">
      <c r="G26" s="339"/>
      <c r="H26" s="344" t="s">
        <v>402</v>
      </c>
      <c r="I26" s="345">
        <f>J17</f>
        <v>246403.88417597994</v>
      </c>
      <c r="J26" s="338"/>
      <c r="K26" s="202"/>
      <c r="L26" s="202"/>
      <c r="M26" s="200"/>
    </row>
    <row r="27" spans="1:26" ht="17" thickTop="1" thickBot="1">
      <c r="G27" s="340"/>
      <c r="H27" s="341"/>
      <c r="I27" s="341"/>
      <c r="J27" s="342"/>
      <c r="K27" s="202"/>
      <c r="L27" s="202"/>
      <c r="M27" s="200"/>
    </row>
    <row r="28" spans="1:26" ht="16" thickBot="1">
      <c r="G28" s="200"/>
      <c r="H28" s="200"/>
      <c r="I28" s="200"/>
      <c r="J28" s="200"/>
      <c r="K28" s="200"/>
      <c r="L28" s="200"/>
      <c r="M28" s="200"/>
    </row>
    <row r="29" spans="1:26" ht="17" thickTop="1">
      <c r="G29" s="219"/>
      <c r="H29" s="633" t="s">
        <v>401</v>
      </c>
      <c r="I29" s="634">
        <f ca="1">I30-Performance!G65</f>
        <v>52924.839415307622</v>
      </c>
      <c r="J29" s="124" t="s">
        <v>417</v>
      </c>
      <c r="N29" s="213">
        <f ca="1">MROUND(I29,10000)</f>
        <v>50000</v>
      </c>
    </row>
    <row r="30" spans="1:26" ht="16">
      <c r="H30" s="635" t="s">
        <v>379</v>
      </c>
      <c r="I30" s="636">
        <f>I25</f>
        <v>123384.56584640066</v>
      </c>
      <c r="J30" s="124" t="s">
        <v>417</v>
      </c>
      <c r="N30" s="213">
        <f>MROUND(I30,10000)</f>
        <v>120000</v>
      </c>
    </row>
    <row r="31" spans="1:26" ht="17" thickBot="1">
      <c r="G31" s="219"/>
      <c r="H31" s="637" t="s">
        <v>402</v>
      </c>
      <c r="I31" s="638">
        <f ca="1">I30+Performance!G65</f>
        <v>193844.29227749369</v>
      </c>
      <c r="J31" s="124" t="s">
        <v>417</v>
      </c>
      <c r="N31" s="213">
        <f ca="1">MROUND(I31,10000)</f>
        <v>190000</v>
      </c>
    </row>
    <row r="32" spans="1:26" ht="16" thickTop="1"/>
    <row r="49" spans="1:15">
      <c r="A49" s="200"/>
      <c r="B49" s="200"/>
      <c r="C49" s="200"/>
      <c r="D49" s="200"/>
      <c r="E49" s="200"/>
      <c r="F49" s="200"/>
      <c r="G49" s="200"/>
      <c r="H49" s="200"/>
      <c r="I49" s="200"/>
      <c r="J49" s="200"/>
      <c r="K49" s="200"/>
      <c r="L49" s="200"/>
      <c r="M49" s="200"/>
      <c r="N49" s="200"/>
      <c r="O49" s="200"/>
    </row>
    <row r="50" spans="1:15">
      <c r="A50" s="200"/>
      <c r="B50" s="200"/>
      <c r="C50" s="200"/>
      <c r="D50" s="200"/>
      <c r="E50" s="200"/>
      <c r="F50" s="200"/>
      <c r="G50" s="200"/>
      <c r="H50" s="200"/>
      <c r="I50" s="200"/>
      <c r="J50" s="200"/>
      <c r="K50" s="200"/>
      <c r="L50" s="200"/>
      <c r="M50" s="200"/>
      <c r="N50" s="200"/>
      <c r="O50" s="200"/>
    </row>
    <row r="51" spans="1:15">
      <c r="A51" s="200"/>
      <c r="B51" s="200"/>
      <c r="C51" s="200"/>
      <c r="D51" s="200"/>
      <c r="E51" s="200"/>
      <c r="F51" s="200"/>
      <c r="G51" s="200"/>
      <c r="H51" s="200"/>
      <c r="I51" s="200"/>
      <c r="J51" s="200"/>
      <c r="K51" s="200"/>
      <c r="L51" s="200"/>
      <c r="M51" s="200"/>
      <c r="N51" s="200"/>
      <c r="O51" s="200"/>
    </row>
    <row r="52" spans="1:15">
      <c r="A52" s="200"/>
      <c r="B52" s="200"/>
      <c r="C52" s="200"/>
      <c r="D52" s="200"/>
      <c r="E52" s="200"/>
      <c r="F52" s="200"/>
      <c r="G52" s="200"/>
      <c r="H52" s="200"/>
      <c r="I52" s="200"/>
      <c r="J52" s="200"/>
      <c r="K52" s="200"/>
      <c r="L52" s="200"/>
      <c r="M52" s="200"/>
      <c r="N52" s="200"/>
      <c r="O52" s="200"/>
    </row>
    <row r="53" spans="1:15">
      <c r="A53" s="200"/>
      <c r="B53" s="200"/>
      <c r="C53" s="200"/>
      <c r="D53" s="200"/>
      <c r="E53" s="200"/>
      <c r="F53" s="200"/>
      <c r="G53" s="200"/>
      <c r="H53" s="200"/>
      <c r="I53" s="200"/>
      <c r="J53" s="200"/>
      <c r="K53" s="200"/>
      <c r="L53" s="200"/>
      <c r="M53" s="200"/>
      <c r="N53" s="200"/>
      <c r="O53" s="200"/>
    </row>
    <row r="54" spans="1:15">
      <c r="A54" s="200"/>
      <c r="B54" s="200"/>
      <c r="C54" s="200"/>
      <c r="D54" s="200"/>
      <c r="E54" s="200"/>
      <c r="F54" s="200"/>
      <c r="G54" s="200"/>
      <c r="H54" s="200"/>
      <c r="I54" s="200"/>
      <c r="J54" s="200"/>
      <c r="K54" s="200"/>
      <c r="L54" s="200"/>
      <c r="M54" s="200"/>
      <c r="N54" s="200"/>
      <c r="O54" s="200"/>
    </row>
    <row r="55" spans="1:15">
      <c r="A55" s="200"/>
      <c r="B55" s="200"/>
      <c r="C55" s="200"/>
      <c r="D55" s="200"/>
      <c r="E55" s="200"/>
      <c r="F55" s="200"/>
      <c r="G55" s="200"/>
      <c r="H55" s="200"/>
      <c r="I55" s="200"/>
      <c r="J55" s="200"/>
      <c r="K55" s="200"/>
      <c r="L55" s="200"/>
      <c r="M55" s="200"/>
      <c r="N55" s="200"/>
      <c r="O55" s="200"/>
    </row>
    <row r="56" spans="1:15">
      <c r="A56" s="201"/>
      <c r="B56" s="202"/>
      <c r="C56" s="202"/>
      <c r="D56" s="202"/>
      <c r="E56" s="202"/>
      <c r="F56" s="203"/>
      <c r="G56" s="203"/>
      <c r="H56" s="203"/>
      <c r="I56" s="203"/>
      <c r="J56" s="203"/>
      <c r="K56" s="203"/>
      <c r="L56" s="203"/>
      <c r="M56" s="203"/>
      <c r="N56" s="203"/>
      <c r="O56" s="203"/>
    </row>
    <row r="57" spans="1:15">
      <c r="A57" s="202"/>
      <c r="B57" s="202"/>
      <c r="C57" s="202"/>
      <c r="D57" s="202"/>
      <c r="E57" s="202"/>
      <c r="F57" s="203"/>
      <c r="G57" s="203"/>
      <c r="H57" s="203"/>
      <c r="I57" s="203"/>
      <c r="J57" s="203"/>
      <c r="K57" s="203"/>
      <c r="L57" s="203"/>
      <c r="M57" s="203"/>
      <c r="N57" s="203"/>
      <c r="O57" s="204"/>
    </row>
    <row r="58" spans="1:15">
      <c r="A58" s="202"/>
      <c r="B58" s="202"/>
      <c r="C58" s="202"/>
      <c r="D58" s="202"/>
      <c r="E58" s="202"/>
      <c r="F58" s="204"/>
      <c r="G58" s="204"/>
      <c r="H58" s="204"/>
      <c r="I58" s="204"/>
      <c r="J58" s="204"/>
      <c r="K58" s="204"/>
      <c r="L58" s="204"/>
      <c r="M58" s="204"/>
      <c r="N58" s="204"/>
      <c r="O58" s="204"/>
    </row>
    <row r="59" spans="1:15">
      <c r="A59" s="202"/>
      <c r="B59" s="202"/>
      <c r="C59" s="202"/>
      <c r="D59" s="202"/>
      <c r="E59" s="202"/>
      <c r="F59" s="205"/>
      <c r="G59" s="205"/>
      <c r="H59" s="205"/>
      <c r="I59" s="205"/>
      <c r="J59" s="205"/>
      <c r="K59" s="205"/>
      <c r="L59" s="205"/>
      <c r="M59" s="205"/>
      <c r="N59" s="205"/>
      <c r="O59" s="205"/>
    </row>
    <row r="60" spans="1:15">
      <c r="A60" s="202"/>
      <c r="B60" s="202"/>
      <c r="C60" s="202"/>
      <c r="D60" s="202"/>
      <c r="E60" s="202"/>
      <c r="F60" s="206"/>
      <c r="G60" s="206"/>
      <c r="H60" s="206"/>
      <c r="I60" s="206"/>
      <c r="J60" s="206"/>
      <c r="K60" s="206"/>
      <c r="L60" s="206"/>
      <c r="M60" s="206"/>
      <c r="N60" s="206"/>
      <c r="O60" s="207"/>
    </row>
    <row r="61" spans="1:15">
      <c r="A61" s="202"/>
      <c r="B61" s="202"/>
      <c r="C61" s="202"/>
      <c r="D61" s="202"/>
      <c r="E61" s="202"/>
      <c r="F61" s="207"/>
      <c r="G61" s="207"/>
      <c r="H61" s="207"/>
      <c r="I61" s="207"/>
      <c r="J61" s="207"/>
      <c r="K61" s="207"/>
      <c r="L61" s="207"/>
      <c r="M61" s="207"/>
      <c r="N61" s="207"/>
      <c r="O61" s="207"/>
    </row>
    <row r="62" spans="1:15">
      <c r="A62" s="202"/>
      <c r="B62" s="202"/>
      <c r="C62" s="202"/>
      <c r="D62" s="202"/>
      <c r="E62" s="202"/>
      <c r="F62" s="207"/>
      <c r="G62" s="207"/>
      <c r="H62" s="207"/>
      <c r="I62" s="207"/>
      <c r="J62" s="207"/>
      <c r="K62" s="207"/>
      <c r="L62" s="207"/>
      <c r="M62" s="207"/>
      <c r="N62" s="207"/>
      <c r="O62" s="207"/>
    </row>
    <row r="63" spans="1:15">
      <c r="A63" s="208"/>
      <c r="B63" s="202"/>
      <c r="C63" s="202"/>
      <c r="D63" s="202"/>
      <c r="E63" s="202"/>
      <c r="F63" s="209"/>
      <c r="G63" s="209"/>
      <c r="H63" s="209"/>
      <c r="I63" s="209"/>
      <c r="J63" s="209"/>
      <c r="K63" s="209"/>
      <c r="L63" s="209"/>
      <c r="M63" s="209"/>
      <c r="N63" s="209"/>
      <c r="O63" s="209"/>
    </row>
    <row r="64" spans="1:15">
      <c r="A64" s="200"/>
      <c r="B64" s="200"/>
      <c r="C64" s="200"/>
      <c r="D64" s="200"/>
      <c r="E64" s="200"/>
      <c r="F64" s="200"/>
      <c r="G64" s="200"/>
      <c r="H64" s="200"/>
      <c r="I64" s="200"/>
      <c r="J64" s="200"/>
      <c r="K64" s="200"/>
      <c r="L64" s="200"/>
      <c r="M64" s="200"/>
      <c r="N64" s="200"/>
      <c r="O64" s="200"/>
    </row>
  </sheetData>
  <phoneticPr fontId="11" type="noConversion"/>
  <pageMargins left="0.5" right="0.5" top="1" bottom="0.55000000000000004" header="0.5" footer="0.5"/>
  <pageSetup scale="59" orientation="landscape"/>
  <headerFooter alignWithMargins="0">
    <oddFooter>&amp;L&amp;D&amp;C+&amp;R^</oddFooter>
  </headerFooter>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rgb="FF00B050"/>
  </sheetPr>
  <dimension ref="A1:U70"/>
  <sheetViews>
    <sheetView topLeftCell="A31" zoomScale="75" zoomScaleNormal="75" zoomScalePageLayoutView="75" workbookViewId="0">
      <selection activeCell="H55" sqref="H55"/>
    </sheetView>
  </sheetViews>
  <sheetFormatPr baseColWidth="10" defaultColWidth="8.625" defaultRowHeight="15" x14ac:dyDescent="0"/>
  <cols>
    <col min="1" max="1" width="7.125" style="124" customWidth="1"/>
    <col min="2" max="2" width="5.875" style="124" customWidth="1"/>
    <col min="3" max="3" width="13.875" style="124" customWidth="1"/>
    <col min="4" max="5" width="8.625" style="124"/>
    <col min="6" max="6" width="11.75" style="124" customWidth="1"/>
    <col min="7" max="7" width="22.125" style="124" customWidth="1"/>
    <col min="8" max="8" width="18.5" style="124" customWidth="1"/>
    <col min="9" max="9" width="10" style="124" customWidth="1"/>
    <col min="10" max="10" width="9.25" style="124" bestFit="1" customWidth="1"/>
    <col min="11" max="11" width="10.25" style="124" bestFit="1" customWidth="1"/>
    <col min="12" max="12" width="15.625" style="124" customWidth="1"/>
    <col min="13" max="13" width="8.625" style="124"/>
    <col min="14" max="16" width="1.75" style="124" customWidth="1"/>
    <col min="17" max="17" width="4.5" style="124" customWidth="1"/>
    <col min="18" max="18" width="8.625" style="124"/>
    <col min="19" max="19" width="13.25" style="124" customWidth="1"/>
    <col min="20" max="20" width="8.625" style="124"/>
    <col min="21" max="21" width="11" style="124" customWidth="1"/>
    <col min="22" max="16384" width="8.625" style="124"/>
  </cols>
  <sheetData>
    <row r="1" spans="1:21" ht="16">
      <c r="A1" s="483" t="str">
        <f ca="1">CELL("filename",D1)</f>
        <v>NWCLM04072996:Users:eric.ward:Documents:NCEAS-covariation:data:salmon data:[2015 Coghill Lake Wild Sockeye forecast-FINAL.xlsm]Performance</v>
      </c>
      <c r="B1" s="166"/>
      <c r="C1" s="167"/>
      <c r="D1" s="144"/>
      <c r="E1" s="144"/>
      <c r="F1" s="144"/>
      <c r="G1" s="585"/>
      <c r="H1" s="586"/>
      <c r="I1" s="144"/>
      <c r="J1" s="167"/>
      <c r="K1" s="144"/>
      <c r="L1" s="144"/>
      <c r="M1" s="144"/>
      <c r="N1" s="144"/>
      <c r="O1" s="144"/>
      <c r="P1" s="144"/>
    </row>
    <row r="2" spans="1:21" ht="16">
      <c r="A2" s="212"/>
      <c r="B2" s="166"/>
      <c r="C2" s="167"/>
      <c r="D2" s="144"/>
      <c r="E2" s="144"/>
      <c r="F2" s="144"/>
      <c r="G2" s="468" t="s">
        <v>97</v>
      </c>
      <c r="H2" s="587">
        <f>COUNTA(G12:G42)</f>
        <v>27</v>
      </c>
      <c r="I2" s="534" t="str">
        <f>"Called both and Sample_Size for named range"</f>
        <v>Called both and Sample_Size for named range</v>
      </c>
      <c r="J2" s="167"/>
      <c r="K2" s="144"/>
      <c r="L2" s="144"/>
      <c r="M2" s="144"/>
      <c r="N2" s="144"/>
      <c r="O2" s="144"/>
      <c r="P2" s="144"/>
    </row>
    <row r="3" spans="1:21" ht="16">
      <c r="A3" s="165"/>
      <c r="B3" s="166"/>
      <c r="C3" s="167"/>
      <c r="D3" s="144"/>
      <c r="E3" s="144"/>
      <c r="F3" s="144"/>
      <c r="G3" s="467" t="s">
        <v>400</v>
      </c>
      <c r="H3" s="588">
        <v>0.8</v>
      </c>
      <c r="J3" s="167"/>
      <c r="K3" s="144"/>
      <c r="L3" s="144"/>
      <c r="M3" s="144"/>
      <c r="N3" s="144"/>
      <c r="O3" s="144"/>
      <c r="P3" s="144"/>
    </row>
    <row r="4" spans="1:21" ht="17" thickBot="1">
      <c r="A4" s="165"/>
      <c r="B4" s="169"/>
      <c r="C4" s="167"/>
      <c r="D4" s="144"/>
      <c r="E4" s="144"/>
      <c r="F4" s="144"/>
      <c r="G4" s="589" t="s">
        <v>328</v>
      </c>
      <c r="H4" s="590">
        <f>TINV(1-H3,Sample_Size-1)</f>
        <v>1.3149718642705173</v>
      </c>
      <c r="I4" s="166" t="s">
        <v>329</v>
      </c>
      <c r="K4" s="144"/>
      <c r="L4" s="144"/>
      <c r="M4" s="144"/>
      <c r="N4" s="144"/>
      <c r="O4" s="144"/>
      <c r="P4" s="144"/>
    </row>
    <row r="5" spans="1:21">
      <c r="A5" s="144"/>
      <c r="B5" s="144"/>
      <c r="C5" s="167"/>
      <c r="D5" s="144"/>
      <c r="E5" s="144"/>
      <c r="F5" s="144"/>
      <c r="G5" s="144"/>
      <c r="H5" s="144"/>
      <c r="I5" s="144"/>
      <c r="J5" s="167"/>
      <c r="K5" s="144"/>
      <c r="L5" s="144"/>
      <c r="M5" s="144"/>
      <c r="N5" s="144"/>
      <c r="O5" s="144"/>
      <c r="P5" s="144"/>
      <c r="R5" s="308"/>
      <c r="S5" s="308"/>
      <c r="T5" s="308"/>
    </row>
    <row r="6" spans="1:21" ht="21">
      <c r="A6" s="332" t="s">
        <v>380</v>
      </c>
      <c r="B6" s="144"/>
      <c r="C6" s="167"/>
      <c r="D6" s="144"/>
      <c r="E6" s="144"/>
      <c r="F6" s="144"/>
      <c r="G6" s="144"/>
      <c r="H6" s="144"/>
      <c r="I6" s="144"/>
      <c r="J6" s="167"/>
      <c r="K6" s="144"/>
      <c r="L6" s="144"/>
      <c r="M6" s="144"/>
      <c r="N6" s="144"/>
      <c r="O6" s="144"/>
      <c r="P6" s="144"/>
      <c r="S6" s="219"/>
    </row>
    <row r="7" spans="1:21">
      <c r="A7" s="144"/>
      <c r="B7" s="144"/>
      <c r="C7" s="167"/>
      <c r="D7" s="144"/>
      <c r="E7" s="144"/>
      <c r="F7" s="144"/>
      <c r="G7" s="144"/>
      <c r="H7" s="144"/>
      <c r="I7" s="144"/>
      <c r="J7" s="167"/>
      <c r="K7" s="144"/>
      <c r="L7" s="144"/>
      <c r="M7" s="144"/>
      <c r="N7" s="144"/>
      <c r="O7" s="144"/>
      <c r="P7" s="144"/>
      <c r="S7" s="219"/>
    </row>
    <row r="8" spans="1:21">
      <c r="A8" s="170"/>
      <c r="B8" s="170"/>
      <c r="C8" s="161" t="s">
        <v>330</v>
      </c>
      <c r="D8" s="162"/>
      <c r="E8" s="162"/>
      <c r="F8" s="162"/>
      <c r="G8" s="162"/>
      <c r="H8" s="171"/>
      <c r="I8" s="162"/>
      <c r="J8" s="161" t="s">
        <v>331</v>
      </c>
      <c r="K8" s="162"/>
      <c r="L8" s="162"/>
      <c r="M8" s="171"/>
      <c r="N8" s="144"/>
      <c r="O8" s="144"/>
      <c r="P8" s="144"/>
      <c r="R8" s="351"/>
      <c r="S8" s="547" t="s">
        <v>459</v>
      </c>
      <c r="T8" s="351"/>
    </row>
    <row r="9" spans="1:21">
      <c r="A9" s="172"/>
      <c r="B9" s="172"/>
      <c r="C9" s="173"/>
      <c r="D9" s="174"/>
      <c r="E9" s="159" t="s">
        <v>332</v>
      </c>
      <c r="F9" s="160"/>
      <c r="G9" s="175" t="s">
        <v>333</v>
      </c>
      <c r="H9" s="175" t="s">
        <v>124</v>
      </c>
      <c r="I9" s="175"/>
      <c r="J9" s="173"/>
      <c r="K9" s="175"/>
      <c r="L9" s="175" t="s">
        <v>333</v>
      </c>
      <c r="M9" s="175" t="s">
        <v>124</v>
      </c>
      <c r="N9" s="176"/>
      <c r="O9" s="176"/>
      <c r="P9" s="176"/>
      <c r="R9" s="359"/>
      <c r="S9" s="360" t="s">
        <v>392</v>
      </c>
      <c r="T9" s="359"/>
      <c r="U9" s="359" t="s">
        <v>382</v>
      </c>
    </row>
    <row r="10" spans="1:21">
      <c r="A10" s="174" t="s">
        <v>334</v>
      </c>
      <c r="B10" s="174" t="s">
        <v>42</v>
      </c>
      <c r="C10" s="174" t="s">
        <v>9</v>
      </c>
      <c r="D10" s="174" t="s">
        <v>54</v>
      </c>
      <c r="E10" s="163" t="s">
        <v>335</v>
      </c>
      <c r="F10" s="163" t="s">
        <v>336</v>
      </c>
      <c r="G10" s="174" t="s">
        <v>12</v>
      </c>
      <c r="H10" s="174" t="s">
        <v>12</v>
      </c>
      <c r="I10" s="174"/>
      <c r="J10" s="174" t="s">
        <v>9</v>
      </c>
      <c r="K10" s="174" t="s">
        <v>54</v>
      </c>
      <c r="L10" s="174" t="s">
        <v>12</v>
      </c>
      <c r="M10" s="174" t="s">
        <v>12</v>
      </c>
      <c r="N10" s="176"/>
      <c r="O10" s="176"/>
      <c r="P10" s="176"/>
      <c r="R10" s="361" t="s">
        <v>42</v>
      </c>
      <c r="S10" s="362" t="s">
        <v>59</v>
      </c>
      <c r="T10" s="363" t="s">
        <v>382</v>
      </c>
      <c r="U10" s="505" t="s">
        <v>481</v>
      </c>
    </row>
    <row r="11" spans="1:21">
      <c r="A11" s="170"/>
      <c r="B11" s="175"/>
      <c r="C11" s="168"/>
      <c r="D11" s="177"/>
      <c r="E11" s="177"/>
      <c r="F11" s="178"/>
      <c r="G11" s="179"/>
      <c r="H11" s="180"/>
      <c r="I11" s="535"/>
      <c r="J11" s="168"/>
      <c r="K11" s="181"/>
      <c r="L11" s="179"/>
      <c r="M11" s="182"/>
      <c r="N11" s="144"/>
      <c r="O11" s="144"/>
      <c r="P11" s="144"/>
      <c r="R11" s="357"/>
      <c r="S11" s="219"/>
    </row>
    <row r="12" spans="1:21">
      <c r="A12" s="183" t="s">
        <v>337</v>
      </c>
      <c r="B12" s="172">
        <v>1988</v>
      </c>
      <c r="C12" s="191">
        <v>108900</v>
      </c>
      <c r="D12" s="197">
        <f>BroodTab!AK34</f>
        <v>152650</v>
      </c>
      <c r="E12" s="197"/>
      <c r="F12" s="198">
        <f>C12-D12</f>
        <v>-43750</v>
      </c>
      <c r="G12" s="197">
        <f>(D12-C12)^2</f>
        <v>1914062500</v>
      </c>
      <c r="H12" s="532">
        <f>(D12-C12)/D12</f>
        <v>0.28660334097608908</v>
      </c>
      <c r="I12" s="536"/>
      <c r="J12" s="194">
        <v>83900</v>
      </c>
      <c r="K12" s="185"/>
      <c r="L12" s="177"/>
      <c r="M12" s="184"/>
      <c r="N12" s="144"/>
      <c r="O12" s="144"/>
      <c r="P12" s="144"/>
      <c r="R12" s="357">
        <f t="shared" ref="R12:R38" si="0">B12</f>
        <v>1988</v>
      </c>
      <c r="S12" s="358">
        <f>D12</f>
        <v>152650</v>
      </c>
      <c r="T12" s="213">
        <f>RANK($S12,$S$12:$S$39)</f>
        <v>7</v>
      </c>
      <c r="U12" s="351"/>
    </row>
    <row r="13" spans="1:21">
      <c r="A13" s="183"/>
      <c r="B13" s="172">
        <v>1989</v>
      </c>
      <c r="C13" s="191">
        <v>403500</v>
      </c>
      <c r="D13" s="197">
        <f>BroodTab!AK35</f>
        <v>144785</v>
      </c>
      <c r="E13" s="197">
        <f>C13-D13</f>
        <v>258715</v>
      </c>
      <c r="F13" s="198"/>
      <c r="G13" s="197">
        <f t="shared" ref="G13:G24" si="1">(D13-C13)^2</f>
        <v>66933451225</v>
      </c>
      <c r="H13" s="532">
        <f t="shared" ref="H13:H23" si="2">(D13-C13)/D13</f>
        <v>-1.7868909072072383</v>
      </c>
      <c r="I13" s="536"/>
      <c r="J13" s="194">
        <v>343500</v>
      </c>
      <c r="K13" s="185"/>
      <c r="L13" s="177"/>
      <c r="M13" s="184"/>
      <c r="N13" s="144"/>
      <c r="O13" s="144"/>
      <c r="P13" s="144"/>
      <c r="R13" s="357">
        <f t="shared" si="0"/>
        <v>1989</v>
      </c>
      <c r="S13" s="358">
        <f t="shared" ref="S13:S30" si="3">D13</f>
        <v>144785</v>
      </c>
      <c r="T13" s="213">
        <f t="shared" ref="T13:T38" si="4">RANK($S13,$S$12:$S$39)</f>
        <v>9</v>
      </c>
    </row>
    <row r="14" spans="1:21">
      <c r="A14" s="183"/>
      <c r="B14" s="172">
        <v>1990</v>
      </c>
      <c r="C14" s="191">
        <v>50300</v>
      </c>
      <c r="D14" s="197">
        <f>BroodTab!AK36</f>
        <v>19620.419999999998</v>
      </c>
      <c r="E14" s="197">
        <f>C14-D14</f>
        <v>30679.58</v>
      </c>
      <c r="F14" s="198"/>
      <c r="G14" s="197">
        <f t="shared" si="1"/>
        <v>941236628.97640014</v>
      </c>
      <c r="H14" s="532">
        <f t="shared" si="2"/>
        <v>-1.563655620012212</v>
      </c>
      <c r="I14" s="536"/>
      <c r="J14" s="194">
        <v>0</v>
      </c>
      <c r="K14" s="185"/>
      <c r="L14" s="177"/>
      <c r="M14" s="184"/>
      <c r="N14" s="144"/>
      <c r="O14" s="144"/>
      <c r="P14" s="144"/>
      <c r="R14" s="357">
        <f t="shared" si="0"/>
        <v>1990</v>
      </c>
      <c r="S14" s="358">
        <f t="shared" si="3"/>
        <v>19620.419999999998</v>
      </c>
      <c r="T14" s="213">
        <f t="shared" si="4"/>
        <v>27</v>
      </c>
    </row>
    <row r="15" spans="1:21">
      <c r="A15" s="183"/>
      <c r="B15" s="172">
        <v>1991</v>
      </c>
      <c r="C15" s="191">
        <v>64700</v>
      </c>
      <c r="D15" s="197">
        <f>BroodTab!AK37</f>
        <v>20302.158845587157</v>
      </c>
      <c r="E15" s="197">
        <f>C15-D15</f>
        <v>44397.841154412847</v>
      </c>
      <c r="F15" s="198"/>
      <c r="G15" s="197">
        <f t="shared" si="1"/>
        <v>1971168299.1724751</v>
      </c>
      <c r="H15" s="532">
        <f>(D15-C15)/D15</f>
        <v>-2.1868532057152672</v>
      </c>
      <c r="I15" s="536"/>
      <c r="J15" s="194">
        <v>0</v>
      </c>
      <c r="K15" s="185"/>
      <c r="L15" s="177"/>
      <c r="M15" s="184"/>
      <c r="N15" s="144"/>
      <c r="O15" s="144"/>
      <c r="P15" s="144"/>
      <c r="R15" s="357">
        <f t="shared" si="0"/>
        <v>1991</v>
      </c>
      <c r="S15" s="358">
        <f t="shared" si="3"/>
        <v>20302.158845587157</v>
      </c>
      <c r="T15" s="213">
        <f t="shared" si="4"/>
        <v>26</v>
      </c>
    </row>
    <row r="16" spans="1:21">
      <c r="A16" s="183"/>
      <c r="B16" s="172">
        <v>1992</v>
      </c>
      <c r="C16" s="191">
        <v>18500</v>
      </c>
      <c r="D16" s="197">
        <f>BroodTab!AK38</f>
        <v>67203.278000000006</v>
      </c>
      <c r="E16" s="197"/>
      <c r="F16" s="198">
        <f>C16-D16</f>
        <v>-48703.278000000006</v>
      </c>
      <c r="G16" s="197">
        <f t="shared" si="1"/>
        <v>2372009287.9452844</v>
      </c>
      <c r="H16" s="532">
        <f t="shared" si="2"/>
        <v>0.72471580924966195</v>
      </c>
      <c r="I16" s="536"/>
      <c r="J16" s="194">
        <v>0</v>
      </c>
      <c r="K16" s="185"/>
      <c r="L16" s="177"/>
      <c r="M16" s="184"/>
      <c r="N16" s="144"/>
      <c r="O16" s="144"/>
      <c r="P16" s="144"/>
      <c r="R16" s="357">
        <f t="shared" si="0"/>
        <v>1992</v>
      </c>
      <c r="S16" s="358">
        <f t="shared" si="3"/>
        <v>67203.278000000006</v>
      </c>
      <c r="T16" s="213">
        <f t="shared" si="4"/>
        <v>19</v>
      </c>
    </row>
    <row r="17" spans="1:21">
      <c r="A17" s="183"/>
      <c r="B17" s="172">
        <v>1993</v>
      </c>
      <c r="C17" s="191">
        <v>57100</v>
      </c>
      <c r="D17" s="197">
        <f>BroodTab!AK39</f>
        <v>48357</v>
      </c>
      <c r="E17" s="197">
        <f>C17-D17</f>
        <v>8743</v>
      </c>
      <c r="F17" s="198"/>
      <c r="G17" s="197">
        <f t="shared" si="1"/>
        <v>76440049</v>
      </c>
      <c r="H17" s="532">
        <f t="shared" si="2"/>
        <v>-0.18080112496639578</v>
      </c>
      <c r="I17" s="536"/>
      <c r="J17" s="194">
        <v>44800</v>
      </c>
      <c r="K17" s="185"/>
      <c r="L17" s="177"/>
      <c r="M17" s="184"/>
      <c r="N17" s="144"/>
      <c r="O17" s="144"/>
      <c r="P17" s="144"/>
      <c r="R17" s="357">
        <f t="shared" si="0"/>
        <v>1993</v>
      </c>
      <c r="S17" s="358">
        <f t="shared" si="3"/>
        <v>48357</v>
      </c>
      <c r="T17" s="213">
        <f t="shared" si="4"/>
        <v>24</v>
      </c>
    </row>
    <row r="18" spans="1:21">
      <c r="A18" s="183"/>
      <c r="B18" s="172">
        <v>1994</v>
      </c>
      <c r="C18" s="191">
        <v>34600</v>
      </c>
      <c r="D18" s="197">
        <f>BroodTab!AK40</f>
        <v>9291</v>
      </c>
      <c r="E18" s="197">
        <f>C18-D18</f>
        <v>25309</v>
      </c>
      <c r="F18" s="198"/>
      <c r="G18" s="197">
        <f t="shared" si="1"/>
        <v>640545481</v>
      </c>
      <c r="H18" s="532">
        <f>(D18-C18)/D18</f>
        <v>-2.7240340114088903</v>
      </c>
      <c r="I18" s="536"/>
      <c r="J18" s="194">
        <v>18500</v>
      </c>
      <c r="K18" s="186"/>
      <c r="L18" s="177"/>
      <c r="M18" s="184"/>
      <c r="N18" s="144"/>
      <c r="O18" s="144"/>
      <c r="P18" s="144"/>
      <c r="R18" s="357">
        <f t="shared" si="0"/>
        <v>1994</v>
      </c>
      <c r="S18" s="358">
        <f t="shared" si="3"/>
        <v>9291</v>
      </c>
      <c r="T18" s="213">
        <f t="shared" si="4"/>
        <v>28</v>
      </c>
    </row>
    <row r="19" spans="1:21">
      <c r="A19" s="183"/>
      <c r="B19" s="172">
        <v>1995</v>
      </c>
      <c r="C19" s="191">
        <v>32718</v>
      </c>
      <c r="D19" s="197">
        <f>BroodTab!AK41</f>
        <v>61296</v>
      </c>
      <c r="E19" s="197"/>
      <c r="F19" s="198">
        <f>C19-D19</f>
        <v>-28578</v>
      </c>
      <c r="G19" s="197">
        <f t="shared" si="1"/>
        <v>816702084</v>
      </c>
      <c r="H19" s="532">
        <f t="shared" si="2"/>
        <v>0.46622944400939703</v>
      </c>
      <c r="I19" s="536"/>
      <c r="J19" s="194">
        <v>18500</v>
      </c>
      <c r="K19" s="187"/>
      <c r="L19" s="177"/>
      <c r="M19" s="184"/>
      <c r="N19" s="144"/>
      <c r="O19" s="144"/>
      <c r="P19" s="144"/>
      <c r="R19" s="357">
        <f t="shared" si="0"/>
        <v>1995</v>
      </c>
      <c r="S19" s="358">
        <f t="shared" si="3"/>
        <v>61296</v>
      </c>
      <c r="T19" s="213">
        <f t="shared" si="4"/>
        <v>22</v>
      </c>
      <c r="U19" s="213">
        <f>RANK(S19,$S$19:$S$39)</f>
        <v>19</v>
      </c>
    </row>
    <row r="20" spans="1:21">
      <c r="A20" s="183"/>
      <c r="B20" s="188">
        <v>1996</v>
      </c>
      <c r="C20" s="191">
        <v>222000</v>
      </c>
      <c r="D20" s="197">
        <f>BroodTab!AK42</f>
        <v>131181</v>
      </c>
      <c r="E20" s="197">
        <f>C20-D20</f>
        <v>90819</v>
      </c>
      <c r="F20" s="198"/>
      <c r="G20" s="197">
        <f t="shared" si="1"/>
        <v>8248090761</v>
      </c>
      <c r="H20" s="532">
        <f t="shared" si="2"/>
        <v>-0.69231824730715574</v>
      </c>
      <c r="I20" s="536"/>
      <c r="J20" s="194">
        <v>197000</v>
      </c>
      <c r="K20" s="187"/>
      <c r="L20" s="177"/>
      <c r="M20" s="184"/>
      <c r="N20" s="144"/>
      <c r="O20" s="144"/>
      <c r="P20" s="144"/>
      <c r="R20" s="357">
        <f t="shared" si="0"/>
        <v>1996</v>
      </c>
      <c r="S20" s="358">
        <f t="shared" si="3"/>
        <v>131181</v>
      </c>
      <c r="T20" s="213">
        <f t="shared" si="4"/>
        <v>10</v>
      </c>
      <c r="U20" s="213">
        <f t="shared" ref="U20:U39" si="5">RANK(S20,$S$19:$S$39)</f>
        <v>8</v>
      </c>
    </row>
    <row r="21" spans="1:21">
      <c r="A21" s="183"/>
      <c r="B21" s="188">
        <v>1997</v>
      </c>
      <c r="C21" s="191">
        <v>96500</v>
      </c>
      <c r="D21" s="197">
        <f>BroodTab!AK43</f>
        <v>106750.98300000001</v>
      </c>
      <c r="E21" s="197"/>
      <c r="F21" s="198">
        <f>C21-D21</f>
        <v>-10250.983000000007</v>
      </c>
      <c r="G21" s="197">
        <f t="shared" si="1"/>
        <v>105082652.46628915</v>
      </c>
      <c r="H21" s="532">
        <f t="shared" si="2"/>
        <v>9.6027059535367526E-2</v>
      </c>
      <c r="I21" s="536"/>
      <c r="J21" s="194">
        <v>71500</v>
      </c>
      <c r="K21" s="187"/>
      <c r="L21" s="177"/>
      <c r="M21" s="184"/>
      <c r="N21" s="144"/>
      <c r="O21" s="144"/>
      <c r="P21" s="144"/>
      <c r="R21" s="357">
        <f t="shared" si="0"/>
        <v>1997</v>
      </c>
      <c r="S21" s="358">
        <f t="shared" si="3"/>
        <v>106750.98300000001</v>
      </c>
      <c r="T21" s="213">
        <f t="shared" si="4"/>
        <v>15</v>
      </c>
      <c r="U21" s="213">
        <f t="shared" si="5"/>
        <v>13</v>
      </c>
    </row>
    <row r="22" spans="1:21">
      <c r="A22" s="183"/>
      <c r="B22" s="188">
        <v>1998</v>
      </c>
      <c r="C22" s="191">
        <v>57000</v>
      </c>
      <c r="D22" s="197">
        <f>BroodTab!AK44</f>
        <v>63370</v>
      </c>
      <c r="E22" s="197"/>
      <c r="F22" s="198">
        <f>C22-D22</f>
        <v>-6370</v>
      </c>
      <c r="G22" s="197">
        <f t="shared" si="1"/>
        <v>40576900</v>
      </c>
      <c r="H22" s="532">
        <f t="shared" si="2"/>
        <v>0.10052075114407448</v>
      </c>
      <c r="I22" s="536"/>
      <c r="J22" s="194">
        <v>32000</v>
      </c>
      <c r="K22" s="628">
        <v>37205</v>
      </c>
      <c r="L22" s="177"/>
      <c r="M22" s="184"/>
      <c r="N22" s="144"/>
      <c r="O22" s="144"/>
      <c r="P22" s="144"/>
      <c r="R22" s="357">
        <f t="shared" si="0"/>
        <v>1998</v>
      </c>
      <c r="S22" s="358">
        <f t="shared" si="3"/>
        <v>63370</v>
      </c>
      <c r="T22" s="213">
        <f t="shared" si="4"/>
        <v>21</v>
      </c>
      <c r="U22" s="213">
        <f t="shared" si="5"/>
        <v>18</v>
      </c>
    </row>
    <row r="23" spans="1:21">
      <c r="A23" s="183"/>
      <c r="B23" s="188">
        <v>1999</v>
      </c>
      <c r="C23" s="195">
        <v>72800</v>
      </c>
      <c r="D23" s="197">
        <f>BroodTab!AK45</f>
        <v>148052</v>
      </c>
      <c r="E23" s="197"/>
      <c r="F23" s="198">
        <f>C23-D23</f>
        <v>-75252</v>
      </c>
      <c r="G23" s="197">
        <f t="shared" si="1"/>
        <v>5662863504</v>
      </c>
      <c r="H23" s="532">
        <f t="shared" si="2"/>
        <v>0.50828087428741253</v>
      </c>
      <c r="I23" s="536"/>
      <c r="J23" s="196">
        <v>47800</v>
      </c>
      <c r="K23" s="628">
        <v>88856</v>
      </c>
      <c r="L23" s="177"/>
      <c r="M23" s="184"/>
      <c r="N23" s="144"/>
      <c r="O23" s="144"/>
      <c r="P23" s="144"/>
      <c r="R23" s="357">
        <f t="shared" si="0"/>
        <v>1999</v>
      </c>
      <c r="S23" s="358">
        <f t="shared" si="3"/>
        <v>148052</v>
      </c>
      <c r="T23" s="213">
        <f t="shared" si="4"/>
        <v>8</v>
      </c>
      <c r="U23" s="213">
        <f t="shared" si="5"/>
        <v>7</v>
      </c>
    </row>
    <row r="24" spans="1:21">
      <c r="A24" s="183"/>
      <c r="B24" s="188">
        <v>2000</v>
      </c>
      <c r="C24" s="195">
        <v>588800</v>
      </c>
      <c r="D24" s="197">
        <f>BroodTab!AK46</f>
        <v>213816</v>
      </c>
      <c r="E24" s="197">
        <f>C24-D24</f>
        <v>374984</v>
      </c>
      <c r="F24" s="198"/>
      <c r="G24" s="197">
        <f t="shared" si="1"/>
        <v>140613000256</v>
      </c>
      <c r="H24" s="532">
        <f t="shared" ref="H24:H31" si="6">(D24-C24)/D24</f>
        <v>-1.7537695962883975</v>
      </c>
      <c r="I24" s="536"/>
      <c r="J24" s="196">
        <v>563800</v>
      </c>
      <c r="K24" s="628">
        <v>187046</v>
      </c>
      <c r="L24" s="177"/>
      <c r="M24" s="184"/>
      <c r="N24" s="144"/>
      <c r="O24" s="144"/>
      <c r="P24" s="144"/>
      <c r="R24" s="357">
        <f t="shared" si="0"/>
        <v>2000</v>
      </c>
      <c r="S24" s="358">
        <f t="shared" si="3"/>
        <v>213816</v>
      </c>
      <c r="T24" s="213">
        <f t="shared" si="4"/>
        <v>3</v>
      </c>
      <c r="U24" s="213">
        <f t="shared" si="5"/>
        <v>3</v>
      </c>
    </row>
    <row r="25" spans="1:21">
      <c r="A25" s="183"/>
      <c r="B25" s="188">
        <v>2001</v>
      </c>
      <c r="C25" s="195">
        <v>116742</v>
      </c>
      <c r="D25" s="197">
        <f>BroodTab!AK47</f>
        <v>126026</v>
      </c>
      <c r="E25" s="197"/>
      <c r="F25" s="198">
        <f>C25-D25</f>
        <v>-9284</v>
      </c>
      <c r="G25" s="197">
        <f t="shared" ref="G25:G31" si="7">(D25-C25)^2</f>
        <v>86192656</v>
      </c>
      <c r="H25" s="532">
        <f t="shared" si="6"/>
        <v>7.3667338485709305E-2</v>
      </c>
      <c r="I25" s="536"/>
      <c r="J25" s="196">
        <v>91742</v>
      </c>
      <c r="K25" s="628">
        <v>89846</v>
      </c>
      <c r="L25" s="177"/>
      <c r="M25" s="184"/>
      <c r="N25" s="144"/>
      <c r="O25" s="144"/>
      <c r="P25" s="144"/>
      <c r="R25" s="357">
        <f t="shared" si="0"/>
        <v>2001</v>
      </c>
      <c r="S25" s="358">
        <f t="shared" si="3"/>
        <v>126026</v>
      </c>
      <c r="T25" s="213">
        <f t="shared" si="4"/>
        <v>11</v>
      </c>
      <c r="U25" s="213">
        <f t="shared" si="5"/>
        <v>9</v>
      </c>
    </row>
    <row r="26" spans="1:21">
      <c r="A26" s="183"/>
      <c r="B26" s="188">
        <v>2002</v>
      </c>
      <c r="C26" s="195">
        <v>95565</v>
      </c>
      <c r="D26" s="197">
        <f>BroodTab!AK48</f>
        <v>52603</v>
      </c>
      <c r="E26" s="197">
        <f>C26-D26</f>
        <v>42962</v>
      </c>
      <c r="F26" s="198"/>
      <c r="G26" s="197">
        <f t="shared" si="7"/>
        <v>1845733444</v>
      </c>
      <c r="H26" s="532">
        <f t="shared" si="6"/>
        <v>-0.81672147976351162</v>
      </c>
      <c r="I26" s="536"/>
      <c r="J26" s="196">
        <v>70565</v>
      </c>
      <c r="K26" s="628">
        <v>24516</v>
      </c>
      <c r="L26" s="177"/>
      <c r="M26" s="184"/>
      <c r="N26" s="144"/>
      <c r="O26" s="144"/>
      <c r="P26" s="144"/>
      <c r="R26" s="357">
        <f t="shared" si="0"/>
        <v>2002</v>
      </c>
      <c r="S26" s="358">
        <f t="shared" si="3"/>
        <v>52603</v>
      </c>
      <c r="T26" s="213">
        <f t="shared" si="4"/>
        <v>23</v>
      </c>
      <c r="U26" s="213">
        <f t="shared" si="5"/>
        <v>20</v>
      </c>
    </row>
    <row r="27" spans="1:21">
      <c r="A27" s="183"/>
      <c r="B27" s="188">
        <v>2003</v>
      </c>
      <c r="C27" s="195">
        <v>142219</v>
      </c>
      <c r="D27" s="197">
        <f>BroodTab!AK49</f>
        <v>170013</v>
      </c>
      <c r="E27" s="197"/>
      <c r="F27" s="198">
        <f>C27-D27</f>
        <v>-27794</v>
      </c>
      <c r="G27" s="197">
        <f t="shared" si="7"/>
        <v>772506436</v>
      </c>
      <c r="H27" s="532">
        <f t="shared" si="6"/>
        <v>0.16348161611170911</v>
      </c>
      <c r="I27" s="536"/>
      <c r="J27" s="196">
        <v>117219</v>
      </c>
      <c r="K27" s="628">
        <v>95522</v>
      </c>
      <c r="L27" s="177"/>
      <c r="M27" s="184"/>
      <c r="N27" s="144"/>
      <c r="O27" s="144"/>
      <c r="P27" s="144"/>
      <c r="R27" s="357">
        <f t="shared" si="0"/>
        <v>2003</v>
      </c>
      <c r="S27" s="358">
        <f t="shared" si="3"/>
        <v>170013</v>
      </c>
      <c r="T27" s="213">
        <f t="shared" si="4"/>
        <v>6</v>
      </c>
      <c r="U27" s="213">
        <f t="shared" si="5"/>
        <v>6</v>
      </c>
    </row>
    <row r="28" spans="1:21">
      <c r="A28" s="183"/>
      <c r="B28" s="188">
        <v>2004</v>
      </c>
      <c r="C28" s="195">
        <v>397051</v>
      </c>
      <c r="D28" s="192">
        <v>191049</v>
      </c>
      <c r="E28" s="197">
        <f>C28-D28</f>
        <v>206002</v>
      </c>
      <c r="F28" s="193"/>
      <c r="G28" s="197">
        <f t="shared" si="7"/>
        <v>42436824004</v>
      </c>
      <c r="H28" s="532">
        <f t="shared" si="6"/>
        <v>-1.0782678789211144</v>
      </c>
      <c r="I28" s="536"/>
      <c r="J28" s="196">
        <v>372051</v>
      </c>
      <c r="K28" s="628">
        <v>160480</v>
      </c>
      <c r="L28" s="177"/>
      <c r="M28" s="184"/>
      <c r="N28" s="144"/>
      <c r="O28" s="144"/>
      <c r="P28" s="144"/>
      <c r="R28" s="357">
        <f t="shared" si="0"/>
        <v>2004</v>
      </c>
      <c r="S28" s="358">
        <f t="shared" si="3"/>
        <v>191049</v>
      </c>
      <c r="T28" s="213">
        <f t="shared" si="4"/>
        <v>4</v>
      </c>
      <c r="U28" s="213">
        <f t="shared" si="5"/>
        <v>4</v>
      </c>
    </row>
    <row r="29" spans="1:21">
      <c r="A29" s="183"/>
      <c r="B29" s="188">
        <v>2005</v>
      </c>
      <c r="C29" s="195">
        <v>245321</v>
      </c>
      <c r="D29" s="320">
        <v>94521</v>
      </c>
      <c r="E29" s="197">
        <f>C29-D29</f>
        <v>150800</v>
      </c>
      <c r="F29" s="193"/>
      <c r="G29" s="197">
        <f t="shared" si="7"/>
        <v>22740640000</v>
      </c>
      <c r="H29" s="532">
        <f t="shared" si="6"/>
        <v>-1.5954126596206135</v>
      </c>
      <c r="I29" s="536"/>
      <c r="J29" s="196">
        <v>220321</v>
      </c>
      <c r="K29" s="629">
        <v>53599</v>
      </c>
      <c r="L29" s="177"/>
      <c r="M29" s="184"/>
      <c r="N29" s="144"/>
      <c r="O29" s="144"/>
      <c r="P29" s="144"/>
      <c r="R29" s="357">
        <f t="shared" si="0"/>
        <v>2005</v>
      </c>
      <c r="S29" s="358">
        <f t="shared" si="3"/>
        <v>94521</v>
      </c>
      <c r="T29" s="213">
        <f t="shared" si="4"/>
        <v>17</v>
      </c>
      <c r="U29" s="213">
        <f t="shared" si="5"/>
        <v>15</v>
      </c>
    </row>
    <row r="30" spans="1:21">
      <c r="A30" s="270"/>
      <c r="B30" s="271">
        <v>2006</v>
      </c>
      <c r="C30" s="195">
        <v>54128</v>
      </c>
      <c r="D30" s="192">
        <v>33290</v>
      </c>
      <c r="E30" s="197">
        <f>C30-D30</f>
        <v>20838</v>
      </c>
      <c r="F30" s="198"/>
      <c r="G30" s="197">
        <f t="shared" si="7"/>
        <v>434222244</v>
      </c>
      <c r="H30" s="532">
        <f t="shared" si="6"/>
        <v>-0.62595373986182035</v>
      </c>
      <c r="I30" s="536"/>
      <c r="J30" s="196"/>
      <c r="K30" s="628">
        <v>9811</v>
      </c>
      <c r="L30" s="272"/>
      <c r="M30" s="273"/>
      <c r="N30" s="144"/>
      <c r="O30" s="144"/>
      <c r="P30" s="144"/>
      <c r="R30" s="357">
        <f t="shared" si="0"/>
        <v>2006</v>
      </c>
      <c r="S30" s="358">
        <f t="shared" si="3"/>
        <v>33290</v>
      </c>
      <c r="T30" s="213">
        <f t="shared" si="4"/>
        <v>25</v>
      </c>
      <c r="U30" s="213">
        <f t="shared" si="5"/>
        <v>21</v>
      </c>
    </row>
    <row r="31" spans="1:21">
      <c r="A31" s="270"/>
      <c r="B31" s="271">
        <v>2007</v>
      </c>
      <c r="C31" s="195">
        <v>139640</v>
      </c>
      <c r="D31" s="192">
        <v>183025</v>
      </c>
      <c r="E31" s="197"/>
      <c r="F31" s="198">
        <f>C31-D31</f>
        <v>-43385</v>
      </c>
      <c r="G31" s="197">
        <f t="shared" si="7"/>
        <v>1882258225</v>
      </c>
      <c r="H31" s="532">
        <f t="shared" si="6"/>
        <v>0.23704411965578473</v>
      </c>
      <c r="I31" s="536"/>
      <c r="J31" s="196"/>
      <c r="K31" s="628">
        <v>113430</v>
      </c>
      <c r="L31" s="272"/>
      <c r="M31" s="273"/>
      <c r="N31" s="144"/>
      <c r="O31" s="144"/>
      <c r="P31" s="144"/>
      <c r="R31" s="357">
        <f t="shared" si="0"/>
        <v>2007</v>
      </c>
      <c r="S31" s="358">
        <f t="shared" ref="S31:S35" si="8">D31</f>
        <v>183025</v>
      </c>
      <c r="T31" s="213">
        <f t="shared" si="4"/>
        <v>5</v>
      </c>
      <c r="U31" s="213">
        <f t="shared" si="5"/>
        <v>5</v>
      </c>
    </row>
    <row r="32" spans="1:21">
      <c r="A32" s="270"/>
      <c r="B32" s="271">
        <v>2008</v>
      </c>
      <c r="C32" s="191">
        <v>120020</v>
      </c>
      <c r="D32" s="197">
        <f>BroodTab!AK54</f>
        <v>120574</v>
      </c>
      <c r="E32" s="197"/>
      <c r="F32" s="198">
        <f>C32-D32</f>
        <v>-554</v>
      </c>
      <c r="G32" s="197">
        <f t="shared" ref="G32:G37" si="9">(D32-C32)^2</f>
        <v>306916</v>
      </c>
      <c r="H32" s="532">
        <f t="shared" ref="H32:H37" si="10">(D32-C32)/D32</f>
        <v>4.5946887388657589E-3</v>
      </c>
      <c r="I32" s="536"/>
      <c r="J32" s="196"/>
      <c r="K32" s="628">
        <v>93802</v>
      </c>
      <c r="L32" s="272"/>
      <c r="M32" s="273"/>
      <c r="N32" s="144"/>
      <c r="O32" s="144"/>
      <c r="P32" s="144"/>
      <c r="R32" s="466">
        <f t="shared" si="0"/>
        <v>2008</v>
      </c>
      <c r="S32" s="358">
        <f t="shared" si="8"/>
        <v>120574</v>
      </c>
      <c r="T32" s="213">
        <f t="shared" si="4"/>
        <v>13</v>
      </c>
      <c r="U32" s="213">
        <f t="shared" si="5"/>
        <v>11</v>
      </c>
    </row>
    <row r="33" spans="1:21">
      <c r="A33" s="183"/>
      <c r="B33" s="172">
        <v>2009</v>
      </c>
      <c r="C33" s="474">
        <v>223871</v>
      </c>
      <c r="D33" s="197">
        <f>BroodTab!AK55</f>
        <v>113040</v>
      </c>
      <c r="E33" s="197">
        <f>C33-D33</f>
        <v>110831</v>
      </c>
      <c r="F33" s="198"/>
      <c r="G33" s="197">
        <f t="shared" si="9"/>
        <v>12283510561</v>
      </c>
      <c r="H33" s="532">
        <f t="shared" si="10"/>
        <v>-0.98045824486907285</v>
      </c>
      <c r="I33" s="536"/>
      <c r="J33" s="189"/>
      <c r="K33" s="630">
        <v>92713</v>
      </c>
      <c r="L33" s="177"/>
      <c r="M33" s="190"/>
      <c r="N33" s="144"/>
      <c r="O33" s="144"/>
      <c r="P33" s="144"/>
      <c r="R33" s="357">
        <f t="shared" si="0"/>
        <v>2009</v>
      </c>
      <c r="S33" s="358">
        <f t="shared" si="8"/>
        <v>113040</v>
      </c>
      <c r="T33" s="213">
        <f t="shared" si="4"/>
        <v>14</v>
      </c>
      <c r="U33" s="213">
        <f t="shared" si="5"/>
        <v>12</v>
      </c>
    </row>
    <row r="34" spans="1:21">
      <c r="B34" s="126">
        <v>2010</v>
      </c>
      <c r="C34" s="481">
        <v>70863</v>
      </c>
      <c r="D34" s="197">
        <f>BroodTab!AK56</f>
        <v>66793</v>
      </c>
      <c r="E34" s="197">
        <f>C34-D34</f>
        <v>4070</v>
      </c>
      <c r="F34" s="198"/>
      <c r="G34" s="197">
        <f t="shared" si="9"/>
        <v>16564900</v>
      </c>
      <c r="H34" s="532">
        <f t="shared" si="10"/>
        <v>-6.0934529067417247E-2</v>
      </c>
      <c r="I34" s="536"/>
      <c r="K34" s="631">
        <v>42286</v>
      </c>
      <c r="N34" s="144"/>
      <c r="O34" s="144"/>
      <c r="P34" s="144"/>
      <c r="R34" s="357">
        <f t="shared" si="0"/>
        <v>2010</v>
      </c>
      <c r="S34" s="358">
        <f t="shared" si="8"/>
        <v>66793</v>
      </c>
      <c r="T34" s="213">
        <f t="shared" si="4"/>
        <v>20</v>
      </c>
      <c r="U34" s="213">
        <f t="shared" si="5"/>
        <v>17</v>
      </c>
    </row>
    <row r="35" spans="1:21">
      <c r="B35" s="126">
        <v>2011</v>
      </c>
      <c r="C35" s="349">
        <v>172092</v>
      </c>
      <c r="D35" s="197">
        <f>BroodTab!AK57</f>
        <v>234022</v>
      </c>
      <c r="E35" s="197"/>
      <c r="F35" s="198">
        <f>C35-D35</f>
        <v>-61930</v>
      </c>
      <c r="G35" s="197">
        <f t="shared" si="9"/>
        <v>3835324900</v>
      </c>
      <c r="H35" s="532">
        <f t="shared" si="10"/>
        <v>0.26463323960995122</v>
      </c>
      <c r="I35" s="536"/>
      <c r="K35" s="631">
        <v>132379</v>
      </c>
      <c r="N35" s="144"/>
      <c r="O35" s="144"/>
      <c r="P35" s="144"/>
      <c r="R35" s="484">
        <f t="shared" si="0"/>
        <v>2011</v>
      </c>
      <c r="S35" s="358">
        <f t="shared" si="8"/>
        <v>234022</v>
      </c>
      <c r="T35" s="213">
        <f t="shared" si="4"/>
        <v>2</v>
      </c>
      <c r="U35" s="213">
        <f t="shared" si="5"/>
        <v>2</v>
      </c>
    </row>
    <row r="36" spans="1:21">
      <c r="B36" s="126">
        <v>2012</v>
      </c>
      <c r="C36" s="207">
        <v>321148</v>
      </c>
      <c r="D36" s="197">
        <f>BroodTab!AK58</f>
        <v>573938</v>
      </c>
      <c r="E36" s="197"/>
      <c r="F36" s="198">
        <f>C36-D36</f>
        <v>-252790</v>
      </c>
      <c r="G36" s="197">
        <f t="shared" si="9"/>
        <v>63902784100</v>
      </c>
      <c r="H36" s="532">
        <f t="shared" si="10"/>
        <v>0.44044827141607629</v>
      </c>
      <c r="I36" s="533"/>
      <c r="K36" s="544">
        <v>501592</v>
      </c>
      <c r="N36" s="144"/>
      <c r="O36" s="144"/>
      <c r="P36" s="144"/>
      <c r="R36" s="357">
        <f t="shared" si="0"/>
        <v>2012</v>
      </c>
      <c r="S36" s="358">
        <f>D36</f>
        <v>573938</v>
      </c>
      <c r="T36" s="213">
        <f t="shared" si="4"/>
        <v>1</v>
      </c>
      <c r="U36" s="213">
        <f t="shared" si="5"/>
        <v>1</v>
      </c>
    </row>
    <row r="37" spans="1:21">
      <c r="B37" s="126">
        <v>2013</v>
      </c>
      <c r="C37" s="207">
        <v>156290</v>
      </c>
      <c r="D37" s="197">
        <f>BroodTab!AK59</f>
        <v>79944</v>
      </c>
      <c r="E37" s="197">
        <f>C37-D37</f>
        <v>76346</v>
      </c>
      <c r="G37" s="197">
        <f t="shared" si="9"/>
        <v>5828711716</v>
      </c>
      <c r="H37" s="532">
        <f t="shared" si="10"/>
        <v>-0.95499349544681278</v>
      </c>
      <c r="I37" s="533"/>
      <c r="K37" s="544">
        <v>72161</v>
      </c>
      <c r="N37" s="144"/>
      <c r="O37" s="144"/>
      <c r="P37" s="144"/>
      <c r="R37" s="357">
        <f t="shared" si="0"/>
        <v>2013</v>
      </c>
      <c r="S37" s="358">
        <f>D37</f>
        <v>79944</v>
      </c>
      <c r="T37" s="213">
        <f t="shared" si="4"/>
        <v>18</v>
      </c>
      <c r="U37" s="213">
        <f t="shared" si="5"/>
        <v>16</v>
      </c>
    </row>
    <row r="38" spans="1:21" ht="16" thickBot="1">
      <c r="B38" s="126">
        <v>2014</v>
      </c>
      <c r="C38" s="207">
        <v>167547</v>
      </c>
      <c r="D38" s="197">
        <f>BroodTab!AK60</f>
        <v>104806</v>
      </c>
      <c r="E38" s="197">
        <f>C38-D38</f>
        <v>62741</v>
      </c>
      <c r="G38" s="197">
        <f t="shared" ref="G38" si="11">(D38-C38)^2</f>
        <v>3936433081</v>
      </c>
      <c r="H38" s="532">
        <f>(D38-C38)/D38</f>
        <v>-0.5986393908745683</v>
      </c>
      <c r="K38" s="544">
        <v>83543</v>
      </c>
      <c r="N38" s="144"/>
      <c r="O38" s="144"/>
      <c r="P38" s="144"/>
      <c r="R38" s="357">
        <f t="shared" si="0"/>
        <v>2014</v>
      </c>
      <c r="S38" s="358">
        <f>D38</f>
        <v>104806</v>
      </c>
      <c r="T38" s="213">
        <f t="shared" si="4"/>
        <v>16</v>
      </c>
      <c r="U38" s="213">
        <f t="shared" si="5"/>
        <v>14</v>
      </c>
    </row>
    <row r="39" spans="1:21" ht="24" thickBot="1">
      <c r="B39" s="126">
        <v>2015</v>
      </c>
      <c r="C39" s="624">
        <v>123385</v>
      </c>
      <c r="D39" s="197"/>
      <c r="E39" s="197"/>
      <c r="G39" s="197"/>
      <c r="H39" s="536"/>
      <c r="K39" s="472"/>
      <c r="N39" s="144"/>
      <c r="O39" s="144"/>
      <c r="P39" s="144"/>
      <c r="R39" s="357">
        <v>2015</v>
      </c>
      <c r="S39" s="624">
        <v>123385</v>
      </c>
      <c r="T39" s="213">
        <f>RANK($S39,$S$12:$S$39)</f>
        <v>12</v>
      </c>
      <c r="U39" s="213">
        <f t="shared" si="5"/>
        <v>10</v>
      </c>
    </row>
    <row r="40" spans="1:21" ht="21">
      <c r="B40" s="126"/>
      <c r="C40" s="528"/>
      <c r="K40" s="472"/>
      <c r="N40" s="144"/>
      <c r="O40" s="144"/>
      <c r="P40" s="144"/>
    </row>
    <row r="41" spans="1:21" ht="21">
      <c r="B41" s="126"/>
      <c r="C41" s="528"/>
      <c r="K41" s="472"/>
      <c r="N41" s="144"/>
      <c r="O41" s="144"/>
      <c r="P41" s="144"/>
    </row>
    <row r="42" spans="1:21" ht="21">
      <c r="B42" s="126"/>
      <c r="C42" s="528"/>
      <c r="N42" s="144"/>
      <c r="O42" s="144"/>
      <c r="P42" s="144"/>
    </row>
    <row r="43" spans="1:21" ht="21">
      <c r="B43" s="126"/>
      <c r="C43" s="528"/>
      <c r="F43" s="538" t="s">
        <v>427</v>
      </c>
      <c r="G43" s="538" t="s">
        <v>428</v>
      </c>
      <c r="H43" s="539">
        <f>SMALL(H12:H41,1)</f>
        <v>-2.7240340114088903</v>
      </c>
      <c r="N43" s="144"/>
      <c r="O43" s="144"/>
      <c r="P43" s="144"/>
    </row>
    <row r="44" spans="1:21" ht="21">
      <c r="B44" s="126"/>
      <c r="C44" s="528"/>
      <c r="F44" s="538" t="s">
        <v>427</v>
      </c>
      <c r="G44" s="538" t="s">
        <v>429</v>
      </c>
      <c r="H44" s="539">
        <f>LARGE(H12:H40,1)</f>
        <v>0.72471580924966195</v>
      </c>
      <c r="N44" s="144"/>
      <c r="O44" s="144"/>
      <c r="P44" s="144"/>
    </row>
    <row r="45" spans="1:21" ht="21">
      <c r="B45" s="126"/>
      <c r="C45" s="528"/>
      <c r="F45" s="538"/>
      <c r="G45" s="538"/>
      <c r="H45" s="539"/>
      <c r="N45" s="144"/>
      <c r="O45" s="144"/>
      <c r="P45" s="144"/>
    </row>
    <row r="46" spans="1:21" ht="21">
      <c r="B46" s="126"/>
      <c r="C46" s="528"/>
      <c r="F46" s="538"/>
      <c r="G46" s="538" t="s">
        <v>431</v>
      </c>
      <c r="H46" s="541">
        <f>H47/(1-H43)</f>
        <v>33131.965354881751</v>
      </c>
      <c r="N46" s="144"/>
      <c r="O46" s="144"/>
      <c r="P46" s="144"/>
    </row>
    <row r="47" spans="1:21" ht="21">
      <c r="B47" s="126"/>
      <c r="C47" s="528"/>
      <c r="F47" s="540">
        <f>ForecastYr</f>
        <v>2015</v>
      </c>
      <c r="G47" s="538" t="s">
        <v>430</v>
      </c>
      <c r="H47" s="541">
        <f>Forecast_Summary!H17</f>
        <v>123384.56584640066</v>
      </c>
      <c r="N47" s="144"/>
      <c r="O47" s="144"/>
      <c r="P47" s="144"/>
    </row>
    <row r="48" spans="1:21" ht="21">
      <c r="B48" s="126"/>
      <c r="C48" s="528"/>
      <c r="F48" s="538"/>
      <c r="G48" s="538" t="s">
        <v>432</v>
      </c>
      <c r="H48" s="541">
        <f>H47/(1-H44)</f>
        <v>448207.96105324163</v>
      </c>
      <c r="N48" s="144"/>
      <c r="O48" s="144"/>
      <c r="P48" s="144"/>
    </row>
    <row r="49" spans="1:16">
      <c r="N49" s="144"/>
      <c r="O49" s="144"/>
      <c r="P49" s="144"/>
    </row>
    <row r="50" spans="1:16">
      <c r="A50" s="200"/>
      <c r="B50" s="200"/>
      <c r="C50" s="200"/>
      <c r="D50" s="200"/>
      <c r="E50" s="200"/>
      <c r="F50" s="200"/>
      <c r="G50" s="200"/>
      <c r="H50" s="200"/>
      <c r="I50" s="200"/>
      <c r="J50" s="200"/>
      <c r="K50" s="200"/>
      <c r="L50" s="200"/>
      <c r="M50" s="200"/>
      <c r="N50" s="144"/>
      <c r="O50" s="144"/>
      <c r="P50" s="144"/>
    </row>
    <row r="51" spans="1:16">
      <c r="A51" s="490" t="s">
        <v>414</v>
      </c>
      <c r="B51" s="491"/>
      <c r="C51" s="492"/>
      <c r="D51" s="490" t="s">
        <v>338</v>
      </c>
      <c r="E51" s="490"/>
      <c r="F51" s="490"/>
      <c r="G51" s="493">
        <f>SUM(G12:G42)</f>
        <v>390337242811.56042</v>
      </c>
      <c r="H51" s="494">
        <f>SUM(H11:H40)</f>
        <v>-14.233457578110389</v>
      </c>
      <c r="I51" s="494"/>
      <c r="J51" s="492"/>
      <c r="K51" s="490" t="s">
        <v>338</v>
      </c>
      <c r="L51" s="495"/>
      <c r="M51" s="496"/>
      <c r="N51" s="144"/>
      <c r="O51" s="144"/>
      <c r="P51" s="144"/>
    </row>
    <row r="52" spans="1:16">
      <c r="A52" s="202"/>
      <c r="B52" s="204"/>
      <c r="C52" s="216"/>
      <c r="D52" s="202" t="s">
        <v>339</v>
      </c>
      <c r="E52" s="202"/>
      <c r="F52" s="202"/>
      <c r="G52" s="485">
        <f>SQRT(G51/Sample_Size)</f>
        <v>120236.99480171101</v>
      </c>
      <c r="H52" s="581">
        <f>H51/COUNTA(H11:H40)</f>
        <v>-0.52716509548557</v>
      </c>
      <c r="I52" s="486"/>
      <c r="J52" s="216"/>
      <c r="K52" s="202" t="s">
        <v>339</v>
      </c>
      <c r="L52" s="487"/>
      <c r="M52" s="205"/>
      <c r="N52" s="144"/>
      <c r="O52" s="144"/>
      <c r="P52" s="144"/>
    </row>
    <row r="53" spans="1:16">
      <c r="A53" s="202"/>
      <c r="B53" s="202"/>
      <c r="C53" s="216"/>
      <c r="D53" s="202" t="s">
        <v>340</v>
      </c>
      <c r="E53" s="202"/>
      <c r="F53" s="202"/>
      <c r="G53" s="488"/>
      <c r="H53" s="582">
        <f>H52*0.8</f>
        <v>-0.421732076388456</v>
      </c>
      <c r="I53" s="486"/>
      <c r="J53" s="216"/>
      <c r="K53" s="202" t="s">
        <v>340</v>
      </c>
      <c r="L53" s="202"/>
      <c r="M53" s="205"/>
    </row>
    <row r="54" spans="1:16">
      <c r="A54" s="497"/>
      <c r="B54" s="498"/>
      <c r="C54" s="498" t="s">
        <v>341</v>
      </c>
      <c r="D54" s="499" t="s">
        <v>399</v>
      </c>
      <c r="E54" s="499"/>
      <c r="F54" s="499"/>
      <c r="G54" s="500">
        <f>G52*$H$4</f>
        <v>158108.26520869043</v>
      </c>
      <c r="H54" s="501">
        <f>G54/C39</f>
        <v>1.2814220951387156</v>
      </c>
      <c r="I54" s="501"/>
      <c r="J54" s="502"/>
      <c r="K54" s="497" t="s">
        <v>342</v>
      </c>
      <c r="L54" s="503"/>
      <c r="M54" s="504"/>
    </row>
    <row r="55" spans="1:16">
      <c r="A55" s="202"/>
      <c r="B55" s="204"/>
      <c r="C55" s="216"/>
      <c r="D55" s="202"/>
      <c r="E55" s="202"/>
      <c r="F55" s="202"/>
      <c r="G55" s="207"/>
      <c r="H55" s="489"/>
      <c r="I55" s="489"/>
      <c r="J55" s="216"/>
      <c r="K55" s="202"/>
      <c r="L55" s="202"/>
      <c r="M55" s="205"/>
    </row>
    <row r="56" spans="1:16">
      <c r="A56" s="202"/>
      <c r="B56" s="202"/>
      <c r="C56" s="216"/>
      <c r="D56" s="200"/>
      <c r="E56" s="200"/>
      <c r="F56" s="200"/>
      <c r="G56" s="200"/>
      <c r="H56" s="200"/>
      <c r="I56" s="200"/>
      <c r="J56" s="216"/>
      <c r="K56" s="202"/>
      <c r="L56" s="202"/>
      <c r="M56" s="202"/>
    </row>
    <row r="57" spans="1:16">
      <c r="A57" s="490" t="s">
        <v>415</v>
      </c>
      <c r="B57" s="490"/>
      <c r="C57" s="492"/>
      <c r="D57" s="490" t="s">
        <v>338</v>
      </c>
      <c r="E57" s="490"/>
      <c r="F57" s="490"/>
      <c r="G57" s="493">
        <f ca="1">SUM(OFFSET(G12,COUNT(G12:G38)-10,0,10,1))</f>
        <v>114860756643</v>
      </c>
      <c r="H57" s="583">
        <f ca="1">SUM(OFFSET(H12,COUNT(H12:H40)-10,0,10,1))</f>
        <v>-3.8696717403196272</v>
      </c>
      <c r="I57" s="494"/>
      <c r="J57" s="492"/>
      <c r="K57" s="490"/>
      <c r="L57" s="490"/>
      <c r="M57" s="490"/>
    </row>
    <row r="58" spans="1:16">
      <c r="A58" s="202"/>
      <c r="B58" s="202"/>
      <c r="C58" s="216"/>
      <c r="D58" s="202" t="s">
        <v>339</v>
      </c>
      <c r="E58" s="202"/>
      <c r="F58" s="202"/>
      <c r="G58" s="485">
        <f ca="1">SQRT(G57/H2)</f>
        <v>65223.478118610699</v>
      </c>
      <c r="H58" s="486">
        <f ca="1">H57/COUNTA(H29:H38)</f>
        <v>-0.38696717403196274</v>
      </c>
      <c r="I58" s="486"/>
      <c r="J58" s="216"/>
      <c r="K58" s="202" t="s">
        <v>472</v>
      </c>
      <c r="L58" s="202"/>
      <c r="M58" s="202"/>
    </row>
    <row r="59" spans="1:16">
      <c r="A59" s="202"/>
      <c r="B59" s="202"/>
      <c r="C59" s="216"/>
      <c r="D59" s="202" t="s">
        <v>340</v>
      </c>
      <c r="E59" s="202"/>
      <c r="F59" s="202"/>
      <c r="G59" s="488"/>
      <c r="H59" s="486">
        <f ca="1">H58*0.8</f>
        <v>-0.30957373922557019</v>
      </c>
      <c r="I59" s="486"/>
      <c r="J59" s="216"/>
      <c r="K59" s="202"/>
      <c r="L59" s="202"/>
      <c r="M59" s="202"/>
    </row>
    <row r="60" spans="1:16">
      <c r="A60" s="505"/>
      <c r="B60" s="505"/>
      <c r="C60" s="498" t="s">
        <v>341</v>
      </c>
      <c r="D60" s="499" t="s">
        <v>399</v>
      </c>
      <c r="E60" s="499"/>
      <c r="F60" s="499"/>
      <c r="G60" s="500">
        <f ca="1">G58*$H$4</f>
        <v>85767.038615836806</v>
      </c>
      <c r="H60" s="501">
        <f ca="1">G60/C38</f>
        <v>0.51189838442846969</v>
      </c>
      <c r="I60" s="501"/>
      <c r="J60" s="505"/>
      <c r="K60" s="505"/>
      <c r="L60" s="505"/>
      <c r="M60" s="505"/>
    </row>
    <row r="61" spans="1:16">
      <c r="A61" s="200"/>
      <c r="B61" s="200"/>
      <c r="C61" s="200"/>
      <c r="D61" s="200"/>
      <c r="E61" s="200"/>
      <c r="F61" s="200"/>
      <c r="G61" s="200"/>
      <c r="H61" s="200"/>
      <c r="I61" s="200"/>
      <c r="J61" s="200"/>
      <c r="K61" s="200"/>
      <c r="L61" s="200"/>
      <c r="M61" s="200"/>
    </row>
    <row r="62" spans="1:16">
      <c r="A62" s="506" t="s">
        <v>416</v>
      </c>
      <c r="B62" s="506"/>
      <c r="C62" s="507"/>
      <c r="D62" s="506" t="s">
        <v>338</v>
      </c>
      <c r="E62" s="506"/>
      <c r="F62" s="506"/>
      <c r="G62" s="493">
        <f ca="1">SUM(OFFSET(G12,COUNT(G12:G38)-5,0,5,1))</f>
        <v>77519818697</v>
      </c>
      <c r="H62" s="583">
        <f ca="1">SUM(OFFSET(H12,COUNT(H12:H38)-5,0,5,1))</f>
        <v>-0.90948590436277077</v>
      </c>
      <c r="I62" s="508"/>
      <c r="J62" s="507"/>
      <c r="K62" s="506"/>
      <c r="L62" s="506"/>
      <c r="M62" s="506"/>
    </row>
    <row r="63" spans="1:16">
      <c r="A63" s="509"/>
      <c r="B63" s="509"/>
      <c r="C63" s="510"/>
      <c r="D63" s="509" t="s">
        <v>339</v>
      </c>
      <c r="E63" s="509"/>
      <c r="F63" s="509"/>
      <c r="G63" s="511">
        <f ca="1">SQRT(G62/H2)</f>
        <v>53582.687466990537</v>
      </c>
      <c r="H63" s="512">
        <f ca="1">H62/COUNTA(H34:H38)</f>
        <v>-0.18189718087255416</v>
      </c>
      <c r="I63" s="512"/>
      <c r="J63" s="510"/>
      <c r="K63" s="509"/>
      <c r="L63" s="509"/>
      <c r="M63" s="509"/>
    </row>
    <row r="64" spans="1:16">
      <c r="A64" s="509"/>
      <c r="B64" s="509"/>
      <c r="C64" s="510"/>
      <c r="D64" s="509" t="s">
        <v>340</v>
      </c>
      <c r="E64" s="509"/>
      <c r="F64" s="509"/>
      <c r="G64" s="513"/>
      <c r="H64" s="512">
        <f ca="1">H63*0.8</f>
        <v>-0.14551774469804332</v>
      </c>
      <c r="I64" s="512"/>
      <c r="J64" s="510"/>
      <c r="K64" s="509"/>
      <c r="L64" s="509"/>
      <c r="M64" s="509"/>
    </row>
    <row r="65" spans="1:13">
      <c r="A65" s="514"/>
      <c r="B65" s="514"/>
      <c r="C65" s="515" t="s">
        <v>341</v>
      </c>
      <c r="D65" s="516" t="s">
        <v>399</v>
      </c>
      <c r="E65" s="516"/>
      <c r="F65" s="516"/>
      <c r="G65" s="517">
        <f ca="1">G63*$H$4</f>
        <v>70459.726431093033</v>
      </c>
      <c r="H65" s="518">
        <f ca="1">G65/C38</f>
        <v>0.42053708172090837</v>
      </c>
      <c r="I65" s="518"/>
      <c r="J65" s="514"/>
      <c r="K65" s="514"/>
      <c r="L65" s="514"/>
      <c r="M65" s="514"/>
    </row>
    <row r="68" spans="1:13">
      <c r="B68" s="124" t="s">
        <v>418</v>
      </c>
      <c r="C68" s="537">
        <f>MIN(C12:C42)</f>
        <v>18500</v>
      </c>
      <c r="G68" s="124" t="s">
        <v>425</v>
      </c>
      <c r="H68" s="530">
        <f>SMALL(H12:H40,1)</f>
        <v>-2.7240340114088903</v>
      </c>
    </row>
    <row r="69" spans="1:13">
      <c r="B69" s="124" t="s">
        <v>377</v>
      </c>
      <c r="C69" s="537">
        <f>MAX(C12:C42)</f>
        <v>588800</v>
      </c>
      <c r="G69" s="124" t="s">
        <v>426</v>
      </c>
      <c r="H69" s="530">
        <f>LARGE(H12:H40,1)</f>
        <v>0.72471580924966195</v>
      </c>
    </row>
    <row r="70" spans="1:13">
      <c r="B70" s="124" t="s">
        <v>419</v>
      </c>
      <c r="C70" s="537">
        <f>AVERAGE(C11:C42)</f>
        <v>155475</v>
      </c>
    </row>
  </sheetData>
  <phoneticPr fontId="11"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5" enableFormatConditionsCalculation="0">
    <tabColor rgb="FFFF0000"/>
  </sheetPr>
  <dimension ref="A1:H62"/>
  <sheetViews>
    <sheetView defaultGridColor="0" colorId="22" zoomScale="77" workbookViewId="0">
      <pane ySplit="6" topLeftCell="A25" activePane="bottomLeft" state="frozen"/>
      <selection pane="bottomLeft" activeCell="L47" sqref="L47"/>
    </sheetView>
  </sheetViews>
  <sheetFormatPr baseColWidth="10" defaultColWidth="9.625" defaultRowHeight="15" x14ac:dyDescent="0"/>
  <cols>
    <col min="1" max="1" width="8.75" style="124" customWidth="1"/>
    <col min="2" max="2" width="8.375" style="124" customWidth="1"/>
    <col min="3" max="3" width="8.625" style="124" customWidth="1"/>
    <col min="4" max="4" width="9.5" style="124" customWidth="1"/>
    <col min="5" max="5" width="7" style="124" customWidth="1"/>
    <col min="6" max="6" width="8.375" style="124" customWidth="1"/>
    <col min="7" max="7" width="9.625" style="124"/>
    <col min="8" max="8" width="7.5" style="124" customWidth="1"/>
    <col min="9" max="9" width="9.625" style="124"/>
    <col min="10" max="11" width="6.625" style="124" customWidth="1"/>
    <col min="12" max="13" width="8.625" style="124" customWidth="1"/>
    <col min="14" max="15" width="6.625" style="124" customWidth="1"/>
    <col min="16" max="17" width="7.625" style="124" customWidth="1"/>
    <col min="18" max="18" width="5.625" style="124" customWidth="1"/>
    <col min="19" max="22" width="8.625" style="124" customWidth="1"/>
    <col min="23" max="23" width="9.625" style="124"/>
    <col min="24" max="24" width="6.625" style="124" customWidth="1"/>
    <col min="25" max="25" width="8.625" style="124" customWidth="1"/>
    <col min="26" max="26" width="2.625" style="124" customWidth="1"/>
    <col min="27" max="27" width="9.625" style="124"/>
    <col min="28" max="28" width="2.625" style="124" customWidth="1"/>
    <col min="29" max="31" width="9.625" style="124"/>
    <col min="32" max="32" width="3.625" style="124" customWidth="1"/>
    <col min="33" max="16384" width="9.625" style="124"/>
  </cols>
  <sheetData>
    <row r="1" spans="1:8">
      <c r="A1" s="124" t="s">
        <v>52</v>
      </c>
    </row>
    <row r="2" spans="1:8">
      <c r="A2" s="124" t="s">
        <v>434</v>
      </c>
    </row>
    <row r="3" spans="1:8">
      <c r="A3" s="216"/>
      <c r="B3" s="216"/>
      <c r="C3" s="216"/>
      <c r="D3" s="216"/>
      <c r="E3" s="216"/>
      <c r="F3" s="216"/>
      <c r="G3" s="216"/>
      <c r="H3" s="216"/>
    </row>
    <row r="4" spans="1:8">
      <c r="A4" s="216"/>
      <c r="B4" s="216"/>
      <c r="C4" s="216"/>
      <c r="D4" s="216"/>
      <c r="E4" s="216"/>
      <c r="F4" s="216"/>
      <c r="G4" s="216"/>
      <c r="H4" s="216"/>
    </row>
    <row r="5" spans="1:8">
      <c r="A5" s="216" t="s">
        <v>378</v>
      </c>
      <c r="B5" s="216" t="s">
        <v>28</v>
      </c>
      <c r="C5" s="216" t="s">
        <v>56</v>
      </c>
      <c r="D5" s="216"/>
      <c r="E5" s="216" t="s">
        <v>57</v>
      </c>
      <c r="F5" s="220" t="s">
        <v>364</v>
      </c>
      <c r="G5" s="221" t="s">
        <v>365</v>
      </c>
      <c r="H5" s="214"/>
    </row>
    <row r="6" spans="1:8">
      <c r="A6" s="216" t="s">
        <v>42</v>
      </c>
      <c r="B6" s="216" t="s">
        <v>59</v>
      </c>
      <c r="C6" s="216" t="s">
        <v>55</v>
      </c>
      <c r="D6" s="216" t="s">
        <v>60</v>
      </c>
      <c r="E6" s="216" t="s">
        <v>61</v>
      </c>
      <c r="F6" s="216" t="s">
        <v>62</v>
      </c>
      <c r="G6" s="216" t="s">
        <v>53</v>
      </c>
      <c r="H6" s="216" t="s">
        <v>54</v>
      </c>
    </row>
    <row r="7" spans="1:8">
      <c r="A7" s="144">
        <v>1968</v>
      </c>
      <c r="B7" s="217">
        <f>BroodTab!AC12+BroodTab!W13+BroodTab!Q13+BroodTab!K14+BroodTab!E15</f>
        <v>87325</v>
      </c>
      <c r="C7" s="217">
        <f>B7-BroodTab!B18</f>
        <v>75525</v>
      </c>
      <c r="D7" s="217">
        <f>BroodTab!B18</f>
        <v>11800</v>
      </c>
      <c r="E7" s="215">
        <v>50000</v>
      </c>
      <c r="F7" s="217"/>
      <c r="G7" s="218">
        <f t="shared" ref="G7:G50" si="0">IF(B7-E7&lt;=0,0,(B7-E7)/B7)</f>
        <v>0.42742628113369596</v>
      </c>
      <c r="H7" s="218">
        <f t="shared" ref="H7:H50" si="1">C7/B7</f>
        <v>0.86487260234755226</v>
      </c>
    </row>
    <row r="8" spans="1:8">
      <c r="A8" s="144">
        <v>1969</v>
      </c>
      <c r="B8" s="217">
        <f>BroodTab!AC13+BroodTab!W14+BroodTab!Q14+BroodTab!K15+BroodTab!E16</f>
        <v>159288</v>
      </c>
      <c r="C8" s="217">
        <f>B8-BroodTab!B19</f>
        <v>78288</v>
      </c>
      <c r="D8" s="217">
        <f>BroodTab!B19</f>
        <v>81000</v>
      </c>
      <c r="E8" s="215">
        <v>50000</v>
      </c>
      <c r="F8" s="217"/>
      <c r="G8" s="218">
        <f t="shared" si="0"/>
        <v>0.68610315905780728</v>
      </c>
      <c r="H8" s="218">
        <f t="shared" si="1"/>
        <v>0.49148711767364772</v>
      </c>
    </row>
    <row r="9" spans="1:8">
      <c r="A9" s="144">
        <v>1970</v>
      </c>
      <c r="B9" s="217">
        <f>BroodTab!AC14+BroodTab!W15+BroodTab!Q15+BroodTab!K16+BroodTab!E17</f>
        <v>62559.000000000007</v>
      </c>
      <c r="C9" s="217">
        <f>B9-BroodTab!B20</f>
        <v>27359.000000000007</v>
      </c>
      <c r="D9" s="217">
        <f>BroodTab!B20</f>
        <v>35200</v>
      </c>
      <c r="E9" s="215">
        <v>50000</v>
      </c>
      <c r="F9" s="217"/>
      <c r="G9" s="218">
        <f t="shared" si="0"/>
        <v>0.20075448776355129</v>
      </c>
      <c r="H9" s="218">
        <f t="shared" si="1"/>
        <v>0.43733115938554012</v>
      </c>
    </row>
    <row r="10" spans="1:8">
      <c r="A10" s="144">
        <v>1971</v>
      </c>
      <c r="B10" s="217">
        <f>BroodTab!AC15+BroodTab!W16+BroodTab!Q16+BroodTab!K17+BroodTab!E18</f>
        <v>60516</v>
      </c>
      <c r="C10" s="217">
        <f>B10-BroodTab!B21</f>
        <v>45516</v>
      </c>
      <c r="D10" s="217">
        <f>BroodTab!B21</f>
        <v>15000</v>
      </c>
      <c r="E10" s="215">
        <v>50000</v>
      </c>
      <c r="F10" s="217"/>
      <c r="G10" s="218">
        <f t="shared" si="0"/>
        <v>0.17377222552713331</v>
      </c>
      <c r="H10" s="218">
        <f t="shared" si="1"/>
        <v>0.75213166765813999</v>
      </c>
    </row>
    <row r="11" spans="1:8">
      <c r="A11" s="144">
        <v>1972</v>
      </c>
      <c r="B11" s="217">
        <f>BroodTab!AC16+BroodTab!W17+BroodTab!Q17+BroodTab!K18+BroodTab!E19</f>
        <v>184971.16932856577</v>
      </c>
      <c r="C11" s="217">
        <f>B11-BroodTab!B22</f>
        <v>133971.16932856577</v>
      </c>
      <c r="D11" s="217">
        <f>BroodTab!B22</f>
        <v>51000</v>
      </c>
      <c r="E11" s="215">
        <v>50000</v>
      </c>
      <c r="F11" s="217"/>
      <c r="G11" s="218">
        <f t="shared" si="0"/>
        <v>0.72968760384930798</v>
      </c>
      <c r="H11" s="218">
        <f t="shared" si="1"/>
        <v>0.72428135592629417</v>
      </c>
    </row>
    <row r="12" spans="1:8">
      <c r="A12" s="144">
        <v>1973</v>
      </c>
      <c r="B12" s="217">
        <f>BroodTab!AC17+BroodTab!W18+BroodTab!Q18+BroodTab!K19+BroodTab!E20</f>
        <v>132283.99999999948</v>
      </c>
      <c r="C12" s="217">
        <f>B12-BroodTab!B23</f>
        <v>77283.999999999476</v>
      </c>
      <c r="D12" s="217">
        <f>BroodTab!B23</f>
        <v>55000</v>
      </c>
      <c r="E12" s="215">
        <v>50000</v>
      </c>
      <c r="F12" s="217"/>
      <c r="G12" s="218">
        <f t="shared" si="0"/>
        <v>0.62202533942124372</v>
      </c>
      <c r="H12" s="218">
        <f t="shared" si="1"/>
        <v>0.58422787336336812</v>
      </c>
    </row>
    <row r="13" spans="1:8">
      <c r="A13" s="144">
        <v>1974</v>
      </c>
      <c r="B13" s="217">
        <f>BroodTab!AC18+BroodTab!W19+BroodTab!Q19+BroodTab!K20+BroodTab!E21</f>
        <v>121757</v>
      </c>
      <c r="C13" s="217">
        <f>B13-BroodTab!B24</f>
        <v>99423</v>
      </c>
      <c r="D13" s="217">
        <f>BroodTab!B24</f>
        <v>22334</v>
      </c>
      <c r="E13" s="215">
        <v>50000</v>
      </c>
      <c r="F13" s="217"/>
      <c r="G13" s="218">
        <f t="shared" si="0"/>
        <v>0.58934599242754016</v>
      </c>
      <c r="H13" s="218">
        <f t="shared" si="1"/>
        <v>0.81656906789753358</v>
      </c>
    </row>
    <row r="14" spans="1:8">
      <c r="A14" s="144">
        <v>1975</v>
      </c>
      <c r="B14" s="217">
        <f>BroodTab!AC19+BroodTab!W20+BroodTab!Q20+BroodTab!K21+BroodTab!E22</f>
        <v>182706</v>
      </c>
      <c r="C14" s="217">
        <f>B14-BroodTab!B25</f>
        <v>147851</v>
      </c>
      <c r="D14" s="217">
        <f>BroodTab!B25</f>
        <v>34855</v>
      </c>
      <c r="E14" s="215">
        <v>50000</v>
      </c>
      <c r="F14" s="217"/>
      <c r="G14" s="218">
        <f t="shared" si="0"/>
        <v>0.72633629984784298</v>
      </c>
      <c r="H14" s="218">
        <f t="shared" si="1"/>
        <v>0.80922903462393136</v>
      </c>
    </row>
    <row r="15" spans="1:8">
      <c r="A15" s="144">
        <v>1976</v>
      </c>
      <c r="B15" s="217">
        <f>BroodTab!AC20+BroodTab!W21+BroodTab!Q21+BroodTab!K22+BroodTab!E23</f>
        <v>69421</v>
      </c>
      <c r="C15" s="217">
        <f>B15-BroodTab!B26</f>
        <v>60365</v>
      </c>
      <c r="D15" s="217">
        <f>BroodTab!B26</f>
        <v>9056</v>
      </c>
      <c r="E15" s="215">
        <v>50000</v>
      </c>
      <c r="F15" s="217"/>
      <c r="G15" s="218">
        <f t="shared" si="0"/>
        <v>0.27975684591117961</v>
      </c>
      <c r="H15" s="218">
        <f t="shared" si="1"/>
        <v>0.8695495599314329</v>
      </c>
    </row>
    <row r="16" spans="1:8">
      <c r="A16" s="144">
        <v>1977</v>
      </c>
      <c r="B16" s="217">
        <f>BroodTab!AC21+BroodTab!W22+BroodTab!Q22+BroodTab!K23+BroodTab!E24</f>
        <v>202340</v>
      </c>
      <c r="C16" s="217">
        <f>B16-BroodTab!B27</f>
        <v>170778</v>
      </c>
      <c r="D16" s="217">
        <f>BroodTab!B27</f>
        <v>31562</v>
      </c>
      <c r="E16" s="215">
        <v>50000</v>
      </c>
      <c r="F16" s="217">
        <f>AVERAGEA(B$7:B$16)</f>
        <v>126316.71693285652</v>
      </c>
      <c r="G16" s="218">
        <f t="shared" si="0"/>
        <v>0.75289117327270927</v>
      </c>
      <c r="H16" s="218">
        <f t="shared" si="1"/>
        <v>0.84401502421666497</v>
      </c>
    </row>
    <row r="17" spans="1:8">
      <c r="A17" s="144">
        <v>1978</v>
      </c>
      <c r="B17" s="217">
        <f>BroodTab!AC22+BroodTab!W23+BroodTab!Q23+BroodTab!K24+BroodTab!E25</f>
        <v>245808</v>
      </c>
      <c r="C17" s="217">
        <f>B17-BroodTab!B28</f>
        <v>203524</v>
      </c>
      <c r="D17" s="217">
        <f>BroodTab!B28</f>
        <v>42284</v>
      </c>
      <c r="E17" s="215">
        <v>50000</v>
      </c>
      <c r="F17" s="217">
        <f>AVERAGEA(B$8:B$17)</f>
        <v>142165.01693285652</v>
      </c>
      <c r="G17" s="218">
        <f t="shared" si="0"/>
        <v>0.79658920783701104</v>
      </c>
      <c r="H17" s="218">
        <f t="shared" si="1"/>
        <v>0.8279795612836035</v>
      </c>
    </row>
    <row r="18" spans="1:8">
      <c r="A18" s="144">
        <v>1979</v>
      </c>
      <c r="B18" s="217">
        <f>BroodTab!AC23+BroodTab!W24+BroodTab!Q24+BroodTab!K25+BroodTab!E26</f>
        <v>126991</v>
      </c>
      <c r="C18" s="217">
        <f>B18-BroodTab!B29</f>
        <v>78710</v>
      </c>
      <c r="D18" s="217">
        <f>BroodTab!B29</f>
        <v>48281</v>
      </c>
      <c r="E18" s="215">
        <v>50000</v>
      </c>
      <c r="F18" s="217">
        <f>AVERAGEA(B$9:B$18)</f>
        <v>138935.31693285651</v>
      </c>
      <c r="G18" s="218">
        <f t="shared" si="0"/>
        <v>0.60627131056531569</v>
      </c>
      <c r="H18" s="218">
        <f t="shared" si="1"/>
        <v>0.61980770290808007</v>
      </c>
    </row>
    <row r="19" spans="1:8">
      <c r="A19" s="144">
        <v>1980</v>
      </c>
      <c r="B19" s="217">
        <f>BroodTab!AC24+BroodTab!W25+BroodTab!Q25+BroodTab!K26+BroodTab!E27</f>
        <v>201387</v>
      </c>
      <c r="C19" s="217">
        <f>B19-BroodTab!B30</f>
        <v>59134</v>
      </c>
      <c r="D19" s="217">
        <f>BroodTab!B30</f>
        <v>142253</v>
      </c>
      <c r="E19" s="215">
        <v>50000</v>
      </c>
      <c r="F19" s="217">
        <f>AVERAGEA(B$10:B$19)</f>
        <v>152818.11693285653</v>
      </c>
      <c r="G19" s="218">
        <f t="shared" si="0"/>
        <v>0.75172180925283161</v>
      </c>
      <c r="H19" s="218">
        <f t="shared" si="1"/>
        <v>0.29363365063286112</v>
      </c>
    </row>
    <row r="20" spans="1:8">
      <c r="A20" s="144">
        <v>1981</v>
      </c>
      <c r="B20" s="217">
        <f>BroodTab!AC25+BroodTab!W26+BroodTab!Q26+BroodTab!K27+BroodTab!E28</f>
        <v>259166.99999999991</v>
      </c>
      <c r="C20" s="217">
        <f>B20-BroodTab!B31</f>
        <v>103054.99999999991</v>
      </c>
      <c r="D20" s="217">
        <f>BroodTab!B31</f>
        <v>156112</v>
      </c>
      <c r="E20" s="215">
        <v>50000</v>
      </c>
      <c r="F20" s="217">
        <f>AVERAGEA(B$11:B$20)</f>
        <v>172683.21693285654</v>
      </c>
      <c r="G20" s="218">
        <f t="shared" si="0"/>
        <v>0.80707420311999589</v>
      </c>
      <c r="H20" s="218">
        <f t="shared" si="1"/>
        <v>0.39763935994937605</v>
      </c>
    </row>
    <row r="21" spans="1:8">
      <c r="A21" s="144">
        <v>1982</v>
      </c>
      <c r="B21" s="217">
        <f>BroodTab!AC26+BroodTab!W27+BroodTab!Q27+BroodTab!K28+BroodTab!E29</f>
        <v>1127475.2720999999</v>
      </c>
      <c r="C21" s="217">
        <f>B21-BroodTab!B32</f>
        <v>947161.27209999994</v>
      </c>
      <c r="D21" s="217">
        <f>BroodTab!B32</f>
        <v>180314</v>
      </c>
      <c r="E21" s="215">
        <v>50000</v>
      </c>
      <c r="F21" s="217">
        <f>AVERAGEA(B$12:B$21)</f>
        <v>266933.62720999995</v>
      </c>
      <c r="G21" s="218">
        <f t="shared" si="0"/>
        <v>0.95565312939691216</v>
      </c>
      <c r="H21" s="218">
        <f t="shared" si="1"/>
        <v>0.84007276748149617</v>
      </c>
    </row>
    <row r="22" spans="1:8">
      <c r="A22" s="144">
        <v>1983</v>
      </c>
      <c r="B22" s="217">
        <f>BroodTab!AC27+BroodTab!W28+BroodTab!Q28+BroodTab!K29+BroodTab!E30</f>
        <v>73025</v>
      </c>
      <c r="C22" s="479">
        <f>B22-BroodTab!B33</f>
        <v>34242</v>
      </c>
      <c r="D22" s="217">
        <f>BroodTab!B33</f>
        <v>38783</v>
      </c>
      <c r="E22" s="215">
        <v>50000</v>
      </c>
      <c r="F22" s="217">
        <f>AVERAGEA(B$13:B$22)</f>
        <v>261007.72720999998</v>
      </c>
      <c r="G22" s="218">
        <f t="shared" si="0"/>
        <v>0.3153029784320438</v>
      </c>
      <c r="H22" s="218">
        <f t="shared" si="1"/>
        <v>0.46890790825059914</v>
      </c>
    </row>
    <row r="23" spans="1:8">
      <c r="A23" s="144">
        <v>1984</v>
      </c>
      <c r="B23" s="217">
        <f>BroodTab!AC28+BroodTab!W29+BroodTab!Q29+BroodTab!K30+BroodTab!E31</f>
        <v>157245</v>
      </c>
      <c r="C23" s="479">
        <f>B23-BroodTab!B34</f>
        <v>93623</v>
      </c>
      <c r="D23" s="217">
        <f>BroodTab!B34</f>
        <v>63622</v>
      </c>
      <c r="E23" s="215">
        <v>50000</v>
      </c>
      <c r="F23" s="217">
        <f>AVERAGEA(B$14:B$23)</f>
        <v>264556.52720999997</v>
      </c>
      <c r="G23" s="218">
        <f t="shared" si="0"/>
        <v>0.68202486565550569</v>
      </c>
      <c r="H23" s="218">
        <f t="shared" si="1"/>
        <v>0.59539572005469177</v>
      </c>
    </row>
    <row r="24" spans="1:8">
      <c r="A24" s="144">
        <v>1985</v>
      </c>
      <c r="B24" s="217">
        <f>BroodTab!AC29+BroodTab!W30+BroodTab!Q30+BroodTab!K31+BroodTab!E32</f>
        <v>509273.83158215013</v>
      </c>
      <c r="C24" s="479">
        <f>B24-BroodTab!B35</f>
        <v>345931.83158215013</v>
      </c>
      <c r="D24" s="217">
        <f>BroodTab!B35</f>
        <v>163342</v>
      </c>
      <c r="E24" s="215">
        <v>50000</v>
      </c>
      <c r="F24" s="217">
        <f>AVERAGEA(B$15:B$24)</f>
        <v>297213.31036821497</v>
      </c>
      <c r="G24" s="218">
        <f t="shared" si="0"/>
        <v>0.9018209911852999</v>
      </c>
      <c r="H24" s="218">
        <f t="shared" si="1"/>
        <v>0.67926488684378517</v>
      </c>
    </row>
    <row r="25" spans="1:8">
      <c r="A25" s="144">
        <v>1986</v>
      </c>
      <c r="B25" s="217">
        <f>BroodTab!AC30+BroodTab!W31+BroodTab!Q31+BroodTab!K32+BroodTab!E33</f>
        <v>469304.65756999992</v>
      </c>
      <c r="C25" s="479">
        <f>B25-BroodTab!B36</f>
        <v>395169.65756999992</v>
      </c>
      <c r="D25" s="217">
        <f>BroodTab!B36</f>
        <v>74135</v>
      </c>
      <c r="E25" s="215">
        <v>50000</v>
      </c>
      <c r="F25" s="217">
        <f>AVERAGEA(B$16:B$25)</f>
        <v>337201.67612521496</v>
      </c>
      <c r="G25" s="218">
        <f t="shared" si="0"/>
        <v>0.89345939957448184</v>
      </c>
      <c r="H25" s="218">
        <f t="shared" si="1"/>
        <v>0.84203225174908414</v>
      </c>
    </row>
    <row r="26" spans="1:8">
      <c r="A26" s="144">
        <v>1987</v>
      </c>
      <c r="B26" s="217">
        <f>BroodTab!AC31+BroodTab!W32+BroodTab!Q32+BroodTab!K33+BroodTab!E34</f>
        <v>598733</v>
      </c>
      <c r="C26" s="479">
        <f>B26-BroodTab!B37</f>
        <v>411470</v>
      </c>
      <c r="D26" s="217">
        <f>BroodTab!B37</f>
        <v>187263</v>
      </c>
      <c r="E26" s="215">
        <v>50000</v>
      </c>
      <c r="F26" s="217">
        <f>AVERAGEA(B$17:B$26)</f>
        <v>376840.97612521495</v>
      </c>
      <c r="G26" s="218">
        <f t="shared" si="0"/>
        <v>0.91649032206342396</v>
      </c>
      <c r="H26" s="218">
        <f t="shared" si="1"/>
        <v>0.68723454361125913</v>
      </c>
    </row>
    <row r="27" spans="1:8">
      <c r="A27" s="144">
        <v>1988</v>
      </c>
      <c r="B27" s="217">
        <f>BroodTab!AC32+BroodTab!W33+BroodTab!Q33+BroodTab!K34+BroodTab!E35</f>
        <v>152650</v>
      </c>
      <c r="C27" s="479">
        <f>B27-BroodTab!B38</f>
        <v>80627</v>
      </c>
      <c r="D27" s="217">
        <f>BroodTab!B38</f>
        <v>72023</v>
      </c>
      <c r="E27" s="215">
        <v>50000</v>
      </c>
      <c r="F27" s="217">
        <f>AVERAGEA(B$18:B$27)</f>
        <v>367525.17612521496</v>
      </c>
      <c r="G27" s="218">
        <f t="shared" si="0"/>
        <v>0.67245332459875529</v>
      </c>
      <c r="H27" s="218">
        <f t="shared" si="1"/>
        <v>0.52818211595152309</v>
      </c>
    </row>
    <row r="28" spans="1:8">
      <c r="A28" s="144">
        <v>1989</v>
      </c>
      <c r="B28" s="217">
        <f>BroodTab!AC33+BroodTab!W34+BroodTab!Q34+BroodTab!K35+BroodTab!E36</f>
        <v>144785</v>
      </c>
      <c r="C28" s="479">
        <f>B28-BroodTab!B39</f>
        <v>107904</v>
      </c>
      <c r="D28" s="217">
        <f>BroodTab!B39</f>
        <v>36881</v>
      </c>
      <c r="E28" s="215">
        <v>50000</v>
      </c>
      <c r="F28" s="217">
        <f>AVERAGEA(B$19:B$28)</f>
        <v>369304.57612521492</v>
      </c>
      <c r="G28" s="218">
        <f t="shared" si="0"/>
        <v>0.65466035846254789</v>
      </c>
      <c r="H28" s="218">
        <f t="shared" si="1"/>
        <v>0.74527057360914462</v>
      </c>
    </row>
    <row r="29" spans="1:8">
      <c r="A29" s="144">
        <v>1990</v>
      </c>
      <c r="B29" s="217">
        <f>BroodTab!AC34+BroodTab!W35+BroodTab!Q35+BroodTab!K36+BroodTab!E37</f>
        <v>19620.420000000002</v>
      </c>
      <c r="C29" s="479">
        <f>B29-BroodTab!B40</f>
        <v>11370.420000000002</v>
      </c>
      <c r="D29" s="217">
        <f>BroodTab!B40</f>
        <v>8250</v>
      </c>
      <c r="E29" s="215">
        <v>50000</v>
      </c>
      <c r="F29" s="217">
        <f>AVERAGEA(B$20:B$29)</f>
        <v>351127.91812521499</v>
      </c>
      <c r="G29" s="218">
        <f t="shared" si="0"/>
        <v>0</v>
      </c>
      <c r="H29" s="218">
        <f t="shared" si="1"/>
        <v>0.57951970447115819</v>
      </c>
    </row>
    <row r="30" spans="1:8">
      <c r="A30" s="144">
        <v>1991</v>
      </c>
      <c r="B30" s="217">
        <f>BroodTab!AC35+BroodTab!W36+BroodTab!Q36+BroodTab!K37+BroodTab!E38</f>
        <v>20302.158845587157</v>
      </c>
      <c r="C30" s="479">
        <f>B30-BroodTab!B41</f>
        <v>10601.158845587157</v>
      </c>
      <c r="D30" s="217">
        <f>BroodTab!B41</f>
        <v>9701</v>
      </c>
      <c r="E30" s="215">
        <v>50000</v>
      </c>
      <c r="F30" s="217">
        <f>AVERAGEA(B$21:B$30)</f>
        <v>327241.43400977371</v>
      </c>
      <c r="G30" s="218">
        <f t="shared" si="0"/>
        <v>0</v>
      </c>
      <c r="H30" s="218">
        <f t="shared" si="1"/>
        <v>0.52216904252482521</v>
      </c>
    </row>
    <row r="31" spans="1:8">
      <c r="A31" s="144">
        <v>1992</v>
      </c>
      <c r="B31" s="217">
        <f>BroodTab!AC36+BroodTab!W37+BroodTab!Q37+BroodTab!K38+BroodTab!E39</f>
        <v>67203.277999999991</v>
      </c>
      <c r="C31" s="479">
        <f>B31-BroodTab!B42</f>
        <v>37561.277999999991</v>
      </c>
      <c r="D31" s="217">
        <f>BroodTab!B42</f>
        <v>29642</v>
      </c>
      <c r="E31" s="215">
        <v>25000</v>
      </c>
      <c r="F31" s="217">
        <f>AVERAGEA(B$22:B$31)</f>
        <v>221214.23459977371</v>
      </c>
      <c r="G31" s="218">
        <f t="shared" si="0"/>
        <v>0.62799433682386741</v>
      </c>
      <c r="H31" s="218">
        <f t="shared" si="1"/>
        <v>0.55892032528532309</v>
      </c>
    </row>
    <row r="32" spans="1:8">
      <c r="A32" s="144">
        <v>1993</v>
      </c>
      <c r="B32" s="217">
        <f>BroodTab!AC37+BroodTab!W38+BroodTab!Q38+BroodTab!K39+BroodTab!E40</f>
        <v>48357</v>
      </c>
      <c r="C32" s="479">
        <f>B32-BroodTab!B43</f>
        <v>39125</v>
      </c>
      <c r="D32" s="217">
        <f>BroodTab!B43</f>
        <v>9232</v>
      </c>
      <c r="E32" s="215">
        <v>25000</v>
      </c>
      <c r="F32" s="217">
        <f>AVERAGEA(B$23:B$32)</f>
        <v>218747.43459977373</v>
      </c>
      <c r="G32" s="218">
        <f t="shared" si="0"/>
        <v>0.48301176665219098</v>
      </c>
      <c r="H32" s="218">
        <f t="shared" si="1"/>
        <v>0.80908658518932108</v>
      </c>
    </row>
    <row r="33" spans="1:8">
      <c r="A33" s="144">
        <v>1994</v>
      </c>
      <c r="B33" s="217">
        <f>BroodTab!AC38+BroodTab!W39+BroodTab!Q39+BroodTab!K40+BroodTab!E41</f>
        <v>9291</v>
      </c>
      <c r="C33" s="479">
        <f>B33-BroodTab!B44</f>
        <v>2027</v>
      </c>
      <c r="D33" s="217">
        <f>BroodTab!B44</f>
        <v>7264</v>
      </c>
      <c r="E33" s="215">
        <v>25000</v>
      </c>
      <c r="F33" s="217">
        <f>AVERAGEA(B$24:B$33)</f>
        <v>203952.0345997737</v>
      </c>
      <c r="G33" s="218">
        <f t="shared" si="0"/>
        <v>0</v>
      </c>
      <c r="H33" s="218">
        <f t="shared" si="1"/>
        <v>0.21816811968571737</v>
      </c>
    </row>
    <row r="34" spans="1:8">
      <c r="A34" s="144">
        <v>1995</v>
      </c>
      <c r="B34" s="217">
        <f>BroodTab!AC39+BroodTab!W40+BroodTab!Q40+BroodTab!K41+BroodTab!E42</f>
        <v>61296</v>
      </c>
      <c r="C34" s="479">
        <f>B34-BroodTab!B45</f>
        <v>30914</v>
      </c>
      <c r="D34" s="217">
        <f>BroodTab!B45</f>
        <v>30382</v>
      </c>
      <c r="E34" s="215">
        <v>25000</v>
      </c>
      <c r="F34" s="217">
        <f>AVERAGEA(B$25:B$34)</f>
        <v>159154.25144155868</v>
      </c>
      <c r="G34" s="218">
        <f t="shared" si="0"/>
        <v>0.59214304359175152</v>
      </c>
      <c r="H34" s="218">
        <f t="shared" si="1"/>
        <v>0.50433959801618378</v>
      </c>
    </row>
    <row r="35" spans="1:8">
      <c r="A35" s="144">
        <v>1996</v>
      </c>
      <c r="B35" s="217">
        <f>BroodTab!AC40+BroodTab!W41+BroodTab!Q41+BroodTab!K42+BroodTab!E43</f>
        <v>131181</v>
      </c>
      <c r="C35" s="479">
        <f>B35-BroodTab!B46</f>
        <v>92488</v>
      </c>
      <c r="D35" s="217">
        <f>BroodTab!B46</f>
        <v>38693</v>
      </c>
      <c r="E35" s="215">
        <v>25000</v>
      </c>
      <c r="F35" s="217">
        <f>AVERAGEA(B$26:B$35)</f>
        <v>125341.88568455873</v>
      </c>
      <c r="G35" s="218">
        <f t="shared" si="0"/>
        <v>0.80942362079874375</v>
      </c>
      <c r="H35" s="218">
        <f t="shared" si="1"/>
        <v>0.70504112638263161</v>
      </c>
    </row>
    <row r="36" spans="1:8">
      <c r="A36" s="144">
        <v>1997</v>
      </c>
      <c r="B36" s="217">
        <f>BroodTab!AC41+BroodTab!W42+BroodTab!Q42+BroodTab!K43+BroodTab!E44</f>
        <v>106750.98300000001</v>
      </c>
      <c r="C36" s="479">
        <f>B36-BroodTab!B47</f>
        <v>71740.983000000007</v>
      </c>
      <c r="D36" s="217">
        <f>BroodTab!B47</f>
        <v>35010</v>
      </c>
      <c r="E36" s="215">
        <v>25000</v>
      </c>
      <c r="F36" s="217">
        <f>AVERAGEA(B$27:B$36)</f>
        <v>76143.683984558709</v>
      </c>
      <c r="G36" s="218">
        <f t="shared" si="0"/>
        <v>0.76581011905061336</v>
      </c>
      <c r="H36" s="218">
        <f t="shared" si="1"/>
        <v>0.67204049071847893</v>
      </c>
    </row>
    <row r="37" spans="1:8">
      <c r="A37" s="144">
        <v>1998</v>
      </c>
      <c r="B37" s="217">
        <f>BroodTab!AC42+BroodTab!W43+BroodTab!Q43+BroodTab!K44+BroodTab!E45</f>
        <v>63370</v>
      </c>
      <c r="C37" s="479">
        <f>B37-BroodTab!B48</f>
        <v>34407</v>
      </c>
      <c r="D37" s="217">
        <f>BroodTab!B48</f>
        <v>28963</v>
      </c>
      <c r="E37" s="215">
        <v>25000</v>
      </c>
      <c r="F37" s="217">
        <f>AVERAGEA(B$28:B$37)</f>
        <v>67215.683984558709</v>
      </c>
      <c r="G37" s="218">
        <f t="shared" si="0"/>
        <v>0.60549155751933093</v>
      </c>
      <c r="H37" s="218">
        <f t="shared" si="1"/>
        <v>0.54295407921729522</v>
      </c>
    </row>
    <row r="38" spans="1:8">
      <c r="A38" s="144">
        <v>1999</v>
      </c>
      <c r="B38" s="217">
        <f>BroodTab!AC43+BroodTab!W44+BroodTab!Q44+BroodTab!K45+BroodTab!E46</f>
        <v>148052</v>
      </c>
      <c r="C38" s="479">
        <f>B38-BroodTab!B49</f>
        <v>88741</v>
      </c>
      <c r="D38" s="217">
        <f>BroodTab!B49</f>
        <v>59311</v>
      </c>
      <c r="E38" s="215">
        <v>25000</v>
      </c>
      <c r="F38" s="217">
        <f>AVERAGEA(B$29:B$38)</f>
        <v>67542.383984558721</v>
      </c>
      <c r="G38" s="218">
        <f t="shared" si="0"/>
        <v>0.8311404101261719</v>
      </c>
      <c r="H38" s="218">
        <f t="shared" si="1"/>
        <v>0.59939075459973523</v>
      </c>
    </row>
    <row r="39" spans="1:8">
      <c r="A39" s="144">
        <v>2000</v>
      </c>
      <c r="B39" s="217">
        <f>BroodTab!AC44+BroodTab!W45+BroodTab!Q45+BroodTab!K46+BroodTab!E47</f>
        <v>213816</v>
      </c>
      <c r="C39" s="479">
        <f>B39-BroodTab!B50</f>
        <v>185400</v>
      </c>
      <c r="D39" s="217">
        <f>BroodTab!B50</f>
        <v>28416</v>
      </c>
      <c r="E39" s="215">
        <v>25000</v>
      </c>
      <c r="F39" s="217">
        <f>AVERAGEA(B$30:B$39)</f>
        <v>86961.941984558711</v>
      </c>
      <c r="G39" s="218">
        <f t="shared" si="0"/>
        <v>0.88307703820107009</v>
      </c>
      <c r="H39" s="218">
        <f t="shared" si="1"/>
        <v>0.86710068470086432</v>
      </c>
    </row>
    <row r="40" spans="1:8">
      <c r="A40" s="144">
        <v>2001</v>
      </c>
      <c r="B40" s="217">
        <f>BroodTab!AC45+BroodTab!W46+BroodTab!Q46+BroodTab!K47+BroodTab!E48</f>
        <v>126026</v>
      </c>
      <c r="C40" s="479">
        <f>B40-BroodTab!B51</f>
        <v>87479</v>
      </c>
      <c r="D40" s="217">
        <f>BroodTab!B51</f>
        <v>38547</v>
      </c>
      <c r="E40" s="215">
        <v>25000</v>
      </c>
      <c r="F40" s="217">
        <f>AVERAGEA(B$31:B$40)</f>
        <v>97534.326099999991</v>
      </c>
      <c r="G40" s="218">
        <f t="shared" si="0"/>
        <v>0.80162823544347994</v>
      </c>
      <c r="H40" s="218">
        <f t="shared" si="1"/>
        <v>0.6941345436655928</v>
      </c>
    </row>
    <row r="41" spans="1:8">
      <c r="A41" s="144">
        <v>2002</v>
      </c>
      <c r="B41" s="217">
        <f>BroodTab!AC46+BroodTab!W47+BroodTab!Q47+BroodTab!K48+BroodTab!E49</f>
        <v>52603</v>
      </c>
      <c r="C41" s="479">
        <f>B41-BroodTab!B52</f>
        <v>24280</v>
      </c>
      <c r="D41" s="217">
        <f>BroodTab!B52</f>
        <v>28323</v>
      </c>
      <c r="E41" s="215">
        <v>25000</v>
      </c>
      <c r="F41" s="217">
        <f>AVERAGEA(B$32:B$41)</f>
        <v>96074.298299999995</v>
      </c>
      <c r="G41" s="218">
        <f t="shared" si="0"/>
        <v>0.52474193487063481</v>
      </c>
      <c r="H41" s="218">
        <f t="shared" si="1"/>
        <v>0.46157063285363953</v>
      </c>
    </row>
    <row r="42" spans="1:8">
      <c r="A42" s="144">
        <v>2003</v>
      </c>
      <c r="B42" s="217">
        <f>BroodTab!AC47+BroodTab!W48+BroodTab!Q48+BroodTab!K49+BroodTab!E50</f>
        <v>170013</v>
      </c>
      <c r="C42" s="479">
        <f>B42-BroodTab!B53</f>
        <v>94586</v>
      </c>
      <c r="D42" s="217">
        <f>BroodTab!B53</f>
        <v>75427</v>
      </c>
      <c r="E42" s="215">
        <v>25000</v>
      </c>
      <c r="F42" s="217">
        <f>AVERAGEA(B$33:B$42)</f>
        <v>108239.8983</v>
      </c>
      <c r="G42" s="218">
        <f t="shared" si="0"/>
        <v>0.85295242128543114</v>
      </c>
      <c r="H42" s="218">
        <f t="shared" si="1"/>
        <v>0.55634569121184851</v>
      </c>
    </row>
    <row r="43" spans="1:8">
      <c r="A43" s="144">
        <v>2004</v>
      </c>
      <c r="B43" s="217">
        <f>BroodTab!AC48+BroodTab!W49+BroodTab!Q49+BroodTab!K50+BroodTab!E51</f>
        <v>190475</v>
      </c>
      <c r="C43" s="479">
        <f>B43-BroodTab!B54</f>
        <v>159906</v>
      </c>
      <c r="D43" s="217">
        <f>BroodTab!B54</f>
        <v>30569</v>
      </c>
      <c r="E43" s="215">
        <v>25000</v>
      </c>
      <c r="F43" s="217">
        <f>AVERAGEA(B$34:B$43)</f>
        <v>126358.29829999999</v>
      </c>
      <c r="G43" s="218">
        <f t="shared" si="0"/>
        <v>0.86874917968237297</v>
      </c>
      <c r="H43" s="218">
        <f t="shared" si="1"/>
        <v>0.83951174694841846</v>
      </c>
    </row>
    <row r="44" spans="1:8">
      <c r="A44" s="144">
        <v>2005</v>
      </c>
      <c r="B44" s="217">
        <f>BroodTab!AC49+BroodTab!W50+BroodTab!Q50+BroodTab!K51+BroodTab!E52</f>
        <v>94282</v>
      </c>
      <c r="C44" s="479">
        <f>B44-BroodTab!B55</f>
        <v>63969</v>
      </c>
      <c r="D44" s="217">
        <f>BroodTab!B55</f>
        <v>30313</v>
      </c>
      <c r="E44" s="215">
        <v>25000</v>
      </c>
      <c r="F44" s="217">
        <f>AVERAGEA(B$35:B$44)</f>
        <v>129656.8983</v>
      </c>
      <c r="G44" s="218">
        <f t="shared" si="0"/>
        <v>0.73483803907426659</v>
      </c>
      <c r="H44" s="218">
        <f t="shared" si="1"/>
        <v>0.67848581913832973</v>
      </c>
    </row>
    <row r="45" spans="1:8">
      <c r="A45" s="144">
        <v>2006</v>
      </c>
      <c r="B45" s="217">
        <f>BroodTab!AC50+BroodTab!W51+BroodTab!Q51+BroodTab!K52+BroodTab!E53</f>
        <v>32870</v>
      </c>
      <c r="C45" s="479">
        <f>B45-BroodTab!B56</f>
        <v>9391</v>
      </c>
      <c r="D45" s="217">
        <f>BroodTab!B56</f>
        <v>23479</v>
      </c>
      <c r="E45" s="215">
        <v>25000</v>
      </c>
      <c r="F45" s="217">
        <f>AVERAGEA(B$36:B$45)</f>
        <v>119825.79829999999</v>
      </c>
      <c r="G45" s="218">
        <f t="shared" si="0"/>
        <v>0.23942804989351993</v>
      </c>
      <c r="H45" s="218">
        <f t="shared" si="1"/>
        <v>0.28570124733799818</v>
      </c>
    </row>
    <row r="46" spans="1:8">
      <c r="A46" s="144">
        <v>2007</v>
      </c>
      <c r="B46" s="217">
        <f>BroodTab!AC51+BroodTab!W52+BroodTab!Q52+BroodTab!K53+BroodTab!E54</f>
        <v>183026</v>
      </c>
      <c r="C46" s="479">
        <f>B46-BroodTab!B57</f>
        <v>113025</v>
      </c>
      <c r="D46" s="217">
        <f>BroodTab!B57</f>
        <v>70001</v>
      </c>
      <c r="E46" s="215">
        <v>25000</v>
      </c>
      <c r="F46" s="217">
        <f>AVERAGEA(B$37:B$46)</f>
        <v>127453.3</v>
      </c>
      <c r="G46" s="218">
        <f t="shared" si="0"/>
        <v>0.86340738474315126</v>
      </c>
      <c r="H46" s="218">
        <f t="shared" si="1"/>
        <v>0.61753521357621322</v>
      </c>
    </row>
    <row r="47" spans="1:8">
      <c r="A47" s="144">
        <v>2008</v>
      </c>
      <c r="B47" s="217">
        <f>BroodTab!AC52+BroodTab!W53+BroodTab!Q53+BroodTab!K54+BroodTab!E55</f>
        <v>120574</v>
      </c>
      <c r="C47" s="479">
        <f>B47-BroodTab!B58</f>
        <v>91276</v>
      </c>
      <c r="D47" s="217">
        <f>BroodTab!B58</f>
        <v>29298</v>
      </c>
      <c r="E47" s="215">
        <v>30000</v>
      </c>
      <c r="F47" s="217">
        <f>AVERAGEA(B$38:B$47)</f>
        <v>133173.70000000001</v>
      </c>
      <c r="G47" s="218">
        <f t="shared" si="0"/>
        <v>0.75119014049463395</v>
      </c>
      <c r="H47" s="218">
        <f t="shared" si="1"/>
        <v>0.7570122912070596</v>
      </c>
    </row>
    <row r="48" spans="1:8">
      <c r="A48" s="144">
        <v>2009</v>
      </c>
      <c r="B48" s="217">
        <f>BroodTab!AC53+BroodTab!W54+BroodTab!Q54+BroodTab!K55+BroodTab!E56</f>
        <v>113040</v>
      </c>
      <c r="C48" s="479">
        <f>B48-BroodTab!B59</f>
        <v>89854</v>
      </c>
      <c r="D48" s="217">
        <f>BroodTab!B59</f>
        <v>23186</v>
      </c>
      <c r="E48" s="215">
        <v>30000</v>
      </c>
      <c r="F48" s="217">
        <f>AVERAGEA(B$39:B$48)</f>
        <v>129672.5</v>
      </c>
      <c r="G48" s="218">
        <f t="shared" si="0"/>
        <v>0.73460721868365175</v>
      </c>
      <c r="H48" s="218">
        <f t="shared" si="1"/>
        <v>0.79488676574663841</v>
      </c>
    </row>
    <row r="49" spans="1:8">
      <c r="A49" s="144">
        <v>2010</v>
      </c>
      <c r="B49" s="217">
        <f>BroodTab!AC54+BroodTab!W55+BroodTab!Q55+BroodTab!K56+BroodTab!E57</f>
        <v>66793</v>
      </c>
      <c r="C49" s="479">
        <f>B49-BroodTab!B60</f>
        <v>42481</v>
      </c>
      <c r="D49" s="217">
        <f>BroodTab!B60</f>
        <v>24312</v>
      </c>
      <c r="E49" s="215">
        <v>30000</v>
      </c>
      <c r="F49" s="217">
        <f>AVERAGEA(B$40:B$49)</f>
        <v>114970.2</v>
      </c>
      <c r="G49" s="218">
        <f t="shared" si="0"/>
        <v>0.55085113709520461</v>
      </c>
      <c r="H49" s="218">
        <f t="shared" si="1"/>
        <v>0.63600976150195376</v>
      </c>
    </row>
    <row r="50" spans="1:8">
      <c r="A50" s="144">
        <v>2011</v>
      </c>
      <c r="B50" s="217">
        <f>BroodTab!AC55+BroodTab!W56+BroodTab!Q56+BroodTab!K57+BroodTab!E58</f>
        <v>234022</v>
      </c>
      <c r="C50" s="479">
        <f>B50-BroodTab!B61</f>
        <v>131663</v>
      </c>
      <c r="D50" s="217">
        <f>BroodTab!B61</f>
        <v>102359</v>
      </c>
      <c r="E50" s="215">
        <v>30001</v>
      </c>
      <c r="F50" s="217">
        <f>AVERAGEA(B$40:B$49)</f>
        <v>114970.2</v>
      </c>
      <c r="G50" s="218">
        <f t="shared" si="0"/>
        <v>0.87180265103280885</v>
      </c>
      <c r="H50" s="218">
        <f t="shared" si="1"/>
        <v>0.56260949825230111</v>
      </c>
    </row>
    <row r="51" spans="1:8">
      <c r="A51" s="144">
        <v>2012</v>
      </c>
      <c r="B51" s="217">
        <f>BroodTab!AC56+BroodTab!W57+BroodTab!Q57+BroodTab!K58+BroodTab!E59</f>
        <v>573938</v>
      </c>
      <c r="C51" s="479">
        <f>B51-BroodTab!B62</f>
        <v>498960</v>
      </c>
      <c r="D51" s="217">
        <f>BroodTab!B62</f>
        <v>74978</v>
      </c>
      <c r="E51" s="215">
        <v>30001</v>
      </c>
      <c r="F51" s="217">
        <f t="shared" ref="F51:F53" si="2">AVERAGEA(B$40:B$49)</f>
        <v>114970.2</v>
      </c>
      <c r="G51" s="218">
        <f t="shared" ref="G51:G53" si="3">IF(B51-E51&lt;=0,0,(B51-E51)/B51)</f>
        <v>0.94772780335158158</v>
      </c>
      <c r="H51" s="218">
        <f t="shared" ref="H51:H53" si="4">C51/B51</f>
        <v>0.86936219591663211</v>
      </c>
    </row>
    <row r="52" spans="1:8">
      <c r="A52" s="144">
        <v>2013</v>
      </c>
      <c r="B52" s="217">
        <f>BroodTab!AC57+BroodTab!W58+BroodTab!Q58+BroodTab!K59+BroodTab!E60</f>
        <v>79944</v>
      </c>
      <c r="C52" s="479">
        <f>B52-BroodTab!B63</f>
        <v>62713</v>
      </c>
      <c r="D52" s="217">
        <f>BroodTab!B63</f>
        <v>17231</v>
      </c>
      <c r="E52" s="215">
        <v>30001</v>
      </c>
      <c r="F52" s="217">
        <f t="shared" si="2"/>
        <v>114970.2</v>
      </c>
      <c r="G52" s="218">
        <f t="shared" si="3"/>
        <v>0.62472480736515557</v>
      </c>
      <c r="H52" s="218">
        <f t="shared" si="4"/>
        <v>0.78446162313619539</v>
      </c>
    </row>
    <row r="53" spans="1:8">
      <c r="A53" s="144">
        <v>2014</v>
      </c>
      <c r="B53" s="217">
        <f>BroodTab!AC58+BroodTab!W59+BroodTab!Q59+BroodTab!K60+BroodTab!E61</f>
        <v>104852</v>
      </c>
      <c r="C53" s="479">
        <f>B53-BroodTab!B64</f>
        <v>83016</v>
      </c>
      <c r="D53" s="217">
        <f>BroodTab!B64</f>
        <v>21836</v>
      </c>
      <c r="E53" s="215">
        <v>30001</v>
      </c>
      <c r="F53" s="217">
        <f t="shared" si="2"/>
        <v>114970.2</v>
      </c>
      <c r="G53" s="218">
        <f t="shared" si="3"/>
        <v>0.71387288749856936</v>
      </c>
      <c r="H53" s="218">
        <f t="shared" si="4"/>
        <v>0.79174455422881773</v>
      </c>
    </row>
    <row r="54" spans="1:8">
      <c r="A54" s="144"/>
      <c r="B54" s="134"/>
    </row>
    <row r="55" spans="1:8">
      <c r="A55" s="223" t="s">
        <v>47</v>
      </c>
      <c r="B55" s="321">
        <f>AVERAGE(B7:B54)</f>
        <v>177887.44192396387</v>
      </c>
      <c r="C55" s="321">
        <f t="shared" ref="C55:H55" si="5">AVERAGE(C7:C54)</f>
        <v>126252.91000907026</v>
      </c>
      <c r="D55" s="321">
        <f t="shared" si="5"/>
        <v>51634.531914893618</v>
      </c>
      <c r="E55" s="321">
        <f t="shared" si="5"/>
        <v>38510.723404255317</v>
      </c>
      <c r="F55" s="321">
        <f t="shared" si="5"/>
        <v>179499.60225689528</v>
      </c>
      <c r="G55" s="632">
        <f t="shared" si="5"/>
        <v>0.63447308705604966</v>
      </c>
      <c r="H55" s="632">
        <f t="shared" si="5"/>
        <v>0.65164292767793164</v>
      </c>
    </row>
    <row r="56" spans="1:8">
      <c r="A56" s="200" t="s">
        <v>375</v>
      </c>
      <c r="B56" s="322">
        <f>COUNT(B7:B54)</f>
        <v>47</v>
      </c>
      <c r="C56" s="322">
        <f t="shared" ref="C56:H56" si="6">COUNT(C7:C54)</f>
        <v>47</v>
      </c>
      <c r="D56" s="322">
        <f t="shared" si="6"/>
        <v>47</v>
      </c>
      <c r="E56" s="322">
        <f t="shared" si="6"/>
        <v>47</v>
      </c>
      <c r="F56" s="322">
        <f t="shared" si="6"/>
        <v>38</v>
      </c>
      <c r="G56" s="322">
        <f t="shared" si="6"/>
        <v>47</v>
      </c>
      <c r="H56" s="322">
        <f t="shared" si="6"/>
        <v>47</v>
      </c>
    </row>
    <row r="57" spans="1:8">
      <c r="A57" s="200" t="s">
        <v>376</v>
      </c>
      <c r="B57" s="322">
        <f>MIN(B7:B54)</f>
        <v>9291</v>
      </c>
      <c r="C57" s="322">
        <f t="shared" ref="C57:H57" si="7">MIN(C7:C54)</f>
        <v>2027</v>
      </c>
      <c r="D57" s="322">
        <f t="shared" si="7"/>
        <v>7264</v>
      </c>
      <c r="E57" s="322">
        <f t="shared" si="7"/>
        <v>25000</v>
      </c>
      <c r="F57" s="322">
        <f t="shared" si="7"/>
        <v>67215.683984558709</v>
      </c>
      <c r="G57" s="324">
        <f t="shared" si="7"/>
        <v>0</v>
      </c>
      <c r="H57" s="324">
        <f t="shared" si="7"/>
        <v>0.21816811968571737</v>
      </c>
    </row>
    <row r="58" spans="1:8">
      <c r="A58" s="224" t="s">
        <v>377</v>
      </c>
      <c r="B58" s="323">
        <f>MAX(B7:B54)</f>
        <v>1127475.2720999999</v>
      </c>
      <c r="C58" s="323">
        <f t="shared" ref="C58:H58" si="8">MAX(C7:C54)</f>
        <v>947161.27209999994</v>
      </c>
      <c r="D58" s="323">
        <f t="shared" si="8"/>
        <v>187263</v>
      </c>
      <c r="E58" s="323">
        <f t="shared" si="8"/>
        <v>50000</v>
      </c>
      <c r="F58" s="323">
        <f t="shared" si="8"/>
        <v>376840.97612521495</v>
      </c>
      <c r="G58" s="325">
        <f t="shared" si="8"/>
        <v>0.95565312939691216</v>
      </c>
      <c r="H58" s="325">
        <f t="shared" si="8"/>
        <v>0.8695495599314329</v>
      </c>
    </row>
    <row r="60" spans="1:8">
      <c r="A60" s="365" t="s">
        <v>393</v>
      </c>
      <c r="C60" s="374">
        <f>AVERAGE(C37:C46)</f>
        <v>86118.399999999994</v>
      </c>
    </row>
    <row r="62" spans="1:8">
      <c r="B62" s="604">
        <f>MEDIAN(B7:B53)</f>
        <v>126991</v>
      </c>
      <c r="C62" s="604">
        <f>MEDIAN(C7:C53)</f>
        <v>83016</v>
      </c>
    </row>
  </sheetData>
  <phoneticPr fontId="11" type="noConversion"/>
  <pageMargins left="0.5" right="0.5" top="1" bottom="0.55000000000000004" header="0.5" footer="0.5"/>
  <pageSetup orientation="landscape"/>
  <headerFooter alignWithMargins="0">
    <oddFooter>&amp;L&amp;D&amp;C+&amp;R^</oddFooter>
  </headerFooter>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6" enableFormatConditionsCalculation="0">
    <tabColor indexed="10"/>
  </sheetPr>
  <dimension ref="A1:AA57"/>
  <sheetViews>
    <sheetView defaultGridColor="0" colorId="22" zoomScale="77" workbookViewId="0">
      <pane xSplit="1" ySplit="9" topLeftCell="B10" activePane="bottomRight" state="frozen"/>
      <selection pane="topRight" activeCell="B1" sqref="B1"/>
      <selection pane="bottomLeft" activeCell="A10" sqref="A10"/>
      <selection pane="bottomRight" activeCell="B10" sqref="B10"/>
    </sheetView>
  </sheetViews>
  <sheetFormatPr baseColWidth="10" defaultColWidth="9.625" defaultRowHeight="16" x14ac:dyDescent="0"/>
  <cols>
    <col min="7" max="8" width="7.625" customWidth="1"/>
    <col min="9" max="9" width="10.125" customWidth="1"/>
    <col min="10" max="10" width="12.625" customWidth="1"/>
    <col min="16" max="16" width="7.625" customWidth="1"/>
    <col min="24" max="24" width="4.625" customWidth="1"/>
    <col min="26" max="26" width="11.25" customWidth="1"/>
    <col min="28" max="28" width="3.625" customWidth="1"/>
  </cols>
  <sheetData>
    <row r="1" spans="1:27">
      <c r="A1" t="s">
        <v>63</v>
      </c>
    </row>
    <row r="5" spans="1:27">
      <c r="A5" t="s">
        <v>64</v>
      </c>
      <c r="I5" t="s">
        <v>65</v>
      </c>
    </row>
    <row r="7" spans="1:27">
      <c r="A7" s="19"/>
      <c r="B7" s="30" t="s">
        <v>66</v>
      </c>
      <c r="C7" s="31"/>
      <c r="D7" s="31"/>
      <c r="E7" s="31"/>
      <c r="F7" s="31"/>
      <c r="G7" s="31"/>
      <c r="H7" s="31"/>
      <c r="I7" s="32"/>
      <c r="J7" s="33" t="s">
        <v>67</v>
      </c>
      <c r="K7" s="30" t="s">
        <v>68</v>
      </c>
      <c r="L7" s="31"/>
      <c r="M7" s="32"/>
      <c r="N7" s="19" t="s">
        <v>69</v>
      </c>
      <c r="O7" s="19" t="s">
        <v>70</v>
      </c>
      <c r="P7" s="19" t="s">
        <v>71</v>
      </c>
      <c r="Q7" s="27"/>
      <c r="S7" s="27"/>
      <c r="U7" s="19"/>
      <c r="V7" s="19"/>
      <c r="W7" s="27"/>
      <c r="Y7" s="30" t="s">
        <v>68</v>
      </c>
      <c r="Z7" s="32"/>
      <c r="AA7" s="27"/>
    </row>
    <row r="8" spans="1:27">
      <c r="A8" s="21" t="s">
        <v>55</v>
      </c>
      <c r="B8" s="19"/>
      <c r="C8" s="19"/>
      <c r="D8" s="19"/>
      <c r="E8" s="19" t="s">
        <v>72</v>
      </c>
      <c r="F8" s="19" t="s">
        <v>73</v>
      </c>
      <c r="G8" s="19"/>
      <c r="H8" s="34" t="s">
        <v>73</v>
      </c>
      <c r="I8" s="19"/>
      <c r="J8" s="21" t="s">
        <v>28</v>
      </c>
      <c r="K8" s="35"/>
      <c r="L8" s="35"/>
      <c r="M8" s="36"/>
      <c r="N8" s="21" t="s">
        <v>74</v>
      </c>
      <c r="O8" s="21" t="s">
        <v>75</v>
      </c>
      <c r="P8" s="21" t="s">
        <v>76</v>
      </c>
      <c r="Q8" s="26"/>
      <c r="S8" s="26"/>
      <c r="U8" s="21" t="s">
        <v>77</v>
      </c>
      <c r="V8" s="21" t="s">
        <v>78</v>
      </c>
      <c r="W8" s="26"/>
      <c r="Y8" s="37"/>
      <c r="Z8" s="36"/>
      <c r="AA8" s="26"/>
    </row>
    <row r="9" spans="1:27">
      <c r="A9" s="22" t="s">
        <v>42</v>
      </c>
      <c r="B9" s="22" t="s">
        <v>79</v>
      </c>
      <c r="C9" s="22" t="s">
        <v>80</v>
      </c>
      <c r="D9" s="22" t="s">
        <v>77</v>
      </c>
      <c r="E9" s="22" t="s">
        <v>81</v>
      </c>
      <c r="F9" s="22" t="s">
        <v>81</v>
      </c>
      <c r="G9" s="22" t="s">
        <v>82</v>
      </c>
      <c r="H9" s="38" t="s">
        <v>79</v>
      </c>
      <c r="I9" s="22" t="s">
        <v>67</v>
      </c>
      <c r="J9" s="22" t="s">
        <v>83</v>
      </c>
      <c r="K9" s="39" t="s">
        <v>67</v>
      </c>
      <c r="L9" s="39" t="s">
        <v>77</v>
      </c>
      <c r="M9" s="40" t="s">
        <v>78</v>
      </c>
      <c r="N9" s="22" t="s">
        <v>84</v>
      </c>
      <c r="O9" s="22" t="s">
        <v>85</v>
      </c>
      <c r="P9" s="22" t="s">
        <v>86</v>
      </c>
      <c r="Q9" s="22" t="s">
        <v>87</v>
      </c>
      <c r="S9" s="28" t="s">
        <v>88</v>
      </c>
      <c r="U9" s="22" t="s">
        <v>29</v>
      </c>
      <c r="V9" s="22" t="s">
        <v>29</v>
      </c>
      <c r="W9" s="22" t="s">
        <v>28</v>
      </c>
      <c r="Y9" s="41" t="s">
        <v>89</v>
      </c>
      <c r="Z9" s="40" t="s">
        <v>90</v>
      </c>
      <c r="AA9" s="22" t="s">
        <v>87</v>
      </c>
    </row>
    <row r="10" spans="1:27">
      <c r="A10" s="19">
        <v>1969</v>
      </c>
      <c r="B10" s="42">
        <v>922</v>
      </c>
      <c r="C10" s="43">
        <v>2137</v>
      </c>
      <c r="D10" s="43">
        <v>64419</v>
      </c>
      <c r="E10" s="43">
        <v>6668</v>
      </c>
      <c r="F10" s="43">
        <v>69164</v>
      </c>
      <c r="G10" s="43">
        <v>0</v>
      </c>
      <c r="H10" s="43">
        <v>428</v>
      </c>
      <c r="I10" s="44"/>
      <c r="J10" s="44">
        <f t="shared" ref="J10:J37" si="0">K10+I10</f>
        <v>8351</v>
      </c>
      <c r="K10" s="43">
        <v>8351</v>
      </c>
      <c r="L10" s="43">
        <v>71627</v>
      </c>
      <c r="M10" s="44">
        <v>4984</v>
      </c>
      <c r="N10" s="45">
        <v>56785</v>
      </c>
      <c r="O10" s="45"/>
      <c r="P10" s="44"/>
      <c r="Q10" s="375">
        <f t="shared" ref="Q10:Q25" si="1">SUM(B10:N10)</f>
        <v>293836</v>
      </c>
      <c r="R10" s="1"/>
      <c r="S10" s="45"/>
      <c r="T10" s="1"/>
      <c r="U10" s="45">
        <v>81000</v>
      </c>
      <c r="V10" s="47">
        <v>61196</v>
      </c>
      <c r="W10" s="46"/>
      <c r="X10" s="1"/>
      <c r="Y10" s="42">
        <v>38093</v>
      </c>
      <c r="Z10" s="43">
        <v>696836</v>
      </c>
      <c r="AA10" s="375">
        <f t="shared" ref="AA10:AA42" si="2">Z10+Y10</f>
        <v>734929</v>
      </c>
    </row>
    <row r="11" spans="1:27">
      <c r="A11" s="21">
        <v>1970</v>
      </c>
      <c r="B11" s="24">
        <v>486</v>
      </c>
      <c r="C11" s="23">
        <v>1385</v>
      </c>
      <c r="D11" s="23">
        <v>16102</v>
      </c>
      <c r="E11" s="23">
        <v>7182</v>
      </c>
      <c r="F11" s="23">
        <v>32914</v>
      </c>
      <c r="G11" s="23">
        <v>2</v>
      </c>
      <c r="H11" s="23">
        <v>85</v>
      </c>
      <c r="I11" s="48"/>
      <c r="J11" s="48">
        <f t="shared" si="0"/>
        <v>7018</v>
      </c>
      <c r="K11" s="23">
        <v>7018</v>
      </c>
      <c r="L11" s="23">
        <v>20947</v>
      </c>
      <c r="M11" s="48">
        <v>2184</v>
      </c>
      <c r="N11" s="47">
        <v>15396</v>
      </c>
      <c r="O11" s="47"/>
      <c r="P11" s="48"/>
      <c r="Q11" s="376">
        <f t="shared" si="1"/>
        <v>110719</v>
      </c>
      <c r="R11" s="1"/>
      <c r="S11" s="47"/>
      <c r="T11" s="1"/>
      <c r="U11" s="47">
        <v>35200</v>
      </c>
      <c r="V11" s="47">
        <v>11460</v>
      </c>
      <c r="W11" s="25"/>
      <c r="X11" s="1"/>
      <c r="Y11" s="24">
        <v>23623</v>
      </c>
      <c r="Z11" s="23">
        <v>1115104</v>
      </c>
      <c r="AA11" s="376">
        <f t="shared" si="2"/>
        <v>1138727</v>
      </c>
    </row>
    <row r="12" spans="1:27">
      <c r="A12" s="21">
        <v>1971</v>
      </c>
      <c r="B12" s="24">
        <v>1140</v>
      </c>
      <c r="C12" s="23">
        <v>10218</v>
      </c>
      <c r="D12" s="23">
        <v>29862</v>
      </c>
      <c r="E12" s="23">
        <v>3591</v>
      </c>
      <c r="F12" s="23">
        <v>18793</v>
      </c>
      <c r="G12" s="23">
        <v>0</v>
      </c>
      <c r="H12" s="23">
        <v>31</v>
      </c>
      <c r="I12" s="48"/>
      <c r="J12" s="48">
        <f t="shared" si="0"/>
        <v>1470</v>
      </c>
      <c r="K12" s="23">
        <v>1470</v>
      </c>
      <c r="L12" s="23">
        <v>23263</v>
      </c>
      <c r="M12" s="48"/>
      <c r="N12" s="47"/>
      <c r="O12" s="47"/>
      <c r="P12" s="48"/>
      <c r="Q12" s="376">
        <f t="shared" si="1"/>
        <v>89838</v>
      </c>
      <c r="R12" s="1"/>
      <c r="S12" s="47"/>
      <c r="T12" s="1"/>
      <c r="U12" s="47">
        <v>15000</v>
      </c>
      <c r="V12" s="47">
        <v>954</v>
      </c>
      <c r="W12" s="25"/>
      <c r="X12" s="1"/>
      <c r="Y12" s="24">
        <v>36776</v>
      </c>
      <c r="Z12" s="23">
        <v>616801</v>
      </c>
      <c r="AA12" s="376">
        <f t="shared" si="2"/>
        <v>653577</v>
      </c>
    </row>
    <row r="13" spans="1:27">
      <c r="A13" s="21">
        <v>1972</v>
      </c>
      <c r="B13" s="24"/>
      <c r="C13" s="23"/>
      <c r="D13" s="23"/>
      <c r="E13" s="23"/>
      <c r="F13" s="23"/>
      <c r="G13" s="23"/>
      <c r="H13" s="23"/>
      <c r="I13" s="48"/>
      <c r="J13" s="48">
        <f t="shared" si="0"/>
        <v>10010</v>
      </c>
      <c r="K13" s="23">
        <v>10010</v>
      </c>
      <c r="L13" s="23">
        <v>134628</v>
      </c>
      <c r="M13" s="48">
        <v>15117</v>
      </c>
      <c r="N13" s="47">
        <v>37771</v>
      </c>
      <c r="O13" s="47"/>
      <c r="P13" s="48"/>
      <c r="Q13" s="376">
        <f t="shared" si="1"/>
        <v>207536</v>
      </c>
      <c r="R13" s="1"/>
      <c r="S13" s="47"/>
      <c r="T13" s="1"/>
      <c r="U13" s="47">
        <v>51000</v>
      </c>
      <c r="V13" s="47">
        <v>28683</v>
      </c>
      <c r="W13" s="25"/>
      <c r="X13" s="1"/>
      <c r="Y13" s="24">
        <v>51445</v>
      </c>
      <c r="Z13" s="23">
        <v>727144</v>
      </c>
      <c r="AA13" s="376">
        <f t="shared" si="2"/>
        <v>778589</v>
      </c>
    </row>
    <row r="14" spans="1:27">
      <c r="A14" s="21">
        <v>1973</v>
      </c>
      <c r="B14" s="24">
        <v>145</v>
      </c>
      <c r="C14" s="23">
        <v>745</v>
      </c>
      <c r="D14" s="23">
        <v>2984</v>
      </c>
      <c r="E14" s="23">
        <v>1418</v>
      </c>
      <c r="F14" s="23">
        <v>4461</v>
      </c>
      <c r="G14" s="23">
        <v>20</v>
      </c>
      <c r="H14" s="23">
        <v>91</v>
      </c>
      <c r="I14" s="48"/>
      <c r="J14" s="48">
        <f t="shared" si="0"/>
        <v>8858</v>
      </c>
      <c r="K14" s="23">
        <v>8858</v>
      </c>
      <c r="L14" s="23">
        <v>89630</v>
      </c>
      <c r="M14" s="48">
        <v>7470</v>
      </c>
      <c r="N14" s="47">
        <v>8969</v>
      </c>
      <c r="O14" s="47"/>
      <c r="P14" s="48"/>
      <c r="Q14" s="376">
        <f t="shared" si="1"/>
        <v>133649</v>
      </c>
      <c r="R14" s="1"/>
      <c r="S14" s="47"/>
      <c r="T14" s="1"/>
      <c r="U14" s="47">
        <v>55000</v>
      </c>
      <c r="V14" s="47">
        <v>10202</v>
      </c>
      <c r="W14" s="25"/>
      <c r="X14" s="1"/>
      <c r="Y14" s="24">
        <v>15448</v>
      </c>
      <c r="Z14" s="23">
        <v>332805</v>
      </c>
      <c r="AA14" s="376">
        <f t="shared" si="2"/>
        <v>348253</v>
      </c>
    </row>
    <row r="15" spans="1:27">
      <c r="A15" s="21">
        <v>1974</v>
      </c>
      <c r="B15" s="24"/>
      <c r="C15" s="23"/>
      <c r="D15" s="23">
        <v>3437</v>
      </c>
      <c r="E15" s="23">
        <v>836</v>
      </c>
      <c r="F15" s="23"/>
      <c r="G15" s="23"/>
      <c r="H15" s="23">
        <v>0</v>
      </c>
      <c r="I15" s="48"/>
      <c r="J15" s="48">
        <f t="shared" si="0"/>
        <v>10449</v>
      </c>
      <c r="K15" s="23">
        <v>10449</v>
      </c>
      <c r="L15" s="23">
        <v>96110</v>
      </c>
      <c r="M15" s="48">
        <v>12640</v>
      </c>
      <c r="N15" s="47">
        <v>6394</v>
      </c>
      <c r="O15" s="47"/>
      <c r="P15" s="48"/>
      <c r="Q15" s="376">
        <f t="shared" si="1"/>
        <v>140315</v>
      </c>
      <c r="R15" s="1"/>
      <c r="S15" s="47"/>
      <c r="T15" s="1"/>
      <c r="U15" s="47">
        <v>22334</v>
      </c>
      <c r="V15" s="47">
        <v>633</v>
      </c>
      <c r="W15" s="25"/>
      <c r="X15" s="1"/>
      <c r="Y15" s="24">
        <v>4208</v>
      </c>
      <c r="Z15" s="23">
        <v>607266</v>
      </c>
      <c r="AA15" s="376">
        <f t="shared" si="2"/>
        <v>611474</v>
      </c>
    </row>
    <row r="16" spans="1:27">
      <c r="A16" s="21">
        <v>1975</v>
      </c>
      <c r="B16" s="24">
        <v>2671</v>
      </c>
      <c r="C16" s="23">
        <v>1882</v>
      </c>
      <c r="D16" s="23">
        <v>6367</v>
      </c>
      <c r="E16" s="23">
        <f>7134+4242</f>
        <v>11376</v>
      </c>
      <c r="F16" s="23">
        <v>7796</v>
      </c>
      <c r="G16" s="23">
        <v>15</v>
      </c>
      <c r="H16" s="23">
        <v>1330</v>
      </c>
      <c r="I16" s="48"/>
      <c r="J16" s="48">
        <f t="shared" si="0"/>
        <v>12056</v>
      </c>
      <c r="K16" s="23">
        <v>12056</v>
      </c>
      <c r="L16" s="23">
        <v>146106</v>
      </c>
      <c r="M16" s="48"/>
      <c r="N16" s="47"/>
      <c r="O16" s="47"/>
      <c r="P16" s="48"/>
      <c r="Q16" s="376">
        <f t="shared" si="1"/>
        <v>201655</v>
      </c>
      <c r="R16" s="1"/>
      <c r="S16" s="47"/>
      <c r="T16" s="1"/>
      <c r="U16" s="47">
        <v>34855</v>
      </c>
      <c r="V16" s="47">
        <v>1724</v>
      </c>
      <c r="W16" s="25"/>
      <c r="X16" s="1"/>
      <c r="Y16" s="24">
        <v>21637</v>
      </c>
      <c r="Z16" s="23">
        <v>335384</v>
      </c>
      <c r="AA16" s="376">
        <f t="shared" si="2"/>
        <v>357021</v>
      </c>
    </row>
    <row r="17" spans="1:27">
      <c r="A17" s="21">
        <v>1976</v>
      </c>
      <c r="B17" s="24">
        <v>5732</v>
      </c>
      <c r="C17" s="23">
        <v>2854</v>
      </c>
      <c r="D17" s="23">
        <v>6942</v>
      </c>
      <c r="E17" s="23">
        <v>3853</v>
      </c>
      <c r="F17" s="23">
        <v>25456</v>
      </c>
      <c r="G17" s="23"/>
      <c r="H17" s="23">
        <v>588</v>
      </c>
      <c r="I17" s="48"/>
      <c r="J17" s="48">
        <f t="shared" si="0"/>
        <v>8421</v>
      </c>
      <c r="K17" s="23">
        <v>8421</v>
      </c>
      <c r="L17" s="23">
        <v>58963</v>
      </c>
      <c r="M17" s="48"/>
      <c r="N17" s="47"/>
      <c r="O17" s="47"/>
      <c r="P17" s="48"/>
      <c r="Q17" s="376">
        <f t="shared" si="1"/>
        <v>121230</v>
      </c>
      <c r="R17" s="1"/>
      <c r="S17" s="47"/>
      <c r="T17" s="1"/>
      <c r="U17" s="47">
        <v>9056</v>
      </c>
      <c r="V17" s="47">
        <v>19367</v>
      </c>
      <c r="W17" s="25"/>
      <c r="X17" s="1"/>
      <c r="Y17" s="24">
        <v>30908</v>
      </c>
      <c r="Z17" s="23">
        <v>865123</v>
      </c>
      <c r="AA17" s="376">
        <f t="shared" si="2"/>
        <v>896031</v>
      </c>
    </row>
    <row r="18" spans="1:27">
      <c r="A18" s="21">
        <v>1977</v>
      </c>
      <c r="B18" s="24">
        <v>23838</v>
      </c>
      <c r="C18" s="23">
        <v>12841</v>
      </c>
      <c r="D18" s="23">
        <v>16436</v>
      </c>
      <c r="E18" s="23">
        <v>15653</v>
      </c>
      <c r="F18" s="23">
        <v>43105</v>
      </c>
      <c r="G18" s="23">
        <v>64</v>
      </c>
      <c r="H18" s="23">
        <v>9350</v>
      </c>
      <c r="I18" s="48"/>
      <c r="J18" s="48">
        <f t="shared" si="0"/>
        <v>7912</v>
      </c>
      <c r="K18" s="23">
        <v>7912</v>
      </c>
      <c r="L18" s="23">
        <v>154342</v>
      </c>
      <c r="M18" s="48">
        <v>16916</v>
      </c>
      <c r="N18" s="47">
        <v>9889</v>
      </c>
      <c r="O18" s="47"/>
      <c r="P18" s="48"/>
      <c r="Q18" s="376">
        <f t="shared" si="1"/>
        <v>318258</v>
      </c>
      <c r="R18" s="1"/>
      <c r="S18" s="47"/>
      <c r="T18" s="1"/>
      <c r="U18" s="47">
        <v>31562</v>
      </c>
      <c r="V18" s="47">
        <v>11746</v>
      </c>
      <c r="W18" s="25"/>
      <c r="X18" s="1"/>
      <c r="Y18" s="24">
        <v>14445</v>
      </c>
      <c r="Z18" s="23">
        <v>619140</v>
      </c>
      <c r="AA18" s="376">
        <f t="shared" si="2"/>
        <v>633585</v>
      </c>
    </row>
    <row r="19" spans="1:27">
      <c r="A19" s="21">
        <v>1978</v>
      </c>
      <c r="B19" s="24">
        <v>4702</v>
      </c>
      <c r="C19" s="23">
        <v>4639</v>
      </c>
      <c r="D19" s="23">
        <v>9623</v>
      </c>
      <c r="E19" s="23"/>
      <c r="F19" s="23">
        <v>0</v>
      </c>
      <c r="G19" s="23"/>
      <c r="H19" s="23">
        <v>104</v>
      </c>
      <c r="I19" s="48"/>
      <c r="J19" s="48">
        <f t="shared" si="0"/>
        <v>9116</v>
      </c>
      <c r="K19" s="23">
        <v>9116</v>
      </c>
      <c r="L19" s="23">
        <v>193899</v>
      </c>
      <c r="M19" s="48"/>
      <c r="N19" s="47"/>
      <c r="O19" s="47"/>
      <c r="P19" s="48"/>
      <c r="Q19" s="376">
        <f t="shared" si="1"/>
        <v>231199</v>
      </c>
      <c r="R19" s="1"/>
      <c r="S19" s="47"/>
      <c r="T19" s="1"/>
      <c r="U19" s="47">
        <v>42284</v>
      </c>
      <c r="V19" s="47">
        <v>12580</v>
      </c>
      <c r="W19" s="25"/>
      <c r="X19" s="1"/>
      <c r="Y19" s="24">
        <v>33554</v>
      </c>
      <c r="Z19" s="23">
        <v>249872</v>
      </c>
      <c r="AA19" s="376">
        <f t="shared" si="2"/>
        <v>283426</v>
      </c>
    </row>
    <row r="20" spans="1:27">
      <c r="A20" s="21">
        <v>1979</v>
      </c>
      <c r="B20" s="24">
        <v>14965</v>
      </c>
      <c r="C20" s="23">
        <v>2118</v>
      </c>
      <c r="D20" s="23">
        <v>3047</v>
      </c>
      <c r="E20" s="23">
        <v>873</v>
      </c>
      <c r="F20" s="23">
        <v>36372</v>
      </c>
      <c r="G20" s="23">
        <v>2474</v>
      </c>
      <c r="H20" s="23">
        <v>5382</v>
      </c>
      <c r="I20" s="48"/>
      <c r="J20" s="48">
        <f t="shared" si="0"/>
        <v>9250</v>
      </c>
      <c r="K20" s="23">
        <v>9250</v>
      </c>
      <c r="L20" s="23">
        <v>75753</v>
      </c>
      <c r="M20" s="48"/>
      <c r="N20" s="47"/>
      <c r="O20" s="47"/>
      <c r="P20" s="48"/>
      <c r="Q20" s="376">
        <f t="shared" si="1"/>
        <v>159484</v>
      </c>
      <c r="R20" s="1"/>
      <c r="S20" s="47"/>
      <c r="T20" s="1"/>
      <c r="U20" s="47">
        <v>48281</v>
      </c>
      <c r="V20" s="47">
        <v>12169</v>
      </c>
      <c r="W20" s="25"/>
      <c r="X20" s="1"/>
      <c r="Y20" s="24">
        <v>139015</v>
      </c>
      <c r="Z20" s="23">
        <v>80528</v>
      </c>
      <c r="AA20" s="376">
        <f t="shared" si="2"/>
        <v>219543</v>
      </c>
    </row>
    <row r="21" spans="1:27">
      <c r="A21" s="21">
        <v>1980</v>
      </c>
      <c r="B21" s="24">
        <v>5195</v>
      </c>
      <c r="C21" s="23">
        <v>10059</v>
      </c>
      <c r="D21" s="23">
        <v>2159</v>
      </c>
      <c r="E21" s="23">
        <v>4471</v>
      </c>
      <c r="F21" s="23">
        <v>101140</v>
      </c>
      <c r="G21" s="23">
        <v>0</v>
      </c>
      <c r="H21" s="23">
        <v>5604</v>
      </c>
      <c r="I21" s="48"/>
      <c r="J21" s="48">
        <f t="shared" si="0"/>
        <v>1547</v>
      </c>
      <c r="K21" s="23">
        <v>1547</v>
      </c>
      <c r="L21" s="23">
        <v>56957</v>
      </c>
      <c r="M21" s="48">
        <v>684</v>
      </c>
      <c r="N21" s="47">
        <v>2000</v>
      </c>
      <c r="O21" s="47"/>
      <c r="P21" s="48"/>
      <c r="Q21" s="376">
        <f t="shared" si="1"/>
        <v>191363</v>
      </c>
      <c r="R21" s="1"/>
      <c r="S21" s="47">
        <v>7</v>
      </c>
      <c r="T21" s="1"/>
      <c r="U21" s="47">
        <v>142253</v>
      </c>
      <c r="V21" s="47">
        <v>44263</v>
      </c>
      <c r="W21" s="25"/>
      <c r="X21" s="1"/>
      <c r="Y21" s="24">
        <v>0</v>
      </c>
      <c r="Z21" s="23">
        <v>18908</v>
      </c>
      <c r="AA21" s="376">
        <f t="shared" si="2"/>
        <v>18908</v>
      </c>
    </row>
    <row r="22" spans="1:27">
      <c r="A22" s="21">
        <v>1981</v>
      </c>
      <c r="B22" s="24">
        <v>26590</v>
      </c>
      <c r="C22" s="23">
        <v>31358</v>
      </c>
      <c r="D22" s="23">
        <v>1997</v>
      </c>
      <c r="E22" s="23">
        <v>200</v>
      </c>
      <c r="F22" s="23">
        <v>81438</v>
      </c>
      <c r="G22" s="23">
        <v>1101</v>
      </c>
      <c r="H22" s="23">
        <v>5035</v>
      </c>
      <c r="I22" s="48"/>
      <c r="J22" s="48">
        <f t="shared" si="0"/>
        <v>2445</v>
      </c>
      <c r="K22" s="23">
        <v>2445</v>
      </c>
      <c r="L22" s="23">
        <v>101047</v>
      </c>
      <c r="M22" s="48"/>
      <c r="N22" s="47"/>
      <c r="O22" s="47"/>
      <c r="P22" s="48"/>
      <c r="Q22" s="376">
        <f t="shared" si="1"/>
        <v>253656</v>
      </c>
      <c r="R22" s="1"/>
      <c r="S22" s="47">
        <v>3</v>
      </c>
      <c r="T22" s="1"/>
      <c r="U22" s="47">
        <v>156112</v>
      </c>
      <c r="V22" s="47">
        <v>23048</v>
      </c>
      <c r="W22" s="25"/>
      <c r="X22" s="1"/>
      <c r="Y22" s="24">
        <v>55585</v>
      </c>
      <c r="Z22" s="23">
        <v>477662</v>
      </c>
      <c r="AA22" s="376">
        <f t="shared" si="2"/>
        <v>533247</v>
      </c>
    </row>
    <row r="23" spans="1:27">
      <c r="A23" s="21">
        <v>1982</v>
      </c>
      <c r="B23" s="24">
        <v>1986</v>
      </c>
      <c r="C23" s="23">
        <v>3877</v>
      </c>
      <c r="D23" s="23">
        <v>17466</v>
      </c>
      <c r="E23" s="23">
        <v>15349</v>
      </c>
      <c r="F23" s="23">
        <v>37180</v>
      </c>
      <c r="G23" s="23">
        <v>0</v>
      </c>
      <c r="H23" s="23">
        <v>329</v>
      </c>
      <c r="I23" s="48"/>
      <c r="J23" s="48">
        <f t="shared" si="0"/>
        <v>48947</v>
      </c>
      <c r="K23" s="23">
        <v>48947</v>
      </c>
      <c r="L23" s="23">
        <v>930010</v>
      </c>
      <c r="M23" s="48"/>
      <c r="N23" s="47"/>
      <c r="O23" s="47"/>
      <c r="P23" s="48"/>
      <c r="Q23" s="376">
        <f t="shared" si="1"/>
        <v>1104091</v>
      </c>
      <c r="R23" s="1"/>
      <c r="S23" s="47">
        <v>84</v>
      </c>
      <c r="T23" s="1"/>
      <c r="U23" s="47">
        <v>180314</v>
      </c>
      <c r="V23" s="47">
        <v>6782</v>
      </c>
      <c r="W23" s="25"/>
      <c r="X23" s="1"/>
      <c r="Y23" s="24">
        <v>129667</v>
      </c>
      <c r="Z23" s="23">
        <v>1177895</v>
      </c>
      <c r="AA23" s="376">
        <f t="shared" si="2"/>
        <v>1307562</v>
      </c>
    </row>
    <row r="24" spans="1:27">
      <c r="A24" s="21">
        <v>1983</v>
      </c>
      <c r="B24" s="24">
        <v>9780</v>
      </c>
      <c r="C24" s="23">
        <v>2458</v>
      </c>
      <c r="D24" s="23">
        <v>175</v>
      </c>
      <c r="E24" s="23">
        <v>2064</v>
      </c>
      <c r="F24" s="23">
        <v>30609</v>
      </c>
      <c r="G24" s="23">
        <v>78</v>
      </c>
      <c r="H24" s="23">
        <v>3039</v>
      </c>
      <c r="I24" s="48"/>
      <c r="J24" s="48">
        <f t="shared" si="0"/>
        <v>13223</v>
      </c>
      <c r="K24" s="23">
        <v>13223</v>
      </c>
      <c r="L24" s="23">
        <v>38273</v>
      </c>
      <c r="M24" s="48">
        <v>924</v>
      </c>
      <c r="N24" s="47">
        <v>1328</v>
      </c>
      <c r="O24" s="47"/>
      <c r="P24" s="48">
        <v>0</v>
      </c>
      <c r="Q24" s="376">
        <f t="shared" si="1"/>
        <v>115174</v>
      </c>
      <c r="R24" s="1"/>
      <c r="S24" s="47">
        <v>22</v>
      </c>
      <c r="T24" s="1"/>
      <c r="U24" s="47">
        <v>38783</v>
      </c>
      <c r="V24" s="47">
        <v>10348</v>
      </c>
      <c r="W24" s="25"/>
      <c r="X24" s="1"/>
      <c r="Y24" s="24">
        <v>179791</v>
      </c>
      <c r="Z24" s="23">
        <v>626743</v>
      </c>
      <c r="AA24" s="376">
        <f t="shared" si="2"/>
        <v>806534</v>
      </c>
    </row>
    <row r="25" spans="1:27">
      <c r="A25" s="21">
        <v>1984</v>
      </c>
      <c r="B25" s="24">
        <v>5098</v>
      </c>
      <c r="C25" s="23">
        <v>5858</v>
      </c>
      <c r="D25" s="23">
        <v>51</v>
      </c>
      <c r="E25" s="23">
        <v>20645</v>
      </c>
      <c r="F25" s="23">
        <v>124255</v>
      </c>
      <c r="G25" s="23">
        <v>69</v>
      </c>
      <c r="H25" s="23">
        <v>3555</v>
      </c>
      <c r="I25" s="48"/>
      <c r="J25" s="48">
        <f t="shared" si="0"/>
        <v>27386</v>
      </c>
      <c r="K25" s="23">
        <v>27386</v>
      </c>
      <c r="L25" s="23">
        <v>99799</v>
      </c>
      <c r="M25" s="48">
        <v>25250</v>
      </c>
      <c r="N25" s="47">
        <v>24057</v>
      </c>
      <c r="O25" s="47"/>
      <c r="P25" s="48">
        <v>0</v>
      </c>
      <c r="Q25" s="376">
        <f t="shared" si="1"/>
        <v>363409</v>
      </c>
      <c r="R25" s="1"/>
      <c r="S25" s="47">
        <v>10</v>
      </c>
      <c r="T25" s="1"/>
      <c r="U25" s="47">
        <v>63622</v>
      </c>
      <c r="V25" s="47">
        <v>36121</v>
      </c>
      <c r="W25" s="25"/>
      <c r="X25" s="1"/>
      <c r="Y25" s="24">
        <v>99022</v>
      </c>
      <c r="Z25" s="23">
        <v>900043</v>
      </c>
      <c r="AA25" s="376">
        <f t="shared" si="2"/>
        <v>999065</v>
      </c>
    </row>
    <row r="26" spans="1:27">
      <c r="A26" s="21">
        <v>1985</v>
      </c>
      <c r="B26" s="24">
        <v>18274</v>
      </c>
      <c r="C26" s="23">
        <v>6018</v>
      </c>
      <c r="D26" s="23">
        <v>10757</v>
      </c>
      <c r="E26" s="23">
        <v>6378</v>
      </c>
      <c r="F26" s="23">
        <v>78118</v>
      </c>
      <c r="G26" s="23">
        <v>1131</v>
      </c>
      <c r="H26" s="23">
        <v>4317</v>
      </c>
      <c r="I26" s="48"/>
      <c r="J26" s="48">
        <f t="shared" si="0"/>
        <v>27532</v>
      </c>
      <c r="K26" s="23">
        <v>27532</v>
      </c>
      <c r="L26" s="23">
        <v>339296</v>
      </c>
      <c r="M26" s="48">
        <v>667</v>
      </c>
      <c r="N26" s="47">
        <v>3439</v>
      </c>
      <c r="O26" s="47"/>
      <c r="P26" s="48">
        <v>23</v>
      </c>
      <c r="Q26" s="376">
        <f t="shared" ref="Q26:Q43" si="3">SUM(B26:P26)</f>
        <v>523482</v>
      </c>
      <c r="R26" s="1"/>
      <c r="S26" s="47">
        <v>27</v>
      </c>
      <c r="T26" s="1"/>
      <c r="U26" s="47">
        <v>163342</v>
      </c>
      <c r="V26" s="47">
        <v>26178</v>
      </c>
      <c r="W26" s="25"/>
      <c r="X26" s="1"/>
      <c r="Y26" s="24">
        <v>26561</v>
      </c>
      <c r="Z26" s="23">
        <v>927660</v>
      </c>
      <c r="AA26" s="376">
        <f t="shared" si="2"/>
        <v>954221</v>
      </c>
    </row>
    <row r="27" spans="1:27">
      <c r="A27" s="21">
        <v>1986</v>
      </c>
      <c r="B27" s="24">
        <v>8016</v>
      </c>
      <c r="C27" s="23">
        <v>6541</v>
      </c>
      <c r="D27" s="23">
        <v>18514</v>
      </c>
      <c r="E27" s="23">
        <v>4814</v>
      </c>
      <c r="F27" s="23">
        <v>42180</v>
      </c>
      <c r="G27" s="23"/>
      <c r="H27" s="23">
        <v>354</v>
      </c>
      <c r="I27" s="48">
        <v>76</v>
      </c>
      <c r="J27" s="48">
        <f t="shared" si="0"/>
        <v>25835</v>
      </c>
      <c r="K27" s="23">
        <v>25759</v>
      </c>
      <c r="L27" s="23">
        <v>381565</v>
      </c>
      <c r="M27" s="48">
        <v>4</v>
      </c>
      <c r="N27" s="47">
        <v>1043</v>
      </c>
      <c r="O27" s="47"/>
      <c r="P27" s="48">
        <v>0</v>
      </c>
      <c r="Q27" s="376">
        <f t="shared" si="3"/>
        <v>514701</v>
      </c>
      <c r="R27" s="1"/>
      <c r="S27" s="47">
        <v>5</v>
      </c>
      <c r="T27" s="1"/>
      <c r="U27" s="47">
        <v>74135</v>
      </c>
      <c r="V27" s="47">
        <v>6949</v>
      </c>
      <c r="W27" s="25"/>
      <c r="X27" s="1"/>
      <c r="Y27" s="24">
        <v>19038</v>
      </c>
      <c r="Z27" s="23">
        <v>780808</v>
      </c>
      <c r="AA27" s="376">
        <f t="shared" si="2"/>
        <v>799846</v>
      </c>
    </row>
    <row r="28" spans="1:27">
      <c r="A28" s="21">
        <v>1987</v>
      </c>
      <c r="B28" s="24">
        <v>22268</v>
      </c>
      <c r="C28" s="23">
        <v>30116</v>
      </c>
      <c r="D28" s="23">
        <v>38899</v>
      </c>
      <c r="E28" s="23">
        <v>14701</v>
      </c>
      <c r="F28" s="23">
        <v>42621</v>
      </c>
      <c r="G28" s="23">
        <v>269</v>
      </c>
      <c r="H28" s="23">
        <v>1700</v>
      </c>
      <c r="I28" s="48">
        <v>146</v>
      </c>
      <c r="J28" s="48">
        <f t="shared" si="0"/>
        <v>6040</v>
      </c>
      <c r="K28" s="23">
        <v>5894</v>
      </c>
      <c r="L28" s="23">
        <v>377454</v>
      </c>
      <c r="M28" s="48">
        <v>642</v>
      </c>
      <c r="N28" s="47">
        <v>5387</v>
      </c>
      <c r="O28" s="47"/>
      <c r="P28" s="48">
        <f>172+12</f>
        <v>184</v>
      </c>
      <c r="Q28" s="376">
        <f t="shared" si="3"/>
        <v>546321</v>
      </c>
      <c r="R28" s="1"/>
      <c r="S28" s="47">
        <v>31</v>
      </c>
      <c r="T28" s="1"/>
      <c r="U28" s="47">
        <v>187263</v>
      </c>
      <c r="V28" s="47"/>
      <c r="W28" s="25"/>
      <c r="X28" s="1"/>
      <c r="Y28" s="24">
        <v>16926</v>
      </c>
      <c r="Z28" s="23">
        <v>1180782</v>
      </c>
      <c r="AA28" s="376">
        <f t="shared" si="2"/>
        <v>1197708</v>
      </c>
    </row>
    <row r="29" spans="1:27">
      <c r="A29" s="21">
        <v>1988</v>
      </c>
      <c r="B29" s="24">
        <v>3893</v>
      </c>
      <c r="C29" s="23">
        <v>5690</v>
      </c>
      <c r="D29" s="23">
        <v>1623</v>
      </c>
      <c r="E29" s="23">
        <v>359</v>
      </c>
      <c r="F29" s="23">
        <v>11114</v>
      </c>
      <c r="G29" s="23"/>
      <c r="H29" s="23">
        <v>48</v>
      </c>
      <c r="I29" s="48">
        <v>667</v>
      </c>
      <c r="J29" s="48">
        <f t="shared" si="0"/>
        <v>9256</v>
      </c>
      <c r="K29" s="23">
        <v>8589</v>
      </c>
      <c r="L29" s="23">
        <v>82294</v>
      </c>
      <c r="M29" s="48">
        <v>50868</v>
      </c>
      <c r="N29" s="47">
        <v>18321</v>
      </c>
      <c r="O29" s="47"/>
      <c r="P29" s="48">
        <f>69+5+32</f>
        <v>106</v>
      </c>
      <c r="Q29" s="376">
        <f t="shared" si="3"/>
        <v>192828</v>
      </c>
      <c r="R29" s="1"/>
      <c r="S29" s="47">
        <v>51</v>
      </c>
      <c r="T29" s="1"/>
      <c r="U29" s="47">
        <v>72023</v>
      </c>
      <c r="V29" s="47">
        <v>31747</v>
      </c>
      <c r="W29" s="25"/>
      <c r="X29" s="1"/>
      <c r="Y29" s="24">
        <v>7152</v>
      </c>
      <c r="Z29" s="23">
        <v>576950</v>
      </c>
      <c r="AA29" s="376">
        <f t="shared" si="2"/>
        <v>584102</v>
      </c>
    </row>
    <row r="30" spans="1:27">
      <c r="A30" s="21">
        <v>1989</v>
      </c>
      <c r="B30" s="24">
        <v>3135</v>
      </c>
      <c r="C30" s="23">
        <v>4134</v>
      </c>
      <c r="D30" s="23">
        <v>2030</v>
      </c>
      <c r="E30" s="23">
        <v>406</v>
      </c>
      <c r="F30" s="23">
        <v>0</v>
      </c>
      <c r="G30" s="23">
        <v>0</v>
      </c>
      <c r="H30" s="23">
        <v>146</v>
      </c>
      <c r="I30" s="48"/>
      <c r="J30" s="48">
        <f t="shared" si="0"/>
        <v>21412</v>
      </c>
      <c r="K30" s="23">
        <v>21412</v>
      </c>
      <c r="L30" s="23">
        <v>106114</v>
      </c>
      <c r="M30" s="48">
        <v>0</v>
      </c>
      <c r="N30" s="47">
        <v>0</v>
      </c>
      <c r="O30" s="47"/>
      <c r="P30" s="48">
        <f>11+13+57+170+2322+140</f>
        <v>2713</v>
      </c>
      <c r="Q30" s="376">
        <f t="shared" si="3"/>
        <v>161502</v>
      </c>
      <c r="R30" s="1"/>
      <c r="S30" s="47">
        <v>0</v>
      </c>
      <c r="T30" s="1"/>
      <c r="U30" s="47">
        <v>36881</v>
      </c>
      <c r="V30" s="47">
        <v>57106</v>
      </c>
      <c r="W30" s="25"/>
      <c r="X30" s="1"/>
      <c r="Y30" s="24">
        <v>9225</v>
      </c>
      <c r="Z30" s="23">
        <v>1025923</v>
      </c>
      <c r="AA30" s="376">
        <f t="shared" si="2"/>
        <v>1035148</v>
      </c>
    </row>
    <row r="31" spans="1:27">
      <c r="A31" s="21">
        <v>1990</v>
      </c>
      <c r="B31" s="24">
        <v>1445</v>
      </c>
      <c r="C31" s="23">
        <v>3721</v>
      </c>
      <c r="D31" s="23">
        <v>286</v>
      </c>
      <c r="E31" s="23">
        <v>1034</v>
      </c>
      <c r="F31" s="23">
        <v>15718</v>
      </c>
      <c r="G31" s="23">
        <v>0</v>
      </c>
      <c r="H31" s="23">
        <v>9</v>
      </c>
      <c r="I31" s="48"/>
      <c r="J31" s="48">
        <f t="shared" si="0"/>
        <v>247</v>
      </c>
      <c r="K31" s="23">
        <v>247</v>
      </c>
      <c r="L31" s="23">
        <v>11988</v>
      </c>
      <c r="M31" s="48">
        <v>12967</v>
      </c>
      <c r="N31" s="47">
        <v>10204</v>
      </c>
      <c r="O31" s="47"/>
      <c r="P31" s="48">
        <f>1+40+67+307+463</f>
        <v>878</v>
      </c>
      <c r="Q31" s="376">
        <f t="shared" si="3"/>
        <v>58744</v>
      </c>
      <c r="R31" s="1"/>
      <c r="S31" s="47">
        <v>0</v>
      </c>
      <c r="T31" s="1"/>
      <c r="U31" s="47">
        <v>8250</v>
      </c>
      <c r="V31" s="47">
        <v>14191</v>
      </c>
      <c r="W31" s="25"/>
      <c r="X31" s="1"/>
      <c r="Y31" s="24">
        <v>8332</v>
      </c>
      <c r="Z31" s="23">
        <v>844778</v>
      </c>
      <c r="AA31" s="376">
        <f t="shared" si="2"/>
        <v>853110</v>
      </c>
    </row>
    <row r="32" spans="1:27">
      <c r="A32" s="21">
        <v>1991</v>
      </c>
      <c r="B32" s="24">
        <v>926</v>
      </c>
      <c r="C32" s="23">
        <v>978</v>
      </c>
      <c r="D32" s="23">
        <v>1562</v>
      </c>
      <c r="E32" s="23"/>
      <c r="F32" s="23">
        <v>14419</v>
      </c>
      <c r="G32" s="23"/>
      <c r="H32" s="23"/>
      <c r="I32" s="48">
        <v>819</v>
      </c>
      <c r="J32" s="48">
        <f t="shared" si="0"/>
        <v>5301</v>
      </c>
      <c r="K32" s="23">
        <v>4482</v>
      </c>
      <c r="L32" s="23">
        <v>3888</v>
      </c>
      <c r="M32" s="48">
        <v>296234</v>
      </c>
      <c r="N32" s="47">
        <v>184028</v>
      </c>
      <c r="O32" s="47"/>
      <c r="P32" s="48">
        <f>14+21+200+981</f>
        <v>1216</v>
      </c>
      <c r="Q32" s="376">
        <f t="shared" si="3"/>
        <v>513853</v>
      </c>
      <c r="R32" s="1"/>
      <c r="S32" s="47">
        <v>2</v>
      </c>
      <c r="T32" s="1"/>
      <c r="U32" s="47">
        <v>9701</v>
      </c>
      <c r="V32" s="47">
        <v>46229</v>
      </c>
      <c r="W32" s="25"/>
      <c r="X32" s="1"/>
      <c r="Y32" s="24">
        <v>19181</v>
      </c>
      <c r="Z32" s="23">
        <v>1206811</v>
      </c>
      <c r="AA32" s="376">
        <f t="shared" si="2"/>
        <v>1225992</v>
      </c>
    </row>
    <row r="33" spans="1:27">
      <c r="A33" s="21">
        <v>1992</v>
      </c>
      <c r="B33" s="24">
        <v>562</v>
      </c>
      <c r="C33" s="23">
        <v>1544</v>
      </c>
      <c r="D33" s="23">
        <v>765</v>
      </c>
      <c r="E33" s="23"/>
      <c r="F33" s="23">
        <v>30059</v>
      </c>
      <c r="G33" s="23"/>
      <c r="H33" s="23"/>
      <c r="I33" s="48">
        <v>42</v>
      </c>
      <c r="J33" s="48">
        <f t="shared" si="0"/>
        <v>2266</v>
      </c>
      <c r="K33" s="23">
        <v>2224</v>
      </c>
      <c r="L33" s="23">
        <v>57919</v>
      </c>
      <c r="M33" s="48">
        <f>373596+5232</f>
        <v>378828</v>
      </c>
      <c r="N33" s="47">
        <v>144568</v>
      </c>
      <c r="O33" s="47">
        <v>158891</v>
      </c>
      <c r="P33" s="48">
        <f>65+4124+6+243+1113</f>
        <v>5551</v>
      </c>
      <c r="Q33" s="376">
        <f t="shared" si="3"/>
        <v>783219</v>
      </c>
      <c r="R33" s="1"/>
      <c r="S33" s="47">
        <v>20</v>
      </c>
      <c r="T33" s="1"/>
      <c r="U33" s="47">
        <v>29642</v>
      </c>
      <c r="V33" s="23">
        <v>36237</v>
      </c>
      <c r="W33" s="25"/>
      <c r="X33" s="1"/>
      <c r="Y33" s="24">
        <v>19721</v>
      </c>
      <c r="Z33" s="23">
        <v>970938</v>
      </c>
      <c r="AA33" s="376">
        <f t="shared" si="2"/>
        <v>990659</v>
      </c>
    </row>
    <row r="34" spans="1:27">
      <c r="A34" s="21">
        <v>1993</v>
      </c>
      <c r="B34" s="24"/>
      <c r="C34" s="23">
        <v>154</v>
      </c>
      <c r="D34" s="23">
        <v>6250</v>
      </c>
      <c r="E34" s="23"/>
      <c r="F34" s="23">
        <v>28092</v>
      </c>
      <c r="G34" s="23"/>
      <c r="H34" s="23"/>
      <c r="I34" s="48">
        <v>79</v>
      </c>
      <c r="J34" s="48">
        <f t="shared" si="0"/>
        <v>14770</v>
      </c>
      <c r="K34" s="23">
        <v>14691</v>
      </c>
      <c r="L34" s="23">
        <v>66532</v>
      </c>
      <c r="M34" s="48">
        <f>80807+6795</f>
        <v>87602</v>
      </c>
      <c r="N34" s="47">
        <v>101717</v>
      </c>
      <c r="O34" s="47">
        <v>109921</v>
      </c>
      <c r="P34" s="48">
        <f>73+37+2011+1696+93</f>
        <v>3910</v>
      </c>
      <c r="Q34" s="376">
        <f t="shared" si="3"/>
        <v>433718</v>
      </c>
      <c r="R34" s="1"/>
      <c r="S34" s="47">
        <v>104</v>
      </c>
      <c r="T34" s="1"/>
      <c r="U34" s="47">
        <v>9232</v>
      </c>
      <c r="V34" s="23">
        <v>42893</v>
      </c>
      <c r="W34" s="25"/>
      <c r="X34" s="1"/>
      <c r="Y34" s="24">
        <v>33951</v>
      </c>
      <c r="Z34" s="23">
        <v>1398234</v>
      </c>
      <c r="AA34" s="376">
        <f t="shared" si="2"/>
        <v>1432185</v>
      </c>
    </row>
    <row r="35" spans="1:27">
      <c r="A35" s="21">
        <v>1994</v>
      </c>
      <c r="B35" s="24">
        <v>2196</v>
      </c>
      <c r="C35" s="23">
        <v>18850</v>
      </c>
      <c r="D35" s="23">
        <v>21060</v>
      </c>
      <c r="E35" s="23"/>
      <c r="F35" s="23">
        <v>38367</v>
      </c>
      <c r="G35" s="23"/>
      <c r="H35" s="23"/>
      <c r="I35" s="48">
        <v>226</v>
      </c>
      <c r="J35" s="48">
        <f t="shared" si="0"/>
        <v>774</v>
      </c>
      <c r="K35" s="23">
        <v>548</v>
      </c>
      <c r="L35" s="23">
        <f>12928+955</f>
        <v>13883</v>
      </c>
      <c r="M35" s="48">
        <v>61848</v>
      </c>
      <c r="N35" s="47">
        <v>97664</v>
      </c>
      <c r="O35" s="47">
        <v>79131</v>
      </c>
      <c r="P35" s="48">
        <f>344+2+64</f>
        <v>410</v>
      </c>
      <c r="Q35" s="376">
        <f t="shared" si="3"/>
        <v>334957</v>
      </c>
      <c r="R35" s="1"/>
      <c r="S35" s="47"/>
      <c r="T35" s="1"/>
      <c r="U35" s="47">
        <v>7264</v>
      </c>
      <c r="V35" s="23">
        <v>64660</v>
      </c>
      <c r="W35" s="25"/>
      <c r="X35" s="1"/>
      <c r="Y35" s="24">
        <v>27926</v>
      </c>
      <c r="Z35" s="23">
        <v>1152220</v>
      </c>
      <c r="AA35" s="376">
        <f t="shared" si="2"/>
        <v>1180146</v>
      </c>
    </row>
    <row r="36" spans="1:27">
      <c r="A36" s="21">
        <v>1995</v>
      </c>
      <c r="B36" s="24">
        <v>2639</v>
      </c>
      <c r="C36" s="23">
        <v>3268</v>
      </c>
      <c r="D36" s="23">
        <v>20670</v>
      </c>
      <c r="E36" s="23"/>
      <c r="F36" s="23">
        <v>14195</v>
      </c>
      <c r="G36" s="23">
        <v>22</v>
      </c>
      <c r="H36" s="23">
        <v>2</v>
      </c>
      <c r="I36" s="48"/>
      <c r="J36" s="48">
        <f t="shared" si="0"/>
        <v>2116</v>
      </c>
      <c r="K36" s="23">
        <v>2116</v>
      </c>
      <c r="L36" s="23">
        <v>57797</v>
      </c>
      <c r="M36" s="48">
        <v>29851</v>
      </c>
      <c r="N36" s="47">
        <v>30814</v>
      </c>
      <c r="O36" s="47">
        <v>49427</v>
      </c>
      <c r="P36" s="48">
        <f>13864+35+5357</f>
        <v>19256</v>
      </c>
      <c r="Q36" s="376">
        <f t="shared" si="3"/>
        <v>232173</v>
      </c>
      <c r="R36" s="1"/>
      <c r="S36" s="47"/>
      <c r="T36" s="1"/>
      <c r="U36" s="47">
        <v>30382</v>
      </c>
      <c r="V36" s="47">
        <v>21701</v>
      </c>
      <c r="W36" s="25"/>
      <c r="X36" s="1"/>
      <c r="Y36" s="24">
        <v>21585</v>
      </c>
      <c r="Z36" s="23">
        <v>1271822</v>
      </c>
      <c r="AA36" s="376">
        <f t="shared" si="2"/>
        <v>1293407</v>
      </c>
    </row>
    <row r="37" spans="1:27">
      <c r="A37" s="21">
        <v>1996</v>
      </c>
      <c r="B37" s="24">
        <v>4418</v>
      </c>
      <c r="C37" s="23">
        <v>5089</v>
      </c>
      <c r="D37" s="23">
        <v>2640</v>
      </c>
      <c r="E37" s="23"/>
      <c r="F37" s="23">
        <v>11866</v>
      </c>
      <c r="G37" s="23"/>
      <c r="H37" s="23"/>
      <c r="I37" s="48"/>
      <c r="J37" s="48">
        <f t="shared" si="0"/>
        <v>6063</v>
      </c>
      <c r="K37" s="23">
        <v>6063</v>
      </c>
      <c r="L37" s="23">
        <v>177530</v>
      </c>
      <c r="M37" s="48">
        <v>179064</v>
      </c>
      <c r="N37" s="47">
        <v>132268</v>
      </c>
      <c r="O37" s="47">
        <v>75523</v>
      </c>
      <c r="P37" s="48">
        <f>10150+1260+18+104+532</f>
        <v>12064</v>
      </c>
      <c r="Q37" s="376">
        <f t="shared" si="3"/>
        <v>612588</v>
      </c>
      <c r="R37" s="1"/>
      <c r="S37" s="47"/>
      <c r="T37" s="1"/>
      <c r="U37" s="47">
        <v>38693</v>
      </c>
      <c r="V37" s="47">
        <v>5271</v>
      </c>
      <c r="W37" s="25"/>
      <c r="X37" s="1"/>
      <c r="Y37" s="24"/>
      <c r="Z37" s="23"/>
      <c r="AA37" s="376">
        <f t="shared" si="2"/>
        <v>0</v>
      </c>
    </row>
    <row r="38" spans="1:27">
      <c r="A38" s="21">
        <v>1997</v>
      </c>
      <c r="B38" s="24">
        <v>5487</v>
      </c>
      <c r="C38" s="23">
        <v>2250</v>
      </c>
      <c r="D38" s="23">
        <v>5694</v>
      </c>
      <c r="E38" s="23"/>
      <c r="F38" s="23">
        <v>14985</v>
      </c>
      <c r="G38" s="23">
        <v>414</v>
      </c>
      <c r="H38" s="23">
        <v>63</v>
      </c>
      <c r="I38" s="48"/>
      <c r="J38" s="48">
        <v>3411</v>
      </c>
      <c r="K38" s="23">
        <v>3411</v>
      </c>
      <c r="L38" s="23">
        <v>227231</v>
      </c>
      <c r="M38" s="48">
        <v>475498</v>
      </c>
      <c r="N38" s="47">
        <v>196005</v>
      </c>
      <c r="O38" s="47">
        <v>236031</v>
      </c>
      <c r="P38" s="48">
        <v>619</v>
      </c>
      <c r="Q38" s="376">
        <f t="shared" si="3"/>
        <v>1171099</v>
      </c>
      <c r="R38" s="1"/>
      <c r="S38" s="47"/>
      <c r="T38" s="1"/>
      <c r="U38" s="47">
        <v>35010</v>
      </c>
      <c r="V38" s="47">
        <v>39015</v>
      </c>
      <c r="W38" s="25"/>
      <c r="X38" s="1"/>
      <c r="Y38" s="24">
        <v>9651</v>
      </c>
      <c r="Z38" s="23">
        <v>2955431</v>
      </c>
      <c r="AA38" s="376">
        <f t="shared" si="2"/>
        <v>2965082</v>
      </c>
    </row>
    <row r="39" spans="1:27">
      <c r="A39" s="21">
        <v>1998</v>
      </c>
      <c r="B39" s="24">
        <v>6694</v>
      </c>
      <c r="C39" s="23">
        <v>3356</v>
      </c>
      <c r="D39" s="23">
        <v>1702</v>
      </c>
      <c r="E39" s="23"/>
      <c r="F39" s="23">
        <v>6615</v>
      </c>
      <c r="G39" s="23">
        <v>1438</v>
      </c>
      <c r="H39" s="23">
        <v>607</v>
      </c>
      <c r="I39" s="48"/>
      <c r="J39" s="48">
        <v>13651</v>
      </c>
      <c r="K39" s="23">
        <v>13561</v>
      </c>
      <c r="L39" s="23">
        <v>59463</v>
      </c>
      <c r="M39" s="48">
        <v>98002</v>
      </c>
      <c r="N39" s="47">
        <v>25533</v>
      </c>
      <c r="O39" s="47">
        <v>111373</v>
      </c>
      <c r="P39" s="48">
        <v>1780</v>
      </c>
      <c r="Q39" s="376">
        <f t="shared" si="3"/>
        <v>343775</v>
      </c>
      <c r="R39" s="1"/>
      <c r="S39" s="47"/>
      <c r="T39" s="1"/>
      <c r="U39" s="47">
        <v>28963</v>
      </c>
      <c r="V39" s="47" t="s">
        <v>353</v>
      </c>
      <c r="W39" s="25"/>
      <c r="X39" s="1"/>
      <c r="Y39" s="24">
        <v>8439</v>
      </c>
      <c r="Z39" s="23">
        <v>1341692</v>
      </c>
      <c r="AA39" s="376">
        <f t="shared" si="2"/>
        <v>1350131</v>
      </c>
    </row>
    <row r="40" spans="1:27">
      <c r="A40" s="21">
        <v>1999</v>
      </c>
      <c r="B40" s="24">
        <v>8613</v>
      </c>
      <c r="C40" s="23">
        <v>3252</v>
      </c>
      <c r="D40" s="23">
        <v>3229</v>
      </c>
      <c r="E40" s="23"/>
      <c r="F40" s="23">
        <v>8569</v>
      </c>
      <c r="G40" s="23">
        <v>486</v>
      </c>
      <c r="H40" s="23">
        <v>379</v>
      </c>
      <c r="I40" s="48">
        <v>386</v>
      </c>
      <c r="J40" s="48">
        <v>8930</v>
      </c>
      <c r="K40" s="23">
        <v>8544</v>
      </c>
      <c r="L40" s="23">
        <v>106028</v>
      </c>
      <c r="M40" s="48">
        <v>86032</v>
      </c>
      <c r="N40" s="47">
        <v>74378</v>
      </c>
      <c r="O40" s="47"/>
      <c r="P40" s="48">
        <v>11735</v>
      </c>
      <c r="Q40" s="376">
        <f t="shared" si="3"/>
        <v>320561</v>
      </c>
      <c r="R40" s="1"/>
      <c r="S40" s="47"/>
      <c r="T40" s="1"/>
      <c r="U40" s="47">
        <v>59311</v>
      </c>
      <c r="V40" s="47">
        <v>27057</v>
      </c>
      <c r="W40" s="25"/>
      <c r="X40" s="1"/>
      <c r="Y40" s="24">
        <v>13697</v>
      </c>
      <c r="Z40" s="23">
        <v>1682559</v>
      </c>
      <c r="AA40" s="376">
        <f t="shared" si="2"/>
        <v>1696256</v>
      </c>
    </row>
    <row r="41" spans="1:27">
      <c r="A41" s="21">
        <v>2000</v>
      </c>
      <c r="B41" s="24">
        <v>2182</v>
      </c>
      <c r="C41" s="23">
        <v>3688</v>
      </c>
      <c r="D41" s="23">
        <v>2984</v>
      </c>
      <c r="E41" s="23">
        <v>2069</v>
      </c>
      <c r="F41" s="23">
        <v>23530</v>
      </c>
      <c r="G41" s="23">
        <v>127</v>
      </c>
      <c r="H41" s="23">
        <v>112</v>
      </c>
      <c r="I41" s="48">
        <v>0</v>
      </c>
      <c r="J41" s="48">
        <v>1119</v>
      </c>
      <c r="K41" s="23">
        <v>1119</v>
      </c>
      <c r="L41" s="23">
        <v>176452</v>
      </c>
      <c r="M41" s="48">
        <v>235085</v>
      </c>
      <c r="N41" s="47">
        <v>101105</v>
      </c>
      <c r="O41" s="47">
        <v>218</v>
      </c>
      <c r="P41" s="48">
        <v>1256</v>
      </c>
      <c r="Q41" s="376">
        <f t="shared" si="3"/>
        <v>551046</v>
      </c>
      <c r="R41" s="1"/>
      <c r="S41" s="47"/>
      <c r="T41" s="1"/>
      <c r="U41" s="47">
        <v>28416</v>
      </c>
      <c r="V41" s="47">
        <v>22153</v>
      </c>
      <c r="W41" s="25"/>
      <c r="X41" s="1"/>
      <c r="Y41" s="24">
        <v>1279</v>
      </c>
      <c r="Z41" s="23">
        <v>880334</v>
      </c>
      <c r="AA41" s="376">
        <f t="shared" si="2"/>
        <v>881613</v>
      </c>
    </row>
    <row r="42" spans="1:27">
      <c r="A42" s="21">
        <v>2001</v>
      </c>
      <c r="B42" s="24">
        <v>19885</v>
      </c>
      <c r="C42" s="23">
        <v>314</v>
      </c>
      <c r="D42" s="23">
        <v>2398</v>
      </c>
      <c r="E42" s="23"/>
      <c r="F42" s="23">
        <v>95927</v>
      </c>
      <c r="G42" s="23">
        <v>3631</v>
      </c>
      <c r="H42" s="23">
        <v>849</v>
      </c>
      <c r="I42" s="48"/>
      <c r="J42" s="48">
        <v>2298</v>
      </c>
      <c r="K42" s="23">
        <v>2298</v>
      </c>
      <c r="L42" s="23">
        <v>87539</v>
      </c>
      <c r="M42" s="48">
        <v>499972</v>
      </c>
      <c r="N42" s="47">
        <v>176060</v>
      </c>
      <c r="O42" s="47">
        <v>40311</v>
      </c>
      <c r="P42" s="48">
        <v>2301</v>
      </c>
      <c r="Q42" s="376">
        <f t="shared" si="3"/>
        <v>933783</v>
      </c>
      <c r="R42" s="1"/>
      <c r="S42" s="47"/>
      <c r="T42" s="1"/>
      <c r="U42" s="47">
        <v>38547</v>
      </c>
      <c r="V42" s="47">
        <v>55187</v>
      </c>
      <c r="W42" s="25"/>
      <c r="X42" s="1"/>
      <c r="Y42" s="24">
        <v>5450</v>
      </c>
      <c r="Z42" s="23">
        <v>1323577</v>
      </c>
      <c r="AA42" s="376">
        <f t="shared" si="2"/>
        <v>1329027</v>
      </c>
    </row>
    <row r="43" spans="1:27">
      <c r="A43" s="22">
        <v>2002</v>
      </c>
      <c r="B43" s="2"/>
      <c r="C43" s="3"/>
      <c r="D43" s="3"/>
      <c r="E43" s="3"/>
      <c r="F43" s="3"/>
      <c r="G43" s="3"/>
      <c r="H43" s="3"/>
      <c r="I43" s="15"/>
      <c r="J43" s="48"/>
      <c r="K43" s="3"/>
      <c r="L43" s="3"/>
      <c r="M43" s="15"/>
      <c r="N43" s="49"/>
      <c r="O43" s="49"/>
      <c r="P43" s="15"/>
      <c r="Q43" s="376">
        <f t="shared" si="3"/>
        <v>0</v>
      </c>
      <c r="R43" s="1"/>
      <c r="S43" s="49"/>
      <c r="T43" s="1"/>
      <c r="U43" s="50"/>
      <c r="V43" s="49"/>
      <c r="W43" s="49"/>
      <c r="X43" s="1"/>
      <c r="Y43" s="2"/>
      <c r="Z43" s="3"/>
      <c r="AA43" s="377">
        <f>Z43+Y43</f>
        <v>0</v>
      </c>
    </row>
    <row r="44" spans="1:27">
      <c r="A44" s="21">
        <v>2003</v>
      </c>
      <c r="B44" s="327"/>
      <c r="C44" s="327"/>
      <c r="D44" s="327"/>
      <c r="E44" s="327"/>
      <c r="F44" s="327"/>
      <c r="G44" s="327"/>
      <c r="H44" s="327"/>
      <c r="I44" s="327"/>
      <c r="J44" s="328"/>
      <c r="K44" s="327"/>
      <c r="L44" s="327"/>
      <c r="M44" s="327"/>
      <c r="N44" s="327"/>
      <c r="O44" s="327"/>
      <c r="P44" s="327"/>
      <c r="Q44" s="327"/>
      <c r="R44" s="1"/>
      <c r="S44" s="327"/>
      <c r="T44" s="1"/>
      <c r="U44" s="328"/>
      <c r="V44" s="327"/>
      <c r="W44" s="327"/>
      <c r="X44" s="1"/>
      <c r="Y44" s="327"/>
      <c r="Z44" s="327"/>
      <c r="AA44" s="327"/>
    </row>
    <row r="45" spans="1:27">
      <c r="A45" s="21">
        <v>2004</v>
      </c>
      <c r="B45" s="327"/>
      <c r="C45" s="327"/>
      <c r="D45" s="327"/>
      <c r="E45" s="327"/>
      <c r="F45" s="327"/>
      <c r="G45" s="327"/>
      <c r="H45" s="327"/>
      <c r="I45" s="327"/>
      <c r="J45" s="328"/>
      <c r="K45" s="327"/>
      <c r="L45" s="327"/>
      <c r="M45" s="327"/>
      <c r="N45" s="327"/>
      <c r="O45" s="327"/>
      <c r="P45" s="327"/>
      <c r="Q45" s="327"/>
      <c r="R45" s="1"/>
      <c r="S45" s="327"/>
      <c r="T45" s="1"/>
      <c r="U45" s="328"/>
      <c r="V45" s="327"/>
      <c r="W45" s="327"/>
      <c r="X45" s="1"/>
      <c r="Y45" s="327"/>
      <c r="Z45" s="327"/>
      <c r="AA45" s="327"/>
    </row>
    <row r="46" spans="1:27">
      <c r="A46" s="21">
        <v>2005</v>
      </c>
      <c r="B46" s="327"/>
      <c r="C46" s="327"/>
      <c r="D46" s="327"/>
      <c r="E46" s="327"/>
      <c r="F46" s="327"/>
      <c r="G46" s="327"/>
      <c r="H46" s="327"/>
      <c r="I46" s="327"/>
      <c r="J46" s="328"/>
      <c r="K46" s="327"/>
      <c r="L46" s="327"/>
      <c r="M46" s="327"/>
      <c r="N46" s="327"/>
      <c r="O46" s="327"/>
      <c r="P46" s="327"/>
      <c r="Q46" s="327"/>
      <c r="R46" s="1"/>
      <c r="S46" s="327"/>
      <c r="T46" s="1"/>
      <c r="U46" s="328"/>
      <c r="V46" s="327"/>
      <c r="W46" s="327"/>
      <c r="X46" s="1"/>
      <c r="Y46" s="327"/>
      <c r="Z46" s="327"/>
      <c r="AA46" s="327"/>
    </row>
    <row r="47" spans="1:27">
      <c r="A47" s="21">
        <v>2006</v>
      </c>
      <c r="B47" s="327"/>
      <c r="C47" s="327"/>
      <c r="D47" s="327"/>
      <c r="E47" s="327"/>
      <c r="F47" s="327"/>
      <c r="G47" s="327"/>
      <c r="H47" s="327"/>
      <c r="I47" s="327"/>
      <c r="J47" s="328"/>
      <c r="K47" s="327"/>
      <c r="L47" s="327"/>
      <c r="M47" s="327"/>
      <c r="N47" s="327"/>
      <c r="O47" s="327"/>
      <c r="P47" s="327"/>
      <c r="Q47" s="327"/>
      <c r="R47" s="1"/>
      <c r="S47" s="327"/>
      <c r="T47" s="1"/>
      <c r="U47" s="328"/>
      <c r="V47" s="327"/>
      <c r="W47" s="327"/>
      <c r="X47" s="1"/>
      <c r="Y47" s="327"/>
      <c r="Z47" s="327"/>
      <c r="AA47" s="327"/>
    </row>
    <row r="48" spans="1:27">
      <c r="A48" s="326"/>
      <c r="B48" s="327"/>
      <c r="C48" s="327"/>
      <c r="D48" s="327"/>
      <c r="E48" s="327"/>
      <c r="F48" s="327"/>
      <c r="G48" s="327"/>
      <c r="H48" s="327"/>
      <c r="I48" s="327"/>
      <c r="J48" s="328"/>
      <c r="K48" s="327"/>
      <c r="L48" s="327"/>
      <c r="M48" s="327"/>
      <c r="N48" s="327"/>
      <c r="O48" s="327"/>
      <c r="P48" s="327"/>
      <c r="Q48" s="327"/>
      <c r="R48" s="1"/>
      <c r="S48" s="327"/>
      <c r="T48" s="1"/>
      <c r="U48" s="328"/>
      <c r="V48" s="327"/>
      <c r="W48" s="327"/>
      <c r="X48" s="1"/>
      <c r="Y48" s="327"/>
      <c r="Z48" s="327"/>
      <c r="AA48" s="327"/>
    </row>
    <row r="49" spans="1:19">
      <c r="A49" s="20"/>
      <c r="E49" t="s">
        <v>91</v>
      </c>
      <c r="J49" t="s">
        <v>9</v>
      </c>
      <c r="M49" t="s">
        <v>92</v>
      </c>
      <c r="P49" t="s">
        <v>93</v>
      </c>
    </row>
    <row r="50" spans="1:19">
      <c r="I50" s="51" t="s">
        <v>58</v>
      </c>
      <c r="J50" s="378">
        <f>AVERAGEA(J10:J43)</f>
        <v>10226.666666666666</v>
      </c>
      <c r="L50" t="s">
        <v>94</v>
      </c>
      <c r="S50" t="s">
        <v>95</v>
      </c>
    </row>
    <row r="51" spans="1:19">
      <c r="F51" t="s">
        <v>96</v>
      </c>
      <c r="I51" s="37" t="s">
        <v>97</v>
      </c>
      <c r="J51" s="379">
        <f>COUNTA(J10:J43)</f>
        <v>33</v>
      </c>
    </row>
    <row r="52" spans="1:19">
      <c r="I52" s="37" t="s">
        <v>98</v>
      </c>
      <c r="J52" s="380">
        <f>STDEV(J10:J43)/SQRT(J51)</f>
        <v>1772.5503666748064</v>
      </c>
    </row>
    <row r="53" spans="1:19">
      <c r="I53" s="37" t="s">
        <v>99</v>
      </c>
      <c r="J53" s="381">
        <f>VLOOKUP(J51-1,ttab!$A$3:$G$43,4)</f>
        <v>1.31</v>
      </c>
      <c r="L53" s="1"/>
    </row>
    <row r="54" spans="1:19">
      <c r="I54" s="37" t="s">
        <v>100</v>
      </c>
      <c r="J54" s="380">
        <f>J52*J53</f>
        <v>2322.0409803439966</v>
      </c>
    </row>
    <row r="55" spans="1:19">
      <c r="I55" s="37" t="s">
        <v>101</v>
      </c>
      <c r="J55" s="380">
        <f>IF(J54&gt;J50,0,J50-J54)</f>
        <v>7904.6256863226699</v>
      </c>
    </row>
    <row r="56" spans="1:19">
      <c r="I56" s="37" t="s">
        <v>102</v>
      </c>
      <c r="J56" s="380">
        <f>J50</f>
        <v>10226.666666666666</v>
      </c>
    </row>
    <row r="57" spans="1:19">
      <c r="I57" s="41" t="s">
        <v>103</v>
      </c>
      <c r="J57" s="382">
        <f>J54+J50</f>
        <v>12548.707647010662</v>
      </c>
    </row>
  </sheetData>
  <phoneticPr fontId="11" type="noConversion"/>
  <pageMargins left="0.5" right="0.5" top="1" bottom="0.55000000000000004" header="0.5" footer="0.5"/>
  <pageSetup orientation="landscape"/>
  <headerFooter alignWithMargins="0">
    <oddFooter>&amp;L&amp;D&amp;C+&amp;R^</oddFooter>
  </headerFooter>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8" enableFormatConditionsCalculation="0"/>
  <dimension ref="A1:AG76"/>
  <sheetViews>
    <sheetView defaultGridColor="0" colorId="22" zoomScale="77" workbookViewId="0">
      <pane ySplit="11" topLeftCell="A12" activePane="bottomLeft" state="frozenSplit"/>
      <selection pane="bottomLeft" activeCell="A12" sqref="A12"/>
    </sheetView>
  </sheetViews>
  <sheetFormatPr baseColWidth="10" defaultColWidth="9.625" defaultRowHeight="15" x14ac:dyDescent="0"/>
  <cols>
    <col min="1" max="2" width="6.625" style="124" customWidth="1"/>
    <col min="3" max="4" width="9.625" style="124"/>
    <col min="5" max="6" width="5.625" style="124" customWidth="1"/>
    <col min="7" max="8" width="7.625" style="124" customWidth="1"/>
    <col min="9" max="9" width="12.625" style="124" customWidth="1"/>
    <col min="10" max="10" width="9.625" style="124"/>
    <col min="11" max="11" width="7.625" style="124" customWidth="1"/>
    <col min="12" max="12" width="9.75" style="124" customWidth="1"/>
    <col min="13" max="14" width="9.625" style="124"/>
    <col min="15" max="15" width="16.5" style="124" customWidth="1"/>
    <col min="16" max="16" width="9.625" style="124"/>
    <col min="17" max="17" width="12.5" style="124" customWidth="1"/>
    <col min="18" max="18" width="12.25" style="124" customWidth="1"/>
    <col min="19" max="19" width="9.625" style="124"/>
    <col min="20" max="20" width="10.625" style="124" customWidth="1"/>
    <col min="21" max="22" width="9.625" style="124"/>
    <col min="23" max="23" width="10.625" style="124" customWidth="1"/>
    <col min="24" max="24" width="16" style="124" customWidth="1"/>
    <col min="25" max="25" width="11.75" style="124" customWidth="1"/>
    <col min="26" max="16384" width="9.625" style="124"/>
  </cols>
  <sheetData>
    <row r="1" spans="1:31">
      <c r="A1" s="124" t="s">
        <v>30</v>
      </c>
      <c r="B1" s="213" t="str">
        <f ca="1">CELL("filename",B2)</f>
        <v>NWCLM04072996:Users:eric.ward:Documents:NCEAS-covariation:data:salmon data:[2015 Coghill Lake Wild Sockeye forecast-FINAL.xlsm]ln12rps x BYE</v>
      </c>
      <c r="F1" s="124" t="s">
        <v>114</v>
      </c>
    </row>
    <row r="2" spans="1:31">
      <c r="A2" s="124" t="s">
        <v>31</v>
      </c>
      <c r="F2" s="288" t="s">
        <v>115</v>
      </c>
      <c r="G2" s="288" t="s">
        <v>116</v>
      </c>
    </row>
    <row r="3" spans="1:31" ht="16" thickBot="1">
      <c r="A3" s="124" t="s">
        <v>104</v>
      </c>
      <c r="B3" s="124" t="s">
        <v>105</v>
      </c>
      <c r="F3" s="288" t="s">
        <v>117</v>
      </c>
      <c r="G3" s="288" t="s">
        <v>118</v>
      </c>
    </row>
    <row r="4" spans="1:31" ht="22" thickBot="1">
      <c r="H4" s="482">
        <v>4</v>
      </c>
    </row>
    <row r="7" spans="1:31">
      <c r="C7" s="124" t="s">
        <v>409</v>
      </c>
      <c r="D7" s="124" t="s">
        <v>46</v>
      </c>
    </row>
    <row r="8" spans="1:31">
      <c r="AA8" s="124" t="s">
        <v>119</v>
      </c>
    </row>
    <row r="9" spans="1:31">
      <c r="A9" s="256"/>
      <c r="B9" s="256"/>
      <c r="C9" s="233" t="s">
        <v>120</v>
      </c>
      <c r="D9" s="289"/>
      <c r="E9" s="233"/>
      <c r="F9" s="230"/>
      <c r="G9" s="230"/>
      <c r="H9" s="230" t="s">
        <v>121</v>
      </c>
      <c r="I9" s="230"/>
      <c r="J9" s="230"/>
      <c r="K9" s="230"/>
      <c r="L9" s="230"/>
      <c r="M9" s="289"/>
      <c r="N9" s="233" t="s">
        <v>122</v>
      </c>
      <c r="O9" s="230"/>
      <c r="P9" s="230"/>
      <c r="Q9" s="230"/>
      <c r="R9" s="289"/>
      <c r="S9" s="233" t="s">
        <v>123</v>
      </c>
      <c r="T9" s="230"/>
      <c r="U9" s="230"/>
      <c r="V9" s="230"/>
      <c r="W9" s="289"/>
      <c r="X9" s="225" t="s">
        <v>124</v>
      </c>
      <c r="Y9" s="225" t="s">
        <v>388</v>
      </c>
      <c r="Z9" s="290" t="s">
        <v>125</v>
      </c>
      <c r="AA9" s="290" t="s">
        <v>126</v>
      </c>
      <c r="AB9" s="290" t="s">
        <v>127</v>
      </c>
      <c r="AC9" s="290" t="s">
        <v>128</v>
      </c>
      <c r="AD9" s="291" t="s">
        <v>129</v>
      </c>
      <c r="AE9" s="292"/>
    </row>
    <row r="10" spans="1:31">
      <c r="A10" s="188" t="s">
        <v>37</v>
      </c>
      <c r="B10" s="252" t="s">
        <v>40</v>
      </c>
      <c r="C10" s="293" t="s">
        <v>130</v>
      </c>
      <c r="D10" s="293" t="s">
        <v>131</v>
      </c>
      <c r="E10" s="256"/>
      <c r="F10" s="256"/>
      <c r="G10" s="256"/>
      <c r="H10" s="256"/>
      <c r="I10" s="293" t="s">
        <v>132</v>
      </c>
      <c r="J10" s="293" t="s">
        <v>133</v>
      </c>
      <c r="K10" s="293" t="s">
        <v>132</v>
      </c>
      <c r="L10" s="256"/>
      <c r="M10" s="293" t="s">
        <v>134</v>
      </c>
      <c r="N10" s="256"/>
      <c r="O10" s="256"/>
      <c r="P10" s="225" t="s">
        <v>135</v>
      </c>
      <c r="Q10" s="225" t="s">
        <v>4</v>
      </c>
      <c r="R10" s="225" t="s">
        <v>5</v>
      </c>
      <c r="S10" s="256"/>
      <c r="T10" s="256"/>
      <c r="U10" s="225" t="s">
        <v>135</v>
      </c>
      <c r="V10" s="225" t="s">
        <v>4</v>
      </c>
      <c r="W10" s="225" t="s">
        <v>5</v>
      </c>
      <c r="X10" s="188" t="s">
        <v>12</v>
      </c>
      <c r="Y10" s="188" t="s">
        <v>389</v>
      </c>
      <c r="Z10" s="252" t="s">
        <v>136</v>
      </c>
      <c r="AA10" s="225" t="s">
        <v>137</v>
      </c>
      <c r="AB10" s="225" t="s">
        <v>54</v>
      </c>
      <c r="AC10" s="225" t="s">
        <v>40</v>
      </c>
      <c r="AD10" s="290" t="s">
        <v>138</v>
      </c>
      <c r="AE10" s="290" t="s">
        <v>139</v>
      </c>
    </row>
    <row r="11" spans="1:31" ht="17" customHeight="1">
      <c r="A11" s="243" t="s">
        <v>42</v>
      </c>
      <c r="B11" s="294" t="s">
        <v>42</v>
      </c>
      <c r="C11" s="295" t="s">
        <v>125</v>
      </c>
      <c r="D11" s="295" t="s">
        <v>140</v>
      </c>
      <c r="E11" s="295" t="s">
        <v>49</v>
      </c>
      <c r="F11" s="295" t="s">
        <v>141</v>
      </c>
      <c r="G11" s="295" t="s">
        <v>107</v>
      </c>
      <c r="H11" s="295" t="s">
        <v>142</v>
      </c>
      <c r="I11" s="295" t="s">
        <v>142</v>
      </c>
      <c r="J11" s="295" t="s">
        <v>143</v>
      </c>
      <c r="K11" s="295" t="s">
        <v>133</v>
      </c>
      <c r="L11" s="295" t="s">
        <v>144</v>
      </c>
      <c r="M11" s="295" t="s">
        <v>145</v>
      </c>
      <c r="N11" s="295" t="s">
        <v>146</v>
      </c>
      <c r="O11" s="295" t="s">
        <v>147</v>
      </c>
      <c r="P11" s="295" t="s">
        <v>143</v>
      </c>
      <c r="Q11" s="295" t="s">
        <v>148</v>
      </c>
      <c r="R11" s="295" t="s">
        <v>149</v>
      </c>
      <c r="S11" s="295" t="s">
        <v>146</v>
      </c>
      <c r="T11" s="295" t="s">
        <v>147</v>
      </c>
      <c r="U11" s="295" t="s">
        <v>143</v>
      </c>
      <c r="V11" s="295" t="s">
        <v>148</v>
      </c>
      <c r="W11" s="295" t="s">
        <v>149</v>
      </c>
      <c r="X11" s="295" t="s">
        <v>150</v>
      </c>
      <c r="Y11" s="295" t="s">
        <v>12</v>
      </c>
      <c r="Z11" s="296" t="s">
        <v>60</v>
      </c>
      <c r="AA11" s="243" t="s">
        <v>151</v>
      </c>
      <c r="AB11" s="243" t="s">
        <v>151</v>
      </c>
      <c r="AC11" s="243" t="s">
        <v>42</v>
      </c>
      <c r="AD11" s="290" t="s">
        <v>4</v>
      </c>
      <c r="AE11" s="290" t="s">
        <v>5</v>
      </c>
    </row>
    <row r="12" spans="1:31" ht="15" customHeight="1">
      <c r="A12" s="253"/>
      <c r="B12" s="254"/>
      <c r="C12" s="254"/>
      <c r="D12" s="254"/>
      <c r="E12" s="254"/>
      <c r="F12" s="254"/>
      <c r="G12" s="254"/>
      <c r="H12" s="254"/>
      <c r="I12" s="254"/>
      <c r="J12" s="254"/>
      <c r="K12" s="254"/>
      <c r="L12" s="254"/>
      <c r="M12" s="254"/>
      <c r="N12" s="254"/>
      <c r="O12" s="254"/>
      <c r="P12" s="254"/>
      <c r="Q12" s="254"/>
      <c r="R12" s="254"/>
      <c r="S12" s="254"/>
      <c r="T12" s="254"/>
      <c r="U12" s="254"/>
      <c r="V12" s="254"/>
      <c r="W12" s="254"/>
      <c r="X12" s="255"/>
      <c r="Y12" s="255"/>
      <c r="Z12" s="256"/>
      <c r="AA12" s="256"/>
      <c r="AB12" s="256"/>
      <c r="AC12" s="256"/>
      <c r="AD12" s="253"/>
      <c r="AE12" s="255"/>
    </row>
    <row r="13" spans="1:31" ht="15" customHeight="1">
      <c r="A13" s="247">
        <v>1962</v>
      </c>
      <c r="B13" s="213">
        <f>A13+$H$4</f>
        <v>1966</v>
      </c>
      <c r="C13" s="213">
        <f>VLOOKUP($A13,BroodTab!$A$12:$AG$67,2)</f>
        <v>26866</v>
      </c>
      <c r="D13" s="213">
        <f>VLOOKUP($A13,BroodTab!$A$12:$AG$67,14)</f>
        <v>-0.41082074758302212</v>
      </c>
      <c r="X13" s="248"/>
      <c r="Y13" s="248"/>
      <c r="Z13" s="252"/>
      <c r="AA13" s="252"/>
      <c r="AB13" s="252"/>
      <c r="AC13" s="252"/>
      <c r="AD13" s="246"/>
      <c r="AE13" s="248"/>
    </row>
    <row r="14" spans="1:31" ht="15" customHeight="1">
      <c r="A14" s="247">
        <v>1963</v>
      </c>
      <c r="B14" s="213">
        <f t="shared" ref="B14:B24" si="0">A14+$H$4</f>
        <v>1967</v>
      </c>
      <c r="C14" s="213">
        <f>VLOOKUP($A14,BroodTab!$A$12:$AG$67,2)</f>
        <v>1</v>
      </c>
      <c r="D14" s="213">
        <f>VLOOKUP($A14,BroodTab!$A$12:$AG$67,14)</f>
        <v>8.3873122705617167</v>
      </c>
      <c r="X14" s="248"/>
      <c r="Y14" s="248"/>
      <c r="Z14" s="252"/>
      <c r="AA14" s="252"/>
      <c r="AB14" s="252"/>
      <c r="AC14" s="252"/>
      <c r="AD14" s="246"/>
      <c r="AE14" s="248"/>
    </row>
    <row r="15" spans="1:31" ht="15" customHeight="1">
      <c r="A15" s="247">
        <v>1964</v>
      </c>
      <c r="B15" s="213">
        <f t="shared" si="0"/>
        <v>1968</v>
      </c>
      <c r="C15" s="213">
        <f>VLOOKUP($A15,BroodTab!$A$12:$AG$67,2)</f>
        <v>22200</v>
      </c>
      <c r="D15" s="213">
        <f>VLOOKUP($A15,BroodTab!$A$12:$AG$67,14)</f>
        <v>0.38231634820874483</v>
      </c>
      <c r="X15" s="248"/>
      <c r="Y15" s="248"/>
      <c r="Z15" s="252"/>
      <c r="AA15" s="252"/>
      <c r="AB15" s="252"/>
      <c r="AC15" s="252"/>
      <c r="AD15" s="246"/>
      <c r="AE15" s="248"/>
    </row>
    <row r="16" spans="1:31" ht="15" customHeight="1">
      <c r="A16" s="247">
        <v>1965</v>
      </c>
      <c r="B16" s="213">
        <f t="shared" si="0"/>
        <v>1969</v>
      </c>
      <c r="C16" s="213">
        <f>VLOOKUP($A16,BroodTab!$A$12:$AG$67,2)</f>
        <v>62500</v>
      </c>
      <c r="D16" s="213">
        <f>VLOOKUP($A16,BroodTab!$A$12:$AG$67,14)</f>
        <v>-0.9083622455520336</v>
      </c>
      <c r="X16" s="248"/>
      <c r="Y16" s="248"/>
      <c r="Z16" s="252"/>
      <c r="AA16" s="252"/>
      <c r="AB16" s="252"/>
      <c r="AC16" s="252"/>
      <c r="AD16" s="246"/>
      <c r="AE16" s="248"/>
    </row>
    <row r="17" spans="1:31" ht="15" customHeight="1">
      <c r="A17" s="247">
        <v>1966</v>
      </c>
      <c r="B17" s="213">
        <f t="shared" si="0"/>
        <v>1970</v>
      </c>
      <c r="C17" s="213">
        <f>VLOOKUP($A17,BroodTab!$A$12:$AG$67,2)</f>
        <v>82500</v>
      </c>
      <c r="D17" s="213">
        <f>VLOOKUP($A17,BroodTab!$A$12:$AG$67,14)</f>
        <v>-2.1189512662898742</v>
      </c>
      <c r="X17" s="248"/>
      <c r="Y17" s="248"/>
      <c r="Z17" s="252"/>
      <c r="AA17" s="252"/>
      <c r="AB17" s="252"/>
      <c r="AC17" s="252"/>
      <c r="AD17" s="246"/>
      <c r="AE17" s="248"/>
    </row>
    <row r="18" spans="1:31" ht="15" customHeight="1">
      <c r="A18" s="247">
        <v>1967</v>
      </c>
      <c r="B18" s="213">
        <f t="shared" si="0"/>
        <v>1971</v>
      </c>
      <c r="C18" s="213">
        <f>VLOOKUP($A18,BroodTab!$A$12:$AG$67,2)</f>
        <v>33000</v>
      </c>
      <c r="D18" s="213">
        <f>VLOOKUP($A18,BroodTab!$A$12:$AG$67,14)</f>
        <v>-2.1744850903667299</v>
      </c>
      <c r="X18" s="248"/>
      <c r="Y18" s="248"/>
      <c r="Z18" s="252"/>
      <c r="AA18" s="252"/>
      <c r="AB18" s="252"/>
      <c r="AC18" s="252"/>
      <c r="AD18" s="246"/>
      <c r="AE18" s="248"/>
    </row>
    <row r="19" spans="1:31" ht="15" customHeight="1">
      <c r="A19" s="247">
        <v>1968</v>
      </c>
      <c r="B19" s="213">
        <f t="shared" si="0"/>
        <v>1972</v>
      </c>
      <c r="C19" s="213">
        <f>VLOOKUP($A19,BroodTab!$A$12:$AG$67,2)</f>
        <v>11800</v>
      </c>
      <c r="D19" s="213">
        <f>VLOOKUP($A19,BroodTab!$A$12:$AG$67,14)</f>
        <v>0.64655367773865202</v>
      </c>
      <c r="X19" s="248"/>
      <c r="Y19" s="248"/>
      <c r="Z19" s="252"/>
      <c r="AA19" s="252"/>
      <c r="AB19" s="252"/>
      <c r="AC19" s="252"/>
      <c r="AD19" s="246"/>
      <c r="AE19" s="248"/>
    </row>
    <row r="20" spans="1:31" ht="15" customHeight="1">
      <c r="A20" s="247">
        <v>1969</v>
      </c>
      <c r="B20" s="213">
        <f t="shared" si="0"/>
        <v>1973</v>
      </c>
      <c r="C20" s="213">
        <f>VLOOKUP($A20,BroodTab!$A$12:$AG$67,2)</f>
        <v>81000</v>
      </c>
      <c r="D20" s="213">
        <f>VLOOKUP($A20,BroodTab!$A$12:$AG$67,14)</f>
        <v>-1.8375171304247553</v>
      </c>
      <c r="X20" s="248"/>
      <c r="Y20" s="248"/>
      <c r="Z20" s="252"/>
      <c r="AA20" s="252"/>
      <c r="AB20" s="252"/>
      <c r="AC20" s="252"/>
      <c r="AD20" s="246"/>
      <c r="AE20" s="248"/>
    </row>
    <row r="21" spans="1:31" ht="15" customHeight="1">
      <c r="A21" s="247">
        <v>1970</v>
      </c>
      <c r="B21" s="213">
        <f t="shared" si="0"/>
        <v>1974</v>
      </c>
      <c r="C21" s="213">
        <f>VLOOKUP($A21,BroodTab!$A$12:$AG$67,2)</f>
        <v>35200</v>
      </c>
      <c r="D21" s="213">
        <f>VLOOKUP($A21,BroodTab!$A$12:$AG$67,14)</f>
        <v>0.33647223662121289</v>
      </c>
      <c r="X21" s="248"/>
      <c r="Y21" s="248"/>
      <c r="Z21" s="252"/>
      <c r="AA21" s="252"/>
      <c r="AB21" s="252"/>
      <c r="AC21" s="252"/>
      <c r="AD21" s="246"/>
      <c r="AE21" s="248"/>
    </row>
    <row r="22" spans="1:31" ht="15" customHeight="1">
      <c r="A22" s="247">
        <v>1971</v>
      </c>
      <c r="B22" s="213">
        <f t="shared" si="0"/>
        <v>1975</v>
      </c>
      <c r="C22" s="213">
        <f>VLOOKUP($A22,BroodTab!$A$12:$AG$67,2)</f>
        <v>15000</v>
      </c>
      <c r="D22" s="213">
        <f>VLOOKUP($A22,BroodTab!$A$12:$AG$67,14)</f>
        <v>-0.98456957262744949</v>
      </c>
      <c r="X22" s="248"/>
      <c r="Y22" s="248"/>
      <c r="Z22" s="252"/>
      <c r="AA22" s="252"/>
      <c r="AB22" s="252"/>
      <c r="AC22" s="252"/>
      <c r="AD22" s="246"/>
      <c r="AE22" s="248"/>
    </row>
    <row r="23" spans="1:31" ht="15" customHeight="1">
      <c r="A23" s="247">
        <v>1972</v>
      </c>
      <c r="B23" s="213">
        <f t="shared" si="0"/>
        <v>1976</v>
      </c>
      <c r="C23" s="213">
        <f>VLOOKUP($A23,BroodTab!$A$12:$AG$67,2)</f>
        <v>51000</v>
      </c>
      <c r="D23" s="213">
        <f>VLOOKUP($A23,BroodTab!$A$12:$AG$67,14)</f>
        <v>-0.54906381321785547</v>
      </c>
      <c r="X23" s="248"/>
      <c r="Y23" s="248"/>
      <c r="Z23" s="252"/>
      <c r="AA23" s="252"/>
      <c r="AB23" s="252"/>
      <c r="AC23" s="252"/>
      <c r="AD23" s="246"/>
      <c r="AE23" s="248"/>
    </row>
    <row r="24" spans="1:31" ht="12" customHeight="1">
      <c r="A24" s="297">
        <v>1973</v>
      </c>
      <c r="B24" s="213">
        <f t="shared" si="0"/>
        <v>1977</v>
      </c>
      <c r="C24" s="213">
        <f>VLOOKUP($A24,BroodTab!$A$12:$AG$67,2)</f>
        <v>55000</v>
      </c>
      <c r="D24" s="213">
        <f>VLOOKUP($A24,BroodTab!$A$12:$AG$67,14)</f>
        <v>-0.77046028366261554</v>
      </c>
      <c r="E24" s="224"/>
      <c r="F24" s="224"/>
      <c r="G24" s="224"/>
      <c r="H24" s="224"/>
      <c r="I24" s="224"/>
      <c r="J24" s="224"/>
      <c r="K24" s="224"/>
      <c r="L24" s="224"/>
      <c r="M24" s="224"/>
      <c r="N24" s="224"/>
      <c r="O24" s="224"/>
      <c r="P24" s="224"/>
      <c r="Q24" s="224"/>
      <c r="R24" s="224"/>
      <c r="S24" s="224"/>
      <c r="T24" s="224"/>
      <c r="U24" s="224"/>
      <c r="V24" s="224"/>
      <c r="W24" s="224"/>
      <c r="X24" s="298"/>
      <c r="Y24" s="298"/>
      <c r="Z24" s="294"/>
      <c r="AA24" s="294"/>
      <c r="AB24" s="294"/>
      <c r="AC24" s="294"/>
      <c r="AD24" s="260"/>
      <c r="AE24" s="298"/>
    </row>
    <row r="25" spans="1:31">
      <c r="A25" s="244"/>
      <c r="B25" s="254"/>
      <c r="C25" s="213"/>
      <c r="D25" s="213"/>
      <c r="E25" s="299"/>
      <c r="F25" s="254"/>
      <c r="G25" s="254"/>
      <c r="H25" s="254"/>
      <c r="I25" s="254"/>
      <c r="J25" s="254"/>
      <c r="K25" s="254"/>
      <c r="L25" s="254"/>
      <c r="M25" s="254"/>
      <c r="N25" s="254"/>
      <c r="O25" s="254"/>
      <c r="P25" s="254"/>
      <c r="Q25" s="254"/>
      <c r="R25" s="254"/>
      <c r="S25" s="254"/>
      <c r="T25" s="254"/>
      <c r="U25" s="254"/>
      <c r="V25" s="254"/>
      <c r="W25" s="254"/>
      <c r="X25" s="255"/>
      <c r="Y25" s="255"/>
      <c r="Z25" s="256"/>
      <c r="AA25" s="256"/>
      <c r="AB25" s="256"/>
      <c r="AC25" s="256"/>
      <c r="AD25" s="246"/>
      <c r="AE25" s="248"/>
    </row>
    <row r="26" spans="1:31" ht="16">
      <c r="A26" s="247">
        <v>1974</v>
      </c>
      <c r="B26">
        <f t="shared" ref="B26:B62" si="1">A26+$H$4</f>
        <v>1978</v>
      </c>
      <c r="C26" s="213">
        <f>VLOOKUP($A26,BroodTab!$A$12:$AG$67,2)</f>
        <v>22334</v>
      </c>
      <c r="D26" s="213">
        <f>VLOOKUP($A26,BroodTab!$A$12:$AG$67,14)</f>
        <v>-6.0112641322059193E-2</v>
      </c>
      <c r="E26" s="213">
        <v>36</v>
      </c>
      <c r="F26" s="213">
        <v>34</v>
      </c>
      <c r="G26" s="300">
        <v>0.23858861475096471</v>
      </c>
      <c r="H26" s="300">
        <v>-1.7029411441661885E-5</v>
      </c>
      <c r="I26" s="213">
        <v>4.2499272829315095E-6</v>
      </c>
      <c r="J26" s="301">
        <v>-0.1417462603871118</v>
      </c>
      <c r="K26" s="213">
        <v>1.2440573064272398</v>
      </c>
      <c r="L26" s="213">
        <v>0.32076020560991714</v>
      </c>
      <c r="M26" s="124">
        <v>1.7308392354571935</v>
      </c>
      <c r="N26" s="530">
        <f t="shared" ref="N26:N62" si="2">D26-J26</f>
        <v>8.1633619065052607E-2</v>
      </c>
      <c r="O26" s="213">
        <f t="shared" ref="O26:O62" si="3">N26^2</f>
        <v>6.6640477616581205E-3</v>
      </c>
      <c r="P26" s="384">
        <f t="shared" ref="P26:P62" si="4">J26</f>
        <v>-0.1417462603871118</v>
      </c>
      <c r="Q26" s="213">
        <f t="shared" ref="Q26:Q62" si="5">$P26-(SQRT($O$67)*$Q$67)</f>
        <v>-1.8366493043166272</v>
      </c>
      <c r="R26" s="213">
        <f t="shared" ref="R26:R62" si="6">$P26+SQRT($O$67)*$Q$67</f>
        <v>1.5531567835424036</v>
      </c>
      <c r="S26" s="350">
        <f t="shared" ref="S26:S62" si="7">EXP(D26)*C26-U26</f>
        <v>1648.629406334785</v>
      </c>
      <c r="T26" s="213">
        <f t="shared" ref="T26:T62" si="8">S26^2</f>
        <v>2717978.9194317856</v>
      </c>
      <c r="U26" s="350">
        <f t="shared" ref="U26:U62" si="9">EXP(P26)*C26</f>
        <v>19382.370593665215</v>
      </c>
      <c r="V26" s="479">
        <f t="shared" ref="V26:V62" si="10">EXP(Q26)*C26</f>
        <v>3558.9333411910234</v>
      </c>
      <c r="W26" s="479">
        <f t="shared" ref="W26:W62" si="11">EXP(R26)*C26</f>
        <v>105558.67553969283</v>
      </c>
      <c r="X26" s="364">
        <f t="shared" ref="X26:X62" si="12">(+U26-EXP(D26)*C26)/(EXP(D26)*C26)</f>
        <v>-7.8390442981065331E-2</v>
      </c>
      <c r="Y26" s="364">
        <f t="shared" ref="Y26:Y62" si="13">ABS(X26)</f>
        <v>7.8390442981065331E-2</v>
      </c>
      <c r="Z26" s="385">
        <f t="shared" ref="Z26:Z62" si="14">C26</f>
        <v>22334</v>
      </c>
      <c r="AA26" s="386">
        <f t="shared" ref="AA26:AA62" si="15">(+G$64+H$64*C26)</f>
        <v>-0.13865337971962255</v>
      </c>
      <c r="AB26" s="385">
        <f t="shared" ref="AB26:AB62" si="16">D26</f>
        <v>-6.0112641322059193E-2</v>
      </c>
      <c r="AC26" s="387">
        <f>'ln 12 x ln 11'!B26-1900</f>
        <v>80</v>
      </c>
      <c r="AD26" s="247">
        <f t="shared" ref="AD26:AD62" si="17">AA26-SQRT($O$66)*$Q$66</f>
        <v>-1.8621887484606736</v>
      </c>
      <c r="AE26" s="258">
        <f t="shared" ref="AE26:AE62" si="18">AA26+SQRT($O$66)*$Q$66</f>
        <v>1.5848819890214285</v>
      </c>
    </row>
    <row r="27" spans="1:31" ht="16">
      <c r="A27" s="247">
        <v>1975</v>
      </c>
      <c r="B27">
        <f t="shared" si="1"/>
        <v>1979</v>
      </c>
      <c r="C27" s="213">
        <f>VLOOKUP($A27,BroodTab!$A$12:$AG$67,2)</f>
        <v>34855</v>
      </c>
      <c r="D27" s="213">
        <f>VLOOKUP($A27,BroodTab!$A$12:$AG$67,14)</f>
        <v>9.547969895713504E-2</v>
      </c>
      <c r="E27" s="213">
        <v>36</v>
      </c>
      <c r="F27" s="213">
        <v>34</v>
      </c>
      <c r="G27" s="300">
        <v>0.22471034456572858</v>
      </c>
      <c r="H27" s="300">
        <v>-1.696151848522324E-5</v>
      </c>
      <c r="I27" s="213">
        <v>4.2263564899353504E-6</v>
      </c>
      <c r="J27" s="301">
        <v>-0.3664833822367275</v>
      </c>
      <c r="K27" s="213">
        <v>1.2416859167824246</v>
      </c>
      <c r="L27" s="213">
        <v>0.32144332746887438</v>
      </c>
      <c r="M27" s="124">
        <v>1.7250968860311489</v>
      </c>
      <c r="N27" s="213">
        <f t="shared" si="2"/>
        <v>0.46196308119386253</v>
      </c>
      <c r="O27" s="213">
        <f t="shared" si="3"/>
        <v>0.21340988838612723</v>
      </c>
      <c r="P27" s="384">
        <f t="shared" si="4"/>
        <v>-0.3664833822367275</v>
      </c>
      <c r="Q27" s="213">
        <f t="shared" si="5"/>
        <v>-2.0613864261662429</v>
      </c>
      <c r="R27" s="213">
        <f t="shared" si="6"/>
        <v>1.3284196616927879</v>
      </c>
      <c r="S27" s="350">
        <f t="shared" si="7"/>
        <v>14186.641375116265</v>
      </c>
      <c r="T27" s="213">
        <f t="shared" si="8"/>
        <v>201260793.50616074</v>
      </c>
      <c r="U27" s="350">
        <f t="shared" si="9"/>
        <v>24160.358624883735</v>
      </c>
      <c r="V27" s="479">
        <f t="shared" si="10"/>
        <v>4436.2533174003765</v>
      </c>
      <c r="W27" s="479">
        <f t="shared" si="11"/>
        <v>131580.16170840594</v>
      </c>
      <c r="X27" s="364">
        <f t="shared" si="12"/>
        <v>-0.36995439995609214</v>
      </c>
      <c r="Y27" s="364">
        <f t="shared" si="13"/>
        <v>0.36995439995609214</v>
      </c>
      <c r="Z27" s="385">
        <f t="shared" si="14"/>
        <v>34855</v>
      </c>
      <c r="AA27" s="386">
        <f t="shared" si="15"/>
        <v>-0.35224049400147095</v>
      </c>
      <c r="AB27" s="385">
        <f t="shared" si="16"/>
        <v>9.547969895713504E-2</v>
      </c>
      <c r="AC27" s="387">
        <f t="shared" ref="AC27:AC62" si="19">B27-1900</f>
        <v>79</v>
      </c>
      <c r="AD27" s="247">
        <f t="shared" si="17"/>
        <v>-2.075775862742522</v>
      </c>
      <c r="AE27" s="258">
        <f t="shared" si="18"/>
        <v>1.3712948747395801</v>
      </c>
    </row>
    <row r="28" spans="1:31" ht="16">
      <c r="A28" s="247">
        <v>1976</v>
      </c>
      <c r="B28">
        <f t="shared" si="1"/>
        <v>1980</v>
      </c>
      <c r="C28" s="213">
        <f>VLOOKUP($A28,BroodTab!$A$12:$AG$67,2)</f>
        <v>9056</v>
      </c>
      <c r="D28" s="213">
        <f>VLOOKUP($A28,BroodTab!$A$12:$AG$67,14)</f>
        <v>1.756122576511806</v>
      </c>
      <c r="E28" s="213">
        <v>36</v>
      </c>
      <c r="F28" s="213">
        <v>34</v>
      </c>
      <c r="G28" s="300">
        <v>0.14771210850016103</v>
      </c>
      <c r="H28" s="300">
        <v>-1.6168180445009387E-5</v>
      </c>
      <c r="I28" s="213">
        <v>4.1550487258836574E-6</v>
      </c>
      <c r="J28" s="301">
        <v>1.293066390156028E-3</v>
      </c>
      <c r="K28" s="213">
        <v>1.2090339351002071</v>
      </c>
      <c r="L28" s="213">
        <v>0.30812099318052377</v>
      </c>
      <c r="M28" s="124">
        <v>1.6454880825964919</v>
      </c>
      <c r="N28" s="213">
        <f t="shared" si="2"/>
        <v>1.75482951012165</v>
      </c>
      <c r="O28" s="213">
        <f t="shared" si="3"/>
        <v>3.0794266095937903</v>
      </c>
      <c r="P28" s="384">
        <f t="shared" si="4"/>
        <v>1.293066390156028E-3</v>
      </c>
      <c r="Q28" s="213">
        <f t="shared" si="5"/>
        <v>-1.6936099775393594</v>
      </c>
      <c r="R28" s="213">
        <f t="shared" si="6"/>
        <v>1.6961961103196714</v>
      </c>
      <c r="S28" s="350">
        <f t="shared" si="7"/>
        <v>43366.013016596786</v>
      </c>
      <c r="T28" s="213">
        <f t="shared" si="8"/>
        <v>1880611084.9556417</v>
      </c>
      <c r="U28" s="350">
        <f t="shared" si="9"/>
        <v>9067.7175834032187</v>
      </c>
      <c r="V28" s="479">
        <f t="shared" si="10"/>
        <v>1664.987380162112</v>
      </c>
      <c r="W28" s="479">
        <f t="shared" si="11"/>
        <v>49383.859092285857</v>
      </c>
      <c r="X28" s="364">
        <f t="shared" si="12"/>
        <v>-0.82706327626050669</v>
      </c>
      <c r="Y28" s="364">
        <f t="shared" si="13"/>
        <v>0.82706327626050669</v>
      </c>
      <c r="Z28" s="385">
        <f t="shared" si="14"/>
        <v>9056</v>
      </c>
      <c r="AA28" s="386">
        <f t="shared" si="15"/>
        <v>8.7846876125308559E-2</v>
      </c>
      <c r="AB28" s="385">
        <f t="shared" si="16"/>
        <v>1.756122576511806</v>
      </c>
      <c r="AC28" s="387">
        <f t="shared" si="19"/>
        <v>80</v>
      </c>
      <c r="AD28" s="247">
        <f t="shared" si="17"/>
        <v>-1.6356884926157425</v>
      </c>
      <c r="AE28" s="258">
        <f t="shared" si="18"/>
        <v>1.8113822448663597</v>
      </c>
    </row>
    <row r="29" spans="1:31" ht="16">
      <c r="A29" s="247">
        <v>1977</v>
      </c>
      <c r="B29">
        <f t="shared" si="1"/>
        <v>1981</v>
      </c>
      <c r="C29" s="213">
        <f>VLOOKUP($A29,BroodTab!$A$12:$AG$67,2)</f>
        <v>31562</v>
      </c>
      <c r="D29" s="213">
        <f>VLOOKUP($A29,BroodTab!$A$12:$AG$67,14)</f>
        <v>1.468631059809697</v>
      </c>
      <c r="E29" s="213">
        <v>36</v>
      </c>
      <c r="F29" s="213">
        <v>34</v>
      </c>
      <c r="G29" s="300">
        <v>0.16910896873405845</v>
      </c>
      <c r="H29" s="300">
        <v>-1.6606905449407942E-5</v>
      </c>
      <c r="I29" s="213">
        <v>4.1063555894476128E-6</v>
      </c>
      <c r="J29" s="301">
        <v>-0.35503818106015506</v>
      </c>
      <c r="K29" s="213">
        <v>1.205493027083627</v>
      </c>
      <c r="L29" s="213">
        <v>0.32480091570158365</v>
      </c>
      <c r="M29" s="124">
        <v>1.6386476228546032</v>
      </c>
      <c r="N29" s="213">
        <f t="shared" si="2"/>
        <v>1.823669240869852</v>
      </c>
      <c r="O29" s="213">
        <f t="shared" si="3"/>
        <v>3.3257695000948226</v>
      </c>
      <c r="P29" s="384">
        <f t="shared" si="4"/>
        <v>-0.35503818106015506</v>
      </c>
      <c r="Q29" s="213">
        <f t="shared" si="5"/>
        <v>-2.0499412249896705</v>
      </c>
      <c r="R29" s="213">
        <f t="shared" si="6"/>
        <v>1.3398648628693604</v>
      </c>
      <c r="S29" s="350">
        <f t="shared" si="7"/>
        <v>114953.18163283681</v>
      </c>
      <c r="T29" s="213">
        <f t="shared" si="8"/>
        <v>13214233967.511971</v>
      </c>
      <c r="U29" s="350">
        <f t="shared" si="9"/>
        <v>22129.591267163196</v>
      </c>
      <c r="V29" s="479">
        <f t="shared" si="10"/>
        <v>4063.3698446245457</v>
      </c>
      <c r="W29" s="479">
        <f t="shared" si="11"/>
        <v>120520.36323977675</v>
      </c>
      <c r="X29" s="364">
        <f t="shared" si="12"/>
        <v>-0.83856767120324871</v>
      </c>
      <c r="Y29" s="364">
        <f t="shared" si="13"/>
        <v>0.83856767120324871</v>
      </c>
      <c r="Z29" s="385">
        <f t="shared" si="14"/>
        <v>31562</v>
      </c>
      <c r="AA29" s="386">
        <f t="shared" si="15"/>
        <v>-0.2960674752865019</v>
      </c>
      <c r="AB29" s="385">
        <f t="shared" si="16"/>
        <v>1.468631059809697</v>
      </c>
      <c r="AC29" s="387">
        <f t="shared" si="19"/>
        <v>81</v>
      </c>
      <c r="AD29" s="247">
        <f t="shared" si="17"/>
        <v>-2.0196028440275531</v>
      </c>
      <c r="AE29" s="258">
        <f t="shared" si="18"/>
        <v>1.4274678934545491</v>
      </c>
    </row>
    <row r="30" spans="1:31" ht="16">
      <c r="A30" s="247">
        <v>1978</v>
      </c>
      <c r="B30">
        <f t="shared" si="1"/>
        <v>1982</v>
      </c>
      <c r="C30" s="213">
        <f>VLOOKUP($A30,BroodTab!$A$12:$AG$67,2)</f>
        <v>42284</v>
      </c>
      <c r="D30" s="213">
        <f>VLOOKUP($A30,BroodTab!$A$12:$AG$67,14)</f>
        <v>-1.5697927220808687</v>
      </c>
      <c r="E30" s="213">
        <v>36</v>
      </c>
      <c r="F30" s="213">
        <v>34</v>
      </c>
      <c r="G30" s="300">
        <v>0.28003649638442685</v>
      </c>
      <c r="H30" s="300">
        <v>-1.719728937432789E-5</v>
      </c>
      <c r="I30" s="213">
        <v>4.1797897969735695E-6</v>
      </c>
      <c r="J30" s="301">
        <v>-0.44713368751965366</v>
      </c>
      <c r="K30" s="213">
        <v>1.2295725900048258</v>
      </c>
      <c r="L30" s="213">
        <v>0.33239361856355698</v>
      </c>
      <c r="M30" s="124">
        <v>1.6960186728682209</v>
      </c>
      <c r="N30" s="213">
        <f t="shared" si="2"/>
        <v>-1.1226590345612151</v>
      </c>
      <c r="O30" s="213">
        <f t="shared" si="3"/>
        <v>1.2603633078819194</v>
      </c>
      <c r="P30" s="384">
        <f t="shared" si="4"/>
        <v>-0.44713368751965366</v>
      </c>
      <c r="Q30" s="213">
        <f t="shared" si="5"/>
        <v>-2.1420367314491688</v>
      </c>
      <c r="R30" s="213">
        <f t="shared" si="6"/>
        <v>1.2477693564098618</v>
      </c>
      <c r="S30" s="350">
        <f t="shared" si="7"/>
        <v>-18240.053517780318</v>
      </c>
      <c r="T30" s="213">
        <f t="shared" si="8"/>
        <v>332699552.33149016</v>
      </c>
      <c r="U30" s="350">
        <f t="shared" si="9"/>
        <v>27038.859617780327</v>
      </c>
      <c r="V30" s="479">
        <f t="shared" si="10"/>
        <v>4964.7951233041067</v>
      </c>
      <c r="W30" s="479">
        <f t="shared" si="11"/>
        <v>147256.81750659624</v>
      </c>
      <c r="X30" s="364">
        <f t="shared" si="12"/>
        <v>2.0730146011264297</v>
      </c>
      <c r="Y30" s="364">
        <f t="shared" si="13"/>
        <v>2.0730146011264297</v>
      </c>
      <c r="Z30" s="385">
        <f t="shared" si="14"/>
        <v>42284</v>
      </c>
      <c r="AA30" s="386">
        <f t="shared" si="15"/>
        <v>-0.47896668775595153</v>
      </c>
      <c r="AB30" s="385">
        <f t="shared" si="16"/>
        <v>-1.5697927220808687</v>
      </c>
      <c r="AC30" s="387">
        <f t="shared" si="19"/>
        <v>82</v>
      </c>
      <c r="AD30" s="247">
        <f t="shared" si="17"/>
        <v>-2.2025020564970026</v>
      </c>
      <c r="AE30" s="258">
        <f t="shared" si="18"/>
        <v>1.2445686809850995</v>
      </c>
    </row>
    <row r="31" spans="1:31" ht="16">
      <c r="A31" s="247">
        <v>1979</v>
      </c>
      <c r="B31">
        <f t="shared" si="1"/>
        <v>1983</v>
      </c>
      <c r="C31" s="213">
        <f>VLOOKUP($A31,BroodTab!$A$12:$AG$67,2)</f>
        <v>48281</v>
      </c>
      <c r="D31" s="213">
        <f>VLOOKUP($A31,BroodTab!$A$12:$AG$67,14)</f>
        <v>-1.0183290311378628</v>
      </c>
      <c r="E31" s="213">
        <v>36</v>
      </c>
      <c r="F31" s="213">
        <v>34</v>
      </c>
      <c r="G31" s="300">
        <v>0.25577106987061016</v>
      </c>
      <c r="H31" s="300">
        <v>-1.7082838916924112E-5</v>
      </c>
      <c r="I31" s="213">
        <v>4.2190663362322224E-6</v>
      </c>
      <c r="J31" s="301">
        <v>-0.56900547587740291</v>
      </c>
      <c r="K31" s="213">
        <v>1.2418096418962472</v>
      </c>
      <c r="L31" s="213">
        <v>0.32531774564973354</v>
      </c>
      <c r="M31" s="124">
        <v>1.7254201539651128</v>
      </c>
      <c r="N31" s="213">
        <f t="shared" si="2"/>
        <v>-0.44932355526045986</v>
      </c>
      <c r="O31" s="213">
        <f t="shared" si="3"/>
        <v>0.20189165731189954</v>
      </c>
      <c r="P31" s="384">
        <f t="shared" si="4"/>
        <v>-0.56900547587740291</v>
      </c>
      <c r="Q31" s="213">
        <f t="shared" si="5"/>
        <v>-2.2639085198069182</v>
      </c>
      <c r="R31" s="213">
        <f t="shared" si="6"/>
        <v>1.1258975680521126</v>
      </c>
      <c r="S31" s="350">
        <f t="shared" si="7"/>
        <v>-9892.3018329090155</v>
      </c>
      <c r="T31" s="213">
        <f t="shared" si="8"/>
        <v>97857635.553375065</v>
      </c>
      <c r="U31" s="350">
        <f t="shared" si="9"/>
        <v>27331.301832909016</v>
      </c>
      <c r="V31" s="479">
        <f t="shared" si="10"/>
        <v>5018.4924945706225</v>
      </c>
      <c r="W31" s="479">
        <f t="shared" si="11"/>
        <v>148849.49229070998</v>
      </c>
      <c r="X31" s="364">
        <f t="shared" si="12"/>
        <v>0.56725166769361868</v>
      </c>
      <c r="Y31" s="364">
        <f t="shared" si="13"/>
        <v>0.56725166769361868</v>
      </c>
      <c r="Z31" s="385">
        <f t="shared" si="14"/>
        <v>48281</v>
      </c>
      <c r="AA31" s="386">
        <f t="shared" si="15"/>
        <v>-0.58126537990100735</v>
      </c>
      <c r="AB31" s="385">
        <f t="shared" si="16"/>
        <v>-1.0183290311378628</v>
      </c>
      <c r="AC31" s="387">
        <f t="shared" si="19"/>
        <v>83</v>
      </c>
      <c r="AD31" s="247">
        <f t="shared" si="17"/>
        <v>-2.3048007486420583</v>
      </c>
      <c r="AE31" s="258">
        <f t="shared" si="18"/>
        <v>1.1422699888400438</v>
      </c>
    </row>
    <row r="32" spans="1:31" ht="16">
      <c r="A32" s="247">
        <v>1980</v>
      </c>
      <c r="B32">
        <f t="shared" si="1"/>
        <v>1984</v>
      </c>
      <c r="C32" s="213">
        <f>VLOOKUP($A32,BroodTab!$A$12:$AG$67,2)</f>
        <v>142253</v>
      </c>
      <c r="D32" s="213">
        <f>VLOOKUP($A32,BroodTab!$A$12:$AG$67,14)</f>
        <v>-1.325827300341625</v>
      </c>
      <c r="E32" s="213">
        <v>36</v>
      </c>
      <c r="F32" s="213">
        <v>34</v>
      </c>
      <c r="G32" s="300">
        <v>0.26918586204036754</v>
      </c>
      <c r="H32" s="300">
        <v>-1.80617175830869E-5</v>
      </c>
      <c r="I32" s="213">
        <v>4.4059302011666844E-6</v>
      </c>
      <c r="J32" s="301">
        <v>-2.300147649306493</v>
      </c>
      <c r="K32" s="213">
        <v>1.2342071297128507</v>
      </c>
      <c r="L32" s="213">
        <v>0.33077674841686056</v>
      </c>
      <c r="M32" s="124">
        <v>1.7046589676960942</v>
      </c>
      <c r="N32" s="213">
        <f t="shared" si="2"/>
        <v>0.97432034896486797</v>
      </c>
      <c r="O32" s="213">
        <f t="shared" si="3"/>
        <v>0.9493001424070221</v>
      </c>
      <c r="P32" s="384">
        <f t="shared" si="4"/>
        <v>-2.300147649306493</v>
      </c>
      <c r="Q32" s="213">
        <f t="shared" si="5"/>
        <v>-3.9950506932360081</v>
      </c>
      <c r="R32" s="213">
        <f t="shared" si="6"/>
        <v>-0.60524460537697755</v>
      </c>
      <c r="S32" s="350">
        <f t="shared" si="7"/>
        <v>23519.98434076675</v>
      </c>
      <c r="T32" s="213">
        <f t="shared" si="8"/>
        <v>553189663.3899132</v>
      </c>
      <c r="U32" s="350">
        <f t="shared" si="9"/>
        <v>14260.015659233248</v>
      </c>
      <c r="V32" s="479">
        <f t="shared" si="10"/>
        <v>2618.3817366559997</v>
      </c>
      <c r="W32" s="479">
        <f t="shared" si="11"/>
        <v>77661.726613354083</v>
      </c>
      <c r="X32" s="364">
        <f t="shared" si="12"/>
        <v>-0.62255120012617127</v>
      </c>
      <c r="Y32" s="364">
        <f t="shared" si="13"/>
        <v>0.62255120012617127</v>
      </c>
      <c r="Z32" s="385">
        <f t="shared" si="14"/>
        <v>142253</v>
      </c>
      <c r="AA32" s="386">
        <f t="shared" si="15"/>
        <v>-2.1842689980859649</v>
      </c>
      <c r="AB32" s="385">
        <f t="shared" si="16"/>
        <v>-1.325827300341625</v>
      </c>
      <c r="AC32" s="387">
        <f t="shared" si="19"/>
        <v>84</v>
      </c>
      <c r="AD32" s="247">
        <f t="shared" si="17"/>
        <v>-3.9078043668270159</v>
      </c>
      <c r="AE32" s="258">
        <f t="shared" si="18"/>
        <v>-0.4607336293449138</v>
      </c>
    </row>
    <row r="33" spans="1:31" ht="16">
      <c r="A33" s="247">
        <v>1981</v>
      </c>
      <c r="B33">
        <f t="shared" si="1"/>
        <v>1985</v>
      </c>
      <c r="C33" s="213">
        <f>VLOOKUP($A33,BroodTab!$A$12:$AG$67,2)</f>
        <v>156112</v>
      </c>
      <c r="D33" s="213">
        <f>VLOOKUP($A33,BroodTab!$A$12:$AG$67,14)</f>
        <v>-0.52360211978296001</v>
      </c>
      <c r="E33" s="213">
        <v>36</v>
      </c>
      <c r="F33" s="213">
        <v>34</v>
      </c>
      <c r="G33" s="300">
        <v>0.32274557693210437</v>
      </c>
      <c r="H33" s="300">
        <v>-1.9712789816588017E-5</v>
      </c>
      <c r="I33" s="213">
        <v>4.3353826076797475E-6</v>
      </c>
      <c r="J33" s="301">
        <v>-2.7546574669150843</v>
      </c>
      <c r="K33" s="213">
        <v>1.1930558551216934</v>
      </c>
      <c r="L33" s="213">
        <v>0.37814130290863035</v>
      </c>
      <c r="M33" s="124">
        <v>1.5927615388016028</v>
      </c>
      <c r="N33" s="213">
        <f t="shared" si="2"/>
        <v>2.2310553471321244</v>
      </c>
      <c r="O33" s="213">
        <f t="shared" si="3"/>
        <v>4.9776079619668439</v>
      </c>
      <c r="P33" s="384">
        <f t="shared" si="4"/>
        <v>-2.7546574669150843</v>
      </c>
      <c r="Q33" s="213">
        <f t="shared" si="5"/>
        <v>-4.4495605108445995</v>
      </c>
      <c r="R33" s="213">
        <f t="shared" si="6"/>
        <v>-1.0597544229855689</v>
      </c>
      <c r="S33" s="350">
        <f t="shared" si="7"/>
        <v>82544.540740356053</v>
      </c>
      <c r="T33" s="213">
        <f t="shared" si="8"/>
        <v>6813601206.0363007</v>
      </c>
      <c r="U33" s="350">
        <f t="shared" si="9"/>
        <v>9933.5332596440367</v>
      </c>
      <c r="V33" s="479">
        <f t="shared" si="10"/>
        <v>1823.965883983848</v>
      </c>
      <c r="W33" s="479">
        <f t="shared" si="11"/>
        <v>54099.193349456378</v>
      </c>
      <c r="X33" s="364">
        <f t="shared" si="12"/>
        <v>-0.89258498982532841</v>
      </c>
      <c r="Y33" s="364">
        <f t="shared" si="13"/>
        <v>0.89258498982532841</v>
      </c>
      <c r="Z33" s="385">
        <f t="shared" si="14"/>
        <v>156112</v>
      </c>
      <c r="AA33" s="386">
        <f t="shared" si="15"/>
        <v>-2.4206801327263401</v>
      </c>
      <c r="AB33" s="385">
        <f t="shared" si="16"/>
        <v>-0.52360211978296001</v>
      </c>
      <c r="AC33" s="387">
        <f t="shared" si="19"/>
        <v>85</v>
      </c>
      <c r="AD33" s="247">
        <f t="shared" si="17"/>
        <v>-4.1442155014673911</v>
      </c>
      <c r="AE33" s="258">
        <f t="shared" si="18"/>
        <v>-0.69714476398528902</v>
      </c>
    </row>
    <row r="34" spans="1:31" ht="16">
      <c r="A34" s="247">
        <v>1982</v>
      </c>
      <c r="B34">
        <f t="shared" si="1"/>
        <v>1986</v>
      </c>
      <c r="C34" s="213">
        <f>VLOOKUP($A34,BroodTab!$A$12:$AG$67,2)</f>
        <v>180314</v>
      </c>
      <c r="D34" s="213">
        <f>VLOOKUP($A34,BroodTab!$A$12:$AG$67,14)</f>
        <v>-1.1238945120116464</v>
      </c>
      <c r="E34" s="213">
        <v>36</v>
      </c>
      <c r="F34" s="213">
        <v>34</v>
      </c>
      <c r="G34" s="300">
        <v>0.35293884032406919</v>
      </c>
      <c r="H34" s="300">
        <v>-2.0253888757427046E-5</v>
      </c>
      <c r="I34" s="213">
        <v>4.5332378428025933E-6</v>
      </c>
      <c r="J34" s="301">
        <v>-3.2991208570826309</v>
      </c>
      <c r="K34" s="213">
        <v>1.1993705363463416</v>
      </c>
      <c r="L34" s="213">
        <v>0.36992471993624582</v>
      </c>
      <c r="M34" s="124">
        <v>1.5995941540655092</v>
      </c>
      <c r="N34" s="213">
        <f t="shared" si="2"/>
        <v>2.1752263450709846</v>
      </c>
      <c r="O34" s="213">
        <f t="shared" si="3"/>
        <v>4.7316096522908744</v>
      </c>
      <c r="P34" s="384">
        <f t="shared" si="4"/>
        <v>-3.2991208570826309</v>
      </c>
      <c r="Q34" s="213">
        <f t="shared" si="5"/>
        <v>-4.9940239010121461</v>
      </c>
      <c r="R34" s="213">
        <f t="shared" si="6"/>
        <v>-1.6042178131531155</v>
      </c>
      <c r="S34" s="350">
        <f t="shared" si="7"/>
        <v>51947.734567178552</v>
      </c>
      <c r="T34" s="213">
        <f t="shared" si="8"/>
        <v>2698567126.6620374</v>
      </c>
      <c r="U34" s="350">
        <f t="shared" si="9"/>
        <v>6656.4008028214521</v>
      </c>
      <c r="V34" s="479">
        <f t="shared" si="10"/>
        <v>1222.2285522305781</v>
      </c>
      <c r="W34" s="479">
        <f t="shared" si="11"/>
        <v>36251.54359791398</v>
      </c>
      <c r="X34" s="364">
        <f t="shared" si="12"/>
        <v>-0.88641755806487121</v>
      </c>
      <c r="Y34" s="364">
        <f t="shared" si="13"/>
        <v>0.88641755806487121</v>
      </c>
      <c r="Z34" s="385">
        <f t="shared" si="14"/>
        <v>180314</v>
      </c>
      <c r="AA34" s="386">
        <f t="shared" si="15"/>
        <v>-2.8335253798990334</v>
      </c>
      <c r="AB34" s="385">
        <f t="shared" si="16"/>
        <v>-1.1238945120116464</v>
      </c>
      <c r="AC34" s="387">
        <f t="shared" si="19"/>
        <v>86</v>
      </c>
      <c r="AD34" s="247">
        <f t="shared" si="17"/>
        <v>-4.5570607486400849</v>
      </c>
      <c r="AE34" s="258">
        <f t="shared" si="18"/>
        <v>-1.1099900111579823</v>
      </c>
    </row>
    <row r="35" spans="1:31" ht="16">
      <c r="A35" s="247">
        <v>1983</v>
      </c>
      <c r="B35">
        <f t="shared" si="1"/>
        <v>1987</v>
      </c>
      <c r="C35" s="213">
        <f>VLOOKUP($A35,BroodTab!$A$12:$AG$67,2)</f>
        <v>38783</v>
      </c>
      <c r="D35" s="213">
        <f>VLOOKUP($A35,BroodTab!$A$12:$AG$67,14)</f>
        <v>-1.1937033242940249</v>
      </c>
      <c r="E35" s="213">
        <v>36</v>
      </c>
      <c r="F35" s="213">
        <v>34</v>
      </c>
      <c r="G35" s="300">
        <v>0.27083641431501748</v>
      </c>
      <c r="H35" s="300">
        <v>-1.7189320488479804E-5</v>
      </c>
      <c r="I35" s="213">
        <v>4.206567089960056E-6</v>
      </c>
      <c r="J35" s="301">
        <v>-0.39581700218969473</v>
      </c>
      <c r="K35" s="213">
        <v>1.2368074897610355</v>
      </c>
      <c r="L35" s="213">
        <v>0.32936074272714622</v>
      </c>
      <c r="M35" s="124">
        <v>1.7133428092216265</v>
      </c>
      <c r="N35" s="213">
        <f t="shared" si="2"/>
        <v>-0.79788632210433019</v>
      </c>
      <c r="O35" s="213">
        <f t="shared" si="3"/>
        <v>0.63662258300117491</v>
      </c>
      <c r="P35" s="384">
        <f t="shared" si="4"/>
        <v>-0.39581700218969473</v>
      </c>
      <c r="Q35" s="213">
        <f t="shared" si="5"/>
        <v>-2.0907200461192099</v>
      </c>
      <c r="R35" s="213">
        <f t="shared" si="6"/>
        <v>1.2990860417398207</v>
      </c>
      <c r="S35" s="350">
        <f t="shared" si="7"/>
        <v>-14350.995591474017</v>
      </c>
      <c r="T35" s="213">
        <f t="shared" si="8"/>
        <v>205951074.46650666</v>
      </c>
      <c r="U35" s="350">
        <f t="shared" si="9"/>
        <v>26105.995591474017</v>
      </c>
      <c r="V35" s="479">
        <f t="shared" si="10"/>
        <v>4793.505400513216</v>
      </c>
      <c r="W35" s="479">
        <f t="shared" si="11"/>
        <v>142176.33002960501</v>
      </c>
      <c r="X35" s="364">
        <f t="shared" si="12"/>
        <v>1.2208418197766071</v>
      </c>
      <c r="Y35" s="364">
        <f t="shared" si="13"/>
        <v>1.2208418197766071</v>
      </c>
      <c r="Z35" s="385">
        <f t="shared" si="14"/>
        <v>38783</v>
      </c>
      <c r="AA35" s="386">
        <f t="shared" si="15"/>
        <v>-0.41924554031559125</v>
      </c>
      <c r="AB35" s="385">
        <f t="shared" si="16"/>
        <v>-1.1937033242940249</v>
      </c>
      <c r="AC35" s="387">
        <f t="shared" si="19"/>
        <v>87</v>
      </c>
      <c r="AD35" s="247">
        <f t="shared" si="17"/>
        <v>-2.1427809090566425</v>
      </c>
      <c r="AE35" s="258">
        <f t="shared" si="18"/>
        <v>1.3042898284254598</v>
      </c>
    </row>
    <row r="36" spans="1:31" ht="16">
      <c r="A36" s="247">
        <v>1984</v>
      </c>
      <c r="B36">
        <f t="shared" si="1"/>
        <v>1988</v>
      </c>
      <c r="C36" s="213">
        <f>VLOOKUP($A36,BroodTab!$A$12:$AG$67,2)</f>
        <v>63622</v>
      </c>
      <c r="D36" s="213">
        <f>VLOOKUP($A36,BroodTab!$A$12:$AG$67,14)</f>
        <v>1.7960403966156908E-2</v>
      </c>
      <c r="E36" s="213">
        <v>36</v>
      </c>
      <c r="F36" s="213">
        <v>34</v>
      </c>
      <c r="G36" s="300">
        <v>0.22413181631939116</v>
      </c>
      <c r="H36" s="300">
        <v>-1.7166801605812681E-5</v>
      </c>
      <c r="I36" s="213">
        <v>4.1984628674861416E-6</v>
      </c>
      <c r="J36" s="301">
        <v>-0.86805443544562333</v>
      </c>
      <c r="K36" s="213">
        <v>1.2350839195916734</v>
      </c>
      <c r="L36" s="213">
        <v>0.32963359550220817</v>
      </c>
      <c r="M36" s="124">
        <v>1.7092214576255877</v>
      </c>
      <c r="N36" s="213">
        <f t="shared" si="2"/>
        <v>0.88601483941178028</v>
      </c>
      <c r="O36" s="213">
        <f t="shared" si="3"/>
        <v>0.78502229565788284</v>
      </c>
      <c r="P36" s="384">
        <f t="shared" si="4"/>
        <v>-0.86805443544562333</v>
      </c>
      <c r="Q36" s="213">
        <f t="shared" si="5"/>
        <v>-2.5629574793751386</v>
      </c>
      <c r="R36" s="213">
        <f t="shared" si="6"/>
        <v>0.82684860848389208</v>
      </c>
      <c r="S36" s="350">
        <f t="shared" si="7"/>
        <v>38068.555934959062</v>
      </c>
      <c r="T36" s="213">
        <f t="shared" si="8"/>
        <v>1449214950.9731069</v>
      </c>
      <c r="U36" s="350">
        <f t="shared" si="9"/>
        <v>26706.444065040927</v>
      </c>
      <c r="V36" s="479">
        <f t="shared" si="10"/>
        <v>4903.757966468329</v>
      </c>
      <c r="W36" s="479">
        <f t="shared" si="11"/>
        <v>145446.44321278131</v>
      </c>
      <c r="X36" s="364">
        <f t="shared" si="12"/>
        <v>-0.58770445287470574</v>
      </c>
      <c r="Y36" s="364">
        <f t="shared" si="13"/>
        <v>0.58770445287470574</v>
      </c>
      <c r="Z36" s="385">
        <f t="shared" si="14"/>
        <v>63622</v>
      </c>
      <c r="AA36" s="386">
        <f t="shared" si="15"/>
        <v>-0.84295693170979558</v>
      </c>
      <c r="AB36" s="385">
        <f t="shared" si="16"/>
        <v>1.7960403966156908E-2</v>
      </c>
      <c r="AC36" s="387">
        <f t="shared" si="19"/>
        <v>88</v>
      </c>
      <c r="AD36" s="247">
        <f t="shared" si="17"/>
        <v>-2.5664923004508466</v>
      </c>
      <c r="AE36" s="258">
        <f t="shared" si="18"/>
        <v>0.88057843703125549</v>
      </c>
    </row>
    <row r="37" spans="1:31" ht="16">
      <c r="A37" s="247">
        <v>1985</v>
      </c>
      <c r="B37">
        <f t="shared" si="1"/>
        <v>1989</v>
      </c>
      <c r="C37" s="213">
        <f>VLOOKUP($A37,BroodTab!$A$12:$AG$67,2)</f>
        <v>163342</v>
      </c>
      <c r="D37" s="213">
        <f>VLOOKUP($A37,BroodTab!$A$12:$AG$67,14)</f>
        <v>-4.5758626007025995</v>
      </c>
      <c r="E37" s="213">
        <v>36</v>
      </c>
      <c r="F37" s="213">
        <v>34</v>
      </c>
      <c r="G37" s="300">
        <v>0.14355776616746352</v>
      </c>
      <c r="H37" s="300">
        <v>-1.3950801760418676E-5</v>
      </c>
      <c r="I37" s="213">
        <v>4.3484895454455974E-6</v>
      </c>
      <c r="J37" s="301">
        <v>-2.1351940949828436</v>
      </c>
      <c r="K37" s="213">
        <v>1.1840658876621848</v>
      </c>
      <c r="L37" s="213">
        <v>0.23237593027476555</v>
      </c>
      <c r="M37" s="124">
        <v>1.5655594267670181</v>
      </c>
      <c r="N37" s="213">
        <f t="shared" si="2"/>
        <v>-2.4406685057197559</v>
      </c>
      <c r="O37" s="213">
        <f t="shared" si="3"/>
        <v>5.9568627548123061</v>
      </c>
      <c r="P37" s="384">
        <f t="shared" si="4"/>
        <v>-2.1351940949828436</v>
      </c>
      <c r="Q37" s="213">
        <f t="shared" si="5"/>
        <v>-3.8300971389123593</v>
      </c>
      <c r="R37" s="213">
        <f t="shared" si="6"/>
        <v>-0.44029105105332822</v>
      </c>
      <c r="S37" s="350">
        <f t="shared" si="7"/>
        <v>-17628.559434832619</v>
      </c>
      <c r="T37" s="213">
        <f t="shared" si="8"/>
        <v>310766107.74742615</v>
      </c>
      <c r="U37" s="350">
        <f t="shared" si="9"/>
        <v>19310.559434832619</v>
      </c>
      <c r="V37" s="479">
        <f t="shared" si="10"/>
        <v>3545.7475894170666</v>
      </c>
      <c r="W37" s="479">
        <f t="shared" si="11"/>
        <v>105167.58350176549</v>
      </c>
      <c r="X37" s="364">
        <f t="shared" si="12"/>
        <v>10.480713100376118</v>
      </c>
      <c r="Y37" s="364">
        <f t="shared" si="13"/>
        <v>10.480713100376118</v>
      </c>
      <c r="Z37" s="385">
        <f t="shared" si="14"/>
        <v>163342</v>
      </c>
      <c r="AA37" s="386">
        <f t="shared" si="15"/>
        <v>-2.5440117225560472</v>
      </c>
      <c r="AB37" s="385">
        <f t="shared" si="16"/>
        <v>-4.5758626007025995</v>
      </c>
      <c r="AC37" s="387">
        <f t="shared" si="19"/>
        <v>89</v>
      </c>
      <c r="AD37" s="247">
        <f t="shared" si="17"/>
        <v>-4.2675470912970983</v>
      </c>
      <c r="AE37" s="258">
        <f t="shared" si="18"/>
        <v>-0.82047635381499617</v>
      </c>
    </row>
    <row r="38" spans="1:31" ht="16">
      <c r="A38" s="247">
        <v>1986</v>
      </c>
      <c r="B38">
        <f t="shared" si="1"/>
        <v>1990</v>
      </c>
      <c r="C38" s="213">
        <f>VLOOKUP($A38,BroodTab!$A$12:$AG$67,2)</f>
        <v>74135</v>
      </c>
      <c r="D38" s="213">
        <f>VLOOKUP($A38,BroodTab!$A$12:$AG$67,14)</f>
        <v>-2.830755935662983</v>
      </c>
      <c r="E38" s="213">
        <v>36</v>
      </c>
      <c r="F38" s="213">
        <v>34</v>
      </c>
      <c r="G38" s="300">
        <v>0.26868256669732615</v>
      </c>
      <c r="H38" s="300">
        <v>-1.660280872464505E-5</v>
      </c>
      <c r="I38" s="213">
        <v>4.0993188282725108E-6</v>
      </c>
      <c r="J38" s="301">
        <v>-0.96216665810423463</v>
      </c>
      <c r="K38" s="213">
        <v>1.2035267424625529</v>
      </c>
      <c r="L38" s="213">
        <v>0.32544529302248831</v>
      </c>
      <c r="M38" s="124">
        <v>1.634036608790254</v>
      </c>
      <c r="N38" s="213">
        <f t="shared" si="2"/>
        <v>-1.8685892775587485</v>
      </c>
      <c r="O38" s="213">
        <f t="shared" si="3"/>
        <v>3.4916258882075257</v>
      </c>
      <c r="P38" s="384">
        <f t="shared" si="4"/>
        <v>-0.96216665810423463</v>
      </c>
      <c r="Q38" s="213">
        <f t="shared" si="5"/>
        <v>-2.6570697020337501</v>
      </c>
      <c r="R38" s="213">
        <f t="shared" si="6"/>
        <v>0.73273638582528078</v>
      </c>
      <c r="S38" s="350">
        <f t="shared" si="7"/>
        <v>-23952.716435005252</v>
      </c>
      <c r="T38" s="213">
        <f t="shared" si="8"/>
        <v>573732624.6157707</v>
      </c>
      <c r="U38" s="350">
        <f t="shared" si="9"/>
        <v>28324.328435005253</v>
      </c>
      <c r="V38" s="479">
        <f t="shared" si="10"/>
        <v>5200.8290909023926</v>
      </c>
      <c r="W38" s="479">
        <f t="shared" si="11"/>
        <v>154257.63224894708</v>
      </c>
      <c r="X38" s="364">
        <f t="shared" si="12"/>
        <v>5.4791496672177793</v>
      </c>
      <c r="Y38" s="364">
        <f t="shared" si="13"/>
        <v>5.4791496672177793</v>
      </c>
      <c r="Z38" s="385">
        <f t="shared" si="14"/>
        <v>74135</v>
      </c>
      <c r="AA38" s="386">
        <f t="shared" si="15"/>
        <v>-1.0222909571426739</v>
      </c>
      <c r="AB38" s="385">
        <f t="shared" si="16"/>
        <v>-2.830755935662983</v>
      </c>
      <c r="AC38" s="387">
        <f t="shared" si="19"/>
        <v>90</v>
      </c>
      <c r="AD38" s="247">
        <f t="shared" si="17"/>
        <v>-2.745826325883725</v>
      </c>
      <c r="AE38" s="258">
        <f t="shared" si="18"/>
        <v>0.70124441159837714</v>
      </c>
    </row>
    <row r="39" spans="1:31" ht="16">
      <c r="A39" s="247">
        <v>1987</v>
      </c>
      <c r="B39">
        <f t="shared" si="1"/>
        <v>1991</v>
      </c>
      <c r="C39" s="213">
        <f>VLOOKUP($A39,BroodTab!$A$12:$AG$67,2)</f>
        <v>187263</v>
      </c>
      <c r="D39" s="213">
        <f>VLOOKUP($A39,BroodTab!$A$12:$AG$67,14)</f>
        <v>-4.4584355884117555</v>
      </c>
      <c r="E39" s="213">
        <v>36</v>
      </c>
      <c r="F39" s="213">
        <v>34</v>
      </c>
      <c r="G39" s="300">
        <v>0.13382247289040416</v>
      </c>
      <c r="H39" s="300">
        <v>-1.4007546253703195E-5</v>
      </c>
      <c r="I39" s="213">
        <v>4.630180206866229E-6</v>
      </c>
      <c r="J39" s="301">
        <v>-2.4892726612168175</v>
      </c>
      <c r="K39" s="213">
        <v>1.2085624839231772</v>
      </c>
      <c r="L39" s="213">
        <v>0.21209224925525627</v>
      </c>
      <c r="M39" s="124">
        <v>1.6233158389088636</v>
      </c>
      <c r="N39" s="213">
        <f t="shared" si="2"/>
        <v>-1.969162927194938</v>
      </c>
      <c r="O39" s="213">
        <f t="shared" si="3"/>
        <v>3.8776026338389369</v>
      </c>
      <c r="P39" s="384">
        <f t="shared" si="4"/>
        <v>-2.4892726612168175</v>
      </c>
      <c r="Q39" s="213">
        <f t="shared" si="5"/>
        <v>-4.1841757051463331</v>
      </c>
      <c r="R39" s="213">
        <f t="shared" si="6"/>
        <v>-0.79436961728730204</v>
      </c>
      <c r="S39" s="350">
        <f t="shared" si="7"/>
        <v>-13368.673062368996</v>
      </c>
      <c r="T39" s="213">
        <f t="shared" si="8"/>
        <v>178721419.44851044</v>
      </c>
      <c r="U39" s="350">
        <f t="shared" si="9"/>
        <v>15537.265818001399</v>
      </c>
      <c r="V39" s="479">
        <f t="shared" si="10"/>
        <v>2852.9066185900565</v>
      </c>
      <c r="W39" s="479">
        <f t="shared" si="11"/>
        <v>84617.781572724911</v>
      </c>
      <c r="X39" s="364">
        <f t="shared" si="12"/>
        <v>6.1646766215773132</v>
      </c>
      <c r="Y39" s="364">
        <f t="shared" si="13"/>
        <v>6.1646766215773132</v>
      </c>
      <c r="Z39" s="385">
        <f t="shared" si="14"/>
        <v>187263</v>
      </c>
      <c r="AA39" s="386">
        <f t="shared" si="15"/>
        <v>-2.9520635842872265</v>
      </c>
      <c r="AB39" s="385">
        <f t="shared" si="16"/>
        <v>-4.4584355884117555</v>
      </c>
      <c r="AC39" s="387">
        <f t="shared" si="19"/>
        <v>91</v>
      </c>
      <c r="AD39" s="247">
        <f t="shared" si="17"/>
        <v>-4.6755989530282775</v>
      </c>
      <c r="AE39" s="258">
        <f t="shared" si="18"/>
        <v>-1.2285282155461754</v>
      </c>
    </row>
    <row r="40" spans="1:31" ht="16">
      <c r="A40" s="247">
        <v>1988</v>
      </c>
      <c r="B40">
        <f t="shared" si="1"/>
        <v>1992</v>
      </c>
      <c r="C40" s="213">
        <f>VLOOKUP($A40,BroodTab!$A$12:$AG$67,2)</f>
        <v>72023</v>
      </c>
      <c r="D40" s="213">
        <f>VLOOKUP($A40,BroodTab!$A$12:$AG$67,14)</f>
        <v>-2.3435640230794115</v>
      </c>
      <c r="E40" s="213">
        <v>36</v>
      </c>
      <c r="F40" s="213">
        <v>34</v>
      </c>
      <c r="G40" s="300">
        <v>0.26389768917663203</v>
      </c>
      <c r="H40" s="300">
        <v>-1.6750936057301695E-5</v>
      </c>
      <c r="I40" s="213">
        <v>4.1582632661687053E-6</v>
      </c>
      <c r="J40" s="301">
        <v>-0.94255497847840797</v>
      </c>
      <c r="K40" s="213">
        <v>1.2214491569010242</v>
      </c>
      <c r="L40" s="213">
        <v>0.32308128546957443</v>
      </c>
      <c r="M40" s="124">
        <v>1.6765028248297311</v>
      </c>
      <c r="N40" s="213">
        <f t="shared" si="2"/>
        <v>-1.4010090446010035</v>
      </c>
      <c r="O40" s="213">
        <f t="shared" si="3"/>
        <v>1.9628263430538166</v>
      </c>
      <c r="P40" s="384">
        <f t="shared" si="4"/>
        <v>-0.94255497847840797</v>
      </c>
      <c r="Q40" s="213">
        <f t="shared" si="5"/>
        <v>-2.6374580224079232</v>
      </c>
      <c r="R40" s="213">
        <f t="shared" si="6"/>
        <v>0.75234806545110744</v>
      </c>
      <c r="S40" s="350">
        <f t="shared" si="7"/>
        <v>-21149.275090321255</v>
      </c>
      <c r="T40" s="213">
        <f t="shared" si="8"/>
        <v>447291836.8460831</v>
      </c>
      <c r="U40" s="350">
        <f t="shared" si="9"/>
        <v>28062.398090321254</v>
      </c>
      <c r="V40" s="479">
        <f t="shared" si="10"/>
        <v>5152.7342186956785</v>
      </c>
      <c r="W40" s="479">
        <f t="shared" si="11"/>
        <v>152831.12870879009</v>
      </c>
      <c r="X40" s="364">
        <f t="shared" si="12"/>
        <v>3.0592939096152723</v>
      </c>
      <c r="Y40" s="364">
        <f t="shared" si="13"/>
        <v>3.0592939096152723</v>
      </c>
      <c r="Z40" s="385">
        <f t="shared" si="14"/>
        <v>72023</v>
      </c>
      <c r="AA40" s="386">
        <f t="shared" si="15"/>
        <v>-0.98626380393100854</v>
      </c>
      <c r="AB40" s="385">
        <f t="shared" si="16"/>
        <v>-2.3435640230794115</v>
      </c>
      <c r="AC40" s="387">
        <f t="shared" si="19"/>
        <v>92</v>
      </c>
      <c r="AD40" s="247">
        <f t="shared" si="17"/>
        <v>-2.7097991726720596</v>
      </c>
      <c r="AE40" s="258">
        <f t="shared" si="18"/>
        <v>0.73727156481004252</v>
      </c>
    </row>
    <row r="41" spans="1:31" ht="16">
      <c r="A41" s="247">
        <v>1989</v>
      </c>
      <c r="B41">
        <f t="shared" si="1"/>
        <v>1993</v>
      </c>
      <c r="C41" s="213">
        <f>VLOOKUP($A41,BroodTab!$A$12:$AG$67,2)</f>
        <v>36881</v>
      </c>
      <c r="D41" s="213">
        <f>VLOOKUP($A41,BroodTab!$A$12:$AG$67,14)</f>
        <v>-2.6537247144464073</v>
      </c>
      <c r="E41" s="213">
        <v>36</v>
      </c>
      <c r="F41" s="213">
        <v>34</v>
      </c>
      <c r="G41" s="300">
        <v>0.32855401647623628</v>
      </c>
      <c r="H41" s="300">
        <v>-1.7493350962329843E-5</v>
      </c>
      <c r="I41" s="213">
        <v>4.0142190124934716E-6</v>
      </c>
      <c r="J41" s="301">
        <v>-0.31661826036545071</v>
      </c>
      <c r="K41" s="213">
        <v>1.1798484503718856</v>
      </c>
      <c r="L41" s="213">
        <v>0.35837952468555595</v>
      </c>
      <c r="M41" s="124">
        <v>1.5792987714549542</v>
      </c>
      <c r="N41" s="213">
        <f t="shared" si="2"/>
        <v>-2.3371064540809567</v>
      </c>
      <c r="O41" s="213">
        <f t="shared" si="3"/>
        <v>5.4620665777068629</v>
      </c>
      <c r="P41" s="384">
        <f t="shared" si="4"/>
        <v>-0.31661826036545071</v>
      </c>
      <c r="Q41" s="213">
        <f t="shared" si="5"/>
        <v>-2.0115213042949662</v>
      </c>
      <c r="R41" s="213">
        <f t="shared" si="6"/>
        <v>1.3782847835640646</v>
      </c>
      <c r="S41" s="350">
        <f t="shared" si="7"/>
        <v>-24275.822661852559</v>
      </c>
      <c r="T41" s="213">
        <f t="shared" si="8"/>
        <v>589315565.90971422</v>
      </c>
      <c r="U41" s="350">
        <f t="shared" si="9"/>
        <v>26871.822661852559</v>
      </c>
      <c r="V41" s="479">
        <f t="shared" si="10"/>
        <v>4934.1242933976391</v>
      </c>
      <c r="W41" s="479">
        <f t="shared" si="11"/>
        <v>146347.11455005076</v>
      </c>
      <c r="X41" s="364">
        <f t="shared" si="12"/>
        <v>9.3512413951666247</v>
      </c>
      <c r="Y41" s="364">
        <f t="shared" si="13"/>
        <v>9.3512413951666247</v>
      </c>
      <c r="Z41" s="385">
        <f t="shared" si="14"/>
        <v>36881</v>
      </c>
      <c r="AA41" s="386">
        <f t="shared" si="15"/>
        <v>-0.38680063245167662</v>
      </c>
      <c r="AB41" s="385">
        <f t="shared" si="16"/>
        <v>-2.6537247144464073</v>
      </c>
      <c r="AC41" s="387">
        <f t="shared" si="19"/>
        <v>93</v>
      </c>
      <c r="AD41" s="247">
        <f t="shared" si="17"/>
        <v>-2.1103360011927279</v>
      </c>
      <c r="AE41" s="258">
        <f t="shared" si="18"/>
        <v>1.3367347362893744</v>
      </c>
    </row>
    <row r="42" spans="1:31" ht="16">
      <c r="A42" s="247">
        <v>1990</v>
      </c>
      <c r="B42">
        <f t="shared" si="1"/>
        <v>1994</v>
      </c>
      <c r="C42" s="213">
        <f>VLOOKUP($A42,BroodTab!$A$12:$AG$67,2)</f>
        <v>8250</v>
      </c>
      <c r="D42" s="213">
        <f>VLOOKUP($A42,BroodTab!$A$12:$AG$67,14)</f>
        <v>-0.85203634200714151</v>
      </c>
      <c r="E42" s="213">
        <v>36</v>
      </c>
      <c r="F42" s="213">
        <v>34</v>
      </c>
      <c r="G42" s="300">
        <v>0.29695340099770473</v>
      </c>
      <c r="H42" s="300">
        <v>-1.7576914690716716E-5</v>
      </c>
      <c r="I42" s="213">
        <v>4.2384415572382795E-6</v>
      </c>
      <c r="J42" s="301">
        <v>0.15194385479929182</v>
      </c>
      <c r="K42" s="213">
        <v>1.2327641762080099</v>
      </c>
      <c r="L42" s="213">
        <v>0.33590896350170441</v>
      </c>
      <c r="M42" s="124">
        <v>1.7030219070738286</v>
      </c>
      <c r="N42" s="213">
        <f t="shared" si="2"/>
        <v>-1.0039801968064332</v>
      </c>
      <c r="O42" s="213">
        <f t="shared" si="3"/>
        <v>1.0079762355794843</v>
      </c>
      <c r="P42" s="384">
        <f t="shared" si="4"/>
        <v>0.15194385479929182</v>
      </c>
      <c r="Q42" s="213">
        <f t="shared" si="5"/>
        <v>-1.5429591891302237</v>
      </c>
      <c r="R42" s="213">
        <f t="shared" si="6"/>
        <v>1.8468468987288071</v>
      </c>
      <c r="S42" s="350">
        <f t="shared" si="7"/>
        <v>-6084.7827291188369</v>
      </c>
      <c r="T42" s="213">
        <f t="shared" si="8"/>
        <v>37024580.860582881</v>
      </c>
      <c r="U42" s="388">
        <f t="shared" si="9"/>
        <v>9603.7827291188369</v>
      </c>
      <c r="V42" s="479">
        <f t="shared" si="10"/>
        <v>1763.4180706144589</v>
      </c>
      <c r="W42" s="479">
        <f t="shared" si="11"/>
        <v>52303.333080840537</v>
      </c>
      <c r="X42" s="364">
        <f t="shared" si="12"/>
        <v>1.7291226851715933</v>
      </c>
      <c r="Y42" s="364">
        <f t="shared" si="13"/>
        <v>1.7291226851715933</v>
      </c>
      <c r="Z42" s="385">
        <f t="shared" si="14"/>
        <v>8250</v>
      </c>
      <c r="AA42" s="386">
        <f t="shared" si="15"/>
        <v>0.10159587493619984</v>
      </c>
      <c r="AB42" s="385">
        <f t="shared" si="16"/>
        <v>-0.85203634200714151</v>
      </c>
      <c r="AC42" s="387">
        <f t="shared" si="19"/>
        <v>94</v>
      </c>
      <c r="AD42" s="247">
        <f t="shared" si="17"/>
        <v>-1.6219394938048513</v>
      </c>
      <c r="AE42" s="258">
        <f t="shared" si="18"/>
        <v>1.8251312436772509</v>
      </c>
    </row>
    <row r="43" spans="1:31" ht="16">
      <c r="A43" s="247">
        <v>1991</v>
      </c>
      <c r="B43">
        <f t="shared" si="1"/>
        <v>1995</v>
      </c>
      <c r="C43" s="213">
        <f>VLOOKUP($A43,BroodTab!$A$12:$AG$67,2)</f>
        <v>9701</v>
      </c>
      <c r="D43" s="213">
        <f>VLOOKUP($A43,BroodTab!$A$12:$AG$67,14)</f>
        <v>1.3803754252700782</v>
      </c>
      <c r="E43" s="213">
        <v>36</v>
      </c>
      <c r="F43" s="213">
        <v>34</v>
      </c>
      <c r="G43" s="300">
        <v>0.16898942532223349</v>
      </c>
      <c r="H43" s="300">
        <v>-1.6373468673503412E-5</v>
      </c>
      <c r="I43" s="213">
        <v>4.2010553569905023E-6</v>
      </c>
      <c r="J43" s="301">
        <v>1.0150405720576877E-2</v>
      </c>
      <c r="K43" s="213">
        <v>1.2228384570896649</v>
      </c>
      <c r="L43" s="213">
        <v>0.30880594619525653</v>
      </c>
      <c r="M43" s="124">
        <v>1.6788701615842987</v>
      </c>
      <c r="N43" s="213">
        <f t="shared" si="2"/>
        <v>1.3702250195495014</v>
      </c>
      <c r="O43" s="213">
        <f t="shared" si="3"/>
        <v>1.8775166041994313</v>
      </c>
      <c r="P43" s="384">
        <f t="shared" si="4"/>
        <v>1.0150405720576877E-2</v>
      </c>
      <c r="Q43" s="213">
        <f t="shared" si="5"/>
        <v>-1.6847526382089386</v>
      </c>
      <c r="R43" s="213">
        <f t="shared" si="6"/>
        <v>1.7050534496500922</v>
      </c>
      <c r="S43" s="350">
        <f t="shared" si="7"/>
        <v>28775.029468328372</v>
      </c>
      <c r="T43" s="213">
        <f t="shared" si="8"/>
        <v>828002320.90316617</v>
      </c>
      <c r="U43" s="388">
        <f t="shared" si="9"/>
        <v>9799.9705316716372</v>
      </c>
      <c r="V43" s="479">
        <f t="shared" si="10"/>
        <v>1799.4414924279065</v>
      </c>
      <c r="W43" s="479">
        <f t="shared" si="11"/>
        <v>53371.794985148823</v>
      </c>
      <c r="X43" s="364">
        <f t="shared" si="12"/>
        <v>-0.74595021304804576</v>
      </c>
      <c r="Y43" s="364">
        <f t="shared" si="13"/>
        <v>0.74595021304804576</v>
      </c>
      <c r="Z43" s="385">
        <f t="shared" si="14"/>
        <v>9701</v>
      </c>
      <c r="AA43" s="386">
        <f t="shared" si="15"/>
        <v>7.6844265414359569E-2</v>
      </c>
      <c r="AB43" s="385">
        <f t="shared" si="16"/>
        <v>1.3803754252700782</v>
      </c>
      <c r="AC43" s="387">
        <f t="shared" si="19"/>
        <v>95</v>
      </c>
      <c r="AD43" s="247">
        <f t="shared" si="17"/>
        <v>-1.6466911033266916</v>
      </c>
      <c r="AE43" s="258">
        <f t="shared" si="18"/>
        <v>1.8003796341554106</v>
      </c>
    </row>
    <row r="44" spans="1:31" ht="16">
      <c r="A44" s="247">
        <v>1992</v>
      </c>
      <c r="B44">
        <f t="shared" si="1"/>
        <v>1996</v>
      </c>
      <c r="C44" s="213">
        <f>VLOOKUP($A44,BroodTab!$A$12:$AG$67,2)</f>
        <v>29642</v>
      </c>
      <c r="D44" s="213">
        <f>VLOOKUP($A44,BroodTab!$A$12:$AG$67,14)</f>
        <v>-0.69179865362104209</v>
      </c>
      <c r="E44" s="213">
        <v>36</v>
      </c>
      <c r="F44" s="213">
        <v>34</v>
      </c>
      <c r="G44" s="300">
        <v>0.26064375755312819</v>
      </c>
      <c r="H44" s="300">
        <v>-1.7177849935025536E-5</v>
      </c>
      <c r="I44" s="213">
        <v>4.2324961144487706E-6</v>
      </c>
      <c r="J44" s="301">
        <v>-0.2485420702208988</v>
      </c>
      <c r="K44" s="213">
        <v>1.241886081860621</v>
      </c>
      <c r="L44" s="213">
        <v>0.32635822741705567</v>
      </c>
      <c r="M44" s="124">
        <v>1.7255651303299882</v>
      </c>
      <c r="N44" s="213">
        <f t="shared" si="2"/>
        <v>-0.44325658340014329</v>
      </c>
      <c r="O44" s="213">
        <f t="shared" si="3"/>
        <v>0.1964763987275682</v>
      </c>
      <c r="P44" s="384">
        <f t="shared" si="4"/>
        <v>-0.2485420702208988</v>
      </c>
      <c r="Q44" s="213">
        <f t="shared" si="5"/>
        <v>-1.9434451141504141</v>
      </c>
      <c r="R44" s="213">
        <f t="shared" si="6"/>
        <v>1.4463609737086167</v>
      </c>
      <c r="S44" s="350">
        <f t="shared" si="7"/>
        <v>-8277.8939774390437</v>
      </c>
      <c r="T44" s="213">
        <f t="shared" si="8"/>
        <v>68523528.701721594</v>
      </c>
      <c r="U44" s="388">
        <f t="shared" si="9"/>
        <v>23118.893977439042</v>
      </c>
      <c r="V44" s="479">
        <f t="shared" si="10"/>
        <v>4245.0226709966773</v>
      </c>
      <c r="W44" s="479">
        <f t="shared" si="11"/>
        <v>125908.22244409299</v>
      </c>
      <c r="X44" s="364">
        <f t="shared" si="12"/>
        <v>0.55777198149983453</v>
      </c>
      <c r="Y44" s="364">
        <f t="shared" si="13"/>
        <v>0.55777198149983453</v>
      </c>
      <c r="Z44" s="385">
        <f t="shared" si="14"/>
        <v>29642</v>
      </c>
      <c r="AA44" s="386">
        <f t="shared" si="15"/>
        <v>-0.26331551782135154</v>
      </c>
      <c r="AB44" s="385">
        <f t="shared" si="16"/>
        <v>-0.69179865362104209</v>
      </c>
      <c r="AC44" s="387">
        <f t="shared" si="19"/>
        <v>96</v>
      </c>
      <c r="AD44" s="247">
        <f t="shared" si="17"/>
        <v>-1.9868508865624026</v>
      </c>
      <c r="AE44" s="258">
        <f t="shared" si="18"/>
        <v>1.4602198509196995</v>
      </c>
    </row>
    <row r="45" spans="1:31" ht="16">
      <c r="A45" s="247">
        <v>1993</v>
      </c>
      <c r="B45">
        <f t="shared" si="1"/>
        <v>1997</v>
      </c>
      <c r="C45" s="213">
        <f>VLOOKUP($A45,BroodTab!$A$12:$AG$67,2)</f>
        <v>9232</v>
      </c>
      <c r="D45" s="213">
        <f>VLOOKUP($A45,BroodTab!$A$12:$AG$67,14)</f>
        <v>-8.6501462902587908E-2</v>
      </c>
      <c r="E45" s="213">
        <v>36</v>
      </c>
      <c r="F45" s="213">
        <v>34</v>
      </c>
      <c r="G45" s="300">
        <v>0.25202346553423771</v>
      </c>
      <c r="H45" s="300">
        <v>-1.7149352030298441E-5</v>
      </c>
      <c r="I45" s="213">
        <v>4.2740178918061609E-6</v>
      </c>
      <c r="J45" s="301">
        <v>9.3700647590522518E-2</v>
      </c>
      <c r="K45" s="213">
        <v>1.2437680701271128</v>
      </c>
      <c r="L45" s="213">
        <v>0.32135572014723396</v>
      </c>
      <c r="M45" s="124">
        <v>1.730120501530741</v>
      </c>
      <c r="N45" s="213">
        <f t="shared" si="2"/>
        <v>-0.18020211049311041</v>
      </c>
      <c r="O45" s="213">
        <f t="shared" si="3"/>
        <v>3.2472800626171174E-2</v>
      </c>
      <c r="P45" s="384">
        <f t="shared" si="4"/>
        <v>9.3700647590522518E-2</v>
      </c>
      <c r="Q45" s="213">
        <f t="shared" si="5"/>
        <v>-1.601202396338993</v>
      </c>
      <c r="R45" s="213">
        <f t="shared" si="6"/>
        <v>1.7886036915200378</v>
      </c>
      <c r="S45" s="350">
        <f t="shared" si="7"/>
        <v>-1671.8850254077988</v>
      </c>
      <c r="T45" s="213">
        <f t="shared" si="8"/>
        <v>2795199.538182836</v>
      </c>
      <c r="U45" s="350">
        <f t="shared" si="9"/>
        <v>10138.868025407799</v>
      </c>
      <c r="V45" s="479">
        <f t="shared" si="10"/>
        <v>1861.6688440243049</v>
      </c>
      <c r="W45" s="479">
        <f t="shared" si="11"/>
        <v>55217.470693888106</v>
      </c>
      <c r="X45" s="364">
        <f t="shared" si="12"/>
        <v>0.19745935776743603</v>
      </c>
      <c r="Y45" s="364">
        <f t="shared" si="13"/>
        <v>0.19745935776743603</v>
      </c>
      <c r="Z45" s="385">
        <f t="shared" si="14"/>
        <v>9232</v>
      </c>
      <c r="AA45" s="386">
        <f t="shared" si="15"/>
        <v>8.4844613357669768E-2</v>
      </c>
      <c r="AB45" s="385">
        <f t="shared" si="16"/>
        <v>-8.6501462902587908E-2</v>
      </c>
      <c r="AC45" s="387">
        <f t="shared" si="19"/>
        <v>97</v>
      </c>
      <c r="AD45" s="247">
        <f t="shared" si="17"/>
        <v>-1.6386907553833814</v>
      </c>
      <c r="AE45" s="258">
        <f t="shared" si="18"/>
        <v>1.8083799820987208</v>
      </c>
    </row>
    <row r="46" spans="1:31" ht="16">
      <c r="A46" s="247">
        <v>1994</v>
      </c>
      <c r="B46">
        <f t="shared" si="1"/>
        <v>1998</v>
      </c>
      <c r="C46" s="213">
        <f>VLOOKUP($A46,BroodTab!$A$12:$AG$67,2)</f>
        <v>7264</v>
      </c>
      <c r="D46" s="213">
        <f>VLOOKUP($A46,BroodTab!$A$12:$AG$67,14)</f>
        <v>-1.14438525804969</v>
      </c>
      <c r="E46" s="213">
        <v>36</v>
      </c>
      <c r="F46" s="213">
        <v>34</v>
      </c>
      <c r="G46" s="300">
        <v>0.31554465344905791</v>
      </c>
      <c r="H46" s="300">
        <v>-1.7760935576634732E-5</v>
      </c>
      <c r="I46" s="213">
        <v>4.2109566466754127E-6</v>
      </c>
      <c r="J46" s="301">
        <v>0.18652921742038323</v>
      </c>
      <c r="K46" s="213">
        <v>1.2241059607451992</v>
      </c>
      <c r="L46" s="213">
        <v>0.3434995895321874</v>
      </c>
      <c r="M46" s="124">
        <v>1.6818166876166576</v>
      </c>
      <c r="N46" s="213">
        <f t="shared" si="2"/>
        <v>-1.3309144754700732</v>
      </c>
      <c r="O46" s="213">
        <f t="shared" si="3"/>
        <v>1.7713333410157801</v>
      </c>
      <c r="P46" s="384">
        <f t="shared" si="4"/>
        <v>0.18652921742038323</v>
      </c>
      <c r="Q46" s="213">
        <f t="shared" si="5"/>
        <v>-1.5083738265091322</v>
      </c>
      <c r="R46" s="213">
        <f t="shared" si="6"/>
        <v>1.8814322613498986</v>
      </c>
      <c r="S46" s="350">
        <f t="shared" si="7"/>
        <v>-6440.5546073790774</v>
      </c>
      <c r="T46" s="213">
        <f t="shared" si="8"/>
        <v>41480743.65063186</v>
      </c>
      <c r="U46" s="217">
        <f t="shared" si="9"/>
        <v>8753.5546073790774</v>
      </c>
      <c r="V46" s="479">
        <f t="shared" si="10"/>
        <v>1607.3017072699868</v>
      </c>
      <c r="W46" s="479">
        <f t="shared" si="11"/>
        <v>47672.890483339979</v>
      </c>
      <c r="X46" s="364">
        <f t="shared" si="12"/>
        <v>2.7845026404578803</v>
      </c>
      <c r="Y46" s="364">
        <f t="shared" si="13"/>
        <v>2.7845026404578803</v>
      </c>
      <c r="Z46" s="385">
        <f t="shared" si="14"/>
        <v>7264</v>
      </c>
      <c r="AA46" s="386">
        <f t="shared" si="15"/>
        <v>0.11841536975944898</v>
      </c>
      <c r="AB46" s="385">
        <f t="shared" si="16"/>
        <v>-1.14438525804969</v>
      </c>
      <c r="AC46" s="387">
        <f t="shared" si="19"/>
        <v>98</v>
      </c>
      <c r="AD46" s="247">
        <f t="shared" si="17"/>
        <v>-1.6051199989816021</v>
      </c>
      <c r="AE46" s="258">
        <f t="shared" si="18"/>
        <v>1.8419507385005001</v>
      </c>
    </row>
    <row r="47" spans="1:31" ht="16">
      <c r="A47" s="247">
        <v>1995</v>
      </c>
      <c r="B47">
        <f t="shared" si="1"/>
        <v>1999</v>
      </c>
      <c r="C47" s="213">
        <f>VLOOKUP($A47,BroodTab!$A$12:$AG$67,2)</f>
        <v>30382</v>
      </c>
      <c r="D47" s="213">
        <f>VLOOKUP($A47,BroodTab!$A$12:$AG$67,14)</f>
        <v>1.4828470287806648</v>
      </c>
      <c r="E47" s="213">
        <v>36</v>
      </c>
      <c r="F47" s="213">
        <v>34</v>
      </c>
      <c r="G47" s="300">
        <v>0.16799614972608212</v>
      </c>
      <c r="H47" s="300">
        <v>-1.6583373189929494E-5</v>
      </c>
      <c r="I47" s="213">
        <v>4.1084421349752044E-6</v>
      </c>
      <c r="J47" s="301">
        <v>-0.33583989453035579</v>
      </c>
      <c r="K47" s="213">
        <v>1.2057314450018966</v>
      </c>
      <c r="L47" s="213">
        <v>0.32395671452032099</v>
      </c>
      <c r="M47" s="124">
        <v>1.6391419991720264</v>
      </c>
      <c r="N47" s="213">
        <f t="shared" si="2"/>
        <v>1.8186869233110206</v>
      </c>
      <c r="O47" s="213">
        <f t="shared" si="3"/>
        <v>3.307622125022506</v>
      </c>
      <c r="P47" s="384">
        <f t="shared" si="4"/>
        <v>-0.33583989453035579</v>
      </c>
      <c r="Q47" s="213">
        <f t="shared" si="5"/>
        <v>-2.0307429384598712</v>
      </c>
      <c r="R47" s="213">
        <f t="shared" si="6"/>
        <v>1.3590631493991596</v>
      </c>
      <c r="S47" s="350">
        <f t="shared" si="7"/>
        <v>112131.84436221047</v>
      </c>
      <c r="T47" s="213">
        <f t="shared" si="8"/>
        <v>12573550520.070992</v>
      </c>
      <c r="U47" s="217">
        <f t="shared" si="9"/>
        <v>21715.155637789532</v>
      </c>
      <c r="V47" s="479">
        <f t="shared" si="10"/>
        <v>3987.2724048388532</v>
      </c>
      <c r="W47" s="479">
        <f t="shared" si="11"/>
        <v>118263.29793799986</v>
      </c>
      <c r="X47" s="364">
        <f t="shared" si="12"/>
        <v>-0.8377613570883955</v>
      </c>
      <c r="Y47" s="364">
        <f t="shared" si="13"/>
        <v>0.8377613570883955</v>
      </c>
      <c r="Z47" s="385">
        <f t="shared" si="14"/>
        <v>30382</v>
      </c>
      <c r="AA47" s="386">
        <f t="shared" si="15"/>
        <v>-0.27593866809437828</v>
      </c>
      <c r="AB47" s="385">
        <f t="shared" si="16"/>
        <v>1.4828470287806648</v>
      </c>
      <c r="AC47" s="387">
        <f t="shared" si="19"/>
        <v>99</v>
      </c>
      <c r="AD47" s="247">
        <f t="shared" si="17"/>
        <v>-1.9994740368354293</v>
      </c>
      <c r="AE47" s="258">
        <f t="shared" si="18"/>
        <v>1.4475967006466728</v>
      </c>
    </row>
    <row r="48" spans="1:31" ht="16">
      <c r="A48" s="247">
        <v>1996</v>
      </c>
      <c r="B48">
        <f t="shared" si="1"/>
        <v>2000</v>
      </c>
      <c r="C48" s="213">
        <f>VLOOKUP($A48,BroodTab!$A$12:$AG$67,2)</f>
        <v>38693</v>
      </c>
      <c r="D48" s="213">
        <f>VLOOKUP($A48,BroodTab!$A$12:$AG$67,14)</f>
        <v>-0.54954852409866584</v>
      </c>
      <c r="E48" s="213">
        <v>36</v>
      </c>
      <c r="F48" s="213">
        <v>34</v>
      </c>
      <c r="G48" s="300">
        <v>0.24718782044649212</v>
      </c>
      <c r="H48" s="300">
        <v>-1.7080755036139993E-5</v>
      </c>
      <c r="I48" s="213">
        <v>4.2308271942105855E-6</v>
      </c>
      <c r="J48" s="301">
        <v>-0.41371783416687269</v>
      </c>
      <c r="K48" s="213">
        <v>1.2439214045495999</v>
      </c>
      <c r="L48" s="213">
        <v>0.32404353601954511</v>
      </c>
      <c r="M48" s="124">
        <v>1.7305077242500047</v>
      </c>
      <c r="N48" s="213">
        <f t="shared" si="2"/>
        <v>-0.13583068993179315</v>
      </c>
      <c r="O48" s="213">
        <f t="shared" si="3"/>
        <v>1.8449976327346931E-2</v>
      </c>
      <c r="P48" s="384">
        <f t="shared" si="4"/>
        <v>-0.41371783416687269</v>
      </c>
      <c r="Q48" s="213">
        <f t="shared" si="5"/>
        <v>-2.1086208780963882</v>
      </c>
      <c r="R48" s="213">
        <f t="shared" si="6"/>
        <v>1.2811852097626426</v>
      </c>
      <c r="S48" s="350">
        <f t="shared" si="7"/>
        <v>-3249.3275299133566</v>
      </c>
      <c r="T48" s="213">
        <f t="shared" si="8"/>
        <v>10558129.396652834</v>
      </c>
      <c r="U48" s="217">
        <f t="shared" si="9"/>
        <v>25583.327529913357</v>
      </c>
      <c r="V48" s="479">
        <f t="shared" si="10"/>
        <v>4697.5346428767944</v>
      </c>
      <c r="W48" s="479">
        <f t="shared" si="11"/>
        <v>139329.81814094706</v>
      </c>
      <c r="X48" s="364">
        <f t="shared" si="12"/>
        <v>0.14548793453538805</v>
      </c>
      <c r="Y48" s="364">
        <f t="shared" si="13"/>
        <v>0.14548793453538805</v>
      </c>
      <c r="Z48" s="385">
        <f t="shared" si="14"/>
        <v>38693</v>
      </c>
      <c r="AA48" s="386">
        <f t="shared" si="15"/>
        <v>-0.41771029230941237</v>
      </c>
      <c r="AB48" s="385">
        <f t="shared" si="16"/>
        <v>-0.54954852409866584</v>
      </c>
      <c r="AC48" s="387">
        <f t="shared" si="19"/>
        <v>100</v>
      </c>
      <c r="AD48" s="247">
        <f t="shared" si="17"/>
        <v>-2.1412456610504633</v>
      </c>
      <c r="AE48" s="258">
        <f t="shared" si="18"/>
        <v>1.3058250764316388</v>
      </c>
    </row>
    <row r="49" spans="1:33" ht="16">
      <c r="A49" s="247">
        <v>1997</v>
      </c>
      <c r="B49">
        <f t="shared" si="1"/>
        <v>2001</v>
      </c>
      <c r="C49" s="213">
        <f>VLOOKUP($A49,BroodTab!$A$12:$AG$67,2)</f>
        <v>35010</v>
      </c>
      <c r="D49" s="213">
        <f>VLOOKUP($A49,BroodTab!$A$12:$AG$67,14)</f>
        <v>-1.024638980985819</v>
      </c>
      <c r="E49" s="213">
        <v>36</v>
      </c>
      <c r="F49" s="213">
        <v>34</v>
      </c>
      <c r="G49" s="300">
        <v>0.26861271493021177</v>
      </c>
      <c r="H49" s="300">
        <v>-1.720185980866164E-5</v>
      </c>
      <c r="I49" s="213">
        <v>4.2158841487856411E-6</v>
      </c>
      <c r="J49" s="301">
        <v>-0.33362439697103219</v>
      </c>
      <c r="K49" s="213">
        <v>1.2386505138999098</v>
      </c>
      <c r="L49" s="213">
        <v>0.32870584181093787</v>
      </c>
      <c r="M49" s="124">
        <v>1.7177554203395928</v>
      </c>
      <c r="N49" s="213">
        <f t="shared" si="2"/>
        <v>-0.69101458401478677</v>
      </c>
      <c r="O49" s="213">
        <f t="shared" si="3"/>
        <v>0.4775011553211288</v>
      </c>
      <c r="P49" s="384">
        <f t="shared" si="4"/>
        <v>-0.33362439697103219</v>
      </c>
      <c r="Q49" s="213">
        <f t="shared" si="5"/>
        <v>-2.0285274409005476</v>
      </c>
      <c r="R49" s="213">
        <f t="shared" si="6"/>
        <v>1.3612786469584832</v>
      </c>
      <c r="S49" s="350">
        <f t="shared" si="7"/>
        <v>-12512.460692789124</v>
      </c>
      <c r="T49" s="213">
        <f t="shared" si="8"/>
        <v>156561672.58859289</v>
      </c>
      <c r="U49" s="217">
        <f t="shared" si="9"/>
        <v>25078.460692789125</v>
      </c>
      <c r="V49" s="479">
        <f t="shared" si="10"/>
        <v>4604.8324932186761</v>
      </c>
      <c r="W49" s="479">
        <f t="shared" si="11"/>
        <v>136580.25381943083</v>
      </c>
      <c r="X49" s="364">
        <f t="shared" si="12"/>
        <v>0.99573935164643657</v>
      </c>
      <c r="Y49" s="364">
        <f t="shared" si="13"/>
        <v>0.99573935164643657</v>
      </c>
      <c r="Z49" s="385">
        <f t="shared" si="14"/>
        <v>35010</v>
      </c>
      <c r="AA49" s="386">
        <f t="shared" si="15"/>
        <v>-0.35488453223433469</v>
      </c>
      <c r="AB49" s="385">
        <f t="shared" si="16"/>
        <v>-1.024638980985819</v>
      </c>
      <c r="AC49" s="387">
        <f t="shared" si="19"/>
        <v>101</v>
      </c>
      <c r="AD49" s="247">
        <f t="shared" si="17"/>
        <v>-2.0784199009753856</v>
      </c>
      <c r="AE49" s="258">
        <f t="shared" si="18"/>
        <v>1.3686508365067165</v>
      </c>
    </row>
    <row r="50" spans="1:33" ht="16">
      <c r="A50" s="247">
        <v>1998</v>
      </c>
      <c r="B50">
        <f t="shared" si="1"/>
        <v>2002</v>
      </c>
      <c r="C50" s="213">
        <f>VLOOKUP($A50,BroodTab!$A$12:$AG$67,2)</f>
        <v>28963</v>
      </c>
      <c r="D50" s="213">
        <f>VLOOKUP($A50,BroodTab!$A$12:$AG$67,14)</f>
        <v>-0.32087785950100917</v>
      </c>
      <c r="E50" s="213">
        <v>36</v>
      </c>
      <c r="F50" s="213">
        <v>34</v>
      </c>
      <c r="G50" s="300">
        <v>0.24531361246892247</v>
      </c>
      <c r="H50" s="300">
        <v>-1.7078169430518702E-5</v>
      </c>
      <c r="I50" s="213">
        <v>4.2407699491833499E-6</v>
      </c>
      <c r="J50" s="301">
        <v>-0.24932140874719072</v>
      </c>
      <c r="K50" s="213">
        <v>1.2440746097298856</v>
      </c>
      <c r="L50" s="213">
        <v>0.32294987144849269</v>
      </c>
      <c r="M50" s="124">
        <v>1.7308770138381091</v>
      </c>
      <c r="N50" s="213">
        <f t="shared" si="2"/>
        <v>-7.1556450753818446E-2</v>
      </c>
      <c r="O50" s="213">
        <f t="shared" si="3"/>
        <v>5.1203256444836446E-3</v>
      </c>
      <c r="P50" s="384">
        <f t="shared" si="4"/>
        <v>-0.24932140874719072</v>
      </c>
      <c r="Q50" s="213">
        <f t="shared" si="5"/>
        <v>-1.9442244526767061</v>
      </c>
      <c r="R50" s="213">
        <f t="shared" si="6"/>
        <v>1.4455816351823247</v>
      </c>
      <c r="S50" s="350">
        <f t="shared" si="7"/>
        <v>-1558.7188552672342</v>
      </c>
      <c r="T50" s="213">
        <f t="shared" si="8"/>
        <v>2429604.469765597</v>
      </c>
      <c r="U50" s="217">
        <f t="shared" si="9"/>
        <v>22571.718855267234</v>
      </c>
      <c r="V50" s="479">
        <f t="shared" si="10"/>
        <v>4144.551999653514</v>
      </c>
      <c r="W50" s="479">
        <f t="shared" si="11"/>
        <v>122928.2422138314</v>
      </c>
      <c r="X50" s="364">
        <f t="shared" si="12"/>
        <v>7.4178787192082721E-2</v>
      </c>
      <c r="Y50" s="364">
        <f t="shared" si="13"/>
        <v>7.4178787192082721E-2</v>
      </c>
      <c r="Z50" s="385">
        <f t="shared" si="14"/>
        <v>28963</v>
      </c>
      <c r="AA50" s="386">
        <f t="shared" si="15"/>
        <v>-0.25173292453029045</v>
      </c>
      <c r="AB50" s="385">
        <f t="shared" si="16"/>
        <v>-0.32087785950100917</v>
      </c>
      <c r="AC50" s="387">
        <f t="shared" si="19"/>
        <v>102</v>
      </c>
      <c r="AD50" s="247">
        <f t="shared" si="17"/>
        <v>-1.9752682932713415</v>
      </c>
      <c r="AE50" s="258">
        <f t="shared" si="18"/>
        <v>1.4718024442107607</v>
      </c>
    </row>
    <row r="51" spans="1:33" ht="16">
      <c r="A51" s="247">
        <v>1999</v>
      </c>
      <c r="B51">
        <f t="shared" si="1"/>
        <v>2003</v>
      </c>
      <c r="C51" s="213">
        <f>VLOOKUP($A51,BroodTab!$A$12:$AG$67,2)</f>
        <v>59311</v>
      </c>
      <c r="D51" s="213">
        <f>VLOOKUP($A51,BroodTab!$A$12:$AG$67,14)</f>
        <v>0.52106454091635024</v>
      </c>
      <c r="E51" s="213">
        <v>36</v>
      </c>
      <c r="F51" s="213">
        <v>34</v>
      </c>
      <c r="G51" s="300">
        <v>0.21157718512719303</v>
      </c>
      <c r="H51" s="300">
        <v>-1.7154778803904696E-5</v>
      </c>
      <c r="I51" s="213">
        <v>4.1580493840417115E-6</v>
      </c>
      <c r="J51" s="301">
        <v>-0.80588990051119835</v>
      </c>
      <c r="K51" s="213">
        <v>1.2237246791185981</v>
      </c>
      <c r="L51" s="213">
        <v>0.33361074388618439</v>
      </c>
      <c r="M51" s="124">
        <v>1.6821092600339163</v>
      </c>
      <c r="N51" s="213">
        <f t="shared" si="2"/>
        <v>1.3269544414275485</v>
      </c>
      <c r="O51" s="213">
        <f t="shared" si="3"/>
        <v>1.7608080896242972</v>
      </c>
      <c r="P51" s="384">
        <f t="shared" si="4"/>
        <v>-0.80588990051119835</v>
      </c>
      <c r="Q51" s="213">
        <f t="shared" si="5"/>
        <v>-2.5007929444407138</v>
      </c>
      <c r="R51" s="213">
        <f t="shared" si="6"/>
        <v>0.88901314341831705</v>
      </c>
      <c r="S51" s="350">
        <f t="shared" si="7"/>
        <v>73375.355189473194</v>
      </c>
      <c r="T51" s="213">
        <f t="shared" si="8"/>
        <v>5383942749.1813507</v>
      </c>
      <c r="U51" s="217">
        <f t="shared" si="9"/>
        <v>26493.644810526799</v>
      </c>
      <c r="V51" s="479">
        <f t="shared" si="10"/>
        <v>4864.6843991659662</v>
      </c>
      <c r="W51" s="479">
        <f t="shared" si="11"/>
        <v>144287.51338251142</v>
      </c>
      <c r="X51" s="364">
        <f t="shared" si="12"/>
        <v>-0.73471602989389295</v>
      </c>
      <c r="Y51" s="364">
        <f t="shared" si="13"/>
        <v>0.73471602989389295</v>
      </c>
      <c r="Z51" s="385">
        <f t="shared" si="14"/>
        <v>59311</v>
      </c>
      <c r="AA51" s="386">
        <f t="shared" si="15"/>
        <v>-0.76941855221382482</v>
      </c>
      <c r="AB51" s="385">
        <f t="shared" si="16"/>
        <v>0.52106454091635024</v>
      </c>
      <c r="AC51" s="387">
        <f t="shared" si="19"/>
        <v>103</v>
      </c>
      <c r="AD51" s="247">
        <f t="shared" si="17"/>
        <v>-2.4929539209548759</v>
      </c>
      <c r="AE51" s="258">
        <f t="shared" si="18"/>
        <v>0.95411681652722624</v>
      </c>
    </row>
    <row r="52" spans="1:33" ht="16">
      <c r="A52" s="247">
        <v>2000</v>
      </c>
      <c r="B52">
        <f t="shared" si="1"/>
        <v>2004</v>
      </c>
      <c r="C52" s="213">
        <f>VLOOKUP($A52,BroodTab!$A$12:$AG$67,2)</f>
        <v>28416</v>
      </c>
      <c r="D52" s="213">
        <f>VLOOKUP($A52,BroodTab!$A$12:$AG$67,14)</f>
        <v>0.67798852527346209</v>
      </c>
      <c r="E52" s="213">
        <v>36</v>
      </c>
      <c r="F52" s="213">
        <v>34</v>
      </c>
      <c r="G52" s="300">
        <v>0.20223980431039823</v>
      </c>
      <c r="H52" s="300">
        <v>-1.6787878899355072E-5</v>
      </c>
      <c r="I52" s="213">
        <v>4.206155180866032E-6</v>
      </c>
      <c r="J52" s="301">
        <v>-0.27480456249367552</v>
      </c>
      <c r="K52" s="213">
        <v>1.2337239368981285</v>
      </c>
      <c r="L52" s="213">
        <v>0.31904931509542594</v>
      </c>
      <c r="M52" s="124">
        <v>1.7058048085369208</v>
      </c>
      <c r="N52" s="213">
        <f t="shared" si="2"/>
        <v>0.95279308776713756</v>
      </c>
      <c r="O52" s="213">
        <f t="shared" si="3"/>
        <v>0.90781466809683631</v>
      </c>
      <c r="P52" s="384">
        <f t="shared" si="4"/>
        <v>-0.27480456249367552</v>
      </c>
      <c r="Q52" s="213">
        <f t="shared" si="5"/>
        <v>-1.9697076064231909</v>
      </c>
      <c r="R52" s="213">
        <f t="shared" si="6"/>
        <v>1.4200984814358399</v>
      </c>
      <c r="S52" s="350">
        <f t="shared" si="7"/>
        <v>34388.779810782551</v>
      </c>
      <c r="T52" s="213">
        <f t="shared" si="8"/>
        <v>1182588176.8744855</v>
      </c>
      <c r="U52" s="217">
        <f t="shared" si="9"/>
        <v>21588.220189217453</v>
      </c>
      <c r="V52" s="479">
        <f t="shared" si="10"/>
        <v>3963.9648946496791</v>
      </c>
      <c r="W52" s="479">
        <f t="shared" si="11"/>
        <v>117571.99251869862</v>
      </c>
      <c r="X52" s="364">
        <f t="shared" si="12"/>
        <v>-0.61433767102171521</v>
      </c>
      <c r="Y52" s="364">
        <f t="shared" si="13"/>
        <v>0.61433767102171521</v>
      </c>
      <c r="Z52" s="385">
        <f t="shared" si="14"/>
        <v>28416</v>
      </c>
      <c r="AA52" s="386">
        <f t="shared" si="15"/>
        <v>-0.24240202831495855</v>
      </c>
      <c r="AB52" s="385">
        <f t="shared" si="16"/>
        <v>0.67798852527346209</v>
      </c>
      <c r="AC52" s="387">
        <f t="shared" si="19"/>
        <v>104</v>
      </c>
      <c r="AD52" s="247">
        <f t="shared" si="17"/>
        <v>-1.9659373970560097</v>
      </c>
      <c r="AE52" s="258">
        <f t="shared" si="18"/>
        <v>1.4811333404260925</v>
      </c>
    </row>
    <row r="53" spans="1:33" ht="16">
      <c r="A53" s="247">
        <v>2001</v>
      </c>
      <c r="B53">
        <f t="shared" si="1"/>
        <v>2005</v>
      </c>
      <c r="C53" s="213">
        <f>VLOOKUP($A53,BroodTab!$A$12:$AG$67,2)</f>
        <v>38547</v>
      </c>
      <c r="D53" s="213">
        <f>VLOOKUP($A53,BroodTab!$A$12:$AG$67,14)</f>
        <v>-1.7620850664700329</v>
      </c>
      <c r="E53" s="213">
        <v>36</v>
      </c>
      <c r="F53" s="213">
        <v>34</v>
      </c>
      <c r="G53" s="300">
        <v>0.29211231948862948</v>
      </c>
      <c r="H53" s="300">
        <v>-1.7289948176874428E-5</v>
      </c>
      <c r="I53" s="213">
        <v>4.1558296580136117E-6</v>
      </c>
      <c r="J53" s="301">
        <v>-0.37436331288534908</v>
      </c>
      <c r="K53" s="213">
        <v>1.2218405725756616</v>
      </c>
      <c r="L53" s="213">
        <v>0.33734818697518615</v>
      </c>
      <c r="M53" s="124">
        <v>1.677526507412183</v>
      </c>
      <c r="N53" s="213">
        <f t="shared" si="2"/>
        <v>-1.387721753584684</v>
      </c>
      <c r="O53" s="213">
        <f t="shared" si="3"/>
        <v>1.9257716653721504</v>
      </c>
      <c r="P53" s="384">
        <f t="shared" si="4"/>
        <v>-0.37436331288534908</v>
      </c>
      <c r="Q53" s="213">
        <f t="shared" si="5"/>
        <v>-2.0692663568148646</v>
      </c>
      <c r="R53" s="213">
        <f t="shared" si="6"/>
        <v>1.3205397310441662</v>
      </c>
      <c r="S53" s="350">
        <f t="shared" si="7"/>
        <v>-19891.812913841994</v>
      </c>
      <c r="T53" s="213">
        <f t="shared" si="8"/>
        <v>395684220.99929112</v>
      </c>
      <c r="U53" s="217">
        <f t="shared" si="9"/>
        <v>26509.812913841994</v>
      </c>
      <c r="V53" s="479">
        <f t="shared" si="10"/>
        <v>4867.6531382928024</v>
      </c>
      <c r="W53" s="479">
        <f t="shared" si="11"/>
        <v>144375.56677947295</v>
      </c>
      <c r="X53" s="364">
        <f t="shared" si="12"/>
        <v>3.0057136466971883</v>
      </c>
      <c r="Y53" s="364">
        <f t="shared" si="13"/>
        <v>3.0057136466971883</v>
      </c>
      <c r="Z53" s="385">
        <f t="shared" si="14"/>
        <v>38547</v>
      </c>
      <c r="AA53" s="386">
        <f t="shared" si="15"/>
        <v>-0.41521977887716655</v>
      </c>
      <c r="AB53" s="385">
        <f t="shared" si="16"/>
        <v>-1.7620850664700329</v>
      </c>
      <c r="AC53" s="387">
        <f t="shared" si="19"/>
        <v>105</v>
      </c>
      <c r="AD53" s="247">
        <f t="shared" si="17"/>
        <v>-2.1387551476182178</v>
      </c>
      <c r="AE53" s="258">
        <f t="shared" si="18"/>
        <v>1.3083155898638845</v>
      </c>
    </row>
    <row r="54" spans="1:33" ht="16">
      <c r="A54" s="247">
        <v>2002</v>
      </c>
      <c r="B54">
        <f t="shared" si="1"/>
        <v>2006</v>
      </c>
      <c r="C54" s="213">
        <f>VLOOKUP($A54,BroodTab!$A$12:$AG$67,2)</f>
        <v>28323</v>
      </c>
      <c r="D54" s="213">
        <f>VLOOKUP($A54,BroodTab!$A$12:$AG$67,14)</f>
        <v>-3.8107044771583935E-2</v>
      </c>
      <c r="E54" s="213">
        <v>36</v>
      </c>
      <c r="F54" s="213">
        <v>34</v>
      </c>
      <c r="G54" s="300">
        <v>0.23348565210779471</v>
      </c>
      <c r="H54" s="300">
        <v>-1.6998522177248973E-5</v>
      </c>
      <c r="I54" s="213">
        <v>4.2400447315690814E-6</v>
      </c>
      <c r="J54" s="301">
        <v>-0.24796349151842795</v>
      </c>
      <c r="K54" s="213">
        <v>1.2436301658902593</v>
      </c>
      <c r="L54" s="213">
        <v>0.32098357934171412</v>
      </c>
      <c r="M54" s="124">
        <v>1.729797122629088</v>
      </c>
      <c r="N54" s="213">
        <f t="shared" si="2"/>
        <v>0.20985644674684401</v>
      </c>
      <c r="O54" s="213">
        <f t="shared" si="3"/>
        <v>4.4039728241210975E-2</v>
      </c>
      <c r="P54" s="384">
        <f t="shared" si="4"/>
        <v>-0.24796349151842795</v>
      </c>
      <c r="Q54" s="213">
        <f t="shared" si="5"/>
        <v>-1.9428665354479433</v>
      </c>
      <c r="R54" s="213">
        <f t="shared" si="6"/>
        <v>1.4469395524110875</v>
      </c>
      <c r="S54" s="350">
        <f t="shared" si="7"/>
        <v>5161.0583964299985</v>
      </c>
      <c r="T54" s="213">
        <f t="shared" si="8"/>
        <v>26636523.771360587</v>
      </c>
      <c r="U54" s="217">
        <f t="shared" si="9"/>
        <v>22102.941603570001</v>
      </c>
      <c r="V54" s="479">
        <f t="shared" si="10"/>
        <v>4058.4765125197341</v>
      </c>
      <c r="W54" s="479">
        <f t="shared" si="11"/>
        <v>120375.2260297084</v>
      </c>
      <c r="X54" s="364">
        <f t="shared" si="12"/>
        <v>-0.18929938367187496</v>
      </c>
      <c r="Y54" s="364">
        <f t="shared" si="13"/>
        <v>0.18929938367187496</v>
      </c>
      <c r="Z54" s="385">
        <f t="shared" si="14"/>
        <v>28323</v>
      </c>
      <c r="AA54" s="386">
        <f t="shared" si="15"/>
        <v>-0.24081560537524033</v>
      </c>
      <c r="AB54" s="385">
        <f t="shared" si="16"/>
        <v>-3.8107044771583935E-2</v>
      </c>
      <c r="AC54" s="387">
        <f t="shared" si="19"/>
        <v>106</v>
      </c>
      <c r="AD54" s="247">
        <f t="shared" si="17"/>
        <v>-1.9643509741162914</v>
      </c>
      <c r="AE54" s="258">
        <f t="shared" si="18"/>
        <v>1.4827197633658107</v>
      </c>
    </row>
    <row r="55" spans="1:33" ht="16">
      <c r="A55" s="247">
        <v>2003</v>
      </c>
      <c r="B55">
        <f t="shared" si="1"/>
        <v>2007</v>
      </c>
      <c r="C55" s="213">
        <f>VLOOKUP($A55,BroodTab!$A$12:$AG$67,2)</f>
        <v>75427</v>
      </c>
      <c r="D55" s="213">
        <f>VLOOKUP($A55,BroodTab!$A$12:$AG$67,14)</f>
        <v>-0.9468755551446274</v>
      </c>
      <c r="E55" s="213">
        <v>36</v>
      </c>
      <c r="F55" s="213">
        <v>34</v>
      </c>
      <c r="G55" s="300">
        <v>0.24098537538994913</v>
      </c>
      <c r="H55" s="300">
        <v>-1.7084376155644245E-5</v>
      </c>
      <c r="I55" s="213">
        <v>4.23865405754825E-6</v>
      </c>
      <c r="J55" s="301">
        <v>-1.0476378649018294</v>
      </c>
      <c r="K55" s="213">
        <v>1.2440170177690493</v>
      </c>
      <c r="L55" s="213">
        <v>0.32332713249949674</v>
      </c>
      <c r="M55" s="124">
        <v>1.7307385054681739</v>
      </c>
      <c r="N55" s="213">
        <f t="shared" si="2"/>
        <v>0.10076230975720202</v>
      </c>
      <c r="O55" s="213">
        <f t="shared" si="3"/>
        <v>1.0153043067606329E-2</v>
      </c>
      <c r="P55" s="384">
        <f t="shared" si="4"/>
        <v>-1.0476378649018294</v>
      </c>
      <c r="Q55" s="213">
        <f t="shared" si="5"/>
        <v>-2.7425409088313448</v>
      </c>
      <c r="R55" s="213">
        <f t="shared" si="6"/>
        <v>0.64726517902768599</v>
      </c>
      <c r="S55" s="350">
        <f t="shared" si="7"/>
        <v>2804.8237263533374</v>
      </c>
      <c r="T55" s="213">
        <f t="shared" si="8"/>
        <v>7867036.1359146209</v>
      </c>
      <c r="U55" s="217">
        <f t="shared" si="9"/>
        <v>26457.176273646663</v>
      </c>
      <c r="V55" s="479">
        <f t="shared" si="10"/>
        <v>4857.9881547009263</v>
      </c>
      <c r="W55" s="479">
        <f t="shared" si="11"/>
        <v>144088.90143082393</v>
      </c>
      <c r="X55" s="364">
        <f t="shared" si="12"/>
        <v>-9.585208551545818E-2</v>
      </c>
      <c r="Y55" s="364">
        <f t="shared" si="13"/>
        <v>9.585208551545818E-2</v>
      </c>
      <c r="Z55" s="385">
        <f t="shared" si="14"/>
        <v>75427</v>
      </c>
      <c r="AA55" s="386">
        <f t="shared" si="15"/>
        <v>-1.0443302951869315</v>
      </c>
      <c r="AB55" s="385">
        <f t="shared" si="16"/>
        <v>-0.9468755551446274</v>
      </c>
      <c r="AC55" s="387">
        <f t="shared" si="19"/>
        <v>107</v>
      </c>
      <c r="AD55" s="247">
        <f t="shared" si="17"/>
        <v>-2.7678656639279824</v>
      </c>
      <c r="AE55" s="258">
        <f t="shared" si="18"/>
        <v>0.67920507355411952</v>
      </c>
    </row>
    <row r="56" spans="1:33" ht="16">
      <c r="A56" s="247">
        <v>2004</v>
      </c>
      <c r="B56">
        <f t="shared" si="1"/>
        <v>2008</v>
      </c>
      <c r="C56" s="213">
        <f>VLOOKUP($A56,BroodTab!$A$12:$AG$67,2)</f>
        <v>30569</v>
      </c>
      <c r="D56" s="213">
        <f>VLOOKUP($A56,BroodTab!$A$12:$AG$67,14)</f>
        <v>0.40832883279592369</v>
      </c>
      <c r="E56" s="213">
        <v>36</v>
      </c>
      <c r="F56" s="213">
        <v>34</v>
      </c>
      <c r="G56" s="300">
        <v>0.2133574655673186</v>
      </c>
      <c r="H56" s="300">
        <v>-1.687422450675177E-5</v>
      </c>
      <c r="I56" s="213">
        <v>4.2193540384799586E-6</v>
      </c>
      <c r="J56" s="301">
        <v>-0.30247070337957627</v>
      </c>
      <c r="K56" s="213">
        <v>1.2383437579496523</v>
      </c>
      <c r="L56" s="213">
        <v>0.31991769820703481</v>
      </c>
      <c r="M56" s="124">
        <v>1.7169871443368836</v>
      </c>
      <c r="N56" s="213">
        <f t="shared" si="2"/>
        <v>0.71079953617549996</v>
      </c>
      <c r="O56" s="213">
        <f t="shared" si="3"/>
        <v>0.5052359806273059</v>
      </c>
      <c r="P56" s="384">
        <f t="shared" si="4"/>
        <v>-0.30247070337957627</v>
      </c>
      <c r="Q56" s="213">
        <f t="shared" si="5"/>
        <v>-1.9973737473090916</v>
      </c>
      <c r="R56" s="213">
        <f t="shared" si="6"/>
        <v>1.3924323405499393</v>
      </c>
      <c r="S56" s="350">
        <f t="shared" si="7"/>
        <v>23394.810475898939</v>
      </c>
      <c r="T56" s="213">
        <f t="shared" si="8"/>
        <v>547317157.20323074</v>
      </c>
      <c r="U56" s="217">
        <f t="shared" si="9"/>
        <v>22590.189524101061</v>
      </c>
      <c r="V56" s="479">
        <f t="shared" si="10"/>
        <v>4147.943529024451</v>
      </c>
      <c r="W56" s="479">
        <f t="shared" si="11"/>
        <v>123028.83565409241</v>
      </c>
      <c r="X56" s="364">
        <f t="shared" si="12"/>
        <v>-0.50874873275848509</v>
      </c>
      <c r="Y56" s="364">
        <f t="shared" si="13"/>
        <v>0.50874873275848509</v>
      </c>
      <c r="Z56" s="385">
        <f t="shared" si="14"/>
        <v>30569</v>
      </c>
      <c r="AA56" s="386">
        <f t="shared" si="15"/>
        <v>-0.27912857228499444</v>
      </c>
      <c r="AB56" s="385">
        <f t="shared" si="16"/>
        <v>0.40832883279592369</v>
      </c>
      <c r="AC56" s="387">
        <f t="shared" si="19"/>
        <v>108</v>
      </c>
      <c r="AD56" s="247">
        <f t="shared" si="17"/>
        <v>-2.0026639410260456</v>
      </c>
      <c r="AE56" s="258">
        <f t="shared" si="18"/>
        <v>1.4444067964560565</v>
      </c>
    </row>
    <row r="57" spans="1:33" ht="16">
      <c r="A57" s="247">
        <v>2005</v>
      </c>
      <c r="B57">
        <f t="shared" si="1"/>
        <v>2009</v>
      </c>
      <c r="C57" s="213">
        <f>VLOOKUP($A57,BroodTab!$A$12:$AG$67,2)</f>
        <v>30313</v>
      </c>
      <c r="D57" s="213">
        <f>VLOOKUP($A57,BroodTab!$A$12:$AG$67,14)</f>
        <v>-2.3783921800613701</v>
      </c>
      <c r="E57" s="213">
        <v>36</v>
      </c>
      <c r="F57" s="213">
        <v>34</v>
      </c>
      <c r="G57" s="300">
        <v>0.33132690369351159</v>
      </c>
      <c r="H57" s="300">
        <v>-1.7628123546064951E-5</v>
      </c>
      <c r="I57" s="213">
        <v>4.0508667640488117E-6</v>
      </c>
      <c r="J57" s="301">
        <v>-0.20303440535835526</v>
      </c>
      <c r="K57" s="213">
        <v>1.1888122384437136</v>
      </c>
      <c r="L57" s="213">
        <v>0.35772979376002334</v>
      </c>
      <c r="M57" s="124">
        <v>1.5995691010952491</v>
      </c>
      <c r="N57" s="213">
        <f t="shared" si="2"/>
        <v>-2.1753577747030146</v>
      </c>
      <c r="O57" s="213">
        <f t="shared" si="3"/>
        <v>4.7321814479608513</v>
      </c>
      <c r="P57" s="384">
        <f t="shared" si="4"/>
        <v>-0.20303440535835526</v>
      </c>
      <c r="Q57" s="213">
        <f t="shared" si="5"/>
        <v>-1.8979374492878707</v>
      </c>
      <c r="R57" s="213">
        <f t="shared" si="6"/>
        <v>1.4918686385711601</v>
      </c>
      <c r="S57" s="350">
        <f t="shared" si="7"/>
        <v>-21932.991026216816</v>
      </c>
      <c r="T57" s="213">
        <f t="shared" si="8"/>
        <v>481056095.35610735</v>
      </c>
      <c r="U57" s="217">
        <f t="shared" si="9"/>
        <v>24742.991026216816</v>
      </c>
      <c r="V57" s="479">
        <f t="shared" si="10"/>
        <v>4543.2345490687148</v>
      </c>
      <c r="W57" s="479">
        <f t="shared" si="11"/>
        <v>134753.24646158528</v>
      </c>
      <c r="X57" s="364">
        <f t="shared" si="12"/>
        <v>7.8053348847746689</v>
      </c>
      <c r="Y57" s="364">
        <f t="shared" si="13"/>
        <v>7.8053348847746689</v>
      </c>
      <c r="Z57" s="385">
        <f t="shared" si="14"/>
        <v>30313</v>
      </c>
      <c r="AA57" s="386">
        <f t="shared" si="15"/>
        <v>-0.27476164462297437</v>
      </c>
      <c r="AB57" s="385">
        <f t="shared" si="16"/>
        <v>-2.3783921800613701</v>
      </c>
      <c r="AC57" s="387">
        <f t="shared" si="19"/>
        <v>109</v>
      </c>
      <c r="AD57" s="247">
        <f t="shared" si="17"/>
        <v>-1.9982970133640254</v>
      </c>
      <c r="AE57" s="258">
        <f t="shared" si="18"/>
        <v>1.4487737241180767</v>
      </c>
    </row>
    <row r="58" spans="1:33" ht="16">
      <c r="A58" s="247">
        <v>2006</v>
      </c>
      <c r="B58">
        <f t="shared" si="1"/>
        <v>2010</v>
      </c>
      <c r="C58" s="213">
        <f>VLOOKUP($A58,BroodTab!$A$12:$AG$67,2)</f>
        <v>23479</v>
      </c>
      <c r="D58" s="213">
        <f>VLOOKUP($A58,BroodTab!$A$12:$AG$67,14)</f>
        <v>0.46355693881013366</v>
      </c>
      <c r="E58" s="213">
        <v>36</v>
      </c>
      <c r="F58" s="213">
        <v>34</v>
      </c>
      <c r="G58" s="300">
        <v>0.21321042493935372</v>
      </c>
      <c r="H58" s="300">
        <v>-1.6838256619022839E-5</v>
      </c>
      <c r="I58" s="213">
        <v>4.2321950456261577E-6</v>
      </c>
      <c r="J58" s="301">
        <v>-0.18213500221868351</v>
      </c>
      <c r="K58" s="213">
        <v>1.2393787519666246</v>
      </c>
      <c r="L58" s="213">
        <v>0.31767112063582503</v>
      </c>
      <c r="M58" s="124">
        <v>1.7194384364518065</v>
      </c>
      <c r="N58" s="213">
        <f t="shared" si="2"/>
        <v>0.64569194102881711</v>
      </c>
      <c r="O58" s="213">
        <f t="shared" si="3"/>
        <v>0.41691808270956143</v>
      </c>
      <c r="P58" s="384">
        <f t="shared" si="4"/>
        <v>-0.18213500221868351</v>
      </c>
      <c r="Q58" s="213">
        <f t="shared" si="5"/>
        <v>-1.8770380461481988</v>
      </c>
      <c r="R58" s="213">
        <f t="shared" si="6"/>
        <v>1.512768041710832</v>
      </c>
      <c r="S58" s="350">
        <f t="shared" si="7"/>
        <v>17755.516230447138</v>
      </c>
      <c r="T58" s="213">
        <f t="shared" si="8"/>
        <v>315258356.60967171</v>
      </c>
      <c r="U58" s="217">
        <f t="shared" si="9"/>
        <v>19569.483769552862</v>
      </c>
      <c r="V58" s="479">
        <f t="shared" si="10"/>
        <v>3593.2905069992312</v>
      </c>
      <c r="W58" s="479">
        <f t="shared" si="11"/>
        <v>106577.71595723501</v>
      </c>
      <c r="X58" s="364">
        <f t="shared" si="12"/>
        <v>-0.47570036786194608</v>
      </c>
      <c r="Y58" s="364">
        <f t="shared" si="13"/>
        <v>0.47570036786194608</v>
      </c>
      <c r="Z58" s="385">
        <f t="shared" si="14"/>
        <v>23479</v>
      </c>
      <c r="AA58" s="386">
        <f t="shared" si="15"/>
        <v>-0.15818514602045447</v>
      </c>
      <c r="AB58" s="385">
        <f t="shared" si="16"/>
        <v>0.46355693881013366</v>
      </c>
      <c r="AC58" s="387">
        <f t="shared" si="19"/>
        <v>110</v>
      </c>
      <c r="AD58" s="247">
        <f t="shared" si="17"/>
        <v>-1.8817205147615055</v>
      </c>
      <c r="AE58" s="258">
        <f t="shared" si="18"/>
        <v>1.5653502227205967</v>
      </c>
    </row>
    <row r="59" spans="1:33" ht="16">
      <c r="A59" s="247">
        <v>2007</v>
      </c>
      <c r="B59">
        <f t="shared" si="1"/>
        <v>2011</v>
      </c>
      <c r="C59" s="213">
        <f>VLOOKUP($A59,BroodTab!$A$12:$AG$67,2)</f>
        <v>70001</v>
      </c>
      <c r="D59" s="213">
        <f>VLOOKUP($A59,BroodTab!$A$12:$AG$67,14)</f>
        <v>0.40425010191939964</v>
      </c>
      <c r="E59" s="213">
        <v>36</v>
      </c>
      <c r="F59" s="213">
        <v>34</v>
      </c>
      <c r="G59" s="300">
        <v>0.21906531319856426</v>
      </c>
      <c r="H59" s="300">
        <v>-1.7332498777483331E-5</v>
      </c>
      <c r="I59" s="213">
        <v>4.1566756408781581E-6</v>
      </c>
      <c r="J59" s="301">
        <v>-0.99422693372404636</v>
      </c>
      <c r="K59" s="213">
        <v>1.2215120537550292</v>
      </c>
      <c r="L59" s="213">
        <v>0.33835685726176495</v>
      </c>
      <c r="M59" s="124">
        <v>1.6766947089573576</v>
      </c>
      <c r="N59" s="213">
        <f t="shared" si="2"/>
        <v>1.3984770356434459</v>
      </c>
      <c r="O59" s="213">
        <f t="shared" si="3"/>
        <v>1.9557380192220799</v>
      </c>
      <c r="P59" s="384">
        <f t="shared" si="4"/>
        <v>-0.99422693372404636</v>
      </c>
      <c r="Q59" s="213">
        <f t="shared" si="5"/>
        <v>-2.689129977653562</v>
      </c>
      <c r="R59" s="213">
        <f t="shared" si="6"/>
        <v>0.70067611020546905</v>
      </c>
      <c r="S59" s="350">
        <f t="shared" si="7"/>
        <v>78972.973686155659</v>
      </c>
      <c r="T59" s="213">
        <f t="shared" si="8"/>
        <v>6236730572.8342342</v>
      </c>
      <c r="U59" s="217">
        <f t="shared" si="9"/>
        <v>25901.026313844348</v>
      </c>
      <c r="V59" s="479">
        <f t="shared" si="10"/>
        <v>4755.8695503187864</v>
      </c>
      <c r="W59" s="479">
        <f t="shared" si="11"/>
        <v>141060.04317664457</v>
      </c>
      <c r="X59" s="364">
        <f t="shared" si="12"/>
        <v>-0.75302719154562292</v>
      </c>
      <c r="Y59" s="364">
        <f t="shared" si="13"/>
        <v>0.75302719154562292</v>
      </c>
      <c r="Z59" s="385">
        <f t="shared" si="14"/>
        <v>70001</v>
      </c>
      <c r="AA59" s="386">
        <f t="shared" si="15"/>
        <v>-0.95177189872552193</v>
      </c>
      <c r="AB59" s="385">
        <f t="shared" si="16"/>
        <v>0.40425010191939964</v>
      </c>
      <c r="AC59" s="387">
        <f t="shared" si="19"/>
        <v>111</v>
      </c>
      <c r="AD59" s="247">
        <f t="shared" si="17"/>
        <v>-2.675307267466573</v>
      </c>
      <c r="AE59" s="258">
        <f t="shared" si="18"/>
        <v>0.77176347001552914</v>
      </c>
    </row>
    <row r="60" spans="1:33" ht="16">
      <c r="A60" s="247">
        <v>2008</v>
      </c>
      <c r="B60">
        <f t="shared" si="1"/>
        <v>2012</v>
      </c>
      <c r="C60" s="213">
        <f>VLOOKUP($A60,BroodTab!$A$12:$AG$67,2)</f>
        <v>29298</v>
      </c>
      <c r="D60" s="213">
        <f>VLOOKUP($A60,BroodTab!$A$12:$AG$67,14)</f>
        <v>2.982585794081135E-2</v>
      </c>
      <c r="E60" s="213">
        <v>36</v>
      </c>
      <c r="F60" s="213">
        <v>34</v>
      </c>
      <c r="G60" s="300">
        <v>0.2299816441333471</v>
      </c>
      <c r="H60" s="300">
        <v>-1.6976971857551136E-5</v>
      </c>
      <c r="I60" s="213">
        <v>4.2371226384342389E-6</v>
      </c>
      <c r="J60" s="301">
        <v>-0.26740967734918608</v>
      </c>
      <c r="K60" s="213">
        <v>1.2431233849083134</v>
      </c>
      <c r="L60" s="213">
        <v>0.3207311647727939</v>
      </c>
      <c r="M60" s="124">
        <v>1.728567025626679</v>
      </c>
      <c r="N60" s="213">
        <f t="shared" si="2"/>
        <v>0.29723553528999741</v>
      </c>
      <c r="O60" s="213">
        <f t="shared" si="3"/>
        <v>8.8348963439131289E-2</v>
      </c>
      <c r="P60" s="384">
        <f t="shared" si="4"/>
        <v>-0.26740967734918608</v>
      </c>
      <c r="Q60" s="213">
        <f t="shared" si="5"/>
        <v>-1.9623127212787015</v>
      </c>
      <c r="R60" s="213">
        <f t="shared" si="6"/>
        <v>1.4274933665803293</v>
      </c>
      <c r="S60" s="350">
        <f t="shared" si="7"/>
        <v>7761.4986347933627</v>
      </c>
      <c r="T60" s="213">
        <f t="shared" si="8"/>
        <v>60240861.057899237</v>
      </c>
      <c r="U60" s="217">
        <f t="shared" si="9"/>
        <v>22423.501365206641</v>
      </c>
      <c r="V60" s="479">
        <f t="shared" si="10"/>
        <v>4117.3367441936525</v>
      </c>
      <c r="W60" s="479">
        <f t="shared" si="11"/>
        <v>122121.03228731564</v>
      </c>
      <c r="X60" s="364">
        <f t="shared" si="12"/>
        <v>-0.25713098011573171</v>
      </c>
      <c r="Y60" s="364">
        <f t="shared" si="13"/>
        <v>0.25713098011573171</v>
      </c>
      <c r="Z60" s="385">
        <f t="shared" si="14"/>
        <v>29298</v>
      </c>
      <c r="AA60" s="386">
        <f t="shared" si="15"/>
        <v>-0.25744745877551206</v>
      </c>
      <c r="AB60" s="385">
        <f t="shared" si="16"/>
        <v>2.982585794081135E-2</v>
      </c>
      <c r="AC60" s="387">
        <f t="shared" si="19"/>
        <v>112</v>
      </c>
      <c r="AD60" s="247">
        <f t="shared" si="17"/>
        <v>-1.9809828275165631</v>
      </c>
      <c r="AE60" s="258">
        <f t="shared" si="18"/>
        <v>1.4660879099655391</v>
      </c>
    </row>
    <row r="61" spans="1:33" ht="16">
      <c r="A61" s="247">
        <v>2009</v>
      </c>
      <c r="B61">
        <f t="shared" si="1"/>
        <v>2013</v>
      </c>
      <c r="C61" s="213">
        <f>VLOOKUP($A61,BroodTab!$A$12:$AG$67,2)</f>
        <v>23186</v>
      </c>
      <c r="D61" s="213">
        <f>VLOOKUP($A61,BroodTab!$A$12:$AG$67,14)</f>
        <v>0.42118381312284414</v>
      </c>
      <c r="E61" s="213">
        <v>36</v>
      </c>
      <c r="F61" s="213">
        <v>34</v>
      </c>
      <c r="G61" s="300">
        <v>0.21531629630154403</v>
      </c>
      <c r="H61" s="300">
        <v>-1.6852963124464751E-5</v>
      </c>
      <c r="I61" s="213">
        <v>4.23501710661169E-6</v>
      </c>
      <c r="J61" s="301">
        <v>-0.17543650670229566</v>
      </c>
      <c r="K61" s="213">
        <v>1.2400759228078664</v>
      </c>
      <c r="L61" s="213">
        <v>0.31776061797643601</v>
      </c>
      <c r="M61" s="124">
        <v>1.7211343437404978</v>
      </c>
      <c r="N61" s="213">
        <f t="shared" si="2"/>
        <v>0.59662031982513986</v>
      </c>
      <c r="O61" s="213">
        <f t="shared" si="3"/>
        <v>0.35595580602825216</v>
      </c>
      <c r="P61" s="384">
        <f t="shared" si="4"/>
        <v>-0.17543650670229566</v>
      </c>
      <c r="Q61" s="213">
        <f t="shared" si="5"/>
        <v>-1.870339550631811</v>
      </c>
      <c r="R61" s="213">
        <f t="shared" si="6"/>
        <v>1.5194665372272198</v>
      </c>
      <c r="S61" s="350">
        <f t="shared" si="7"/>
        <v>15874.84367631864</v>
      </c>
      <c r="T61" s="213">
        <f t="shared" si="8"/>
        <v>252010661.74755391</v>
      </c>
      <c r="U61" s="217">
        <f t="shared" si="9"/>
        <v>19455.15632368136</v>
      </c>
      <c r="V61" s="479">
        <f t="shared" si="10"/>
        <v>3572.2980408321519</v>
      </c>
      <c r="W61" s="479">
        <f t="shared" si="11"/>
        <v>105955.07520719299</v>
      </c>
      <c r="X61" s="364">
        <f t="shared" si="12"/>
        <v>-0.44933041823715369</v>
      </c>
      <c r="Y61" s="364">
        <f t="shared" si="13"/>
        <v>0.44933041823715369</v>
      </c>
      <c r="Z61" s="385">
        <f t="shared" si="14"/>
        <v>23186</v>
      </c>
      <c r="AA61" s="386">
        <f t="shared" si="15"/>
        <v>-0.15318706084478306</v>
      </c>
      <c r="AB61" s="385">
        <f t="shared" si="16"/>
        <v>0.42118381312284414</v>
      </c>
      <c r="AC61" s="387">
        <f t="shared" si="19"/>
        <v>113</v>
      </c>
      <c r="AD61" s="247">
        <f t="shared" si="17"/>
        <v>-1.876722429585834</v>
      </c>
      <c r="AE61" s="258">
        <f t="shared" si="18"/>
        <v>1.5703483078962681</v>
      </c>
    </row>
    <row r="62" spans="1:33" ht="16">
      <c r="A62" s="247">
        <v>2010</v>
      </c>
      <c r="B62">
        <f t="shared" si="1"/>
        <v>2014</v>
      </c>
      <c r="C62" s="213">
        <f>VLOOKUP($A62,BroodTab!$A$12:$AG$67,2)</f>
        <v>24312</v>
      </c>
      <c r="D62" s="213">
        <f>VLOOKUP($A62,BroodTab!$A$12:$AG$67,14)</f>
        <v>-0.14716215882893768</v>
      </c>
      <c r="E62" s="213">
        <v>36</v>
      </c>
      <c r="F62" s="213">
        <v>34</v>
      </c>
      <c r="G62" s="300">
        <v>0.2411593201057407</v>
      </c>
      <c r="H62" s="300">
        <v>-1.7049637506147046E-5</v>
      </c>
      <c r="I62" s="213">
        <v>4.2471690306894444E-6</v>
      </c>
      <c r="J62" s="301">
        <v>-0.17335146694370629</v>
      </c>
      <c r="K62" s="213">
        <v>1.2441252835339947</v>
      </c>
      <c r="L62" s="213">
        <v>0.32156086250187921</v>
      </c>
      <c r="M62" s="351">
        <v>1.73100517974259</v>
      </c>
      <c r="N62" s="213">
        <f t="shared" si="2"/>
        <v>2.6189308114768606E-2</v>
      </c>
      <c r="O62" s="213">
        <f t="shared" si="3"/>
        <v>6.8587985953028475E-4</v>
      </c>
      <c r="P62" s="384">
        <f t="shared" si="4"/>
        <v>-0.17335146694370629</v>
      </c>
      <c r="Q62" s="213">
        <f t="shared" si="5"/>
        <v>-1.8682545108732218</v>
      </c>
      <c r="R62" s="213">
        <f t="shared" si="6"/>
        <v>1.521551576985809</v>
      </c>
      <c r="S62" s="350">
        <f t="shared" si="7"/>
        <v>542.44845178377</v>
      </c>
      <c r="T62" s="213">
        <f t="shared" si="8"/>
        <v>294250.32284260902</v>
      </c>
      <c r="U62" s="217">
        <f t="shared" si="9"/>
        <v>20442.55154821623</v>
      </c>
      <c r="V62" s="479">
        <f t="shared" si="10"/>
        <v>3753.6006203359434</v>
      </c>
      <c r="W62" s="479">
        <f t="shared" si="11"/>
        <v>111332.5460192609</v>
      </c>
      <c r="X62" s="364">
        <f t="shared" si="12"/>
        <v>-2.5849342472421731E-2</v>
      </c>
      <c r="Y62" s="364">
        <f t="shared" si="13"/>
        <v>2.5849342472421731E-2</v>
      </c>
      <c r="Z62" s="385">
        <f t="shared" si="14"/>
        <v>24312</v>
      </c>
      <c r="AA62" s="386">
        <f t="shared" si="15"/>
        <v>-0.17239471923319943</v>
      </c>
      <c r="AB62" s="385">
        <f t="shared" si="16"/>
        <v>-0.14716215882893768</v>
      </c>
      <c r="AC62" s="387">
        <f t="shared" si="19"/>
        <v>114</v>
      </c>
      <c r="AD62" s="247">
        <f t="shared" si="17"/>
        <v>-1.8959300879742504</v>
      </c>
      <c r="AE62" s="258">
        <f t="shared" si="18"/>
        <v>1.5511406495078517</v>
      </c>
    </row>
    <row r="63" spans="1:33">
      <c r="A63" s="247"/>
      <c r="E63" s="213"/>
      <c r="F63" s="213"/>
      <c r="G63" s="300"/>
      <c r="H63" s="300"/>
      <c r="I63" s="213"/>
      <c r="J63" s="301"/>
      <c r="K63" s="213"/>
      <c r="L63" s="213"/>
      <c r="P63" s="302"/>
      <c r="S63" s="265"/>
      <c r="U63" s="306"/>
      <c r="V63" s="531"/>
      <c r="W63" s="531"/>
      <c r="X63" s="303"/>
      <c r="Y63" s="303"/>
      <c r="Z63" s="252"/>
      <c r="AA63" s="304"/>
      <c r="AB63" s="248"/>
      <c r="AC63" s="305"/>
      <c r="AD63" s="247"/>
      <c r="AE63" s="258"/>
    </row>
    <row r="64" spans="1:33" ht="21">
      <c r="A64" s="247">
        <v>2011</v>
      </c>
      <c r="B64" s="213">
        <f>A64+4</f>
        <v>2015</v>
      </c>
      <c r="C64" s="213">
        <f>VLOOKUP($A64,BroodTab!$A$12:$AG$67,2)</f>
        <v>102359</v>
      </c>
      <c r="E64" s="213">
        <v>37</v>
      </c>
      <c r="F64" s="213">
        <v>35</v>
      </c>
      <c r="G64" s="300">
        <v>0.2423269421692682</v>
      </c>
      <c r="H64" s="300">
        <v>-1.7058311179765862E-5</v>
      </c>
      <c r="I64" s="213">
        <v>4.165584689743729E-6</v>
      </c>
      <c r="J64" s="301">
        <v>-1.5037447318803858</v>
      </c>
      <c r="K64" s="213">
        <v>1.2262309656792043</v>
      </c>
      <c r="L64" s="213">
        <v>0.32392625728456714</v>
      </c>
      <c r="M64" s="124">
        <v>1.6842376265050318</v>
      </c>
      <c r="P64" s="384">
        <f>J64</f>
        <v>-1.5037447318803858</v>
      </c>
      <c r="Q64" s="213">
        <f>$P64-(SQRT($O$67)*$Q$67)</f>
        <v>-3.198647775809901</v>
      </c>
      <c r="R64" s="213">
        <f>$P64+SQRT($O$67)*$Q$67</f>
        <v>0.19115831204912959</v>
      </c>
      <c r="S64" s="265"/>
      <c r="U64" s="625">
        <f>EXP(P64)*C64</f>
        <v>22754.01264678521</v>
      </c>
      <c r="V64" s="626">
        <f>EXP(Q64)*C64</f>
        <v>4178.0242444127543</v>
      </c>
      <c r="W64" s="626">
        <f>EXP(R64)*C64</f>
        <v>123921.03569586478</v>
      </c>
      <c r="X64" s="303"/>
      <c r="Y64" s="303"/>
      <c r="Z64" s="385">
        <f>C64</f>
        <v>102359</v>
      </c>
      <c r="AA64" s="386">
        <f>(+G$64+H$64*C64)</f>
        <v>-1.5037447318803858</v>
      </c>
      <c r="AB64" s="248"/>
      <c r="AC64" s="387">
        <f>B64-1900</f>
        <v>115</v>
      </c>
      <c r="AD64" s="247">
        <f>AA64-SQRT($O$66)*$Q$66</f>
        <v>-3.2272801006214369</v>
      </c>
      <c r="AE64" s="258">
        <f>AA64+SQRT($O$66)*$Q$66</f>
        <v>0.21979063686066524</v>
      </c>
      <c r="AF64" s="213">
        <f>AA64</f>
        <v>-1.5037447318803858</v>
      </c>
      <c r="AG64" s="124">
        <v>99</v>
      </c>
    </row>
    <row r="65" spans="1:31">
      <c r="A65" s="260"/>
      <c r="B65" s="224"/>
      <c r="C65" s="224"/>
      <c r="D65" s="224"/>
      <c r="E65" s="224"/>
      <c r="F65" s="224"/>
      <c r="G65" s="224"/>
      <c r="H65" s="224"/>
      <c r="I65" s="224"/>
      <c r="J65" s="224"/>
      <c r="K65" s="224"/>
      <c r="L65" s="224"/>
      <c r="M65" s="224"/>
      <c r="N65" s="224"/>
      <c r="O65" s="224"/>
      <c r="P65" s="224"/>
      <c r="Q65" s="224"/>
      <c r="R65" s="224"/>
      <c r="S65" s="224"/>
      <c r="T65" s="224"/>
      <c r="U65" s="224"/>
      <c r="V65" s="224"/>
      <c r="W65" s="224"/>
      <c r="X65" s="298"/>
      <c r="Y65" s="298"/>
      <c r="Z65" s="294"/>
      <c r="AA65" s="294"/>
      <c r="AB65" s="298"/>
      <c r="AC65" s="298"/>
      <c r="AD65" s="224"/>
      <c r="AE65" s="298"/>
    </row>
    <row r="66" spans="1:31">
      <c r="A66" s="246"/>
      <c r="E66" s="308" t="s">
        <v>152</v>
      </c>
      <c r="F66" s="213">
        <f>F62</f>
        <v>34</v>
      </c>
      <c r="M66" s="308" t="s">
        <v>153</v>
      </c>
      <c r="O66" s="213">
        <f>AVERAGEA(O26:O61)</f>
        <v>1.7310029528007402</v>
      </c>
      <c r="P66" s="308" t="s">
        <v>154</v>
      </c>
      <c r="Q66" s="213">
        <f>VLOOKUP(F66,ttab!$A$3:$G$43,4)</f>
        <v>1.31</v>
      </c>
      <c r="X66" s="248"/>
      <c r="Y66" s="200"/>
      <c r="Z66" s="246"/>
    </row>
    <row r="67" spans="1:31" ht="21">
      <c r="A67" s="246"/>
      <c r="E67" s="308" t="s">
        <v>152</v>
      </c>
      <c r="F67" s="213">
        <f>F64</f>
        <v>35</v>
      </c>
      <c r="M67" s="308" t="s">
        <v>155</v>
      </c>
      <c r="O67" s="213">
        <f>AVERAGEA(O26:O65)</f>
        <v>1.6842376265050318</v>
      </c>
      <c r="P67" s="308" t="s">
        <v>154</v>
      </c>
      <c r="Q67" s="213">
        <f>VLOOKUP(F67,ttab!$A$3:$G$43,4)</f>
        <v>1.306</v>
      </c>
      <c r="S67" s="308" t="s">
        <v>156</v>
      </c>
      <c r="T67" s="213">
        <f>AVERAGEA(T26:T65)</f>
        <v>1571899609.4904778</v>
      </c>
      <c r="W67" s="308" t="s">
        <v>157</v>
      </c>
      <c r="X67" s="610">
        <f>AVERAGEA(X26:X65)</f>
        <v>1.2135285483180955</v>
      </c>
      <c r="Y67" s="355"/>
      <c r="Z67" s="246"/>
    </row>
    <row r="68" spans="1:31">
      <c r="A68" s="224"/>
      <c r="B68" s="224"/>
      <c r="C68" s="224"/>
      <c r="D68" s="224"/>
      <c r="E68" s="224"/>
      <c r="F68" s="224"/>
      <c r="G68" s="224"/>
      <c r="H68" s="224"/>
      <c r="I68" s="224"/>
      <c r="J68" s="224"/>
      <c r="K68" s="224"/>
      <c r="L68" s="224"/>
      <c r="M68" s="224"/>
      <c r="N68" s="224"/>
      <c r="O68" s="224"/>
      <c r="P68" s="224"/>
      <c r="Q68" s="224"/>
      <c r="R68" s="224"/>
      <c r="S68" s="224"/>
      <c r="T68" s="224"/>
      <c r="U68" s="224"/>
      <c r="V68" s="224"/>
      <c r="W68" s="224"/>
      <c r="X68" s="298"/>
      <c r="Y68" s="200"/>
    </row>
    <row r="72" spans="1:31">
      <c r="N72" s="308"/>
    </row>
    <row r="75" spans="1:31">
      <c r="K75" s="124" t="s">
        <v>369</v>
      </c>
      <c r="L75" s="213">
        <f>ROUND(L64,4)</f>
        <v>0.32390000000000002</v>
      </c>
    </row>
    <row r="76" spans="1:31">
      <c r="K76" s="124" t="s">
        <v>158</v>
      </c>
      <c r="L76" s="384">
        <f>ROUND(H64,5)</f>
        <v>-2.0000000000000002E-5</v>
      </c>
    </row>
  </sheetData>
  <sortState ref="A26:AE62">
    <sortCondition ref="B26"/>
  </sortState>
  <phoneticPr fontId="11" type="noConversion"/>
  <pageMargins left="0.5" right="0.5" top="1" bottom="0.55000000000000004" header="0.5" footer="0.5"/>
  <pageSetup orientation="landscape"/>
  <headerFooter alignWithMargins="0">
    <oddFooter>&amp;L&amp;D&amp;C+&amp;R^</oddFooter>
  </headerFooter>
  <rowBreaks count="1" manualBreakCount="1">
    <brk id="92" max="16383" man="1"/>
  </rowBreaks>
  <drawing r:id="rId1"/>
  <legacy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9" enableFormatConditionsCalculation="0"/>
  <dimension ref="A1:AF88"/>
  <sheetViews>
    <sheetView defaultGridColor="0" colorId="22" workbookViewId="0">
      <pane ySplit="9" topLeftCell="A52" activePane="bottomLeft" state="frozenSplit"/>
      <selection pane="bottomLeft" activeCell="O77" sqref="O77"/>
    </sheetView>
  </sheetViews>
  <sheetFormatPr baseColWidth="10" defaultColWidth="9.625" defaultRowHeight="15" x14ac:dyDescent="0"/>
  <cols>
    <col min="1" max="2" width="6.625" style="124" customWidth="1"/>
    <col min="3" max="4" width="9.625" style="124"/>
    <col min="5" max="5" width="9.75" style="124" customWidth="1"/>
    <col min="6" max="12" width="7.625" style="124" customWidth="1"/>
    <col min="13" max="13" width="9.625" style="124"/>
    <col min="14" max="14" width="15" style="124" customWidth="1"/>
    <col min="15" max="15" width="13.5" style="124" customWidth="1"/>
    <col min="16" max="19" width="9.625" style="124"/>
    <col min="20" max="20" width="12.125" style="124" bestFit="1" customWidth="1"/>
    <col min="21" max="21" width="9.625" style="124"/>
    <col min="22" max="22" width="14.875" style="124" bestFit="1" customWidth="1"/>
    <col min="23" max="23" width="16.25" style="124" bestFit="1" customWidth="1"/>
    <col min="24" max="24" width="12.625" style="124" customWidth="1"/>
    <col min="25" max="16384" width="9.625" style="124"/>
  </cols>
  <sheetData>
    <row r="1" spans="1:30">
      <c r="A1" s="124" t="s">
        <v>30</v>
      </c>
      <c r="B1" s="213" t="str">
        <f ca="1">CELL("filename",B2)</f>
        <v>NWCLM04072996:Users:eric.ward:Documents:NCEAS-covariation:data:salmon data:[2015 Coghill Lake Wild Sockeye forecast-FINAL.xlsm]ln 12 x ln 11</v>
      </c>
      <c r="F1" s="124" t="s">
        <v>159</v>
      </c>
    </row>
    <row r="2" spans="1:30">
      <c r="A2" s="124" t="s">
        <v>31</v>
      </c>
      <c r="F2" s="288" t="s">
        <v>115</v>
      </c>
      <c r="G2" s="288" t="s">
        <v>160</v>
      </c>
    </row>
    <row r="3" spans="1:30">
      <c r="A3" s="124" t="s">
        <v>104</v>
      </c>
      <c r="B3" s="124" t="s">
        <v>105</v>
      </c>
      <c r="F3" s="288" t="s">
        <v>117</v>
      </c>
      <c r="G3" s="288" t="s">
        <v>161</v>
      </c>
    </row>
    <row r="4" spans="1:30">
      <c r="H4" s="124">
        <v>4</v>
      </c>
    </row>
    <row r="6" spans="1:30">
      <c r="Z6" s="124" t="s">
        <v>119</v>
      </c>
    </row>
    <row r="7" spans="1:30">
      <c r="A7" s="256"/>
      <c r="B7" s="256"/>
      <c r="C7" s="233" t="s">
        <v>120</v>
      </c>
      <c r="D7" s="289"/>
      <c r="E7" s="233"/>
      <c r="F7" s="230"/>
      <c r="G7" s="230"/>
      <c r="H7" s="230" t="s">
        <v>121</v>
      </c>
      <c r="I7" s="230"/>
      <c r="J7" s="230"/>
      <c r="K7" s="230"/>
      <c r="L7" s="230"/>
      <c r="M7" s="289"/>
      <c r="N7" s="233" t="s">
        <v>122</v>
      </c>
      <c r="O7" s="230"/>
      <c r="P7" s="230"/>
      <c r="Q7" s="230"/>
      <c r="R7" s="289"/>
      <c r="S7" s="233" t="s">
        <v>123</v>
      </c>
      <c r="T7" s="230"/>
      <c r="U7" s="230"/>
      <c r="V7" s="230"/>
      <c r="W7" s="289"/>
      <c r="X7" s="225" t="s">
        <v>124</v>
      </c>
      <c r="Y7" s="290" t="s">
        <v>125</v>
      </c>
      <c r="Z7" s="290" t="s">
        <v>126</v>
      </c>
      <c r="AA7" s="290" t="s">
        <v>127</v>
      </c>
      <c r="AB7" s="290" t="s">
        <v>128</v>
      </c>
      <c r="AC7" s="291" t="s">
        <v>129</v>
      </c>
      <c r="AD7" s="292"/>
    </row>
    <row r="8" spans="1:30">
      <c r="A8" s="188" t="s">
        <v>37</v>
      </c>
      <c r="B8" s="252" t="s">
        <v>40</v>
      </c>
      <c r="C8" s="293" t="s">
        <v>130</v>
      </c>
      <c r="D8" s="293" t="s">
        <v>131</v>
      </c>
      <c r="E8" s="256"/>
      <c r="F8" s="256"/>
      <c r="G8" s="256"/>
      <c r="H8" s="256"/>
      <c r="I8" s="293" t="s">
        <v>132</v>
      </c>
      <c r="J8" s="293" t="s">
        <v>133</v>
      </c>
      <c r="K8" s="293" t="s">
        <v>132</v>
      </c>
      <c r="L8" s="256"/>
      <c r="M8" s="293" t="s">
        <v>134</v>
      </c>
      <c r="N8" s="225" t="s">
        <v>162</v>
      </c>
      <c r="O8" s="225" t="s">
        <v>163</v>
      </c>
      <c r="P8" s="225" t="s">
        <v>135</v>
      </c>
      <c r="Q8" s="225" t="s">
        <v>4</v>
      </c>
      <c r="R8" s="225" t="s">
        <v>5</v>
      </c>
      <c r="S8" s="256"/>
      <c r="T8" s="256"/>
      <c r="U8" s="225" t="s">
        <v>135</v>
      </c>
      <c r="V8" s="225" t="s">
        <v>4</v>
      </c>
      <c r="W8" s="225" t="s">
        <v>5</v>
      </c>
      <c r="X8" s="188" t="s">
        <v>12</v>
      </c>
      <c r="Y8" s="252"/>
      <c r="Z8" s="225" t="s">
        <v>137</v>
      </c>
      <c r="AA8" s="225" t="s">
        <v>54</v>
      </c>
      <c r="AB8" s="225" t="s">
        <v>40</v>
      </c>
      <c r="AC8" s="290" t="s">
        <v>138</v>
      </c>
      <c r="AD8" s="290" t="s">
        <v>139</v>
      </c>
    </row>
    <row r="9" spans="1:30" ht="17" customHeight="1">
      <c r="A9" s="243" t="s">
        <v>42</v>
      </c>
      <c r="B9" s="294" t="s">
        <v>42</v>
      </c>
      <c r="C9" s="295" t="s">
        <v>125</v>
      </c>
      <c r="D9" s="295" t="s">
        <v>140</v>
      </c>
      <c r="E9" s="295" t="s">
        <v>49</v>
      </c>
      <c r="F9" s="295" t="s">
        <v>141</v>
      </c>
      <c r="G9" s="295" t="s">
        <v>107</v>
      </c>
      <c r="H9" s="295" t="s">
        <v>142</v>
      </c>
      <c r="I9" s="295" t="s">
        <v>142</v>
      </c>
      <c r="J9" s="295" t="s">
        <v>143</v>
      </c>
      <c r="K9" s="295" t="s">
        <v>133</v>
      </c>
      <c r="L9" s="295" t="s">
        <v>144</v>
      </c>
      <c r="M9" s="295" t="s">
        <v>145</v>
      </c>
      <c r="N9" s="295" t="s">
        <v>146</v>
      </c>
      <c r="O9" s="295" t="s">
        <v>164</v>
      </c>
      <c r="P9" s="295" t="s">
        <v>143</v>
      </c>
      <c r="Q9" s="295" t="s">
        <v>148</v>
      </c>
      <c r="R9" s="295" t="s">
        <v>149</v>
      </c>
      <c r="S9" s="295" t="s">
        <v>146</v>
      </c>
      <c r="T9" s="295" t="s">
        <v>147</v>
      </c>
      <c r="U9" s="295" t="s">
        <v>143</v>
      </c>
      <c r="V9" s="295" t="s">
        <v>148</v>
      </c>
      <c r="W9" s="295" t="s">
        <v>149</v>
      </c>
      <c r="X9" s="295" t="s">
        <v>150</v>
      </c>
      <c r="Y9" s="243" t="s">
        <v>165</v>
      </c>
      <c r="Z9" s="243" t="s">
        <v>151</v>
      </c>
      <c r="AA9" s="243" t="s">
        <v>151</v>
      </c>
      <c r="AB9" s="243" t="s">
        <v>42</v>
      </c>
      <c r="AC9" s="290" t="s">
        <v>4</v>
      </c>
      <c r="AD9" s="290" t="s">
        <v>5</v>
      </c>
    </row>
    <row r="10" spans="1:30">
      <c r="A10" s="253"/>
      <c r="B10" s="254"/>
      <c r="C10" s="254"/>
      <c r="D10" s="254"/>
      <c r="E10" s="254"/>
      <c r="F10" s="254"/>
      <c r="G10" s="254"/>
      <c r="H10" s="254"/>
      <c r="I10" s="254"/>
      <c r="J10" s="254"/>
      <c r="K10" s="254"/>
      <c r="L10" s="254"/>
      <c r="M10" s="254"/>
      <c r="N10" s="254"/>
      <c r="O10" s="254"/>
      <c r="P10" s="254"/>
      <c r="Q10" s="254"/>
      <c r="R10" s="254"/>
      <c r="S10" s="254"/>
      <c r="T10" s="254"/>
      <c r="U10" s="254"/>
      <c r="V10" s="254"/>
      <c r="W10" s="254"/>
      <c r="X10" s="255"/>
      <c r="Y10" s="256"/>
      <c r="Z10" s="256"/>
      <c r="AA10" s="256"/>
      <c r="AB10" s="256"/>
      <c r="AC10" s="253"/>
      <c r="AD10" s="255"/>
    </row>
    <row r="11" spans="1:30">
      <c r="A11" s="247">
        <v>1962</v>
      </c>
      <c r="B11" s="124">
        <v>1966</v>
      </c>
      <c r="C11" s="300">
        <f>VLOOKUP($A11,BroodTab!$A$12:$AG$67,6)</f>
        <v>0.69314718055994529</v>
      </c>
      <c r="D11" s="300">
        <f>VLOOKUP($A11,BroodTab!$A$12:$AG$67,12)</f>
        <v>9.7877960780399356</v>
      </c>
      <c r="X11" s="248"/>
      <c r="Y11" s="252"/>
      <c r="Z11" s="252"/>
      <c r="AA11" s="252"/>
      <c r="AB11" s="252"/>
      <c r="AC11" s="246"/>
      <c r="AD11" s="248"/>
    </row>
    <row r="12" spans="1:30">
      <c r="A12" s="247">
        <v>1963</v>
      </c>
      <c r="B12" s="124">
        <v>1967</v>
      </c>
      <c r="C12" s="300">
        <f>VLOOKUP($A12,BroodTab!$A$12:$AG$67,6)</f>
        <v>5.0689042022202315</v>
      </c>
      <c r="D12" s="300">
        <f>VLOOKUP($A12,BroodTab!$A$12:$AG$67,12)</f>
        <v>8.3873122705617167</v>
      </c>
      <c r="X12" s="248"/>
      <c r="Y12" s="252"/>
      <c r="Z12" s="252"/>
      <c r="AA12" s="252"/>
      <c r="AB12" s="252"/>
      <c r="AC12" s="246"/>
      <c r="AD12" s="248"/>
    </row>
    <row r="13" spans="1:30">
      <c r="A13" s="247">
        <v>1964</v>
      </c>
      <c r="B13" s="124">
        <v>1968</v>
      </c>
      <c r="C13" s="300">
        <f>VLOOKUP($A13,BroodTab!$A$12:$AG$67,6)</f>
        <v>0.69314718055994529</v>
      </c>
      <c r="D13" s="300">
        <f>VLOOKUP($A13,BroodTab!$A$12:$AG$67,12)</f>
        <v>10.390163916069115</v>
      </c>
      <c r="X13" s="248"/>
      <c r="Y13" s="252"/>
      <c r="Z13" s="252"/>
      <c r="AA13" s="252"/>
      <c r="AB13" s="252"/>
      <c r="AC13" s="246"/>
      <c r="AD13" s="248"/>
    </row>
    <row r="14" spans="1:30">
      <c r="A14" s="247">
        <v>1965</v>
      </c>
      <c r="B14" s="124">
        <v>1969</v>
      </c>
      <c r="C14" s="300">
        <f>VLOOKUP($A14,BroodTab!$A$12:$AG$67,6)</f>
        <v>5.4116460518550396</v>
      </c>
      <c r="D14" s="300">
        <f>VLOOKUP($A14,BroodTab!$A$12:$AG$67,12)</f>
        <v>10.13455959017246</v>
      </c>
      <c r="X14" s="248"/>
      <c r="Y14" s="252"/>
      <c r="Z14" s="252"/>
      <c r="AA14" s="252"/>
      <c r="AB14" s="252"/>
      <c r="AC14" s="246"/>
      <c r="AD14" s="248"/>
    </row>
    <row r="15" spans="1:30">
      <c r="A15" s="247">
        <v>1966</v>
      </c>
      <c r="B15" s="124">
        <v>1970</v>
      </c>
      <c r="C15" s="300">
        <f>VLOOKUP($A15,BroodTab!$A$12:$AG$67,6)</f>
        <v>5.5872486584002496</v>
      </c>
      <c r="D15" s="300">
        <f>VLOOKUP($A15,BroodTab!$A$12:$AG$67,12)</f>
        <v>9.201602306032898</v>
      </c>
      <c r="X15" s="248"/>
      <c r="Y15" s="252"/>
      <c r="Z15" s="252"/>
      <c r="AA15" s="252"/>
      <c r="AB15" s="252"/>
      <c r="AC15" s="246"/>
      <c r="AD15" s="248"/>
    </row>
    <row r="16" spans="1:30">
      <c r="A16" s="247">
        <v>1967</v>
      </c>
      <c r="B16" s="124">
        <v>1971</v>
      </c>
      <c r="C16" s="300">
        <f>VLOOKUP($A16,BroodTab!$A$12:$AG$67,6)</f>
        <v>0.69314718055994529</v>
      </c>
      <c r="D16" s="300">
        <f>VLOOKUP($A16,BroodTab!$A$12:$AG$67,12)</f>
        <v>8.2297777500818867</v>
      </c>
      <c r="X16" s="248"/>
      <c r="Y16" s="252"/>
      <c r="Z16" s="252"/>
      <c r="AA16" s="252"/>
      <c r="AB16" s="252"/>
      <c r="AC16" s="246"/>
      <c r="AD16" s="248"/>
    </row>
    <row r="17" spans="1:30">
      <c r="A17" s="247">
        <v>1968</v>
      </c>
      <c r="B17" s="124">
        <v>1972</v>
      </c>
      <c r="C17" s="300">
        <f>VLOOKUP($A17,BroodTab!$A$12:$AG$67,6)</f>
        <v>0.69314718055994529</v>
      </c>
      <c r="D17" s="300">
        <f>VLOOKUP($A17,BroodTab!$A$12:$AG$67,12)</f>
        <v>10.022408488192408</v>
      </c>
      <c r="X17" s="248"/>
      <c r="Y17" s="252"/>
      <c r="Z17" s="252"/>
      <c r="AA17" s="252"/>
      <c r="AB17" s="252"/>
      <c r="AC17" s="246"/>
      <c r="AD17" s="248"/>
    </row>
    <row r="18" spans="1:30">
      <c r="A18" s="247">
        <v>1969</v>
      </c>
      <c r="B18" s="124">
        <v>1973</v>
      </c>
      <c r="C18" s="300">
        <f>VLOOKUP($A18,BroodTab!$A$12:$AG$67,6)</f>
        <v>0.69314718055994529</v>
      </c>
      <c r="D18" s="300">
        <f>VLOOKUP($A18,BroodTab!$A$12:$AG$67,12)</f>
        <v>9.4646873032298213</v>
      </c>
      <c r="X18" s="248"/>
      <c r="Y18" s="252"/>
      <c r="Z18" s="252"/>
      <c r="AA18" s="252"/>
      <c r="AB18" s="252"/>
      <c r="AC18" s="246"/>
      <c r="AD18" s="248"/>
    </row>
    <row r="19" spans="1:30">
      <c r="A19" s="247">
        <v>1970</v>
      </c>
      <c r="B19" s="124">
        <v>1974</v>
      </c>
      <c r="C19" s="300">
        <f>VLOOKUP($A19,BroodTab!$A$12:$AG$67,6)</f>
        <v>0.69314718055994529</v>
      </c>
      <c r="D19" s="300">
        <f>VLOOKUP($A19,BroodTab!$A$12:$AG$67,12)</f>
        <v>10.805273598207402</v>
      </c>
      <c r="X19" s="248"/>
      <c r="Y19" s="252"/>
      <c r="Z19" s="252"/>
      <c r="AA19" s="252"/>
      <c r="AB19" s="252"/>
      <c r="AC19" s="246"/>
      <c r="AD19" s="248"/>
    </row>
    <row r="20" spans="1:30">
      <c r="A20" s="247">
        <v>1971</v>
      </c>
      <c r="B20" s="124">
        <v>1975</v>
      </c>
      <c r="C20" s="300">
        <f>VLOOKUP($A20,BroodTab!$A$12:$AG$67,6)</f>
        <v>4.7449321283632502</v>
      </c>
      <c r="D20" s="300">
        <f>VLOOKUP($A20,BroodTab!$A$12:$AG$67,12)</f>
        <v>8.6312359074568974</v>
      </c>
      <c r="X20" s="248"/>
      <c r="Y20" s="252"/>
      <c r="Z20" s="252"/>
      <c r="AA20" s="252"/>
      <c r="AB20" s="252"/>
      <c r="AC20" s="246"/>
      <c r="AD20" s="248"/>
    </row>
    <row r="21" spans="1:30">
      <c r="A21" s="247">
        <v>1972</v>
      </c>
      <c r="B21" s="124">
        <v>1976</v>
      </c>
      <c r="C21" s="300">
        <f>VLOOKUP($A21,BroodTab!$A$12:$AG$67,6)</f>
        <v>0.69314718055994529</v>
      </c>
      <c r="D21" s="300">
        <f>VLOOKUP($A21,BroodTab!$A$12:$AG$67,12)</f>
        <v>10.290517098488607</v>
      </c>
      <c r="X21" s="248"/>
      <c r="Y21" s="252"/>
      <c r="Z21" s="252"/>
      <c r="AA21" s="252"/>
      <c r="AB21" s="252"/>
      <c r="AC21" s="246"/>
      <c r="AD21" s="248"/>
    </row>
    <row r="22" spans="1:30">
      <c r="A22" s="247">
        <v>1973</v>
      </c>
      <c r="B22" s="124">
        <v>1977</v>
      </c>
      <c r="C22" s="300">
        <f>VLOOKUP($A22,BroodTab!$A$12:$AG$67,6)</f>
        <v>0.69314718055994529</v>
      </c>
      <c r="D22" s="300">
        <f>VLOOKUP($A22,BroodTab!$A$12:$AG$67,12)</f>
        <v>10.144628180551992</v>
      </c>
      <c r="X22" s="248"/>
      <c r="Y22" s="252"/>
      <c r="Z22" s="252"/>
      <c r="AA22" s="252"/>
      <c r="AB22" s="252"/>
      <c r="AC22" s="246"/>
      <c r="AD22" s="248"/>
    </row>
    <row r="23" spans="1:30">
      <c r="A23" s="247">
        <v>1974</v>
      </c>
      <c r="B23" s="213">
        <f>A23+4</f>
        <v>1978</v>
      </c>
      <c r="C23" s="300">
        <f>VLOOKUP($A23,BroodTab!$A$12:$AG$67,6)</f>
        <v>6.1202974189509503</v>
      </c>
      <c r="D23" s="300">
        <f>VLOOKUP($A23,BroodTab!$A$12:$AG$67,12)</f>
        <v>9.9537528186836788</v>
      </c>
      <c r="E23" s="213"/>
      <c r="F23" s="213"/>
      <c r="G23" s="300"/>
      <c r="H23" s="300"/>
      <c r="I23" s="213"/>
      <c r="J23" s="213"/>
      <c r="K23" s="213"/>
      <c r="L23" s="213"/>
      <c r="P23" s="302"/>
      <c r="S23" s="265"/>
      <c r="U23" s="265"/>
      <c r="V23" s="265"/>
      <c r="W23" s="265"/>
      <c r="X23" s="303"/>
      <c r="Y23" s="248"/>
      <c r="Z23" s="304"/>
      <c r="AA23" s="248"/>
      <c r="AB23" s="265"/>
      <c r="AC23" s="246"/>
      <c r="AD23" s="248"/>
    </row>
    <row r="24" spans="1:30">
      <c r="A24" s="297">
        <v>1975</v>
      </c>
      <c r="B24" s="261">
        <f>A24+4</f>
        <v>1979</v>
      </c>
      <c r="C24" s="300">
        <f>VLOOKUP($A24,BroodTab!$A$12:$AG$67,6)</f>
        <v>0.69314718055994529</v>
      </c>
      <c r="D24" s="300">
        <f>VLOOKUP($A24,BroodTab!$A$12:$AG$67,12)</f>
        <v>10.554431576877635</v>
      </c>
      <c r="E24" s="261"/>
      <c r="F24" s="261"/>
      <c r="G24" s="310"/>
      <c r="H24" s="310"/>
      <c r="I24" s="261"/>
      <c r="J24" s="261"/>
      <c r="K24" s="261"/>
      <c r="L24" s="261"/>
      <c r="M24" s="224"/>
      <c r="N24" s="224"/>
      <c r="O24" s="224"/>
      <c r="P24" s="311"/>
      <c r="Q24" s="224"/>
      <c r="R24" s="224"/>
      <c r="S24" s="312"/>
      <c r="T24" s="224"/>
      <c r="U24" s="312"/>
      <c r="V24" s="312"/>
      <c r="W24" s="312"/>
      <c r="X24" s="313"/>
      <c r="Y24" s="298"/>
      <c r="Z24" s="314"/>
      <c r="AA24" s="298"/>
      <c r="AB24" s="312"/>
      <c r="AC24" s="260"/>
      <c r="AD24" s="298"/>
    </row>
    <row r="25" spans="1:30">
      <c r="A25" s="247"/>
      <c r="C25" s="300"/>
      <c r="D25" s="300"/>
      <c r="E25" s="213"/>
      <c r="F25" s="213"/>
      <c r="G25" s="300"/>
      <c r="H25" s="300"/>
      <c r="I25" s="213"/>
      <c r="J25" s="213"/>
      <c r="K25" s="213"/>
      <c r="L25" s="213"/>
      <c r="P25" s="302"/>
      <c r="S25" s="265"/>
      <c r="U25" s="265"/>
      <c r="V25" s="265"/>
      <c r="W25" s="265"/>
      <c r="X25" s="303"/>
      <c r="Y25" s="248"/>
      <c r="Z25" s="304"/>
      <c r="AA25" s="248"/>
      <c r="AB25" s="265"/>
      <c r="AC25" s="246"/>
      <c r="AD25" s="248"/>
    </row>
    <row r="26" spans="1:30">
      <c r="A26" s="247">
        <v>1976</v>
      </c>
      <c r="B26" s="213">
        <f t="shared" ref="B26:B60" si="0">A26+$H$4</f>
        <v>1980</v>
      </c>
      <c r="C26" s="300">
        <f>VLOOKUP($A26,BroodTab!$A$12:$AG$67,6)</f>
        <v>4.499809670330265</v>
      </c>
      <c r="D26" s="300">
        <f>VLOOKUP($A26,BroodTab!$A$12:$AG$67,12)</f>
        <v>10.86730537695477</v>
      </c>
      <c r="E26" s="213">
        <v>34</v>
      </c>
      <c r="F26" s="213">
        <v>32</v>
      </c>
      <c r="G26" s="300">
        <v>7.9889320694639272</v>
      </c>
      <c r="H26" s="300">
        <v>0.37902354961355655</v>
      </c>
      <c r="I26" s="213">
        <v>9.9901095406212892E-2</v>
      </c>
      <c r="J26" s="213">
        <v>9.6944659032979121</v>
      </c>
      <c r="K26" s="213">
        <v>1.083444437439959</v>
      </c>
      <c r="L26" s="213">
        <v>0.31026075626730371</v>
      </c>
      <c r="M26" s="124">
        <v>1.2917744614005175</v>
      </c>
      <c r="N26" s="529">
        <f t="shared" ref="N26:N60" si="1">D26-J26</f>
        <v>1.1728394736568575</v>
      </c>
      <c r="O26" s="213">
        <f t="shared" ref="O26:O60" si="2">N26^2</f>
        <v>1.3755524309676945</v>
      </c>
      <c r="P26" s="384">
        <f t="shared" ref="P26:P60" si="3">J26</f>
        <v>9.6944659032979121</v>
      </c>
      <c r="Q26" s="213">
        <f t="shared" ref="Q26:Q39" si="4">$P26-SQRT($O$64)*$Q$64</f>
        <v>8.1860943737181202</v>
      </c>
      <c r="R26" s="213">
        <f t="shared" ref="R26:R60" si="5">$P26+SQRT($O$64)*$Q$64</f>
        <v>11.202837432877704</v>
      </c>
      <c r="S26" s="350">
        <f t="shared" ref="S26:S60" si="6">EXP(D26)-U26</f>
        <v>36206.177205103726</v>
      </c>
      <c r="T26" s="213">
        <f t="shared" ref="T26:T60" si="7">S26^2</f>
        <v>1310887267.8073726</v>
      </c>
      <c r="U26" s="350">
        <f t="shared" ref="U26:U60" si="8">EXP(P26)</f>
        <v>16227.553394896251</v>
      </c>
      <c r="V26" s="350">
        <f t="shared" ref="V26:V60" si="9">EXP(Q26)</f>
        <v>3590.671005827443</v>
      </c>
      <c r="W26" s="350">
        <f t="shared" ref="W26:W60" si="10">EXP(R26)</f>
        <v>73338.239219587223</v>
      </c>
      <c r="X26" s="364">
        <f t="shared" ref="X26:X60" si="11">(+U26-EXP(D26))/(EXP(D26))</f>
        <v>-0.69051308748768958</v>
      </c>
      <c r="Y26" s="258">
        <f t="shared" ref="Y26:Y60" si="12">C26</f>
        <v>4.499809670330265</v>
      </c>
      <c r="Z26" s="386">
        <f t="shared" ref="Z26:Z60" si="13">(+G$62+H$62*C26)</f>
        <v>9.7289929624516933</v>
      </c>
      <c r="AA26" s="258">
        <f t="shared" ref="AA26:AA60" si="14">D26</f>
        <v>10.86730537695477</v>
      </c>
      <c r="AB26" s="350">
        <f t="shared" ref="AB26:AB60" si="15">B26-1900</f>
        <v>80</v>
      </c>
      <c r="AC26" s="247">
        <f t="shared" ref="AC26:AC60" si="16">Z26-SQRT($O$64)*$Q$64</f>
        <v>8.2206214328719014</v>
      </c>
      <c r="AD26" s="258">
        <f t="shared" ref="AD26:AD60" si="17">Z26+SQRT($O$64)*$Q$64</f>
        <v>11.237364492031485</v>
      </c>
    </row>
    <row r="27" spans="1:30">
      <c r="A27" s="247">
        <v>1977</v>
      </c>
      <c r="B27" s="213">
        <f t="shared" si="0"/>
        <v>1981</v>
      </c>
      <c r="C27" s="300">
        <f>VLOOKUP($A27,BroodTab!$A$12:$AG$67,6)</f>
        <v>7.5911664177273783</v>
      </c>
      <c r="D27" s="300">
        <f>VLOOKUP($A27,BroodTab!$A$12:$AG$67,12)</f>
        <v>11.828340204117774</v>
      </c>
      <c r="E27" s="213">
        <v>34</v>
      </c>
      <c r="F27" s="213">
        <v>32</v>
      </c>
      <c r="G27" s="300">
        <v>8.1256211671358507</v>
      </c>
      <c r="H27" s="300">
        <v>0.35148081641463691</v>
      </c>
      <c r="I27" s="213">
        <v>0.1038911353093227</v>
      </c>
      <c r="J27" s="213">
        <v>10.793770537178045</v>
      </c>
      <c r="K27" s="213">
        <v>1.0886978469324113</v>
      </c>
      <c r="L27" s="213">
        <v>0.26345014351584972</v>
      </c>
      <c r="M27" s="124">
        <v>1.3007550985585297</v>
      </c>
      <c r="N27" s="389">
        <f t="shared" si="1"/>
        <v>1.0345696669397295</v>
      </c>
      <c r="O27" s="213">
        <f t="shared" si="2"/>
        <v>1.0703343957517828</v>
      </c>
      <c r="P27" s="384">
        <f t="shared" si="3"/>
        <v>10.793770537178045</v>
      </c>
      <c r="Q27" s="213">
        <f t="shared" si="4"/>
        <v>9.2853990075982509</v>
      </c>
      <c r="R27" s="213">
        <f t="shared" si="5"/>
        <v>12.302142066757838</v>
      </c>
      <c r="S27" s="350">
        <f t="shared" si="6"/>
        <v>88366.395838111319</v>
      </c>
      <c r="T27" s="213">
        <f t="shared" si="7"/>
        <v>7808619913.4177771</v>
      </c>
      <c r="U27" s="350">
        <f t="shared" si="8"/>
        <v>48716.377061888576</v>
      </c>
      <c r="V27" s="350">
        <f t="shared" si="9"/>
        <v>10779.473551453286</v>
      </c>
      <c r="W27" s="350">
        <f t="shared" si="10"/>
        <v>220167.09653841468</v>
      </c>
      <c r="X27" s="364">
        <f t="shared" si="11"/>
        <v>-0.64462072052316488</v>
      </c>
      <c r="Y27" s="258">
        <f t="shared" si="12"/>
        <v>7.5911664177273783</v>
      </c>
      <c r="Z27" s="386">
        <f t="shared" si="13"/>
        <v>10.890848151707129</v>
      </c>
      <c r="AA27" s="258">
        <f t="shared" si="14"/>
        <v>11.828340204117774</v>
      </c>
      <c r="AB27" s="350">
        <f t="shared" si="15"/>
        <v>81</v>
      </c>
      <c r="AC27" s="247">
        <f t="shared" si="16"/>
        <v>9.382476622127335</v>
      </c>
      <c r="AD27" s="258">
        <f t="shared" si="17"/>
        <v>12.399219681286922</v>
      </c>
    </row>
    <row r="28" spans="1:30">
      <c r="A28" s="247">
        <v>1978</v>
      </c>
      <c r="B28" s="213">
        <f t="shared" si="0"/>
        <v>1982</v>
      </c>
      <c r="C28" s="300">
        <f>VLOOKUP($A28,BroodTab!$A$12:$AG$67,6)</f>
        <v>6.4856582236549167</v>
      </c>
      <c r="D28" s="300">
        <f>VLOOKUP($A28,BroodTab!$A$12:$AG$67,12)</f>
        <v>9.0823713208076846</v>
      </c>
      <c r="E28" s="213">
        <v>34</v>
      </c>
      <c r="F28" s="213">
        <v>32</v>
      </c>
      <c r="G28" s="300">
        <v>7.9795233642979246</v>
      </c>
      <c r="H28" s="300">
        <v>0.39664162128961761</v>
      </c>
      <c r="I28" s="213">
        <v>0.10012839928040404</v>
      </c>
      <c r="J28" s="213">
        <v>10.552005357258752</v>
      </c>
      <c r="K28" s="213">
        <v>1.0731254301230932</v>
      </c>
      <c r="L28" s="213">
        <v>0.32902982185787677</v>
      </c>
      <c r="M28" s="124">
        <v>1.2687075823738299</v>
      </c>
      <c r="N28" s="213">
        <f t="shared" si="1"/>
        <v>-1.4696340364510672</v>
      </c>
      <c r="O28" s="213">
        <f t="shared" si="2"/>
        <v>2.1598242010954567</v>
      </c>
      <c r="P28" s="384">
        <f t="shared" si="3"/>
        <v>10.552005357258752</v>
      </c>
      <c r="Q28" s="213">
        <f t="shared" si="4"/>
        <v>9.0436338276789598</v>
      </c>
      <c r="R28" s="213">
        <f t="shared" si="5"/>
        <v>12.060376886838544</v>
      </c>
      <c r="S28" s="350">
        <f t="shared" si="6"/>
        <v>-29455.268430657248</v>
      </c>
      <c r="T28" s="213">
        <f t="shared" si="7"/>
        <v>867612838.32207346</v>
      </c>
      <c r="U28" s="350">
        <f t="shared" si="8"/>
        <v>38254.074530657257</v>
      </c>
      <c r="V28" s="350">
        <f t="shared" si="9"/>
        <v>8464.4796987815571</v>
      </c>
      <c r="W28" s="350">
        <f t="shared" si="10"/>
        <v>172884.13113067418</v>
      </c>
      <c r="X28" s="364">
        <f t="shared" si="11"/>
        <v>3.3476437707448996</v>
      </c>
      <c r="Y28" s="258">
        <f t="shared" si="12"/>
        <v>6.4856582236549167</v>
      </c>
      <c r="Z28" s="386">
        <f t="shared" si="13"/>
        <v>10.475354070304528</v>
      </c>
      <c r="AA28" s="258">
        <f t="shared" si="14"/>
        <v>9.0823713208076846</v>
      </c>
      <c r="AB28" s="350">
        <f t="shared" si="15"/>
        <v>82</v>
      </c>
      <c r="AC28" s="247">
        <f t="shared" si="16"/>
        <v>8.9669825407247359</v>
      </c>
      <c r="AD28" s="258">
        <f t="shared" si="17"/>
        <v>11.98372559988432</v>
      </c>
    </row>
    <row r="29" spans="1:30">
      <c r="A29" s="247">
        <v>1979</v>
      </c>
      <c r="B29" s="213">
        <f t="shared" si="0"/>
        <v>1983</v>
      </c>
      <c r="C29" s="300">
        <f>VLOOKUP($A29,BroodTab!$A$12:$AG$67,6)</f>
        <v>5.6001648836667961</v>
      </c>
      <c r="D29" s="300">
        <f>VLOOKUP($A29,BroodTab!$A$12:$AG$67,12)</f>
        <v>9.7664643563694611</v>
      </c>
      <c r="E29" s="213">
        <v>34</v>
      </c>
      <c r="F29" s="213">
        <v>32</v>
      </c>
      <c r="G29" s="300">
        <v>8.0364643160498801</v>
      </c>
      <c r="H29" s="300">
        <v>0.37842141429763587</v>
      </c>
      <c r="I29" s="213">
        <v>0.10169556933406912</v>
      </c>
      <c r="J29" s="213">
        <v>10.155686631627024</v>
      </c>
      <c r="K29" s="213">
        <v>1.1004535408228544</v>
      </c>
      <c r="L29" s="213">
        <v>0.30202225314367703</v>
      </c>
      <c r="M29" s="124">
        <v>1.3277754154736066</v>
      </c>
      <c r="N29" s="213">
        <f t="shared" si="1"/>
        <v>-0.3892222752575627</v>
      </c>
      <c r="O29" s="213">
        <f t="shared" si="2"/>
        <v>0.1514939795566739</v>
      </c>
      <c r="P29" s="384">
        <f t="shared" si="3"/>
        <v>10.155686631627024</v>
      </c>
      <c r="Q29" s="213">
        <f t="shared" si="4"/>
        <v>8.6473151020472301</v>
      </c>
      <c r="R29" s="213">
        <f t="shared" si="5"/>
        <v>11.664058161206817</v>
      </c>
      <c r="S29" s="350">
        <f t="shared" si="6"/>
        <v>-8298.0439430296647</v>
      </c>
      <c r="T29" s="213">
        <f t="shared" si="7"/>
        <v>68857533.280451298</v>
      </c>
      <c r="U29" s="350">
        <f t="shared" si="8"/>
        <v>25737.043943029679</v>
      </c>
      <c r="V29" s="350">
        <f t="shared" si="9"/>
        <v>5694.8361353725895</v>
      </c>
      <c r="W29" s="350">
        <f t="shared" si="10"/>
        <v>116315.09936011581</v>
      </c>
      <c r="X29" s="364">
        <f t="shared" si="11"/>
        <v>0.4758325559395411</v>
      </c>
      <c r="Y29" s="258">
        <f t="shared" si="12"/>
        <v>5.6001648836667961</v>
      </c>
      <c r="Z29" s="386">
        <f t="shared" si="13"/>
        <v>10.142550348125722</v>
      </c>
      <c r="AA29" s="258">
        <f t="shared" si="14"/>
        <v>9.7664643563694611</v>
      </c>
      <c r="AB29" s="350">
        <f t="shared" si="15"/>
        <v>83</v>
      </c>
      <c r="AC29" s="247">
        <f t="shared" si="16"/>
        <v>8.6341788185459301</v>
      </c>
      <c r="AD29" s="258">
        <f t="shared" si="17"/>
        <v>11.650921877705514</v>
      </c>
    </row>
    <row r="30" spans="1:30">
      <c r="A30" s="247">
        <v>1980</v>
      </c>
      <c r="B30" s="213">
        <f t="shared" si="0"/>
        <v>1984</v>
      </c>
      <c r="C30" s="300">
        <f>VLOOKUP($A30,BroodTab!$A$12:$AG$67,6)</f>
        <v>5.0875963352323836</v>
      </c>
      <c r="D30" s="300">
        <f>VLOOKUP($A30,BroodTab!$A$12:$AG$67,12)</f>
        <v>10.5395351410555</v>
      </c>
      <c r="E30" s="213">
        <v>34</v>
      </c>
      <c r="F30" s="213">
        <v>32</v>
      </c>
      <c r="G30" s="300">
        <v>8.0271012929768641</v>
      </c>
      <c r="H30" s="300">
        <v>0.37445604986218589</v>
      </c>
      <c r="I30" s="213">
        <v>0.10117851340247593</v>
      </c>
      <c r="J30" s="213">
        <v>9.9321825199613158</v>
      </c>
      <c r="K30" s="213">
        <v>1.097443114783561</v>
      </c>
      <c r="L30" s="213">
        <v>0.29973504769329679</v>
      </c>
      <c r="M30" s="124">
        <v>1.3213826506886586</v>
      </c>
      <c r="N30" s="213">
        <f t="shared" si="1"/>
        <v>0.60735262109418464</v>
      </c>
      <c r="O30" s="213">
        <f t="shared" si="2"/>
        <v>0.36887720634997623</v>
      </c>
      <c r="P30" s="384">
        <f t="shared" si="3"/>
        <v>9.9321825199613158</v>
      </c>
      <c r="Q30" s="213">
        <f t="shared" si="4"/>
        <v>8.4238109903815221</v>
      </c>
      <c r="R30" s="213">
        <f t="shared" si="5"/>
        <v>11.44055404954111</v>
      </c>
      <c r="S30" s="350">
        <f t="shared" si="6"/>
        <v>17197.787313460529</v>
      </c>
      <c r="T30" s="213">
        <f t="shared" si="7"/>
        <v>295763888.47902393</v>
      </c>
      <c r="U30" s="350">
        <f t="shared" si="8"/>
        <v>20582.212686539471</v>
      </c>
      <c r="V30" s="350">
        <f t="shared" si="9"/>
        <v>4554.2265387075877</v>
      </c>
      <c r="W30" s="350">
        <f t="shared" si="10"/>
        <v>93018.53464543834</v>
      </c>
      <c r="X30" s="364">
        <f t="shared" si="11"/>
        <v>-0.45520876954633482</v>
      </c>
      <c r="Y30" s="258">
        <f t="shared" si="12"/>
        <v>5.0875963352323836</v>
      </c>
      <c r="Z30" s="386">
        <f t="shared" si="13"/>
        <v>9.949906639712232</v>
      </c>
      <c r="AA30" s="258">
        <f t="shared" si="14"/>
        <v>10.5395351410555</v>
      </c>
      <c r="AB30" s="350">
        <f t="shared" si="15"/>
        <v>84</v>
      </c>
      <c r="AC30" s="247">
        <f t="shared" si="16"/>
        <v>8.4415351101324383</v>
      </c>
      <c r="AD30" s="258">
        <f t="shared" si="17"/>
        <v>11.458278169292026</v>
      </c>
    </row>
    <row r="31" spans="1:30">
      <c r="A31" s="247">
        <v>1981</v>
      </c>
      <c r="B31" s="213">
        <f t="shared" si="0"/>
        <v>1985</v>
      </c>
      <c r="C31" s="300">
        <f>VLOOKUP($A31,BroodTab!$A$12:$AG$67,6)</f>
        <v>6.0776422433490342</v>
      </c>
      <c r="D31" s="300">
        <f>VLOOKUP($A31,BroodTab!$A$12:$AG$67,12)</f>
        <v>11.434726857564771</v>
      </c>
      <c r="E31" s="213">
        <v>34</v>
      </c>
      <c r="F31" s="213">
        <v>32</v>
      </c>
      <c r="G31" s="300">
        <v>8.0644306513285109</v>
      </c>
      <c r="H31" s="300">
        <v>0.36342493613600674</v>
      </c>
      <c r="I31" s="213">
        <v>0.10061198067814617</v>
      </c>
      <c r="J31" s="213">
        <v>10.27319739547513</v>
      </c>
      <c r="K31" s="213">
        <v>1.084058608476854</v>
      </c>
      <c r="L31" s="213">
        <v>0.28964001399685946</v>
      </c>
      <c r="M31" s="124">
        <v>1.2925536117623337</v>
      </c>
      <c r="N31" s="213">
        <f t="shared" si="1"/>
        <v>1.161529462089641</v>
      </c>
      <c r="O31" s="213">
        <f t="shared" si="2"/>
        <v>1.3491506913022508</v>
      </c>
      <c r="P31" s="384">
        <f t="shared" si="3"/>
        <v>10.27319739547513</v>
      </c>
      <c r="Q31" s="213">
        <f t="shared" si="4"/>
        <v>8.764825865895336</v>
      </c>
      <c r="R31" s="213">
        <f t="shared" si="5"/>
        <v>11.781568925054923</v>
      </c>
      <c r="S31" s="350">
        <f t="shared" si="6"/>
        <v>63531.78189640538</v>
      </c>
      <c r="T31" s="213">
        <f t="shared" si="7"/>
        <v>4036287310.9324226</v>
      </c>
      <c r="U31" s="350">
        <f t="shared" si="8"/>
        <v>28946.292103594671</v>
      </c>
      <c r="V31" s="350">
        <f t="shared" si="9"/>
        <v>6404.9465284938333</v>
      </c>
      <c r="W31" s="350">
        <f t="shared" si="10"/>
        <v>130818.8636422016</v>
      </c>
      <c r="X31" s="364">
        <f t="shared" si="11"/>
        <v>-0.68699291787159567</v>
      </c>
      <c r="Y31" s="258">
        <f t="shared" si="12"/>
        <v>6.0776422433490342</v>
      </c>
      <c r="Z31" s="386">
        <f t="shared" si="13"/>
        <v>10.322005387912345</v>
      </c>
      <c r="AA31" s="258">
        <f t="shared" si="14"/>
        <v>11.434726857564771</v>
      </c>
      <c r="AB31" s="350">
        <f t="shared" si="15"/>
        <v>85</v>
      </c>
      <c r="AC31" s="247">
        <f t="shared" si="16"/>
        <v>8.8136338583325511</v>
      </c>
      <c r="AD31" s="258">
        <f t="shared" si="17"/>
        <v>11.830376917492138</v>
      </c>
    </row>
    <row r="32" spans="1:30">
      <c r="A32" s="247">
        <v>1982</v>
      </c>
      <c r="B32" s="213">
        <f t="shared" si="0"/>
        <v>1986</v>
      </c>
      <c r="C32" s="300">
        <f>VLOOKUP($A32,BroodTab!$A$12:$AG$67,6)</f>
        <v>5.0418469829658212</v>
      </c>
      <c r="D32" s="300">
        <f>VLOOKUP($A32,BroodTab!$A$12:$AG$67,12)</f>
        <v>10.978560542529122</v>
      </c>
      <c r="E32" s="213">
        <v>34</v>
      </c>
      <c r="F32" s="213">
        <v>32</v>
      </c>
      <c r="G32" s="300">
        <v>8.0168213571383475</v>
      </c>
      <c r="H32" s="300">
        <v>0.37380436739396972</v>
      </c>
      <c r="I32" s="213">
        <v>0.10015504314707246</v>
      </c>
      <c r="J32" s="213">
        <v>9.9014857791030817</v>
      </c>
      <c r="K32" s="213">
        <v>1.0864486304910967</v>
      </c>
      <c r="L32" s="213">
        <v>0.30328371009609756</v>
      </c>
      <c r="M32" s="124">
        <v>1.2981157062720008</v>
      </c>
      <c r="N32" s="213">
        <f t="shared" si="1"/>
        <v>1.0770747634260402</v>
      </c>
      <c r="O32" s="213">
        <f t="shared" si="2"/>
        <v>1.1600900460092605</v>
      </c>
      <c r="P32" s="384">
        <f t="shared" si="3"/>
        <v>9.9014857791030817</v>
      </c>
      <c r="Q32" s="213">
        <f t="shared" si="4"/>
        <v>8.3931142495232898</v>
      </c>
      <c r="R32" s="213">
        <f t="shared" si="5"/>
        <v>11.409857308682874</v>
      </c>
      <c r="S32" s="350">
        <f t="shared" si="6"/>
        <v>38644.130794416436</v>
      </c>
      <c r="T32" s="213">
        <f t="shared" si="7"/>
        <v>1493368844.8559647</v>
      </c>
      <c r="U32" s="350">
        <f t="shared" si="8"/>
        <v>19960.004575583553</v>
      </c>
      <c r="V32" s="350">
        <f t="shared" si="9"/>
        <v>4416.5505397919023</v>
      </c>
      <c r="W32" s="350">
        <f t="shared" si="10"/>
        <v>90206.548995154968</v>
      </c>
      <c r="X32" s="364">
        <f t="shared" si="11"/>
        <v>-0.65940962272431602</v>
      </c>
      <c r="Y32" s="258">
        <f t="shared" si="12"/>
        <v>5.0418469829658212</v>
      </c>
      <c r="Z32" s="386">
        <f t="shared" si="13"/>
        <v>9.9327122080502317</v>
      </c>
      <c r="AA32" s="258">
        <f t="shared" si="14"/>
        <v>10.978560542529122</v>
      </c>
      <c r="AB32" s="350">
        <f t="shared" si="15"/>
        <v>86</v>
      </c>
      <c r="AC32" s="247">
        <f t="shared" si="16"/>
        <v>8.4243406784704398</v>
      </c>
      <c r="AD32" s="258">
        <f t="shared" si="17"/>
        <v>11.441083737630024</v>
      </c>
    </row>
    <row r="33" spans="1:32">
      <c r="A33" s="247">
        <v>1983</v>
      </c>
      <c r="B33" s="213">
        <f t="shared" si="0"/>
        <v>1987</v>
      </c>
      <c r="C33" s="300">
        <f>VLOOKUP($A33,BroodTab!$A$12:$AG$67,6)</f>
        <v>4.2640170108483382</v>
      </c>
      <c r="D33" s="300">
        <f>VLOOKUP($A33,BroodTab!$A$12:$AG$67,12)</f>
        <v>9.3720339609741696</v>
      </c>
      <c r="E33" s="213">
        <v>34</v>
      </c>
      <c r="F33" s="213">
        <v>32</v>
      </c>
      <c r="G33" s="300">
        <v>8.0519957411573397</v>
      </c>
      <c r="H33" s="300">
        <v>0.37453326771119</v>
      </c>
      <c r="I33" s="213">
        <v>0.10165556075056115</v>
      </c>
      <c r="J33" s="213">
        <v>9.6490119658064692</v>
      </c>
      <c r="K33" s="213">
        <v>1.101476182507598</v>
      </c>
      <c r="L33" s="213">
        <v>0.29785040265609314</v>
      </c>
      <c r="M33" s="124">
        <v>1.3299794023387299</v>
      </c>
      <c r="N33" s="213">
        <f t="shared" si="1"/>
        <v>-0.27697800483229962</v>
      </c>
      <c r="O33" s="213">
        <f t="shared" si="2"/>
        <v>7.6716815160881385E-2</v>
      </c>
      <c r="P33" s="384">
        <f t="shared" si="3"/>
        <v>9.6490119658064692</v>
      </c>
      <c r="Q33" s="213">
        <f t="shared" si="4"/>
        <v>8.1406404362266755</v>
      </c>
      <c r="R33" s="213">
        <f t="shared" si="5"/>
        <v>11.157383495386263</v>
      </c>
      <c r="S33" s="350">
        <f t="shared" si="6"/>
        <v>-3751.4596205852049</v>
      </c>
      <c r="T33" s="213">
        <f t="shared" si="7"/>
        <v>14073449.28488129</v>
      </c>
      <c r="U33" s="350">
        <f t="shared" si="8"/>
        <v>15506.459620585201</v>
      </c>
      <c r="V33" s="350">
        <f t="shared" si="9"/>
        <v>3431.1145745593876</v>
      </c>
      <c r="W33" s="350">
        <f t="shared" si="10"/>
        <v>70079.353148886672</v>
      </c>
      <c r="X33" s="364">
        <f t="shared" si="11"/>
        <v>0.31913735606849902</v>
      </c>
      <c r="Y33" s="258">
        <f t="shared" si="12"/>
        <v>4.2640170108483382</v>
      </c>
      <c r="Z33" s="386">
        <f t="shared" si="13"/>
        <v>9.6403726745350422</v>
      </c>
      <c r="AA33" s="258">
        <f t="shared" si="14"/>
        <v>9.3720339609741696</v>
      </c>
      <c r="AB33" s="350">
        <f t="shared" si="15"/>
        <v>87</v>
      </c>
      <c r="AC33" s="247">
        <f t="shared" si="16"/>
        <v>8.1320011449552503</v>
      </c>
      <c r="AD33" s="258">
        <f t="shared" si="17"/>
        <v>11.148744204114834</v>
      </c>
    </row>
    <row r="34" spans="1:32">
      <c r="A34" s="247">
        <v>1984</v>
      </c>
      <c r="B34" s="213">
        <f t="shared" si="0"/>
        <v>1988</v>
      </c>
      <c r="C34" s="300">
        <f>VLOOKUP($A34,BroodTab!$A$12:$AG$67,6)</f>
        <v>7.2056351764103637</v>
      </c>
      <c r="D34" s="300">
        <f>VLOOKUP($A34,BroodTab!$A$12:$AG$67,12)</f>
        <v>11.078675005430311</v>
      </c>
      <c r="E34" s="213">
        <v>34</v>
      </c>
      <c r="F34" s="213">
        <v>32</v>
      </c>
      <c r="G34" s="300">
        <v>8.0626992720127379</v>
      </c>
      <c r="H34" s="300">
        <v>0.36853330468707257</v>
      </c>
      <c r="I34" s="213">
        <v>0.10408312685298306</v>
      </c>
      <c r="J34" s="213">
        <v>10.718215815944667</v>
      </c>
      <c r="K34" s="213">
        <v>1.1008289939181488</v>
      </c>
      <c r="L34" s="213">
        <v>0.28149590941472519</v>
      </c>
      <c r="M34" s="124">
        <v>1.3284154190772608</v>
      </c>
      <c r="N34" s="213">
        <f t="shared" si="1"/>
        <v>0.36045918948564371</v>
      </c>
      <c r="O34" s="213">
        <f t="shared" si="2"/>
        <v>0.12993082728464719</v>
      </c>
      <c r="P34" s="384">
        <f t="shared" si="3"/>
        <v>10.718215815944667</v>
      </c>
      <c r="Q34" s="213">
        <f t="shared" si="4"/>
        <v>9.2098442863648735</v>
      </c>
      <c r="R34" s="213">
        <f t="shared" si="5"/>
        <v>12.226587345524461</v>
      </c>
      <c r="S34" s="350">
        <f t="shared" si="6"/>
        <v>19603.76289889856</v>
      </c>
      <c r="T34" s="213">
        <f t="shared" si="7"/>
        <v>384307519.79623169</v>
      </c>
      <c r="U34" s="350">
        <f t="shared" si="8"/>
        <v>45171.237101101455</v>
      </c>
      <c r="V34" s="350">
        <f t="shared" si="9"/>
        <v>9995.0403741881237</v>
      </c>
      <c r="W34" s="350">
        <f t="shared" si="10"/>
        <v>204145.31456153977</v>
      </c>
      <c r="X34" s="364">
        <f t="shared" si="11"/>
        <v>-0.30264396601927529</v>
      </c>
      <c r="Y34" s="258">
        <f t="shared" si="12"/>
        <v>7.2056351764103637</v>
      </c>
      <c r="Z34" s="386">
        <f t="shared" si="13"/>
        <v>10.7459501312113</v>
      </c>
      <c r="AA34" s="258">
        <f t="shared" si="14"/>
        <v>11.078675005430311</v>
      </c>
      <c r="AB34" s="350">
        <f t="shared" si="15"/>
        <v>88</v>
      </c>
      <c r="AC34" s="247">
        <f t="shared" si="16"/>
        <v>9.2375786016315082</v>
      </c>
      <c r="AD34" s="258">
        <f t="shared" si="17"/>
        <v>12.254321660791092</v>
      </c>
      <c r="AF34" s="124">
        <v>99</v>
      </c>
    </row>
    <row r="35" spans="1:32">
      <c r="A35" s="247">
        <v>1985</v>
      </c>
      <c r="B35" s="213">
        <f t="shared" si="0"/>
        <v>1989</v>
      </c>
      <c r="C35" s="300">
        <f>VLOOKUP($A35,BroodTab!$A$12:$AG$67,6)</f>
        <v>3.4339872044851463</v>
      </c>
      <c r="D35" s="300">
        <f>VLOOKUP($A35,BroodTab!$A$12:$AG$67,12)</f>
        <v>7.4277388405328937</v>
      </c>
      <c r="E35" s="213">
        <v>34</v>
      </c>
      <c r="F35" s="213">
        <v>32</v>
      </c>
      <c r="G35" s="300">
        <v>8.2075028656219011</v>
      </c>
      <c r="H35" s="300">
        <v>0.35242157683072345</v>
      </c>
      <c r="I35" s="213">
        <v>9.7369412725897997E-2</v>
      </c>
      <c r="J35" s="213">
        <v>9.4177140510430846</v>
      </c>
      <c r="K35" s="213">
        <v>1.0475569753740421</v>
      </c>
      <c r="L35" s="213">
        <v>0.29046970509673675</v>
      </c>
      <c r="M35" s="124">
        <v>1.2157659159903949</v>
      </c>
      <c r="N35" s="213">
        <f t="shared" si="1"/>
        <v>-1.9899752105101909</v>
      </c>
      <c r="O35" s="213">
        <f t="shared" si="2"/>
        <v>3.9600013384450787</v>
      </c>
      <c r="P35" s="384">
        <f t="shared" si="3"/>
        <v>9.4177140510430846</v>
      </c>
      <c r="Q35" s="213">
        <f t="shared" si="4"/>
        <v>7.9093425214632918</v>
      </c>
      <c r="R35" s="213">
        <f t="shared" si="5"/>
        <v>10.926085580622878</v>
      </c>
      <c r="S35" s="350">
        <f t="shared" si="6"/>
        <v>-10622.422764061297</v>
      </c>
      <c r="T35" s="213">
        <f t="shared" si="7"/>
        <v>112835865.37844765</v>
      </c>
      <c r="U35" s="350">
        <f t="shared" si="8"/>
        <v>12304.422764061297</v>
      </c>
      <c r="V35" s="350">
        <f t="shared" si="9"/>
        <v>2722.599826801586</v>
      </c>
      <c r="W35" s="350">
        <f t="shared" si="10"/>
        <v>55608.179382942209</v>
      </c>
      <c r="X35" s="364">
        <f t="shared" si="11"/>
        <v>6.3153524162076664</v>
      </c>
      <c r="Y35" s="258">
        <f t="shared" si="12"/>
        <v>3.4339872044851463</v>
      </c>
      <c r="Z35" s="386">
        <f t="shared" si="13"/>
        <v>9.3284143609008261</v>
      </c>
      <c r="AA35" s="258">
        <f t="shared" si="14"/>
        <v>7.4277388405328937</v>
      </c>
      <c r="AB35" s="350">
        <f t="shared" si="15"/>
        <v>89</v>
      </c>
      <c r="AC35" s="247">
        <f t="shared" si="16"/>
        <v>7.8200428313210333</v>
      </c>
      <c r="AD35" s="258">
        <f t="shared" si="17"/>
        <v>10.83678589048062</v>
      </c>
    </row>
    <row r="36" spans="1:32">
      <c r="A36" s="247">
        <v>1986</v>
      </c>
      <c r="B36" s="213">
        <f t="shared" si="0"/>
        <v>1990</v>
      </c>
      <c r="C36" s="300">
        <f>VLOOKUP($A36,BroodTab!$A$12:$AG$67,6)</f>
        <v>3.5263605246161616</v>
      </c>
      <c r="D36" s="300">
        <f>VLOOKUP($A36,BroodTab!$A$12:$AG$67,12)</f>
        <v>8.3828870987891442</v>
      </c>
      <c r="E36" s="213">
        <v>34</v>
      </c>
      <c r="F36" s="213">
        <v>32</v>
      </c>
      <c r="G36" s="300">
        <v>8.1212497166171396</v>
      </c>
      <c r="H36" s="300">
        <v>0.36459230169318541</v>
      </c>
      <c r="I36" s="213">
        <v>0.10103706448264736</v>
      </c>
      <c r="J36" s="213">
        <v>9.4069336168869349</v>
      </c>
      <c r="K36" s="213">
        <v>1.0882109828971454</v>
      </c>
      <c r="L36" s="213">
        <v>0.28922494560013262</v>
      </c>
      <c r="M36" s="124">
        <v>1.3013930092312791</v>
      </c>
      <c r="N36" s="213">
        <f t="shared" si="1"/>
        <v>-1.0240465180977907</v>
      </c>
      <c r="O36" s="213">
        <f t="shared" si="2"/>
        <v>1.0486712712282087</v>
      </c>
      <c r="P36" s="384">
        <f t="shared" si="3"/>
        <v>9.4069336168869349</v>
      </c>
      <c r="Q36" s="213">
        <f t="shared" si="4"/>
        <v>7.898562087307142</v>
      </c>
      <c r="R36" s="213">
        <f t="shared" si="5"/>
        <v>10.915305146466729</v>
      </c>
      <c r="S36" s="350">
        <f t="shared" si="6"/>
        <v>-7800.8761784398721</v>
      </c>
      <c r="T36" s="213">
        <f t="shared" si="7"/>
        <v>60853669.151350662</v>
      </c>
      <c r="U36" s="350">
        <f t="shared" si="8"/>
        <v>12172.488178439875</v>
      </c>
      <c r="V36" s="350">
        <f t="shared" si="9"/>
        <v>2693.4066588773512</v>
      </c>
      <c r="W36" s="350">
        <f t="shared" si="10"/>
        <v>55011.918815117853</v>
      </c>
      <c r="X36" s="364">
        <f t="shared" si="11"/>
        <v>1.7844392819948036</v>
      </c>
      <c r="Y36" s="258">
        <f t="shared" si="12"/>
        <v>3.5263605246161616</v>
      </c>
      <c r="Z36" s="386">
        <f t="shared" si="13"/>
        <v>9.3631319396575776</v>
      </c>
      <c r="AA36" s="258">
        <f t="shared" si="14"/>
        <v>8.3828870987891442</v>
      </c>
      <c r="AB36" s="350">
        <f t="shared" si="15"/>
        <v>90</v>
      </c>
      <c r="AC36" s="247">
        <f t="shared" si="16"/>
        <v>7.8547604100777848</v>
      </c>
      <c r="AD36" s="258">
        <f t="shared" si="17"/>
        <v>10.871503469237371</v>
      </c>
    </row>
    <row r="37" spans="1:32">
      <c r="A37" s="247">
        <v>1987</v>
      </c>
      <c r="B37" s="213">
        <f t="shared" si="0"/>
        <v>1991</v>
      </c>
      <c r="C37" s="300">
        <f>VLOOKUP($A37,BroodTab!$A$12:$AG$67,6)</f>
        <v>2.9957322735539909</v>
      </c>
      <c r="D37" s="300">
        <f>VLOOKUP($A37,BroodTab!$A$12:$AG$67,12)</f>
        <v>7.6818337364590459</v>
      </c>
      <c r="E37" s="213">
        <v>34</v>
      </c>
      <c r="F37" s="213">
        <v>32</v>
      </c>
      <c r="G37" s="300">
        <v>8.1999704434989802</v>
      </c>
      <c r="H37" s="300">
        <v>0.35150148326083092</v>
      </c>
      <c r="I37" s="213">
        <v>9.9992192836800914E-2</v>
      </c>
      <c r="J37" s="213">
        <v>9.2529747811055501</v>
      </c>
      <c r="K37" s="213">
        <v>1.0690254752078168</v>
      </c>
      <c r="L37" s="213">
        <v>0.27858481481428815</v>
      </c>
      <c r="M37" s="124">
        <v>1.2596340379025424</v>
      </c>
      <c r="N37" s="213">
        <f t="shared" si="1"/>
        <v>-1.5711410446465042</v>
      </c>
      <c r="O37" s="213">
        <f t="shared" si="2"/>
        <v>2.4684841821729084</v>
      </c>
      <c r="P37" s="384">
        <f t="shared" si="3"/>
        <v>9.2529747811055501</v>
      </c>
      <c r="Q37" s="213">
        <f t="shared" si="4"/>
        <v>7.7446032515257572</v>
      </c>
      <c r="R37" s="213">
        <f t="shared" si="5"/>
        <v>10.761346310685344</v>
      </c>
      <c r="S37" s="350">
        <f t="shared" si="6"/>
        <v>-8266.9703487964525</v>
      </c>
      <c r="T37" s="213">
        <f t="shared" si="7"/>
        <v>68342798.747879744</v>
      </c>
      <c r="U37" s="350">
        <f t="shared" si="8"/>
        <v>10435.563104428857</v>
      </c>
      <c r="V37" s="350">
        <f t="shared" si="9"/>
        <v>2309.0772192646264</v>
      </c>
      <c r="W37" s="350">
        <f t="shared" si="10"/>
        <v>47162.120174222116</v>
      </c>
      <c r="X37" s="364">
        <f t="shared" si="11"/>
        <v>3.8121359242416375</v>
      </c>
      <c r="Y37" s="258">
        <f t="shared" si="12"/>
        <v>2.9957322735539909</v>
      </c>
      <c r="Z37" s="386">
        <f t="shared" si="13"/>
        <v>9.1637006745403387</v>
      </c>
      <c r="AA37" s="258">
        <f t="shared" si="14"/>
        <v>7.6818337364590459</v>
      </c>
      <c r="AB37" s="350">
        <f t="shared" si="15"/>
        <v>91</v>
      </c>
      <c r="AC37" s="247">
        <f t="shared" si="16"/>
        <v>7.6553291449605458</v>
      </c>
      <c r="AD37" s="258">
        <f t="shared" si="17"/>
        <v>10.672072204120131</v>
      </c>
    </row>
    <row r="38" spans="1:32">
      <c r="A38" s="247">
        <v>1988</v>
      </c>
      <c r="B38" s="213">
        <f t="shared" si="0"/>
        <v>1992</v>
      </c>
      <c r="C38" s="300">
        <f>VLOOKUP($A38,BroodTab!$A$12:$AG$67,6)</f>
        <v>3.0278733863015224</v>
      </c>
      <c r="D38" s="300">
        <f>VLOOKUP($A38,BroodTab!$A$12:$AG$67,12)</f>
        <v>8.841176768351712</v>
      </c>
      <c r="E38" s="213">
        <v>34</v>
      </c>
      <c r="F38" s="213">
        <v>32</v>
      </c>
      <c r="G38" s="300">
        <v>8.0739016744251089</v>
      </c>
      <c r="H38" s="300">
        <v>0.37044681069010005</v>
      </c>
      <c r="I38" s="213">
        <v>0.10291492311189432</v>
      </c>
      <c r="J38" s="213">
        <v>9.1955677135539418</v>
      </c>
      <c r="K38" s="213">
        <v>1.1008482005109175</v>
      </c>
      <c r="L38" s="213">
        <v>0.28820427071616767</v>
      </c>
      <c r="M38" s="124">
        <v>1.3285426473230377</v>
      </c>
      <c r="N38" s="213">
        <f t="shared" si="1"/>
        <v>-0.3543909452022298</v>
      </c>
      <c r="O38" s="213">
        <f t="shared" si="2"/>
        <v>0.12559294204132984</v>
      </c>
      <c r="P38" s="384">
        <f t="shared" si="3"/>
        <v>9.1955677135539418</v>
      </c>
      <c r="Q38" s="213">
        <f t="shared" si="4"/>
        <v>7.6871961839741489</v>
      </c>
      <c r="R38" s="213">
        <f t="shared" si="5"/>
        <v>10.703939243133735</v>
      </c>
      <c r="S38" s="350">
        <f t="shared" si="6"/>
        <v>-2940.2362196496852</v>
      </c>
      <c r="T38" s="213">
        <f t="shared" si="7"/>
        <v>8644989.027339872</v>
      </c>
      <c r="U38" s="350">
        <f t="shared" si="8"/>
        <v>9853.3592196496829</v>
      </c>
      <c r="V38" s="350">
        <f t="shared" si="9"/>
        <v>2180.2529561311485</v>
      </c>
      <c r="W38" s="350">
        <f t="shared" si="10"/>
        <v>44530.928229419333</v>
      </c>
      <c r="X38" s="364">
        <f t="shared" si="11"/>
        <v>0.42531229657705877</v>
      </c>
      <c r="Y38" s="258">
        <f t="shared" si="12"/>
        <v>3.0278733863015224</v>
      </c>
      <c r="Z38" s="386">
        <f t="shared" si="13"/>
        <v>9.1757805869171953</v>
      </c>
      <c r="AA38" s="258">
        <f t="shared" si="14"/>
        <v>8.841176768351712</v>
      </c>
      <c r="AB38" s="350">
        <f t="shared" si="15"/>
        <v>92</v>
      </c>
      <c r="AC38" s="247">
        <f t="shared" si="16"/>
        <v>7.6674090573374025</v>
      </c>
      <c r="AD38" s="258">
        <f t="shared" si="17"/>
        <v>10.684152116496989</v>
      </c>
    </row>
    <row r="39" spans="1:32">
      <c r="A39" s="247">
        <v>1989</v>
      </c>
      <c r="B39" s="213">
        <f t="shared" si="0"/>
        <v>1993</v>
      </c>
      <c r="C39" s="300">
        <f>VLOOKUP($A39,BroodTab!$A$12:$AG$67,6)</f>
        <v>2.3978952727983707</v>
      </c>
      <c r="D39" s="300">
        <f>VLOOKUP($A39,BroodTab!$A$12:$AG$67,12)</f>
        <v>7.8617270778239803</v>
      </c>
      <c r="E39" s="213">
        <v>34</v>
      </c>
      <c r="F39" s="213">
        <v>32</v>
      </c>
      <c r="G39" s="300">
        <v>8.1870561220650906</v>
      </c>
      <c r="H39" s="300">
        <v>0.35179648574213762</v>
      </c>
      <c r="I39" s="213">
        <v>0.10262270561156377</v>
      </c>
      <c r="J39" s="213">
        <v>9.0306272522132414</v>
      </c>
      <c r="K39" s="213">
        <v>1.0845373593151706</v>
      </c>
      <c r="L39" s="213">
        <v>0.26859775720566359</v>
      </c>
      <c r="M39" s="124">
        <v>1.2920511760515334</v>
      </c>
      <c r="N39" s="213">
        <f t="shared" si="1"/>
        <v>-1.1689001743892611</v>
      </c>
      <c r="O39" s="213">
        <f t="shared" si="2"/>
        <v>1.366327617687245</v>
      </c>
      <c r="P39" s="384">
        <f t="shared" si="3"/>
        <v>9.0306272522132414</v>
      </c>
      <c r="Q39" s="213">
        <f t="shared" si="4"/>
        <v>7.5222557226334485</v>
      </c>
      <c r="R39" s="213">
        <f t="shared" si="5"/>
        <v>10.538998781793033</v>
      </c>
      <c r="S39" s="350">
        <f t="shared" si="6"/>
        <v>-5759.0986830229895</v>
      </c>
      <c r="T39" s="213">
        <f t="shared" si="7"/>
        <v>33167217.640797131</v>
      </c>
      <c r="U39" s="350">
        <f t="shared" si="8"/>
        <v>8355.0986830229886</v>
      </c>
      <c r="V39" s="350">
        <f t="shared" si="9"/>
        <v>1848.7328226196526</v>
      </c>
      <c r="W39" s="350">
        <f t="shared" si="10"/>
        <v>37759.741780391509</v>
      </c>
      <c r="X39" s="364">
        <f t="shared" si="11"/>
        <v>2.2184509564803512</v>
      </c>
      <c r="Y39" s="258">
        <f t="shared" si="12"/>
        <v>2.3978952727983707</v>
      </c>
      <c r="Z39" s="386">
        <f t="shared" si="13"/>
        <v>8.9390096801277181</v>
      </c>
      <c r="AA39" s="258">
        <f t="shared" si="14"/>
        <v>7.8617270778239803</v>
      </c>
      <c r="AB39" s="350">
        <f t="shared" si="15"/>
        <v>93</v>
      </c>
      <c r="AC39" s="247">
        <f t="shared" si="16"/>
        <v>7.4306381505479253</v>
      </c>
      <c r="AD39" s="258">
        <f t="shared" si="17"/>
        <v>10.447381209707512</v>
      </c>
    </row>
    <row r="40" spans="1:32">
      <c r="A40" s="247">
        <v>1990</v>
      </c>
      <c r="B40" s="213">
        <f t="shared" si="0"/>
        <v>1994</v>
      </c>
      <c r="C40" s="300">
        <f>VLOOKUP($A40,BroodTab!$A$12:$AG$67,6)</f>
        <v>3.8918202981106265</v>
      </c>
      <c r="D40" s="300">
        <f>VLOOKUP($A40,BroodTab!$A$12:$AG$67,12)</f>
        <v>8.165932137321585</v>
      </c>
      <c r="E40" s="213">
        <v>34</v>
      </c>
      <c r="F40" s="213">
        <v>32</v>
      </c>
      <c r="G40" s="300">
        <v>8.1298958539275823</v>
      </c>
      <c r="H40" s="300">
        <v>0.36493353279181184</v>
      </c>
      <c r="I40" s="213">
        <v>9.9548428823919316E-2</v>
      </c>
      <c r="J40" s="213">
        <v>9.5501515843079758</v>
      </c>
      <c r="K40" s="213">
        <v>1.0760314974789142</v>
      </c>
      <c r="L40" s="213">
        <v>0.2957552020789096</v>
      </c>
      <c r="M40" s="124">
        <v>1.2758817435596139</v>
      </c>
      <c r="N40" s="213">
        <f t="shared" si="1"/>
        <v>-1.3842194469863909</v>
      </c>
      <c r="O40" s="213">
        <f t="shared" si="2"/>
        <v>1.9160634774153098</v>
      </c>
      <c r="P40" s="384">
        <f t="shared" si="3"/>
        <v>9.5501515843079758</v>
      </c>
      <c r="Q40" s="213">
        <f t="shared" ref="Q40:Q60" si="18">$P40-(SQRT($O$64)*$Q$64)</f>
        <v>8.0417800547281821</v>
      </c>
      <c r="R40" s="213">
        <f t="shared" si="5"/>
        <v>11.05852311388777</v>
      </c>
      <c r="S40" s="350">
        <f t="shared" si="6"/>
        <v>-10527.823788191596</v>
      </c>
      <c r="T40" s="213">
        <f t="shared" si="7"/>
        <v>110835073.71521284</v>
      </c>
      <c r="U40" s="350">
        <f t="shared" si="8"/>
        <v>14046.823788191596</v>
      </c>
      <c r="V40" s="350">
        <f t="shared" si="9"/>
        <v>3108.1409299870088</v>
      </c>
      <c r="W40" s="350">
        <f t="shared" si="10"/>
        <v>63482.725841948872</v>
      </c>
      <c r="X40" s="364">
        <f t="shared" si="11"/>
        <v>2.9917089480510364</v>
      </c>
      <c r="Y40" s="258">
        <f t="shared" si="12"/>
        <v>3.8918202981106265</v>
      </c>
      <c r="Z40" s="386">
        <f t="shared" si="13"/>
        <v>9.500486301834048</v>
      </c>
      <c r="AA40" s="258">
        <f t="shared" si="14"/>
        <v>8.165932137321585</v>
      </c>
      <c r="AB40" s="350">
        <f t="shared" si="15"/>
        <v>94</v>
      </c>
      <c r="AC40" s="247">
        <f t="shared" si="16"/>
        <v>7.9921147722542552</v>
      </c>
      <c r="AD40" s="258">
        <f t="shared" si="17"/>
        <v>11.008857831413842</v>
      </c>
    </row>
    <row r="41" spans="1:32">
      <c r="A41" s="247">
        <v>1991</v>
      </c>
      <c r="B41" s="213">
        <f t="shared" si="0"/>
        <v>1995</v>
      </c>
      <c r="C41" s="300">
        <f>VLOOKUP($A41,BroodTab!$A$12:$AG$67,6)</f>
        <v>4.6634390941120669</v>
      </c>
      <c r="D41" s="300">
        <f>VLOOKUP($A41,BroodTab!$A$12:$AG$67,12)</f>
        <v>10.560359677231361</v>
      </c>
      <c r="E41" s="213">
        <v>34</v>
      </c>
      <c r="F41" s="213">
        <v>32</v>
      </c>
      <c r="G41" s="300">
        <v>8.0100769825743487</v>
      </c>
      <c r="H41" s="300">
        <v>0.37688982264023851</v>
      </c>
      <c r="I41" s="213">
        <v>0.1008259840559257</v>
      </c>
      <c r="J41" s="213">
        <v>9.7676797156477999</v>
      </c>
      <c r="K41" s="213">
        <v>1.0938472494930651</v>
      </c>
      <c r="L41" s="213">
        <v>0.30393645423736665</v>
      </c>
      <c r="M41" s="124">
        <v>1.313756789672619</v>
      </c>
      <c r="N41" s="389">
        <f t="shared" si="1"/>
        <v>0.79267996158356091</v>
      </c>
      <c r="O41" s="213">
        <f t="shared" si="2"/>
        <v>0.62834152149611555</v>
      </c>
      <c r="P41" s="384">
        <f t="shared" si="3"/>
        <v>9.7676797156477999</v>
      </c>
      <c r="Q41" s="213">
        <f t="shared" si="18"/>
        <v>8.259308186068008</v>
      </c>
      <c r="R41" s="213">
        <f t="shared" si="5"/>
        <v>11.276051245227592</v>
      </c>
      <c r="S41" s="350">
        <f t="shared" si="6"/>
        <v>21114.792464768117</v>
      </c>
      <c r="T41" s="213">
        <f t="shared" si="7"/>
        <v>445834460.83022845</v>
      </c>
      <c r="U41" s="350">
        <f t="shared" si="8"/>
        <v>17460.207535231853</v>
      </c>
      <c r="V41" s="350">
        <f t="shared" si="9"/>
        <v>3863.4204076755518</v>
      </c>
      <c r="W41" s="350">
        <f t="shared" si="10"/>
        <v>78909.053378632234</v>
      </c>
      <c r="X41" s="364">
        <f t="shared" si="11"/>
        <v>-0.54736986298815637</v>
      </c>
      <c r="Y41" s="258">
        <f t="shared" si="12"/>
        <v>4.6634390941120669</v>
      </c>
      <c r="Z41" s="386">
        <f t="shared" si="13"/>
        <v>9.7904914275822019</v>
      </c>
      <c r="AA41" s="258">
        <f t="shared" si="14"/>
        <v>10.560359677231361</v>
      </c>
      <c r="AB41" s="350">
        <f t="shared" si="15"/>
        <v>95</v>
      </c>
      <c r="AC41" s="247">
        <f t="shared" si="16"/>
        <v>8.28211989800241</v>
      </c>
      <c r="AD41" s="258">
        <f t="shared" si="17"/>
        <v>11.298862957161994</v>
      </c>
    </row>
    <row r="42" spans="1:32">
      <c r="A42" s="247">
        <v>1992</v>
      </c>
      <c r="B42" s="213">
        <f t="shared" si="0"/>
        <v>1996</v>
      </c>
      <c r="C42" s="300">
        <f>VLOOKUP($A42,BroodTab!$A$12:$AG$67,6)</f>
        <v>5.0751738152338266</v>
      </c>
      <c r="D42" s="300">
        <f>VLOOKUP($A42,BroodTab!$A$12:$AG$67,12)</f>
        <v>9.6051488998958181</v>
      </c>
      <c r="E42" s="213">
        <v>34</v>
      </c>
      <c r="F42" s="213">
        <v>32</v>
      </c>
      <c r="G42" s="300">
        <v>8.0441249580469911</v>
      </c>
      <c r="H42" s="300">
        <v>0.37660106350690442</v>
      </c>
      <c r="I42" s="213">
        <v>0.1014888346328808</v>
      </c>
      <c r="J42" s="213">
        <v>9.9554408143464439</v>
      </c>
      <c r="K42" s="213">
        <v>1.1008403966320808</v>
      </c>
      <c r="L42" s="213">
        <v>0.30084850864819301</v>
      </c>
      <c r="M42" s="124">
        <v>1.3286279764782041</v>
      </c>
      <c r="N42" s="213">
        <f t="shared" si="1"/>
        <v>-0.3502919144506258</v>
      </c>
      <c r="O42" s="213">
        <f t="shared" si="2"/>
        <v>0.12270442532948454</v>
      </c>
      <c r="P42" s="384">
        <f t="shared" si="3"/>
        <v>9.9554408143464439</v>
      </c>
      <c r="Q42" s="213">
        <f t="shared" si="18"/>
        <v>8.447069284766652</v>
      </c>
      <c r="R42" s="213">
        <f t="shared" si="5"/>
        <v>11.463812343926236</v>
      </c>
      <c r="S42" s="350">
        <f t="shared" si="6"/>
        <v>-6225.530215772249</v>
      </c>
      <c r="T42" s="213">
        <f t="shared" si="7"/>
        <v>38757226.467493266</v>
      </c>
      <c r="U42" s="350">
        <f t="shared" si="8"/>
        <v>21066.530215772247</v>
      </c>
      <c r="V42" s="350">
        <f t="shared" si="9"/>
        <v>4661.3914863439441</v>
      </c>
      <c r="W42" s="350">
        <f t="shared" si="10"/>
        <v>95207.342406704483</v>
      </c>
      <c r="X42" s="364">
        <f t="shared" si="11"/>
        <v>0.41948185538523347</v>
      </c>
      <c r="Y42" s="258">
        <f t="shared" si="12"/>
        <v>5.0751738152338266</v>
      </c>
      <c r="Z42" s="386">
        <f t="shared" si="13"/>
        <v>9.9452377611248259</v>
      </c>
      <c r="AA42" s="258">
        <f t="shared" si="14"/>
        <v>9.6051488998958181</v>
      </c>
      <c r="AB42" s="350">
        <f t="shared" si="15"/>
        <v>96</v>
      </c>
      <c r="AC42" s="247">
        <f t="shared" si="16"/>
        <v>8.4368662315450322</v>
      </c>
      <c r="AD42" s="258">
        <f t="shared" si="17"/>
        <v>11.45360929070462</v>
      </c>
    </row>
    <row r="43" spans="1:32">
      <c r="A43" s="222">
        <v>1993</v>
      </c>
      <c r="B43" s="213">
        <f t="shared" si="0"/>
        <v>1997</v>
      </c>
      <c r="C43" s="300">
        <f>VLOOKUP($A43,BroodTab!$A$12:$AG$67,6)</f>
        <v>4.8040210447332568</v>
      </c>
      <c r="D43" s="300">
        <f>VLOOKUP($A43,BroodTab!$A$12:$AG$67,12)</f>
        <v>9.043929525845293</v>
      </c>
      <c r="E43" s="213">
        <v>34</v>
      </c>
      <c r="F43" s="213">
        <v>32</v>
      </c>
      <c r="G43" s="300">
        <v>8.0618137113518351</v>
      </c>
      <c r="H43" s="300">
        <v>0.37573262298892884</v>
      </c>
      <c r="I43" s="213">
        <v>0.10075271552778449</v>
      </c>
      <c r="J43" s="213">
        <v>9.8668411393834763</v>
      </c>
      <c r="K43" s="213">
        <v>1.0931674567699936</v>
      </c>
      <c r="L43" s="213">
        <v>0.30294381726577413</v>
      </c>
      <c r="M43" s="124">
        <v>1.312318777570316</v>
      </c>
      <c r="N43" s="213">
        <f t="shared" si="1"/>
        <v>-0.82291161353818332</v>
      </c>
      <c r="O43" s="213">
        <f t="shared" si="2"/>
        <v>0.67718352369601642</v>
      </c>
      <c r="P43" s="384">
        <f t="shared" si="3"/>
        <v>9.8668411393834763</v>
      </c>
      <c r="Q43" s="213">
        <f t="shared" si="18"/>
        <v>8.3584696098036844</v>
      </c>
      <c r="R43" s="213">
        <f t="shared" si="5"/>
        <v>11.375212668963268</v>
      </c>
      <c r="S43" s="350">
        <f t="shared" si="6"/>
        <v>-10813.355776077504</v>
      </c>
      <c r="T43" s="213">
        <f t="shared" si="7"/>
        <v>116928663.14002872</v>
      </c>
      <c r="U43" s="350">
        <f t="shared" si="8"/>
        <v>19280.338776077504</v>
      </c>
      <c r="V43" s="350">
        <f t="shared" si="9"/>
        <v>4266.1608771883921</v>
      </c>
      <c r="W43" s="350">
        <f t="shared" si="10"/>
        <v>87134.891069862075</v>
      </c>
      <c r="X43" s="364">
        <f t="shared" si="11"/>
        <v>1.277120289018828</v>
      </c>
      <c r="Y43" s="258">
        <f t="shared" si="12"/>
        <v>4.8040210447332568</v>
      </c>
      <c r="Z43" s="386">
        <f t="shared" si="13"/>
        <v>9.8433277328654434</v>
      </c>
      <c r="AA43" s="258">
        <f t="shared" si="14"/>
        <v>9.043929525845293</v>
      </c>
      <c r="AB43" s="350">
        <f t="shared" si="15"/>
        <v>97</v>
      </c>
      <c r="AC43" s="247">
        <f t="shared" si="16"/>
        <v>8.3349562032856497</v>
      </c>
      <c r="AD43" s="258">
        <f t="shared" si="17"/>
        <v>11.351699262445237</v>
      </c>
    </row>
    <row r="44" spans="1:32">
      <c r="A44" s="222">
        <v>1994</v>
      </c>
      <c r="B44" s="213">
        <f t="shared" si="0"/>
        <v>1998</v>
      </c>
      <c r="C44" s="300">
        <f>VLOOKUP($A44,BroodTab!$A$12:$AG$67,6)</f>
        <v>0.69314718055994529</v>
      </c>
      <c r="D44" s="300">
        <f>VLOOKUP($A44,BroodTab!$A$12:$AG$67,12)</f>
        <v>7.7463006622314392</v>
      </c>
      <c r="E44" s="213">
        <v>34</v>
      </c>
      <c r="F44" s="213">
        <v>32</v>
      </c>
      <c r="G44" s="300">
        <v>8.1696358065600805</v>
      </c>
      <c r="H44" s="300">
        <v>0.35243935835215739</v>
      </c>
      <c r="I44" s="213">
        <v>0.10962188204968631</v>
      </c>
      <c r="J44" s="213">
        <v>8.4139281541202351</v>
      </c>
      <c r="K44" s="213">
        <v>1.0972948091860677</v>
      </c>
      <c r="L44" s="213">
        <v>0.24415136240413296</v>
      </c>
      <c r="M44" s="124">
        <v>1.3191277953616662</v>
      </c>
      <c r="N44" s="213">
        <f t="shared" si="1"/>
        <v>-0.66762749188879589</v>
      </c>
      <c r="O44" s="213">
        <f t="shared" si="2"/>
        <v>0.44572646792572423</v>
      </c>
      <c r="P44" s="384">
        <f t="shared" si="3"/>
        <v>8.4139281541202351</v>
      </c>
      <c r="Q44" s="213">
        <f t="shared" si="18"/>
        <v>6.9055566245404423</v>
      </c>
      <c r="R44" s="213">
        <f t="shared" si="5"/>
        <v>9.9222996837000288</v>
      </c>
      <c r="S44" s="350">
        <f t="shared" si="6"/>
        <v>-2196.439539349326</v>
      </c>
      <c r="T44" s="213">
        <f t="shared" si="7"/>
        <v>4824346.650017079</v>
      </c>
      <c r="U44" s="350">
        <f t="shared" si="8"/>
        <v>4509.439539349326</v>
      </c>
      <c r="V44" s="350">
        <f t="shared" si="9"/>
        <v>997.80376082854309</v>
      </c>
      <c r="W44" s="350">
        <f t="shared" si="10"/>
        <v>20379.803882640746</v>
      </c>
      <c r="X44" s="364">
        <f t="shared" si="11"/>
        <v>0.94960637239486645</v>
      </c>
      <c r="Y44" s="258">
        <f t="shared" si="12"/>
        <v>0.69314718055994529</v>
      </c>
      <c r="Z44" s="386">
        <f t="shared" si="13"/>
        <v>8.2982973394998627</v>
      </c>
      <c r="AA44" s="258">
        <f t="shared" si="14"/>
        <v>7.7463006622314392</v>
      </c>
      <c r="AB44" s="350">
        <f t="shared" si="15"/>
        <v>98</v>
      </c>
      <c r="AC44" s="247">
        <f t="shared" si="16"/>
        <v>6.7899258099200699</v>
      </c>
      <c r="AD44" s="258">
        <f t="shared" si="17"/>
        <v>9.8066688690796546</v>
      </c>
    </row>
    <row r="45" spans="1:32">
      <c r="A45" s="222">
        <v>1995</v>
      </c>
      <c r="B45" s="213">
        <f t="shared" si="0"/>
        <v>1999</v>
      </c>
      <c r="C45" s="300">
        <f>VLOOKUP($A45,BroodTab!$A$12:$AG$67,6)</f>
        <v>6.8814113036425351</v>
      </c>
      <c r="D45" s="300">
        <f>VLOOKUP($A45,BroodTab!$A$12:$AG$67,12)</f>
        <v>11.804452635548273</v>
      </c>
      <c r="E45" s="213">
        <v>34</v>
      </c>
      <c r="F45" s="213">
        <v>32</v>
      </c>
      <c r="G45" s="300">
        <v>8.1082613216454735</v>
      </c>
      <c r="H45" s="300">
        <v>0.35373461782434534</v>
      </c>
      <c r="I45" s="213">
        <v>0.10155673161119583</v>
      </c>
      <c r="J45" s="213">
        <v>10.542454719231596</v>
      </c>
      <c r="K45" s="213">
        <v>1.0812132449456577</v>
      </c>
      <c r="L45" s="213">
        <v>0.27490499506462984</v>
      </c>
      <c r="M45" s="124">
        <v>1.285395081453963</v>
      </c>
      <c r="N45" s="213">
        <f t="shared" si="1"/>
        <v>1.2619979163166768</v>
      </c>
      <c r="O45" s="213">
        <f t="shared" si="2"/>
        <v>1.5926387407876339</v>
      </c>
      <c r="P45" s="384">
        <f t="shared" si="3"/>
        <v>10.542454719231596</v>
      </c>
      <c r="Q45" s="213">
        <f t="shared" si="18"/>
        <v>9.0340831896518026</v>
      </c>
      <c r="R45" s="213">
        <f t="shared" si="5"/>
        <v>12.05082624881139</v>
      </c>
      <c r="S45" s="350">
        <f t="shared" si="6"/>
        <v>95956.537162527195</v>
      </c>
      <c r="T45" s="213">
        <f t="shared" si="7"/>
        <v>9207657024.2234631</v>
      </c>
      <c r="U45" s="350">
        <f t="shared" si="8"/>
        <v>37890.462837472835</v>
      </c>
      <c r="V45" s="350">
        <f t="shared" si="9"/>
        <v>8384.0233334672394</v>
      </c>
      <c r="W45" s="350">
        <f t="shared" si="10"/>
        <v>171240.83711777753</v>
      </c>
      <c r="X45" s="364">
        <f t="shared" si="11"/>
        <v>-0.71691212475832233</v>
      </c>
      <c r="Y45" s="258">
        <f t="shared" si="12"/>
        <v>6.8814113036425351</v>
      </c>
      <c r="Z45" s="386">
        <f t="shared" si="13"/>
        <v>10.624093865552872</v>
      </c>
      <c r="AA45" s="258">
        <f t="shared" si="14"/>
        <v>11.804452635548273</v>
      </c>
      <c r="AB45" s="350">
        <f t="shared" si="15"/>
        <v>99</v>
      </c>
      <c r="AC45" s="247">
        <f t="shared" si="16"/>
        <v>9.1157223359730786</v>
      </c>
      <c r="AD45" s="258">
        <f t="shared" si="17"/>
        <v>12.132465395132666</v>
      </c>
    </row>
    <row r="46" spans="1:32">
      <c r="A46" s="222">
        <v>1996</v>
      </c>
      <c r="B46" s="213">
        <f t="shared" si="0"/>
        <v>2000</v>
      </c>
      <c r="C46" s="300">
        <f>VLOOKUP($A46,BroodTab!$A$12:$AG$67,6)</f>
        <v>5.4971682252932021</v>
      </c>
      <c r="D46" s="300">
        <f>VLOOKUP($A46,BroodTab!$A$12:$AG$67,12)</f>
        <v>10.013865460005738</v>
      </c>
      <c r="E46" s="213">
        <v>34</v>
      </c>
      <c r="F46" s="213">
        <v>32</v>
      </c>
      <c r="G46" s="300">
        <v>8.0378615513364018</v>
      </c>
      <c r="H46" s="300">
        <v>0.37637531869896917</v>
      </c>
      <c r="I46" s="213">
        <v>0.10180929296074394</v>
      </c>
      <c r="J46" s="213">
        <v>10.106859994072977</v>
      </c>
      <c r="K46" s="213">
        <v>1.1024114158352609</v>
      </c>
      <c r="L46" s="213">
        <v>0.29927240416565021</v>
      </c>
      <c r="M46" s="124">
        <v>1.3319828843488644</v>
      </c>
      <c r="N46" s="213">
        <f t="shared" si="1"/>
        <v>-9.2994534067239343E-2</v>
      </c>
      <c r="O46" s="213">
        <f t="shared" si="2"/>
        <v>8.6479833663829393E-3</v>
      </c>
      <c r="P46" s="384">
        <f t="shared" si="3"/>
        <v>10.106859994072977</v>
      </c>
      <c r="Q46" s="213">
        <f t="shared" si="18"/>
        <v>8.5984884644931832</v>
      </c>
      <c r="R46" s="213">
        <f t="shared" si="5"/>
        <v>11.615231523652771</v>
      </c>
      <c r="S46" s="350">
        <f t="shared" si="6"/>
        <v>-2176.57642194855</v>
      </c>
      <c r="T46" s="213">
        <f t="shared" si="7"/>
        <v>4737484.9205823522</v>
      </c>
      <c r="U46" s="350">
        <f t="shared" si="8"/>
        <v>24510.576421948554</v>
      </c>
      <c r="V46" s="350">
        <f t="shared" si="9"/>
        <v>5423.4556468683822</v>
      </c>
      <c r="W46" s="350">
        <f t="shared" si="10"/>
        <v>110772.24479250175</v>
      </c>
      <c r="X46" s="364">
        <f t="shared" si="11"/>
        <v>9.7455736632423642E-2</v>
      </c>
      <c r="Y46" s="258">
        <f t="shared" si="12"/>
        <v>5.4971682252932021</v>
      </c>
      <c r="Z46" s="386">
        <f t="shared" si="13"/>
        <v>10.103840095060272</v>
      </c>
      <c r="AA46" s="258">
        <f t="shared" si="14"/>
        <v>10.013865460005738</v>
      </c>
      <c r="AB46" s="350">
        <f t="shared" si="15"/>
        <v>100</v>
      </c>
      <c r="AC46" s="247">
        <f t="shared" si="16"/>
        <v>8.5954685654804805</v>
      </c>
      <c r="AD46" s="258">
        <f t="shared" si="17"/>
        <v>11.612211624640064</v>
      </c>
    </row>
    <row r="47" spans="1:32">
      <c r="A47" s="222">
        <v>1997</v>
      </c>
      <c r="B47" s="213">
        <f t="shared" si="0"/>
        <v>2001</v>
      </c>
      <c r="C47" s="300">
        <f>VLOOKUP($A47,BroodTab!$A$12:$AG$67,6)</f>
        <v>1.3862943611198906</v>
      </c>
      <c r="D47" s="300">
        <f>VLOOKUP($A47,BroodTab!$A$12:$AG$67,12)</f>
        <v>9.4387500329628917</v>
      </c>
      <c r="E47" s="213">
        <v>34</v>
      </c>
      <c r="F47" s="213">
        <v>32</v>
      </c>
      <c r="G47" s="300">
        <v>7.8669949342682859</v>
      </c>
      <c r="H47" s="300">
        <v>0.40529100040057525</v>
      </c>
      <c r="I47" s="213">
        <v>0.10606208998463952</v>
      </c>
      <c r="J47" s="213">
        <v>8.4288475627362427</v>
      </c>
      <c r="K47" s="213">
        <v>1.0898632796638688</v>
      </c>
      <c r="L47" s="213">
        <v>0.31333479349507709</v>
      </c>
      <c r="M47" s="124">
        <v>1.3022385789791731</v>
      </c>
      <c r="N47" s="213">
        <f t="shared" si="1"/>
        <v>1.009902470226649</v>
      </c>
      <c r="O47" s="213">
        <f t="shared" si="2"/>
        <v>1.0199029993698878</v>
      </c>
      <c r="P47" s="384">
        <f t="shared" si="3"/>
        <v>8.4288475627362427</v>
      </c>
      <c r="Q47" s="213">
        <f t="shared" si="18"/>
        <v>6.9204760331564499</v>
      </c>
      <c r="R47" s="213">
        <f t="shared" si="5"/>
        <v>9.9372190923160346</v>
      </c>
      <c r="S47" s="350">
        <f t="shared" si="6"/>
        <v>7988.7779090398153</v>
      </c>
      <c r="T47" s="213">
        <f t="shared" si="7"/>
        <v>63820572.479962565</v>
      </c>
      <c r="U47" s="350">
        <f t="shared" si="8"/>
        <v>4577.2220909601774</v>
      </c>
      <c r="V47" s="350">
        <f t="shared" si="9"/>
        <v>1012.8020071351386</v>
      </c>
      <c r="W47" s="350">
        <f t="shared" si="10"/>
        <v>20686.137983905421</v>
      </c>
      <c r="X47" s="364">
        <f t="shared" si="11"/>
        <v>-0.63574549650165679</v>
      </c>
      <c r="Y47" s="258">
        <f t="shared" si="12"/>
        <v>1.3862943611198906</v>
      </c>
      <c r="Z47" s="386">
        <f t="shared" si="13"/>
        <v>8.5588097016946918</v>
      </c>
      <c r="AA47" s="258">
        <f t="shared" si="14"/>
        <v>9.4387500329628917</v>
      </c>
      <c r="AB47" s="350">
        <f t="shared" si="15"/>
        <v>101</v>
      </c>
      <c r="AC47" s="247">
        <f t="shared" si="16"/>
        <v>7.050438172114899</v>
      </c>
      <c r="AD47" s="258">
        <f t="shared" si="17"/>
        <v>10.067181231274485</v>
      </c>
    </row>
    <row r="48" spans="1:32">
      <c r="A48" s="222">
        <v>1998</v>
      </c>
      <c r="B48" s="213">
        <f t="shared" si="0"/>
        <v>2002</v>
      </c>
      <c r="C48" s="300">
        <f>VLOOKUP($A48,BroodTab!$A$12:$AG$67,6)</f>
        <v>5.0369526024136295</v>
      </c>
      <c r="D48" s="300">
        <f>VLOOKUP($A48,BroodTab!$A$12:$AG$67,12)</f>
        <v>9.9528965727936711</v>
      </c>
      <c r="E48" s="213">
        <v>34</v>
      </c>
      <c r="F48" s="213">
        <v>32</v>
      </c>
      <c r="G48" s="300">
        <v>8.0373389812767986</v>
      </c>
      <c r="H48" s="300">
        <v>0.37579797194437692</v>
      </c>
      <c r="I48" s="213">
        <v>0.10163590565470727</v>
      </c>
      <c r="J48" s="213">
        <v>9.9302155540437926</v>
      </c>
      <c r="K48" s="213">
        <v>1.1025229217847068</v>
      </c>
      <c r="L48" s="213">
        <v>0.29934344493517256</v>
      </c>
      <c r="M48" s="124">
        <v>1.3322206269865489</v>
      </c>
      <c r="N48" s="213">
        <f t="shared" si="1"/>
        <v>2.268101874987849E-2</v>
      </c>
      <c r="O48" s="213">
        <f t="shared" si="2"/>
        <v>5.1442861153233957E-4</v>
      </c>
      <c r="P48" s="384">
        <f t="shared" si="3"/>
        <v>9.9302155540437926</v>
      </c>
      <c r="Q48" s="213">
        <f t="shared" si="18"/>
        <v>8.4218440244640007</v>
      </c>
      <c r="R48" s="213">
        <f t="shared" si="5"/>
        <v>11.438587083623585</v>
      </c>
      <c r="S48" s="350">
        <f t="shared" si="6"/>
        <v>471.23203458827265</v>
      </c>
      <c r="T48" s="213">
        <f t="shared" si="7"/>
        <v>222059.63042220299</v>
      </c>
      <c r="U48" s="350">
        <f t="shared" si="8"/>
        <v>20541.767965411735</v>
      </c>
      <c r="V48" s="350">
        <f t="shared" si="9"/>
        <v>4545.2773346003505</v>
      </c>
      <c r="W48" s="350">
        <f t="shared" si="10"/>
        <v>92835.750182429198</v>
      </c>
      <c r="X48" s="364">
        <f t="shared" si="11"/>
        <v>-2.2425738094906604E-2</v>
      </c>
      <c r="Y48" s="258">
        <f t="shared" si="12"/>
        <v>5.0369526024136295</v>
      </c>
      <c r="Z48" s="386">
        <f t="shared" si="13"/>
        <v>9.9308727045870544</v>
      </c>
      <c r="AA48" s="258">
        <f t="shared" si="14"/>
        <v>9.9528965727936711</v>
      </c>
      <c r="AB48" s="350">
        <f t="shared" si="15"/>
        <v>102</v>
      </c>
      <c r="AC48" s="247">
        <f t="shared" si="16"/>
        <v>8.4225011750072625</v>
      </c>
      <c r="AD48" s="258">
        <f t="shared" si="17"/>
        <v>11.439244234166846</v>
      </c>
    </row>
    <row r="49" spans="1:31">
      <c r="A49" s="222">
        <v>1999</v>
      </c>
      <c r="B49" s="213">
        <f t="shared" si="0"/>
        <v>2003</v>
      </c>
      <c r="C49" s="300">
        <f>VLOOKUP($A49,BroodTab!$A$12:$AG$67,6)</f>
        <v>6.0730445341004051</v>
      </c>
      <c r="D49" s="300">
        <f>VLOOKUP($A49,BroodTab!$A$12:$AG$67,12)</f>
        <v>11.511614606170127</v>
      </c>
      <c r="E49" s="213">
        <v>34</v>
      </c>
      <c r="F49" s="213">
        <v>32</v>
      </c>
      <c r="G49" s="300">
        <v>8.0660762464786693</v>
      </c>
      <c r="H49" s="300">
        <v>0.36259772246449945</v>
      </c>
      <c r="I49" s="213">
        <v>0.10035379073538458</v>
      </c>
      <c r="J49" s="213">
        <v>10.268148362968953</v>
      </c>
      <c r="K49" s="213">
        <v>1.0813320674543536</v>
      </c>
      <c r="L49" s="213">
        <v>0.2897596664338275</v>
      </c>
      <c r="M49" s="124">
        <v>1.2867617509276681</v>
      </c>
      <c r="N49" s="389">
        <f t="shared" si="1"/>
        <v>1.2434662432011745</v>
      </c>
      <c r="O49" s="213">
        <f t="shared" si="2"/>
        <v>1.5462082979808425</v>
      </c>
      <c r="P49" s="384">
        <f t="shared" si="3"/>
        <v>10.268148362968953</v>
      </c>
      <c r="Q49" s="213">
        <f t="shared" si="18"/>
        <v>8.7597768333891608</v>
      </c>
      <c r="R49" s="213">
        <f t="shared" si="5"/>
        <v>11.776519892548745</v>
      </c>
      <c r="S49" s="350">
        <f t="shared" si="6"/>
        <v>71068.490326356579</v>
      </c>
      <c r="T49" s="213">
        <f t="shared" si="7"/>
        <v>5050730317.2674389</v>
      </c>
      <c r="U49" s="350">
        <f t="shared" si="8"/>
        <v>28800.509673643359</v>
      </c>
      <c r="V49" s="350">
        <f t="shared" si="9"/>
        <v>6372.6892478276241</v>
      </c>
      <c r="W49" s="350">
        <f t="shared" si="10"/>
        <v>130160.01960936369</v>
      </c>
      <c r="X49" s="364">
        <f t="shared" si="11"/>
        <v>-0.71161712169298397</v>
      </c>
      <c r="Y49" s="258">
        <f t="shared" si="12"/>
        <v>6.0730445341004051</v>
      </c>
      <c r="Z49" s="386">
        <f t="shared" si="13"/>
        <v>10.320277385360162</v>
      </c>
      <c r="AA49" s="258">
        <f t="shared" si="14"/>
        <v>11.511614606170127</v>
      </c>
      <c r="AB49" s="350">
        <f t="shared" si="15"/>
        <v>103</v>
      </c>
      <c r="AC49" s="247">
        <f t="shared" si="16"/>
        <v>8.8119058557803704</v>
      </c>
      <c r="AD49" s="258">
        <f t="shared" si="17"/>
        <v>11.828648914939954</v>
      </c>
    </row>
    <row r="50" spans="1:31">
      <c r="A50" s="222">
        <v>2000</v>
      </c>
      <c r="B50" s="213">
        <f t="shared" si="0"/>
        <v>2004</v>
      </c>
      <c r="C50" s="300">
        <f>VLOOKUP($A50,BroodTab!$A$12:$AG$67,6)</f>
        <v>6.0378709199221374</v>
      </c>
      <c r="D50" s="300">
        <f>VLOOKUP($A50,BroodTab!$A$12:$AG$67,12)</f>
        <v>10.932696171065359</v>
      </c>
      <c r="E50" s="213">
        <v>34</v>
      </c>
      <c r="F50" s="213">
        <v>32</v>
      </c>
      <c r="G50" s="300">
        <v>8.0516912932829552</v>
      </c>
      <c r="H50" s="300">
        <v>0.36908599843015172</v>
      </c>
      <c r="I50" s="213">
        <v>0.101743523298577</v>
      </c>
      <c r="J50" s="213">
        <v>10.280184910154796</v>
      </c>
      <c r="K50" s="213">
        <v>1.0967292393016912</v>
      </c>
      <c r="L50" s="213">
        <v>0.29140152952158521</v>
      </c>
      <c r="M50" s="124">
        <v>1.3197171934786025</v>
      </c>
      <c r="N50" s="389">
        <f t="shared" si="1"/>
        <v>0.652511260910563</v>
      </c>
      <c r="O50" s="213">
        <f t="shared" si="2"/>
        <v>0.42577094561509282</v>
      </c>
      <c r="P50" s="384">
        <f t="shared" si="3"/>
        <v>10.280184910154796</v>
      </c>
      <c r="Q50" s="213">
        <f t="shared" si="18"/>
        <v>8.7718133805750043</v>
      </c>
      <c r="R50" s="213">
        <f t="shared" si="5"/>
        <v>11.788556439734588</v>
      </c>
      <c r="S50" s="350">
        <f t="shared" si="6"/>
        <v>26827.736950019345</v>
      </c>
      <c r="T50" s="213">
        <f t="shared" si="7"/>
        <v>719727469.85943329</v>
      </c>
      <c r="U50" s="350">
        <f t="shared" si="8"/>
        <v>29149.263049980684</v>
      </c>
      <c r="V50" s="350">
        <f t="shared" si="9"/>
        <v>6449.8579131294873</v>
      </c>
      <c r="W50" s="350">
        <f t="shared" si="10"/>
        <v>131736.16346297195</v>
      </c>
      <c r="X50" s="364">
        <f t="shared" si="11"/>
        <v>-0.4792635716458426</v>
      </c>
      <c r="Y50" s="258">
        <f t="shared" si="12"/>
        <v>6.0378709199221374</v>
      </c>
      <c r="Z50" s="386">
        <f t="shared" si="13"/>
        <v>10.307057737969968</v>
      </c>
      <c r="AA50" s="258">
        <f t="shared" si="14"/>
        <v>10.932696171065359</v>
      </c>
      <c r="AB50" s="350">
        <f t="shared" si="15"/>
        <v>104</v>
      </c>
      <c r="AC50" s="247">
        <f t="shared" si="16"/>
        <v>8.7986862083901762</v>
      </c>
      <c r="AD50" s="258">
        <f t="shared" si="17"/>
        <v>11.81542926754976</v>
      </c>
    </row>
    <row r="51" spans="1:31">
      <c r="A51" s="222">
        <v>2001</v>
      </c>
      <c r="B51" s="213">
        <f t="shared" si="0"/>
        <v>2005</v>
      </c>
      <c r="C51" s="300">
        <f>VLOOKUP($A51,BroodTab!$A$12:$AG$67,6)</f>
        <v>5.9454206086065753</v>
      </c>
      <c r="D51" s="300">
        <f>VLOOKUP($A51,BroodTab!$A$12:$AG$67,12)</f>
        <v>8.7975484884815582</v>
      </c>
      <c r="E51" s="213">
        <v>34</v>
      </c>
      <c r="F51" s="213">
        <v>32</v>
      </c>
      <c r="G51" s="300">
        <v>8.0108778640582745</v>
      </c>
      <c r="H51" s="300">
        <v>0.39052414994581769</v>
      </c>
      <c r="I51" s="213">
        <v>9.9165325186277048E-2</v>
      </c>
      <c r="J51" s="213">
        <v>10.332708193304704</v>
      </c>
      <c r="K51" s="213">
        <v>1.0699637928705423</v>
      </c>
      <c r="L51" s="213">
        <v>0.32643951978752217</v>
      </c>
      <c r="M51" s="124">
        <v>1.2629215246618055</v>
      </c>
      <c r="N51" s="389">
        <f t="shared" si="1"/>
        <v>-1.5351597048231458</v>
      </c>
      <c r="O51" s="213">
        <f t="shared" si="2"/>
        <v>2.3567153193126882</v>
      </c>
      <c r="P51" s="384">
        <f t="shared" si="3"/>
        <v>10.332708193304704</v>
      </c>
      <c r="Q51" s="213">
        <f t="shared" si="18"/>
        <v>8.8243366637249103</v>
      </c>
      <c r="R51" s="213">
        <f t="shared" si="5"/>
        <v>11.841079722884498</v>
      </c>
      <c r="S51" s="350">
        <f t="shared" si="6"/>
        <v>-24103.198289013992</v>
      </c>
      <c r="T51" s="213">
        <f t="shared" si="7"/>
        <v>580964167.75952697</v>
      </c>
      <c r="U51" s="350">
        <f t="shared" si="8"/>
        <v>30721.198289013999</v>
      </c>
      <c r="V51" s="350">
        <f t="shared" si="9"/>
        <v>6797.6800492507809</v>
      </c>
      <c r="W51" s="350">
        <f t="shared" si="10"/>
        <v>138840.31279420669</v>
      </c>
      <c r="X51" s="364">
        <f t="shared" si="11"/>
        <v>3.642066831220002</v>
      </c>
      <c r="Y51" s="258">
        <f t="shared" si="12"/>
        <v>5.9454206086065753</v>
      </c>
      <c r="Z51" s="386">
        <f t="shared" si="13"/>
        <v>10.272311222854652</v>
      </c>
      <c r="AA51" s="258">
        <f t="shared" si="14"/>
        <v>8.7975484884815582</v>
      </c>
      <c r="AB51" s="350">
        <f t="shared" si="15"/>
        <v>105</v>
      </c>
      <c r="AC51" s="247">
        <f t="shared" si="16"/>
        <v>8.7639396932748603</v>
      </c>
      <c r="AD51" s="258">
        <f t="shared" si="17"/>
        <v>11.780682752434444</v>
      </c>
    </row>
    <row r="52" spans="1:31">
      <c r="A52" s="222">
        <v>2002</v>
      </c>
      <c r="B52" s="213">
        <f t="shared" si="0"/>
        <v>2006</v>
      </c>
      <c r="C52" s="300">
        <f>VLOOKUP($A52,BroodTab!$A$12:$AG$67,6)</f>
        <v>3.4011973816621555</v>
      </c>
      <c r="D52" s="300">
        <f>VLOOKUP($A52,BroodTab!$A$12:$AG$67,12)</f>
        <v>10.213322429629041</v>
      </c>
      <c r="E52" s="213">
        <v>34</v>
      </c>
      <c r="F52" s="213">
        <v>32</v>
      </c>
      <c r="G52" s="300">
        <v>7.956340469018909</v>
      </c>
      <c r="H52" s="300">
        <v>0.38716564066058101</v>
      </c>
      <c r="I52" s="213">
        <v>0.10140330757138186</v>
      </c>
      <c r="J52" s="213">
        <v>9.2731672323032281</v>
      </c>
      <c r="K52" s="213">
        <v>1.090509911822193</v>
      </c>
      <c r="L52" s="213">
        <v>0.31297613346094666</v>
      </c>
      <c r="M52" s="124">
        <v>1.3062400153836131</v>
      </c>
      <c r="N52" s="389">
        <f t="shared" si="1"/>
        <v>0.94015519732581332</v>
      </c>
      <c r="O52" s="213">
        <f t="shared" si="2"/>
        <v>0.88389179505873894</v>
      </c>
      <c r="P52" s="384">
        <f t="shared" si="3"/>
        <v>9.2731672323032281</v>
      </c>
      <c r="Q52" s="213">
        <f t="shared" si="18"/>
        <v>7.7647957027234353</v>
      </c>
      <c r="R52" s="213">
        <f t="shared" si="5"/>
        <v>10.78153876188302</v>
      </c>
      <c r="S52" s="350">
        <f t="shared" si="6"/>
        <v>16615.575432049067</v>
      </c>
      <c r="T52" s="213">
        <f t="shared" si="7"/>
        <v>276077346.93811256</v>
      </c>
      <c r="U52" s="350">
        <f t="shared" si="8"/>
        <v>10648.424567950911</v>
      </c>
      <c r="V52" s="350">
        <f t="shared" si="9"/>
        <v>2356.1770787891692</v>
      </c>
      <c r="W52" s="350">
        <f t="shared" si="10"/>
        <v>48124.118853414278</v>
      </c>
      <c r="X52" s="364">
        <f t="shared" si="11"/>
        <v>-0.60943278433278614</v>
      </c>
      <c r="Y52" s="258">
        <f t="shared" si="12"/>
        <v>3.4011973816621555</v>
      </c>
      <c r="Z52" s="386">
        <f t="shared" si="13"/>
        <v>9.3160906373986023</v>
      </c>
      <c r="AA52" s="258">
        <f t="shared" si="14"/>
        <v>10.213322429629041</v>
      </c>
      <c r="AB52" s="350">
        <f t="shared" si="15"/>
        <v>106</v>
      </c>
      <c r="AC52" s="247">
        <f t="shared" si="16"/>
        <v>7.8077191078188095</v>
      </c>
      <c r="AD52" s="258">
        <f t="shared" si="17"/>
        <v>10.824462166978396</v>
      </c>
    </row>
    <row r="53" spans="1:31">
      <c r="A53" s="222">
        <v>2003</v>
      </c>
      <c r="B53" s="213">
        <f t="shared" si="0"/>
        <v>2007</v>
      </c>
      <c r="C53" s="300">
        <f>VLOOKUP($A53,BroodTab!$A$12:$AG$67,6)</f>
        <v>5.6383546693337454</v>
      </c>
      <c r="D53" s="300">
        <f>VLOOKUP($A53,BroodTab!$A$12:$AG$67,12)</f>
        <v>10.284045024938107</v>
      </c>
      <c r="E53" s="213">
        <v>34</v>
      </c>
      <c r="F53" s="213">
        <v>32</v>
      </c>
      <c r="G53" s="300">
        <v>8.0384375156934471</v>
      </c>
      <c r="H53" s="300">
        <v>0.37492399378421087</v>
      </c>
      <c r="I53" s="213">
        <v>0.10189290303985213</v>
      </c>
      <c r="J53" s="213">
        <v>10.152391966691908</v>
      </c>
      <c r="K53" s="213">
        <v>1.10229275749708</v>
      </c>
      <c r="L53" s="213">
        <v>0.29731138311100741</v>
      </c>
      <c r="M53" s="124">
        <v>1.3317272942422782</v>
      </c>
      <c r="N53" s="389">
        <f t="shared" si="1"/>
        <v>0.131653058246199</v>
      </c>
      <c r="O53" s="213">
        <f t="shared" si="2"/>
        <v>1.7332527745577066E-2</v>
      </c>
      <c r="P53" s="384">
        <f t="shared" si="3"/>
        <v>10.152391966691908</v>
      </c>
      <c r="Q53" s="213">
        <f t="shared" si="18"/>
        <v>8.6440204371121148</v>
      </c>
      <c r="R53" s="213">
        <f t="shared" si="5"/>
        <v>11.660763496271702</v>
      </c>
      <c r="S53" s="350">
        <f t="shared" si="6"/>
        <v>3609.611461010747</v>
      </c>
      <c r="T53" s="213">
        <f t="shared" si="7"/>
        <v>13029294.899460139</v>
      </c>
      <c r="U53" s="350">
        <f t="shared" si="8"/>
        <v>25652.388538989249</v>
      </c>
      <c r="V53" s="350">
        <f t="shared" si="9"/>
        <v>5676.1044327321797</v>
      </c>
      <c r="W53" s="350">
        <f t="shared" si="10"/>
        <v>115932.51067766536</v>
      </c>
      <c r="X53" s="364">
        <f t="shared" si="11"/>
        <v>-0.1233549128908054</v>
      </c>
      <c r="Y53" s="258">
        <f t="shared" si="12"/>
        <v>5.6383546693337454</v>
      </c>
      <c r="Z53" s="386">
        <f t="shared" si="13"/>
        <v>10.15690359308558</v>
      </c>
      <c r="AA53" s="258">
        <f t="shared" si="14"/>
        <v>10.284045024938107</v>
      </c>
      <c r="AB53" s="350">
        <f t="shared" si="15"/>
        <v>107</v>
      </c>
      <c r="AC53" s="247">
        <f t="shared" si="16"/>
        <v>8.6485320635057867</v>
      </c>
      <c r="AD53" s="258">
        <f t="shared" si="17"/>
        <v>11.665275122665374</v>
      </c>
    </row>
    <row r="54" spans="1:31">
      <c r="A54" s="222">
        <v>2004</v>
      </c>
      <c r="B54" s="213">
        <f t="shared" si="0"/>
        <v>2008</v>
      </c>
      <c r="C54" s="300">
        <f>VLOOKUP($A54,BroodTab!$A$12:$AG$67,6)</f>
        <v>0.69314718055994529</v>
      </c>
      <c r="D54" s="300">
        <f>VLOOKUP($A54,BroodTab!$A$12:$AG$67,12)</f>
        <v>10.736070535336799</v>
      </c>
      <c r="E54" s="213">
        <v>34</v>
      </c>
      <c r="F54" s="213">
        <v>32</v>
      </c>
      <c r="G54" s="300">
        <v>7.4554944841857473</v>
      </c>
      <c r="H54" s="300">
        <v>0.47918326184238114</v>
      </c>
      <c r="I54" s="213">
        <v>9.9449343394130266E-2</v>
      </c>
      <c r="J54" s="213">
        <v>7.7876390111033116</v>
      </c>
      <c r="K54" s="213">
        <v>0.9954695745314851</v>
      </c>
      <c r="L54" s="213">
        <v>0.42046459578383188</v>
      </c>
      <c r="M54" s="124">
        <v>1.0765468602487125</v>
      </c>
      <c r="N54" s="389">
        <f t="shared" si="1"/>
        <v>2.9484315242334871</v>
      </c>
      <c r="O54" s="213">
        <f t="shared" si="2"/>
        <v>8.6932484530938048</v>
      </c>
      <c r="P54" s="384">
        <f t="shared" si="3"/>
        <v>7.7876390111033116</v>
      </c>
      <c r="Q54" s="213">
        <f t="shared" si="18"/>
        <v>6.2792674815235188</v>
      </c>
      <c r="R54" s="213">
        <f t="shared" si="5"/>
        <v>9.2960105406831044</v>
      </c>
      <c r="S54" s="350">
        <f t="shared" si="6"/>
        <v>43574.380587482839</v>
      </c>
      <c r="T54" s="213">
        <f t="shared" si="7"/>
        <v>1898726643.5828013</v>
      </c>
      <c r="U54" s="350">
        <f t="shared" si="8"/>
        <v>2410.6194125171883</v>
      </c>
      <c r="V54" s="350">
        <f t="shared" si="9"/>
        <v>533.39779694285721</v>
      </c>
      <c r="W54" s="350">
        <f t="shared" si="10"/>
        <v>10894.469353474389</v>
      </c>
      <c r="X54" s="364">
        <f t="shared" si="11"/>
        <v>-0.9475781360766079</v>
      </c>
      <c r="Y54" s="258">
        <f t="shared" si="12"/>
        <v>0.69314718055994529</v>
      </c>
      <c r="Z54" s="386">
        <f t="shared" si="13"/>
        <v>8.2982973394998627</v>
      </c>
      <c r="AA54" s="258">
        <f t="shared" si="14"/>
        <v>10.736070535336799</v>
      </c>
      <c r="AB54" s="350">
        <f t="shared" si="15"/>
        <v>108</v>
      </c>
      <c r="AC54" s="247">
        <f t="shared" si="16"/>
        <v>6.7899258099200699</v>
      </c>
      <c r="AD54" s="258">
        <f t="shared" si="17"/>
        <v>9.8066688690796546</v>
      </c>
    </row>
    <row r="55" spans="1:31">
      <c r="A55" s="222">
        <v>2005</v>
      </c>
      <c r="B55" s="213">
        <f t="shared" si="0"/>
        <v>2009</v>
      </c>
      <c r="C55" s="300">
        <f>VLOOKUP($A55,BroodTab!$A$12:$AG$67,6)</f>
        <v>6.230481447578482</v>
      </c>
      <c r="D55" s="300">
        <f>VLOOKUP($A55,BroodTab!$A$12:$AG$67,12)</f>
        <v>7.9409397623277913</v>
      </c>
      <c r="E55" s="213">
        <v>34</v>
      </c>
      <c r="F55" s="213">
        <v>32</v>
      </c>
      <c r="G55" s="300">
        <v>7.9631946985024848</v>
      </c>
      <c r="H55" s="300">
        <v>0.40646260284691293</v>
      </c>
      <c r="I55" s="213">
        <v>9.3945155005350237E-2</v>
      </c>
      <c r="J55" s="213">
        <v>10.495652404674637</v>
      </c>
      <c r="K55" s="213">
        <v>1.0103933007157018</v>
      </c>
      <c r="L55" s="213">
        <v>0.36907797192773717</v>
      </c>
      <c r="M55" s="124">
        <v>1.1402671987179096</v>
      </c>
      <c r="N55" s="389">
        <f t="shared" si="1"/>
        <v>-2.5547126423468454</v>
      </c>
      <c r="O55" s="213">
        <f t="shared" si="2"/>
        <v>6.5265566849668009</v>
      </c>
      <c r="P55" s="384">
        <f t="shared" si="3"/>
        <v>10.495652404674637</v>
      </c>
      <c r="Q55" s="213">
        <f t="shared" si="18"/>
        <v>8.987280875094843</v>
      </c>
      <c r="R55" s="213">
        <f t="shared" si="5"/>
        <v>12.00402393425443</v>
      </c>
      <c r="S55" s="350">
        <f t="shared" si="6"/>
        <v>-33347.960278024548</v>
      </c>
      <c r="T55" s="213">
        <f t="shared" si="7"/>
        <v>1112086454.7047031</v>
      </c>
      <c r="U55" s="350">
        <f t="shared" si="8"/>
        <v>36157.960278024548</v>
      </c>
      <c r="V55" s="350">
        <f t="shared" si="9"/>
        <v>8000.6724637243424</v>
      </c>
      <c r="W55" s="350">
        <f t="shared" si="10"/>
        <v>163411.02543505482</v>
      </c>
      <c r="X55" s="364">
        <f t="shared" si="11"/>
        <v>11.867601522428666</v>
      </c>
      <c r="Y55" s="258">
        <f t="shared" si="12"/>
        <v>6.230481447578482</v>
      </c>
      <c r="Z55" s="386">
        <f t="shared" si="13"/>
        <v>10.379448458080539</v>
      </c>
      <c r="AA55" s="258">
        <f t="shared" si="14"/>
        <v>7.9409397623277913</v>
      </c>
      <c r="AB55" s="350">
        <f t="shared" si="15"/>
        <v>109</v>
      </c>
      <c r="AC55" s="247">
        <f t="shared" si="16"/>
        <v>8.8710769285007451</v>
      </c>
      <c r="AD55" s="258">
        <f t="shared" si="17"/>
        <v>11.887819987660333</v>
      </c>
    </row>
    <row r="56" spans="1:31">
      <c r="A56" s="222">
        <v>2006</v>
      </c>
      <c r="B56" s="213">
        <f t="shared" si="0"/>
        <v>2010</v>
      </c>
      <c r="C56" s="300">
        <f>VLOOKUP($A56,BroodTab!$A$12:$AG$67,6)</f>
        <v>6.2915691395583204</v>
      </c>
      <c r="D56" s="300">
        <f>VLOOKUP($A56,BroodTab!$A$12:$AG$67,12)</f>
        <v>10.52741862240739</v>
      </c>
      <c r="E56" s="213">
        <v>34</v>
      </c>
      <c r="F56" s="213">
        <v>32</v>
      </c>
      <c r="G56" s="300">
        <v>8.041942918957945</v>
      </c>
      <c r="H56" s="300">
        <v>0.37419947727592462</v>
      </c>
      <c r="I56" s="213">
        <v>0.10257072520851326</v>
      </c>
      <c r="J56" s="213">
        <v>10.396244802226008</v>
      </c>
      <c r="K56" s="213">
        <v>1.1022975825357777</v>
      </c>
      <c r="L56" s="213">
        <v>0.29374527462574129</v>
      </c>
      <c r="M56" s="124">
        <v>1.331718981589723</v>
      </c>
      <c r="N56" s="389">
        <f t="shared" si="1"/>
        <v>0.13117382018138279</v>
      </c>
      <c r="O56" s="213">
        <f t="shared" si="2"/>
        <v>1.7206571100977747E-2</v>
      </c>
      <c r="P56" s="384">
        <f t="shared" si="3"/>
        <v>10.396244802226008</v>
      </c>
      <c r="Q56" s="213">
        <f t="shared" si="18"/>
        <v>8.887873272646214</v>
      </c>
      <c r="R56" s="213">
        <f t="shared" si="5"/>
        <v>11.904616331805801</v>
      </c>
      <c r="S56" s="350">
        <f t="shared" si="6"/>
        <v>4588.5373233040773</v>
      </c>
      <c r="T56" s="213">
        <f t="shared" si="7"/>
        <v>21054674.767354548</v>
      </c>
      <c r="U56" s="350">
        <f t="shared" si="8"/>
        <v>32736.462676695901</v>
      </c>
      <c r="V56" s="350">
        <f t="shared" si="9"/>
        <v>7243.5976333643439</v>
      </c>
      <c r="W56" s="350">
        <f t="shared" si="10"/>
        <v>147948.02842809973</v>
      </c>
      <c r="X56" s="364">
        <f t="shared" si="11"/>
        <v>-0.12293469051049109</v>
      </c>
      <c r="Y56" s="258">
        <f t="shared" si="12"/>
        <v>6.2915691395583204</v>
      </c>
      <c r="Z56" s="386">
        <f t="shared" si="13"/>
        <v>10.402407649699615</v>
      </c>
      <c r="AA56" s="258">
        <f t="shared" si="14"/>
        <v>10.52741862240739</v>
      </c>
      <c r="AB56" s="350">
        <f t="shared" si="15"/>
        <v>110</v>
      </c>
      <c r="AC56" s="247">
        <f t="shared" si="16"/>
        <v>8.8940361201198215</v>
      </c>
      <c r="AD56" s="258">
        <f t="shared" si="17"/>
        <v>11.910779179279409</v>
      </c>
    </row>
    <row r="57" spans="1:31">
      <c r="A57" s="222">
        <v>2007</v>
      </c>
      <c r="B57" s="213">
        <f t="shared" si="0"/>
        <v>2011</v>
      </c>
      <c r="C57" s="300">
        <f>VLOOKUP($A57,BroodTab!$A$12:$AG$67,6)</f>
        <v>8.0446262797673374</v>
      </c>
      <c r="D57" s="300">
        <f>VLOOKUP($A57,BroodTab!$A$12:$AG$67,12)</f>
        <v>11.560514908563141</v>
      </c>
      <c r="E57" s="213">
        <v>34</v>
      </c>
      <c r="F57" s="213">
        <v>32</v>
      </c>
      <c r="G57" s="300">
        <v>8.0962785966133204</v>
      </c>
      <c r="H57" s="300">
        <v>0.3603510565431754</v>
      </c>
      <c r="I57" s="213">
        <v>0.10619096199250357</v>
      </c>
      <c r="J57" s="213">
        <v>10.995168176022474</v>
      </c>
      <c r="K57" s="213">
        <v>1.0985227875820229</v>
      </c>
      <c r="L57" s="213">
        <v>0.26462701693587415</v>
      </c>
      <c r="M57" s="124">
        <v>1.322826808209046</v>
      </c>
      <c r="N57" s="389">
        <f t="shared" si="1"/>
        <v>0.56534673254066625</v>
      </c>
      <c r="O57" s="213">
        <f t="shared" si="2"/>
        <v>0.31961692799440761</v>
      </c>
      <c r="P57" s="384">
        <f t="shared" si="3"/>
        <v>10.995168176022474</v>
      </c>
      <c r="Q57" s="213">
        <f t="shared" si="18"/>
        <v>9.4867966464426807</v>
      </c>
      <c r="R57" s="213">
        <f t="shared" si="5"/>
        <v>12.503539705602268</v>
      </c>
      <c r="S57" s="350">
        <f t="shared" si="6"/>
        <v>45288.461796201671</v>
      </c>
      <c r="T57" s="213">
        <f t="shared" si="7"/>
        <v>2051044771.8660183</v>
      </c>
      <c r="U57" s="350">
        <f t="shared" si="8"/>
        <v>59585.538203798242</v>
      </c>
      <c r="V57" s="350">
        <f t="shared" si="9"/>
        <v>13184.493015582479</v>
      </c>
      <c r="W57" s="350">
        <f t="shared" si="10"/>
        <v>269288.80457065074</v>
      </c>
      <c r="X57" s="364">
        <f t="shared" si="11"/>
        <v>-0.43183688803899639</v>
      </c>
      <c r="Y57" s="258">
        <f t="shared" si="12"/>
        <v>8.0446262797673374</v>
      </c>
      <c r="Z57" s="386">
        <f t="shared" si="13"/>
        <v>11.061276457749058</v>
      </c>
      <c r="AA57" s="258">
        <f t="shared" si="14"/>
        <v>11.560514908563141</v>
      </c>
      <c r="AB57" s="350">
        <f t="shared" si="15"/>
        <v>111</v>
      </c>
      <c r="AC57" s="247">
        <f t="shared" si="16"/>
        <v>9.5529049281692657</v>
      </c>
      <c r="AD57" s="258">
        <f t="shared" si="17"/>
        <v>12.56964798732885</v>
      </c>
    </row>
    <row r="58" spans="1:31">
      <c r="A58" s="222">
        <v>2008</v>
      </c>
      <c r="B58" s="213">
        <f t="shared" si="0"/>
        <v>2012</v>
      </c>
      <c r="C58" s="300">
        <f>VLOOKUP($A58,BroodTab!$A$12:$AG$67,6)</f>
        <v>3.6888794541139363</v>
      </c>
      <c r="D58" s="300">
        <f>VLOOKUP($A58,BroodTab!$A$12:$AG$67,12)</f>
        <v>10.315100391230526</v>
      </c>
      <c r="E58" s="213">
        <v>34</v>
      </c>
      <c r="F58" s="213">
        <v>32</v>
      </c>
      <c r="G58" s="300">
        <v>7.9683635298087774</v>
      </c>
      <c r="H58" s="300">
        <v>0.38474619741519983</v>
      </c>
      <c r="I58" s="213">
        <v>0.10109697573313996</v>
      </c>
      <c r="J58" s="213">
        <v>9.3876458725021728</v>
      </c>
      <c r="K58" s="213">
        <v>1.0907574690195947</v>
      </c>
      <c r="L58" s="213">
        <v>0.31158309774527926</v>
      </c>
      <c r="M58" s="124">
        <v>1.3069284826977015</v>
      </c>
      <c r="N58" s="389">
        <f t="shared" si="1"/>
        <v>0.92745451872835361</v>
      </c>
      <c r="O58" s="213">
        <f t="shared" si="2"/>
        <v>0.86017188430964198</v>
      </c>
      <c r="P58" s="384">
        <f t="shared" si="3"/>
        <v>9.3876458725021728</v>
      </c>
      <c r="Q58" s="213">
        <f t="shared" si="18"/>
        <v>7.8792743429223799</v>
      </c>
      <c r="R58" s="213">
        <f t="shared" si="5"/>
        <v>10.896017402081966</v>
      </c>
      <c r="S58" s="350">
        <f t="shared" si="6"/>
        <v>18245.041962392635</v>
      </c>
      <c r="T58" s="213">
        <f t="shared" si="7"/>
        <v>332881556.20946813</v>
      </c>
      <c r="U58" s="350">
        <f t="shared" si="8"/>
        <v>11939.958037607359</v>
      </c>
      <c r="V58" s="350">
        <f t="shared" si="9"/>
        <v>2641.9547108017473</v>
      </c>
      <c r="W58" s="350">
        <f t="shared" si="10"/>
        <v>53961.030201218542</v>
      </c>
      <c r="X58" s="364">
        <f t="shared" si="11"/>
        <v>-0.6044406812122789</v>
      </c>
      <c r="Y58" s="258">
        <f t="shared" si="12"/>
        <v>3.6888794541139363</v>
      </c>
      <c r="Z58" s="386">
        <f t="shared" si="13"/>
        <v>9.4242130367351677</v>
      </c>
      <c r="AA58" s="258">
        <f t="shared" si="14"/>
        <v>10.315100391230526</v>
      </c>
      <c r="AB58" s="350">
        <f t="shared" si="15"/>
        <v>112</v>
      </c>
      <c r="AC58" s="247">
        <f t="shared" si="16"/>
        <v>7.9158415071553749</v>
      </c>
      <c r="AD58" s="258">
        <f t="shared" si="17"/>
        <v>10.932584566314961</v>
      </c>
    </row>
    <row r="59" spans="1:31">
      <c r="A59" s="222">
        <v>2009</v>
      </c>
      <c r="B59" s="213">
        <f t="shared" si="0"/>
        <v>2013</v>
      </c>
      <c r="C59" s="300">
        <f>VLOOKUP($A59,BroodTab!$A$12:$AG$67,6)</f>
        <v>7.5766097669730375</v>
      </c>
      <c r="D59" s="300">
        <f>VLOOKUP($A59,BroodTab!$A$12:$AG$67,12)</f>
        <v>10.472487740353191</v>
      </c>
      <c r="E59" s="213">
        <v>34</v>
      </c>
      <c r="F59" s="213">
        <v>32</v>
      </c>
      <c r="G59" s="300">
        <v>7.999400727379288</v>
      </c>
      <c r="H59" s="300">
        <v>0.38650370973173948</v>
      </c>
      <c r="I59" s="213">
        <v>0.10491698339153316</v>
      </c>
      <c r="J59" s="213">
        <v>10.927788509504097</v>
      </c>
      <c r="K59" s="213">
        <v>1.0998626053613947</v>
      </c>
      <c r="L59" s="213">
        <v>0.29780091321498059</v>
      </c>
      <c r="M59" s="124">
        <v>1.3261290386510847</v>
      </c>
      <c r="N59" s="389">
        <f t="shared" si="1"/>
        <v>-0.45530076915090589</v>
      </c>
      <c r="O59" s="213">
        <f t="shared" si="2"/>
        <v>0.20729879038940649</v>
      </c>
      <c r="P59" s="384">
        <f t="shared" si="3"/>
        <v>10.927788509504097</v>
      </c>
      <c r="Q59" s="213">
        <f t="shared" si="18"/>
        <v>9.4194169799243035</v>
      </c>
      <c r="R59" s="213">
        <f t="shared" si="5"/>
        <v>12.436160039083891</v>
      </c>
      <c r="S59" s="350">
        <f t="shared" si="6"/>
        <v>-20372.956834370787</v>
      </c>
      <c r="T59" s="213">
        <f t="shared" si="7"/>
        <v>415057370.17513537</v>
      </c>
      <c r="U59" s="350">
        <f t="shared" si="8"/>
        <v>55702.956834370802</v>
      </c>
      <c r="V59" s="350">
        <f t="shared" si="9"/>
        <v>12325.394172293292</v>
      </c>
      <c r="W59" s="350">
        <f t="shared" si="10"/>
        <v>251742.00165271133</v>
      </c>
      <c r="X59" s="364">
        <f t="shared" si="11"/>
        <v>0.57664751866319786</v>
      </c>
      <c r="Y59" s="258">
        <f t="shared" si="12"/>
        <v>7.5766097669730375</v>
      </c>
      <c r="Z59" s="386">
        <f t="shared" si="13"/>
        <v>10.88537718164476</v>
      </c>
      <c r="AA59" s="258">
        <f t="shared" si="14"/>
        <v>10.472487740353191</v>
      </c>
      <c r="AB59" s="350">
        <f t="shared" si="15"/>
        <v>113</v>
      </c>
      <c r="AC59" s="247">
        <f t="shared" si="16"/>
        <v>9.3770056520649661</v>
      </c>
      <c r="AD59" s="258">
        <f t="shared" si="17"/>
        <v>12.393748711224553</v>
      </c>
    </row>
    <row r="60" spans="1:31">
      <c r="A60" s="222">
        <v>2010</v>
      </c>
      <c r="B60" s="213">
        <f t="shared" si="0"/>
        <v>2014</v>
      </c>
      <c r="C60" s="300">
        <f>VLOOKUP($A60,BroodTab!$A$12:$AG$67,6)</f>
        <v>3.8918202981106265</v>
      </c>
      <c r="D60" s="300">
        <f>VLOOKUP($A60,BroodTab!$A$12:$AG$67,12)</f>
        <v>9.9515631757676921</v>
      </c>
      <c r="E60" s="213">
        <v>34</v>
      </c>
      <c r="F60" s="213">
        <v>32</v>
      </c>
      <c r="G60" s="300">
        <v>8.0066516689785256</v>
      </c>
      <c r="H60" s="300">
        <v>0.37952622290017135</v>
      </c>
      <c r="I60" s="213">
        <v>0.10172284631932617</v>
      </c>
      <c r="J60" s="213">
        <v>9.4836995269266708</v>
      </c>
      <c r="K60" s="213">
        <v>1.0995350498842016</v>
      </c>
      <c r="L60" s="213">
        <v>0.30313945579121548</v>
      </c>
      <c r="M60" s="307">
        <v>1.3257926101248472</v>
      </c>
      <c r="N60" s="390">
        <f t="shared" si="1"/>
        <v>0.46786364884102127</v>
      </c>
      <c r="O60" s="389">
        <f t="shared" si="2"/>
        <v>0.21889639390683446</v>
      </c>
      <c r="P60" s="384">
        <f t="shared" si="3"/>
        <v>9.4836995269266708</v>
      </c>
      <c r="Q60" s="213">
        <f t="shared" si="18"/>
        <v>7.975327997346878</v>
      </c>
      <c r="R60" s="213">
        <f t="shared" si="5"/>
        <v>10.992071056506465</v>
      </c>
      <c r="S60" s="350">
        <f t="shared" si="6"/>
        <v>7841.2777664624718</v>
      </c>
      <c r="T60" s="213">
        <f t="shared" si="7"/>
        <v>61485637.01081869</v>
      </c>
      <c r="U60" s="350">
        <f t="shared" si="8"/>
        <v>13143.722233537546</v>
      </c>
      <c r="V60" s="350">
        <f t="shared" si="9"/>
        <v>2908.3116341774626</v>
      </c>
      <c r="W60" s="350">
        <f t="shared" si="10"/>
        <v>59401.280152444589</v>
      </c>
      <c r="X60" s="364">
        <f t="shared" si="11"/>
        <v>-0.37366108012687466</v>
      </c>
      <c r="Y60" s="391">
        <f t="shared" si="12"/>
        <v>3.8918202981106265</v>
      </c>
      <c r="Z60" s="386">
        <f t="shared" si="13"/>
        <v>9.500486301834048</v>
      </c>
      <c r="AA60" s="258">
        <f t="shared" si="14"/>
        <v>9.9515631757676921</v>
      </c>
      <c r="AB60" s="350">
        <f t="shared" si="15"/>
        <v>114</v>
      </c>
      <c r="AC60" s="247">
        <f t="shared" si="16"/>
        <v>7.9921147722542552</v>
      </c>
      <c r="AD60" s="258">
        <f t="shared" si="17"/>
        <v>11.008857831413842</v>
      </c>
    </row>
    <row r="61" spans="1:31">
      <c r="A61" s="213"/>
      <c r="B61" s="266"/>
      <c r="C61" s="309"/>
      <c r="E61" s="213"/>
      <c r="F61" s="213"/>
      <c r="G61" s="300"/>
      <c r="H61" s="300"/>
      <c r="I61" s="213"/>
      <c r="J61" s="213"/>
      <c r="K61" s="213"/>
      <c r="L61" s="213"/>
      <c r="P61" s="302"/>
      <c r="S61" s="265"/>
      <c r="U61" s="306"/>
      <c r="V61" s="265"/>
      <c r="W61" s="265"/>
      <c r="X61" s="303"/>
      <c r="Y61" s="248"/>
      <c r="Z61" s="304"/>
      <c r="AA61" s="248"/>
      <c r="AB61" s="265"/>
      <c r="AC61" s="246"/>
      <c r="AD61" s="248"/>
    </row>
    <row r="62" spans="1:31" ht="21">
      <c r="A62" s="213">
        <v>2011</v>
      </c>
      <c r="B62" s="213">
        <f>A62+4</f>
        <v>2015</v>
      </c>
      <c r="C62" s="300">
        <f>VLOOKUP($A62,BroodTab!$A$12:$AG$67,6)</f>
        <v>5.2933048247244923</v>
      </c>
      <c r="E62" s="213">
        <v>35</v>
      </c>
      <c r="F62" s="213">
        <v>33</v>
      </c>
      <c r="G62" s="300">
        <v>8.0377849773050336</v>
      </c>
      <c r="H62" s="300">
        <v>0.37583989302874965</v>
      </c>
      <c r="I62" s="213">
        <v>0.10006404476062924</v>
      </c>
      <c r="J62" s="213">
        <v>10.0272200963981</v>
      </c>
      <c r="K62" s="213">
        <v>1.0856964934130464</v>
      </c>
      <c r="L62" s="213">
        <v>0.29947440550708754</v>
      </c>
      <c r="M62" s="124">
        <v>1.2941624601293225</v>
      </c>
      <c r="P62" s="384">
        <f>J62</f>
        <v>10.0272200963981</v>
      </c>
      <c r="Q62" s="213">
        <f>$P62-(SQRT($O$65)*$Q$65)</f>
        <v>8.5369475717141317</v>
      </c>
      <c r="R62" s="213">
        <f>$P62+SQRT($O$65)*$Q$65</f>
        <v>11.517492621082068</v>
      </c>
      <c r="S62" s="265"/>
      <c r="U62" s="477">
        <f>EXP(P62)</f>
        <v>22634.262937812924</v>
      </c>
      <c r="V62" s="548">
        <f>EXP(Q62)</f>
        <v>5099.7539462444693</v>
      </c>
      <c r="W62" s="548">
        <f>EXP(R62)</f>
        <v>100457.76014651138</v>
      </c>
      <c r="X62" s="303"/>
      <c r="Y62" s="391">
        <f>C62</f>
        <v>5.2933048247244923</v>
      </c>
      <c r="Z62" s="386">
        <f>(+G$62+H$62*C62)</f>
        <v>10.02722009639805</v>
      </c>
      <c r="AA62" s="248"/>
      <c r="AB62" s="350">
        <f>B62-1900</f>
        <v>115</v>
      </c>
      <c r="AC62" s="247">
        <f>Z62-SQRT($O$65)*$Q$65</f>
        <v>8.5369475717140819</v>
      </c>
      <c r="AD62" s="258">
        <f>Z62+SQRT($O$65)*$Q$65</f>
        <v>11.517492621082019</v>
      </c>
      <c r="AE62" s="390">
        <f>Z62</f>
        <v>10.02722009639805</v>
      </c>
    </row>
    <row r="63" spans="1:31">
      <c r="A63" s="297"/>
      <c r="B63" s="224"/>
      <c r="C63" s="315"/>
      <c r="D63" s="224"/>
      <c r="E63" s="224"/>
      <c r="F63" s="224"/>
      <c r="G63" s="224"/>
      <c r="H63" s="224"/>
      <c r="I63" s="224"/>
      <c r="J63" s="224"/>
      <c r="K63" s="224"/>
      <c r="L63" s="224"/>
      <c r="M63" s="224"/>
      <c r="N63" s="224"/>
      <c r="O63" s="224"/>
      <c r="P63" s="224"/>
      <c r="Q63" s="224"/>
      <c r="R63" s="224"/>
      <c r="S63" s="224"/>
      <c r="T63" s="224"/>
      <c r="U63" s="224"/>
      <c r="V63" s="224"/>
      <c r="W63" s="224"/>
      <c r="X63" s="298"/>
      <c r="Y63" s="294"/>
      <c r="Z63" s="298"/>
      <c r="AA63" s="298"/>
      <c r="AB63" s="298"/>
      <c r="AC63" s="224"/>
      <c r="AD63" s="298"/>
    </row>
    <row r="64" spans="1:31">
      <c r="A64" s="246"/>
      <c r="C64" s="309"/>
      <c r="E64" s="308" t="s">
        <v>152</v>
      </c>
      <c r="F64" s="213">
        <f>F60</f>
        <v>32</v>
      </c>
      <c r="M64" s="308" t="s">
        <v>153</v>
      </c>
      <c r="O64" s="213">
        <f>AVERAGEA(O26:O59)</f>
        <v>1.3257879326652782</v>
      </c>
      <c r="P64" s="308" t="s">
        <v>154</v>
      </c>
      <c r="Q64" s="213">
        <f>VLOOKUP(F64,ttab!$A$3:$G$43,4)</f>
        <v>1.31</v>
      </c>
      <c r="X64" s="248"/>
      <c r="Y64" s="246"/>
    </row>
    <row r="65" spans="1:25" ht="21">
      <c r="A65" s="246"/>
      <c r="E65" s="308" t="s">
        <v>152</v>
      </c>
      <c r="F65" s="213">
        <f>F62</f>
        <v>33</v>
      </c>
      <c r="M65" s="308" t="s">
        <v>155</v>
      </c>
      <c r="O65" s="213">
        <f>AVERAGEA(O26:O63)</f>
        <v>1.2941624601293225</v>
      </c>
      <c r="P65" s="308" t="s">
        <v>154</v>
      </c>
      <c r="Q65" s="213">
        <f>VLOOKUP(F65,ttab!$A$3:$G$43,4)</f>
        <v>1.31</v>
      </c>
      <c r="S65" s="308" t="s">
        <v>166</v>
      </c>
      <c r="T65" s="213">
        <f>AVERAGEA(T26:T63)</f>
        <v>1116860163.5205624</v>
      </c>
      <c r="W65" s="124" t="s">
        <v>167</v>
      </c>
      <c r="X65" s="478">
        <f>AVERAGEA(X26:X62)</f>
        <v>0.87868661311444662</v>
      </c>
      <c r="Y65" s="246"/>
    </row>
    <row r="66" spans="1:25">
      <c r="A66" s="224"/>
      <c r="B66" s="224"/>
      <c r="C66" s="224"/>
      <c r="D66" s="224"/>
      <c r="E66" s="224"/>
      <c r="F66" s="224"/>
      <c r="G66" s="224"/>
      <c r="H66" s="224"/>
      <c r="I66" s="224"/>
      <c r="J66" s="224"/>
      <c r="K66" s="224"/>
      <c r="L66" s="224"/>
      <c r="M66" s="224"/>
      <c r="N66" s="224"/>
      <c r="O66" s="224"/>
      <c r="P66" s="224"/>
      <c r="Q66" s="224"/>
      <c r="R66" s="224"/>
      <c r="S66" s="224"/>
      <c r="T66" s="224"/>
      <c r="U66" s="224"/>
      <c r="V66" s="224"/>
      <c r="W66" s="224"/>
      <c r="X66" s="298"/>
    </row>
    <row r="68" spans="1:25" ht="15" customHeight="1"/>
    <row r="69" spans="1:25" ht="15" customHeight="1"/>
    <row r="70" spans="1:25" ht="15" customHeight="1"/>
    <row r="71" spans="1:25" ht="15" customHeight="1">
      <c r="K71" s="124" t="s">
        <v>369</v>
      </c>
      <c r="L71" s="213">
        <f>ROUND(L62,5)</f>
        <v>0.29947000000000001</v>
      </c>
    </row>
    <row r="72" spans="1:25" ht="15" customHeight="1">
      <c r="K72" s="124" t="s">
        <v>350</v>
      </c>
      <c r="L72" s="390">
        <f>ROUND(H62,5)</f>
        <v>0.37584000000000001</v>
      </c>
    </row>
    <row r="73" spans="1:25" ht="15" customHeight="1"/>
    <row r="74" spans="1:25" ht="15" customHeight="1"/>
    <row r="75" spans="1:25" ht="15" customHeight="1"/>
    <row r="76" spans="1:25" ht="15" customHeight="1"/>
    <row r="77" spans="1:25" ht="15" customHeight="1"/>
    <row r="78" spans="1:25" ht="15" customHeight="1"/>
    <row r="79" spans="1:25" ht="15" customHeight="1"/>
    <row r="80" spans="1:25" ht="15" customHeight="1"/>
    <row r="81" ht="15" customHeight="1"/>
    <row r="82" ht="15" customHeight="1"/>
    <row r="83" ht="15" customHeight="1"/>
    <row r="84" ht="15" customHeight="1"/>
    <row r="85" ht="15" customHeight="1"/>
    <row r="86" ht="15" customHeight="1"/>
    <row r="87" ht="15" customHeight="1"/>
    <row r="88" ht="15" customHeight="1"/>
  </sheetData>
  <sortState ref="A26:AF60">
    <sortCondition ref="B26"/>
  </sortState>
  <phoneticPr fontId="11" type="noConversion"/>
  <pageMargins left="0.5" right="0.5" top="1" bottom="0.55000000000000004" header="0.5" footer="0.5"/>
  <pageSetup orientation="landscape"/>
  <headerFooter alignWithMargins="0">
    <oddFooter>&amp;L&amp;D&amp;C+&amp;R^</oddFooter>
  </headerFooter>
  <rowBreaks count="1" manualBreakCount="1">
    <brk id="88" max="16383" man="1"/>
  </rowBreaks>
  <drawing r:id="rId1"/>
  <legacy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0" enableFormatConditionsCalculation="0"/>
  <dimension ref="A1:AF88"/>
  <sheetViews>
    <sheetView defaultGridColor="0" topLeftCell="D1" colorId="22" workbookViewId="0">
      <pane ySplit="11" topLeftCell="A51" activePane="bottomLeft" state="frozenSplit"/>
      <selection pane="bottomLeft" activeCell="A12" sqref="A12"/>
    </sheetView>
  </sheetViews>
  <sheetFormatPr baseColWidth="10" defaultColWidth="9.625" defaultRowHeight="15" x14ac:dyDescent="0"/>
  <cols>
    <col min="1" max="1" width="6.625" style="124" customWidth="1"/>
    <col min="2" max="2" width="10.625" style="124" customWidth="1"/>
    <col min="3" max="4" width="9.625" style="124"/>
    <col min="5" max="12" width="7.625" style="124" customWidth="1"/>
    <col min="13" max="19" width="9.625" style="124"/>
    <col min="20" max="20" width="12.125" style="124" bestFit="1" customWidth="1"/>
    <col min="21" max="21" width="14.375" style="124" customWidth="1"/>
    <col min="22" max="22" width="12.5" style="124" customWidth="1"/>
    <col min="23" max="23" width="12.875" style="124" customWidth="1"/>
    <col min="24" max="24" width="11.625" style="124" customWidth="1"/>
    <col min="25" max="16384" width="9.625" style="124"/>
  </cols>
  <sheetData>
    <row r="1" spans="1:30">
      <c r="A1" s="124" t="s">
        <v>30</v>
      </c>
      <c r="B1" s="213" t="str">
        <f ca="1">CELL("filename",B2)</f>
        <v>NWCLM04072996:Users:eric.ward:Documents:NCEAS-covariation:data:salmon data:[2015 Coghill Lake Wild Sockeye forecast-FINAL.xlsm]ln 13 x ln 12</v>
      </c>
      <c r="F1" s="124" t="s">
        <v>169</v>
      </c>
    </row>
    <row r="2" spans="1:30">
      <c r="A2" s="124" t="s">
        <v>31</v>
      </c>
      <c r="F2" s="288" t="s">
        <v>115</v>
      </c>
      <c r="G2" s="288" t="s">
        <v>161</v>
      </c>
    </row>
    <row r="3" spans="1:30">
      <c r="A3" s="124" t="s">
        <v>104</v>
      </c>
      <c r="B3" s="124" t="s">
        <v>105</v>
      </c>
      <c r="F3" s="288" t="s">
        <v>117</v>
      </c>
      <c r="G3" s="288" t="s">
        <v>170</v>
      </c>
    </row>
    <row r="4" spans="1:30">
      <c r="H4" s="124">
        <v>5</v>
      </c>
    </row>
    <row r="9" spans="1:30">
      <c r="A9" s="256"/>
      <c r="B9" s="256"/>
      <c r="C9" s="233" t="s">
        <v>120</v>
      </c>
      <c r="D9" s="289"/>
      <c r="E9" s="233"/>
      <c r="F9" s="230"/>
      <c r="G9" s="230"/>
      <c r="H9" s="230" t="s">
        <v>121</v>
      </c>
      <c r="I9" s="230"/>
      <c r="J9" s="230"/>
      <c r="K9" s="230"/>
      <c r="L9" s="230"/>
      <c r="M9" s="289"/>
      <c r="N9" s="233" t="s">
        <v>122</v>
      </c>
      <c r="O9" s="230"/>
      <c r="P9" s="230"/>
      <c r="Q9" s="230"/>
      <c r="R9" s="289"/>
      <c r="S9" s="233" t="s">
        <v>123</v>
      </c>
      <c r="T9" s="230"/>
      <c r="U9" s="230"/>
      <c r="V9" s="230"/>
      <c r="W9" s="289"/>
      <c r="X9" s="225" t="s">
        <v>124</v>
      </c>
      <c r="Y9" s="290" t="s">
        <v>125</v>
      </c>
      <c r="Z9" s="290" t="s">
        <v>126</v>
      </c>
      <c r="AA9" s="290" t="s">
        <v>127</v>
      </c>
      <c r="AB9" s="290" t="s">
        <v>128</v>
      </c>
      <c r="AC9" s="291" t="s">
        <v>129</v>
      </c>
      <c r="AD9" s="292"/>
    </row>
    <row r="10" spans="1:30">
      <c r="A10" s="188" t="s">
        <v>37</v>
      </c>
      <c r="B10" s="330" t="s">
        <v>40</v>
      </c>
      <c r="C10" s="293" t="s">
        <v>130</v>
      </c>
      <c r="D10" s="293" t="s">
        <v>131</v>
      </c>
      <c r="E10" s="256"/>
      <c r="F10" s="256"/>
      <c r="G10" s="256"/>
      <c r="H10" s="256"/>
      <c r="I10" s="293" t="s">
        <v>132</v>
      </c>
      <c r="J10" s="293" t="s">
        <v>133</v>
      </c>
      <c r="K10" s="293" t="s">
        <v>132</v>
      </c>
      <c r="L10" s="256"/>
      <c r="M10" s="293" t="s">
        <v>134</v>
      </c>
      <c r="N10" s="256"/>
      <c r="O10" s="256"/>
      <c r="P10" s="225" t="s">
        <v>135</v>
      </c>
      <c r="Q10" s="225" t="s">
        <v>4</v>
      </c>
      <c r="R10" s="225" t="s">
        <v>5</v>
      </c>
      <c r="S10" s="256"/>
      <c r="T10" s="256"/>
      <c r="U10" s="225" t="s">
        <v>135</v>
      </c>
      <c r="V10" s="225" t="s">
        <v>4</v>
      </c>
      <c r="W10" s="225" t="s">
        <v>5</v>
      </c>
      <c r="X10" s="188" t="s">
        <v>12</v>
      </c>
      <c r="Y10" s="252"/>
      <c r="Z10" s="225" t="s">
        <v>137</v>
      </c>
      <c r="AA10" s="225" t="s">
        <v>54</v>
      </c>
      <c r="AB10" s="225" t="s">
        <v>40</v>
      </c>
      <c r="AC10" s="290" t="s">
        <v>138</v>
      </c>
      <c r="AD10" s="290" t="s">
        <v>139</v>
      </c>
    </row>
    <row r="11" spans="1:30" ht="17" customHeight="1">
      <c r="A11" s="243" t="s">
        <v>42</v>
      </c>
      <c r="B11" s="331" t="s">
        <v>42</v>
      </c>
      <c r="C11" s="295" t="s">
        <v>125</v>
      </c>
      <c r="D11" s="295" t="s">
        <v>370</v>
      </c>
      <c r="E11" s="329" t="s">
        <v>49</v>
      </c>
      <c r="F11" s="329" t="s">
        <v>141</v>
      </c>
      <c r="G11" s="295" t="s">
        <v>107</v>
      </c>
      <c r="H11" s="295" t="s">
        <v>142</v>
      </c>
      <c r="I11" s="295" t="s">
        <v>142</v>
      </c>
      <c r="J11" s="295" t="s">
        <v>143</v>
      </c>
      <c r="K11" s="295" t="s">
        <v>133</v>
      </c>
      <c r="L11" s="295" t="s">
        <v>144</v>
      </c>
      <c r="M11" s="295" t="s">
        <v>145</v>
      </c>
      <c r="N11" s="295" t="s">
        <v>146</v>
      </c>
      <c r="O11" s="295" t="s">
        <v>147</v>
      </c>
      <c r="P11" s="295" t="s">
        <v>143</v>
      </c>
      <c r="Q11" s="295" t="s">
        <v>148</v>
      </c>
      <c r="R11" s="295" t="s">
        <v>149</v>
      </c>
      <c r="S11" s="295" t="s">
        <v>146</v>
      </c>
      <c r="T11" s="295" t="s">
        <v>147</v>
      </c>
      <c r="U11" s="295" t="s">
        <v>143</v>
      </c>
      <c r="V11" s="295" t="s">
        <v>148</v>
      </c>
      <c r="W11" s="295" t="s">
        <v>149</v>
      </c>
      <c r="X11" s="295" t="s">
        <v>150</v>
      </c>
      <c r="Y11" s="243" t="s">
        <v>165</v>
      </c>
      <c r="Z11" s="243" t="s">
        <v>151</v>
      </c>
      <c r="AA11" s="243" t="s">
        <v>151</v>
      </c>
      <c r="AB11" s="243" t="s">
        <v>42</v>
      </c>
      <c r="AC11" s="290" t="s">
        <v>4</v>
      </c>
      <c r="AD11" s="290" t="s">
        <v>5</v>
      </c>
    </row>
    <row r="12" spans="1:30">
      <c r="A12" s="253"/>
      <c r="B12" s="254"/>
      <c r="C12" s="254"/>
      <c r="D12" s="254"/>
      <c r="E12" s="254"/>
      <c r="F12" s="254"/>
      <c r="G12" s="254"/>
      <c r="H12" s="254"/>
      <c r="I12" s="254"/>
      <c r="J12" s="254"/>
      <c r="K12" s="254"/>
      <c r="L12" s="254"/>
      <c r="M12" s="254"/>
      <c r="N12" s="254"/>
      <c r="O12" s="254"/>
      <c r="P12" s="254"/>
      <c r="Q12" s="254"/>
      <c r="R12" s="254"/>
      <c r="S12" s="254"/>
      <c r="T12" s="254"/>
      <c r="U12" s="254"/>
      <c r="V12" s="254"/>
      <c r="W12" s="254"/>
      <c r="X12" s="255"/>
      <c r="Y12" s="256"/>
      <c r="Z12" s="256"/>
      <c r="AA12" s="256"/>
      <c r="AB12" s="256"/>
      <c r="AC12" s="253"/>
      <c r="AD12" s="255"/>
    </row>
    <row r="13" spans="1:30">
      <c r="A13" s="247">
        <v>1962</v>
      </c>
      <c r="B13" s="213">
        <f t="shared" ref="B13:B24" si="0">A13+5</f>
        <v>1967</v>
      </c>
      <c r="C13" s="300">
        <f>VLOOKUP($A13,BroodTab!$A$12:$AG$67,12)</f>
        <v>9.7877960780399356</v>
      </c>
      <c r="D13" s="300">
        <f>VLOOKUP($A13,BroodTab!$A$12:$AG$67,18)</f>
        <v>10.434733259991683</v>
      </c>
      <c r="X13" s="248"/>
      <c r="Y13" s="252"/>
      <c r="Z13" s="252"/>
      <c r="AA13" s="252"/>
      <c r="AB13" s="252"/>
      <c r="AC13" s="246"/>
      <c r="AD13" s="248"/>
    </row>
    <row r="14" spans="1:30">
      <c r="A14" s="247">
        <v>1963</v>
      </c>
      <c r="B14" s="213">
        <f t="shared" si="0"/>
        <v>1968</v>
      </c>
      <c r="C14" s="300">
        <f>VLOOKUP($A14,BroodTab!$A$12:$AG$67,12)</f>
        <v>8.3873122705617167</v>
      </c>
      <c r="D14" s="300">
        <f>VLOOKUP($A14,BroodTab!$A$12:$AG$67,18)</f>
        <v>10.892210567666956</v>
      </c>
      <c r="X14" s="248"/>
      <c r="Y14" s="252"/>
      <c r="Z14" s="252"/>
      <c r="AA14" s="252"/>
      <c r="AB14" s="252"/>
      <c r="AC14" s="246"/>
      <c r="AD14" s="248"/>
    </row>
    <row r="15" spans="1:30">
      <c r="A15" s="247">
        <v>1964</v>
      </c>
      <c r="B15" s="213">
        <f t="shared" si="0"/>
        <v>1969</v>
      </c>
      <c r="C15" s="300">
        <f>VLOOKUP($A15,BroodTab!$A$12:$AG$67,12)</f>
        <v>10.390163916069115</v>
      </c>
      <c r="D15" s="300">
        <f>VLOOKUP($A15,BroodTab!$A$12:$AG$67,18)</f>
        <v>11.730799154924901</v>
      </c>
      <c r="X15" s="248"/>
      <c r="Y15" s="252"/>
      <c r="Z15" s="252"/>
      <c r="AA15" s="252"/>
      <c r="AB15" s="252"/>
      <c r="AC15" s="246"/>
      <c r="AD15" s="248"/>
    </row>
    <row r="16" spans="1:30">
      <c r="A16" s="247">
        <v>1965</v>
      </c>
      <c r="B16" s="213">
        <f t="shared" si="0"/>
        <v>1970</v>
      </c>
      <c r="C16" s="300">
        <f>VLOOKUP($A16,BroodTab!$A$12:$AG$67,12)</f>
        <v>10.13455959017246</v>
      </c>
      <c r="D16" s="300">
        <f>VLOOKUP($A16,BroodTab!$A$12:$AG$67,18)</f>
        <v>10.797839376891529</v>
      </c>
      <c r="X16" s="248"/>
      <c r="Y16" s="252"/>
      <c r="Z16" s="252"/>
      <c r="AA16" s="252"/>
      <c r="AB16" s="252"/>
      <c r="AC16" s="246"/>
      <c r="AD16" s="248"/>
    </row>
    <row r="17" spans="1:30">
      <c r="A17" s="247">
        <v>1966</v>
      </c>
      <c r="B17" s="213">
        <f t="shared" si="0"/>
        <v>1971</v>
      </c>
      <c r="C17" s="300">
        <f>VLOOKUP($A17,BroodTab!$A$12:$AG$67,12)</f>
        <v>9.201602306032898</v>
      </c>
      <c r="D17" s="300">
        <f>VLOOKUP($A17,BroodTab!$A$12:$AG$67,18)</f>
        <v>10.910824842428626</v>
      </c>
      <c r="X17" s="248"/>
      <c r="Y17" s="252"/>
      <c r="Z17" s="252"/>
      <c r="AA17" s="252"/>
      <c r="AB17" s="252"/>
      <c r="AC17" s="246"/>
      <c r="AD17" s="248"/>
    </row>
    <row r="18" spans="1:30">
      <c r="A18" s="247">
        <v>1967</v>
      </c>
      <c r="B18" s="213">
        <f t="shared" si="0"/>
        <v>1972</v>
      </c>
      <c r="C18" s="300">
        <f>VLOOKUP($A18,BroodTab!$A$12:$AG$67,12)</f>
        <v>8.2297777500818867</v>
      </c>
      <c r="D18" s="300">
        <f>VLOOKUP($A18,BroodTab!$A$12:$AG$67,18)</f>
        <v>11.850382606616972</v>
      </c>
      <c r="X18" s="248"/>
      <c r="Y18" s="252"/>
      <c r="Z18" s="252"/>
      <c r="AA18" s="252"/>
      <c r="AB18" s="252"/>
      <c r="AC18" s="246"/>
      <c r="AD18" s="248"/>
    </row>
    <row r="19" spans="1:30">
      <c r="A19" s="247">
        <v>1968</v>
      </c>
      <c r="B19" s="213">
        <f t="shared" si="0"/>
        <v>1973</v>
      </c>
      <c r="C19" s="300">
        <f>VLOOKUP($A19,BroodTab!$A$12:$AG$67,12)</f>
        <v>10.022408488192408</v>
      </c>
      <c r="D19" s="300">
        <f>VLOOKUP($A19,BroodTab!$A$12:$AG$67,18)</f>
        <v>11.590994382039323</v>
      </c>
      <c r="X19" s="248"/>
      <c r="Y19" s="252"/>
      <c r="Z19" s="252"/>
      <c r="AA19" s="252"/>
      <c r="AB19" s="252"/>
      <c r="AC19" s="246"/>
      <c r="AD19" s="248"/>
    </row>
    <row r="20" spans="1:30">
      <c r="A20" s="247">
        <v>1969</v>
      </c>
      <c r="B20" s="213">
        <f t="shared" si="0"/>
        <v>1974</v>
      </c>
      <c r="C20" s="300">
        <f>VLOOKUP($A20,BroodTab!$A$12:$AG$67,12)</f>
        <v>9.4646873032298213</v>
      </c>
      <c r="D20" s="300">
        <f>VLOOKUP($A20,BroodTab!$A$12:$AG$67,18)</f>
        <v>11.015525972642649</v>
      </c>
      <c r="X20" s="248"/>
      <c r="Y20" s="252"/>
      <c r="Z20" s="252"/>
      <c r="AA20" s="252"/>
      <c r="AB20" s="252"/>
      <c r="AC20" s="246"/>
      <c r="AD20" s="248"/>
    </row>
    <row r="21" spans="1:30">
      <c r="A21" s="247">
        <v>1970</v>
      </c>
      <c r="B21" s="213">
        <f t="shared" si="0"/>
        <v>1975</v>
      </c>
      <c r="C21" s="300">
        <f>VLOOKUP($A21,BroodTab!$A$12:$AG$67,12)</f>
        <v>10.805273598207402</v>
      </c>
      <c r="D21" s="300">
        <f>VLOOKUP($A21,BroodTab!$A$12:$AG$67,18)</f>
        <v>11.971387748369406</v>
      </c>
      <c r="X21" s="248"/>
      <c r="Y21" s="252"/>
      <c r="Z21" s="252"/>
      <c r="AA21" s="252"/>
      <c r="AB21" s="252"/>
      <c r="AC21" s="246"/>
      <c r="AD21" s="248"/>
    </row>
    <row r="22" spans="1:30">
      <c r="A22" s="247">
        <v>1971</v>
      </c>
      <c r="B22" s="213">
        <f t="shared" si="0"/>
        <v>1976</v>
      </c>
      <c r="C22" s="300">
        <f>VLOOKUP($A22,BroodTab!$A$12:$AG$67,12)</f>
        <v>8.6312359074568974</v>
      </c>
      <c r="D22" s="300">
        <f>VLOOKUP($A22,BroodTab!$A$12:$AG$67,18)</f>
        <v>10.391024078324165</v>
      </c>
      <c r="X22" s="248"/>
      <c r="Y22" s="252"/>
      <c r="Z22" s="252"/>
      <c r="AA22" s="252"/>
      <c r="AB22" s="252"/>
      <c r="AC22" s="246"/>
      <c r="AD22" s="248"/>
    </row>
    <row r="23" spans="1:30">
      <c r="A23" s="247">
        <v>1972</v>
      </c>
      <c r="B23" s="213">
        <f t="shared" si="0"/>
        <v>1977</v>
      </c>
      <c r="C23" s="300">
        <f>VLOOKUP($A23,BroodTab!$A$12:$AG$67,12)</f>
        <v>10.290517098488607</v>
      </c>
      <c r="D23" s="300">
        <f>VLOOKUP($A23,BroodTab!$A$12:$AG$67,18)</f>
        <v>12.008103298139684</v>
      </c>
      <c r="X23" s="248"/>
      <c r="Y23" s="252"/>
      <c r="Z23" s="252"/>
      <c r="AA23" s="252"/>
      <c r="AB23" s="252"/>
      <c r="AC23" s="246"/>
      <c r="AD23" s="248"/>
    </row>
    <row r="24" spans="1:30">
      <c r="A24" s="297">
        <v>1973</v>
      </c>
      <c r="B24" s="213">
        <f t="shared" si="0"/>
        <v>1978</v>
      </c>
      <c r="C24" s="300">
        <f>VLOOKUP($A24,BroodTab!$A$12:$AG$67,12)</f>
        <v>10.144628180551992</v>
      </c>
      <c r="D24" s="300">
        <f>VLOOKUP($A24,BroodTab!$A$12:$AG$67,18)</f>
        <v>12.221438976410639</v>
      </c>
      <c r="E24" s="224"/>
      <c r="F24" s="224"/>
      <c r="G24" s="224"/>
      <c r="H24" s="224"/>
      <c r="I24" s="224"/>
      <c r="J24" s="224"/>
      <c r="K24" s="224"/>
      <c r="L24" s="224"/>
      <c r="M24" s="224"/>
      <c r="N24" s="224"/>
      <c r="O24" s="224"/>
      <c r="P24" s="224"/>
      <c r="Q24" s="224"/>
      <c r="R24" s="224"/>
      <c r="S24" s="224"/>
      <c r="T24" s="224"/>
      <c r="U24" s="224"/>
      <c r="V24" s="224"/>
      <c r="W24" s="224"/>
      <c r="X24" s="298"/>
      <c r="Y24" s="294"/>
      <c r="Z24" s="294"/>
      <c r="AA24" s="294"/>
      <c r="AB24" s="294"/>
      <c r="AC24" s="260"/>
      <c r="AD24" s="298"/>
    </row>
    <row r="25" spans="1:30">
      <c r="A25" s="244"/>
      <c r="B25" s="254"/>
      <c r="C25" s="300"/>
      <c r="D25" s="300"/>
      <c r="E25" s="299"/>
      <c r="F25" s="254"/>
      <c r="G25" s="254"/>
      <c r="H25" s="254"/>
      <c r="I25" s="254"/>
      <c r="J25" s="254"/>
      <c r="K25" s="254"/>
      <c r="L25" s="254"/>
      <c r="M25" s="254"/>
      <c r="N25" s="254"/>
      <c r="O25" s="254"/>
      <c r="P25" s="254"/>
      <c r="Q25" s="254"/>
      <c r="R25" s="254"/>
      <c r="S25" s="254"/>
      <c r="T25" s="254"/>
      <c r="U25" s="254"/>
      <c r="V25" s="254"/>
      <c r="W25" s="254"/>
      <c r="X25" s="255"/>
      <c r="Y25" s="256"/>
      <c r="Z25" s="256"/>
      <c r="AA25" s="256"/>
      <c r="AB25" s="256"/>
      <c r="AC25" s="253"/>
      <c r="AD25" s="255"/>
    </row>
    <row r="26" spans="1:30">
      <c r="A26" s="247">
        <v>1974</v>
      </c>
      <c r="B26" s="213">
        <f t="shared" ref="B26:B61" si="1">A26+$H$4</f>
        <v>1979</v>
      </c>
      <c r="C26" s="300">
        <f>VLOOKUP($A26,BroodTab!$A$12:$AG$67,12)</f>
        <v>9.9537528186836788</v>
      </c>
      <c r="D26" s="300">
        <f>VLOOKUP($A26,BroodTab!$A$12:$AG$67,18)</f>
        <v>11.241772694469658</v>
      </c>
      <c r="E26" s="213">
        <v>35</v>
      </c>
      <c r="F26" s="213">
        <v>33</v>
      </c>
      <c r="G26" s="300">
        <v>2.9746642221968358</v>
      </c>
      <c r="H26" s="300">
        <v>0.83221875449927085</v>
      </c>
      <c r="I26" s="213">
        <v>9.4482876143920688E-2</v>
      </c>
      <c r="J26" s="213">
        <v>11.258363995555374</v>
      </c>
      <c r="K26" s="213">
        <v>0.70707001855132745</v>
      </c>
      <c r="L26" s="213">
        <v>0.70158268668505896</v>
      </c>
      <c r="M26" s="124">
        <v>0.54084170554192879</v>
      </c>
      <c r="N26" s="213">
        <f t="shared" ref="N26:N61" si="2">D26-J26</f>
        <v>-1.6591301085716381E-2</v>
      </c>
      <c r="O26" s="213">
        <f t="shared" ref="O26:O61" si="3">N26^2</f>
        <v>2.7527127171689356E-4</v>
      </c>
      <c r="P26" s="384">
        <f t="shared" ref="P26:P61" si="4">J26</f>
        <v>11.258363995555374</v>
      </c>
      <c r="Q26" s="213">
        <f t="shared" ref="Q26:Q41" si="5">$P26-SQRT($O$65)*$Q$65</f>
        <v>10.298558992393552</v>
      </c>
      <c r="R26" s="213">
        <f t="shared" ref="R26:R61" si="6">$P26+SQRT($O$65)*$Q$65</f>
        <v>12.218168998717196</v>
      </c>
      <c r="S26" s="350">
        <f t="shared" ref="S26:S61" si="7">EXP(D26)-U26</f>
        <v>-1275.639706900125</v>
      </c>
      <c r="T26" s="213">
        <f t="shared" ref="T26:T61" si="8">S26^2</f>
        <v>1627256.6618202368</v>
      </c>
      <c r="U26" s="350">
        <f t="shared" ref="U26:U61" si="9">EXP(P26)</f>
        <v>77525.63970690011</v>
      </c>
      <c r="V26" s="350">
        <f t="shared" ref="V26:V61" si="10">EXP(Q26)</f>
        <v>29689.804778077145</v>
      </c>
      <c r="W26" s="350">
        <f t="shared" ref="W26:W61" si="11">EXP(R26)</f>
        <v>202433.96199095316</v>
      </c>
      <c r="X26" s="364">
        <f t="shared" ref="X26:X61" si="12">(+U26-EXP(D26))/(EXP(D26))</f>
        <v>1.6729701074100004E-2</v>
      </c>
      <c r="Y26" s="258">
        <f t="shared" ref="Y26:Y61" si="13">C26</f>
        <v>9.9537528186836788</v>
      </c>
      <c r="Z26" s="386">
        <f t="shared" ref="Z26:Z61" si="14">(+G$63+H$63*C26)</f>
        <v>11.25790098573659</v>
      </c>
      <c r="AA26" s="258">
        <f t="shared" ref="AA26:AA61" si="15">D26</f>
        <v>11.241772694469658</v>
      </c>
      <c r="AB26" s="350">
        <f>'ln 12 x ln 11'!B26-1900</f>
        <v>80</v>
      </c>
      <c r="AC26" s="247">
        <f t="shared" ref="AC26:AC61" si="16">Z26-SQRT($O$65)*$Q$65</f>
        <v>10.298095982574768</v>
      </c>
      <c r="AD26" s="258">
        <f t="shared" ref="AD26:AD61" si="17">Z26+SQRT($O$65)*$Q$65</f>
        <v>12.217705988898413</v>
      </c>
    </row>
    <row r="27" spans="1:30">
      <c r="A27" s="247">
        <v>1975</v>
      </c>
      <c r="B27" s="213">
        <f t="shared" si="1"/>
        <v>1980</v>
      </c>
      <c r="C27" s="300">
        <f>VLOOKUP($A27,BroodTab!$A$12:$AG$67,12)</f>
        <v>10.554431576877635</v>
      </c>
      <c r="D27" s="300">
        <f>VLOOKUP($A27,BroodTab!$A$12:$AG$67,18)</f>
        <v>11.825321512223232</v>
      </c>
      <c r="E27" s="213">
        <v>35</v>
      </c>
      <c r="F27" s="213">
        <v>33</v>
      </c>
      <c r="G27" s="300">
        <v>2.9809711239823891</v>
      </c>
      <c r="H27" s="300">
        <v>0.83133573700656271</v>
      </c>
      <c r="I27" s="213">
        <v>9.4874274988357099E-2</v>
      </c>
      <c r="J27" s="213">
        <v>11.755247277631295</v>
      </c>
      <c r="K27" s="213">
        <v>0.7069743293177968</v>
      </c>
      <c r="L27" s="213">
        <v>0.69940259880623912</v>
      </c>
      <c r="M27" s="124">
        <v>0.54070912312828368</v>
      </c>
      <c r="N27" s="213">
        <f t="shared" si="2"/>
        <v>7.0074234591936957E-2</v>
      </c>
      <c r="O27" s="213">
        <f t="shared" si="3"/>
        <v>4.9103983536458139E-3</v>
      </c>
      <c r="P27" s="384">
        <f t="shared" si="4"/>
        <v>11.755247277631295</v>
      </c>
      <c r="Q27" s="213">
        <f t="shared" si="5"/>
        <v>10.795442274469472</v>
      </c>
      <c r="R27" s="213">
        <f t="shared" si="6"/>
        <v>12.715052280793117</v>
      </c>
      <c r="S27" s="350">
        <f t="shared" si="7"/>
        <v>9249.1680118666554</v>
      </c>
      <c r="T27" s="213">
        <f t="shared" si="8"/>
        <v>85547108.911737382</v>
      </c>
      <c r="U27" s="350">
        <f t="shared" si="9"/>
        <v>127420.41818813334</v>
      </c>
      <c r="V27" s="350">
        <f t="shared" si="10"/>
        <v>48797.886158041183</v>
      </c>
      <c r="W27" s="350">
        <f t="shared" si="11"/>
        <v>332718.57142859721</v>
      </c>
      <c r="X27" s="364">
        <f t="shared" si="12"/>
        <v>-6.767539339975448E-2</v>
      </c>
      <c r="Y27" s="258">
        <f t="shared" si="13"/>
        <v>10.554431576877635</v>
      </c>
      <c r="Z27" s="386">
        <f t="shared" si="14"/>
        <v>11.757781989055731</v>
      </c>
      <c r="AA27" s="258">
        <f t="shared" si="15"/>
        <v>11.825321512223232</v>
      </c>
      <c r="AB27" s="350">
        <f t="shared" ref="AB27:AB61" si="18">B27-1900</f>
        <v>80</v>
      </c>
      <c r="AC27" s="247">
        <f t="shared" si="16"/>
        <v>10.797976985893909</v>
      </c>
      <c r="AD27" s="258">
        <f t="shared" si="17"/>
        <v>12.717586992217553</v>
      </c>
    </row>
    <row r="28" spans="1:30">
      <c r="A28" s="247">
        <v>1976</v>
      </c>
      <c r="B28" s="213">
        <f t="shared" si="1"/>
        <v>1981</v>
      </c>
      <c r="C28" s="300">
        <f>VLOOKUP($A28,BroodTab!$A$12:$AG$67,12)</f>
        <v>10.86730537695477</v>
      </c>
      <c r="D28" s="300">
        <f>VLOOKUP($A28,BroodTab!$A$12:$AG$67,18)</f>
        <v>11.512059014710591</v>
      </c>
      <c r="E28" s="213">
        <v>35</v>
      </c>
      <c r="F28" s="213">
        <v>33</v>
      </c>
      <c r="G28" s="300">
        <v>2.8958880718582964</v>
      </c>
      <c r="H28" s="300">
        <v>0.84164698444039121</v>
      </c>
      <c r="I28" s="213">
        <v>9.4575715500523988E-2</v>
      </c>
      <c r="J28" s="213">
        <v>12.042322871365128</v>
      </c>
      <c r="K28" s="213">
        <v>0.70130156730024795</v>
      </c>
      <c r="L28" s="213">
        <v>0.70587063624344637</v>
      </c>
      <c r="M28" s="124">
        <v>0.5328171780245643</v>
      </c>
      <c r="N28" s="213">
        <f t="shared" si="2"/>
        <v>-0.53026385665453724</v>
      </c>
      <c r="O28" s="213">
        <f t="shared" si="3"/>
        <v>0.2811797576741436</v>
      </c>
      <c r="P28" s="384">
        <f t="shared" si="4"/>
        <v>12.042322871365128</v>
      </c>
      <c r="Q28" s="213">
        <f t="shared" si="5"/>
        <v>11.082517868203306</v>
      </c>
      <c r="R28" s="213">
        <f t="shared" si="6"/>
        <v>13.00212787452695</v>
      </c>
      <c r="S28" s="350">
        <f t="shared" si="7"/>
        <v>-69877.492626927575</v>
      </c>
      <c r="T28" s="213">
        <f t="shared" si="8"/>
        <v>4882863975.8263178</v>
      </c>
      <c r="U28" s="350">
        <f t="shared" si="9"/>
        <v>169790.88512692752</v>
      </c>
      <c r="V28" s="350">
        <f t="shared" si="10"/>
        <v>65024.400334831735</v>
      </c>
      <c r="W28" s="350">
        <f t="shared" si="11"/>
        <v>443355.79449769482</v>
      </c>
      <c r="X28" s="364">
        <f t="shared" si="12"/>
        <v>0.69938064235910735</v>
      </c>
      <c r="Y28" s="258">
        <f t="shared" si="13"/>
        <v>10.86730537695477</v>
      </c>
      <c r="Z28" s="386">
        <f t="shared" si="14"/>
        <v>12.018153555323654</v>
      </c>
      <c r="AA28" s="258">
        <f t="shared" si="15"/>
        <v>11.512059014710591</v>
      </c>
      <c r="AB28" s="350">
        <f t="shared" si="18"/>
        <v>81</v>
      </c>
      <c r="AC28" s="247">
        <f t="shared" si="16"/>
        <v>11.058348552161831</v>
      </c>
      <c r="AD28" s="258">
        <f t="shared" si="17"/>
        <v>12.977958558485476</v>
      </c>
    </row>
    <row r="29" spans="1:30">
      <c r="A29" s="247">
        <v>1977</v>
      </c>
      <c r="B29" s="213">
        <f t="shared" si="1"/>
        <v>1982</v>
      </c>
      <c r="C29" s="300">
        <f>VLOOKUP($A29,BroodTab!$A$12:$AG$67,12)</f>
        <v>11.828340204117774</v>
      </c>
      <c r="D29" s="300">
        <f>VLOOKUP($A29,BroodTab!$A$12:$AG$67,18)</f>
        <v>13.918298428205901</v>
      </c>
      <c r="E29" s="213">
        <v>35</v>
      </c>
      <c r="F29" s="213">
        <v>33</v>
      </c>
      <c r="G29" s="300">
        <v>3.36104971389162</v>
      </c>
      <c r="H29" s="300">
        <v>0.78959218450373636</v>
      </c>
      <c r="I29" s="213">
        <v>9.3932117917070776E-2</v>
      </c>
      <c r="J29" s="213">
        <v>12.700614694714343</v>
      </c>
      <c r="K29" s="213">
        <v>0.67775564853168824</v>
      </c>
      <c r="L29" s="213">
        <v>0.68165346168343399</v>
      </c>
      <c r="M29" s="124">
        <v>0.49848128811935805</v>
      </c>
      <c r="N29" s="213">
        <f t="shared" si="2"/>
        <v>1.2176837334915582</v>
      </c>
      <c r="O29" s="213">
        <f t="shared" si="3"/>
        <v>1.4827536748099401</v>
      </c>
      <c r="P29" s="384">
        <f t="shared" si="4"/>
        <v>12.700614694714343</v>
      </c>
      <c r="Q29" s="213">
        <f t="shared" si="5"/>
        <v>11.740809691552521</v>
      </c>
      <c r="R29" s="213">
        <f t="shared" si="6"/>
        <v>13.660419697876165</v>
      </c>
      <c r="S29" s="350">
        <f t="shared" si="7"/>
        <v>780306.86129087408</v>
      </c>
      <c r="T29" s="213">
        <f t="shared" si="8"/>
        <v>608878797777.61536</v>
      </c>
      <c r="U29" s="350">
        <f t="shared" si="9"/>
        <v>327949.42870912526</v>
      </c>
      <c r="V29" s="350">
        <f t="shared" si="10"/>
        <v>125593.99125589214</v>
      </c>
      <c r="W29" s="350">
        <f t="shared" si="11"/>
        <v>856337.36706011381</v>
      </c>
      <c r="X29" s="364">
        <f t="shared" si="12"/>
        <v>-0.70408520874794633</v>
      </c>
      <c r="Y29" s="258">
        <f t="shared" si="13"/>
        <v>11.828340204117774</v>
      </c>
      <c r="Z29" s="386">
        <f t="shared" si="14"/>
        <v>12.817920564017776</v>
      </c>
      <c r="AA29" s="258">
        <f t="shared" si="15"/>
        <v>13.918298428205901</v>
      </c>
      <c r="AB29" s="350">
        <f t="shared" si="18"/>
        <v>82</v>
      </c>
      <c r="AC29" s="247">
        <f t="shared" si="16"/>
        <v>11.858115560855953</v>
      </c>
      <c r="AD29" s="258">
        <f t="shared" si="17"/>
        <v>13.777725567179598</v>
      </c>
    </row>
    <row r="30" spans="1:30">
      <c r="A30" s="247">
        <v>1978</v>
      </c>
      <c r="B30" s="213">
        <f t="shared" si="1"/>
        <v>1983</v>
      </c>
      <c r="C30" s="300">
        <f>VLOOKUP($A30,BroodTab!$A$12:$AG$67,12)</f>
        <v>9.0823713208076846</v>
      </c>
      <c r="D30" s="300">
        <f>VLOOKUP($A30,BroodTab!$A$12:$AG$67,18)</f>
        <v>10.846011173580045</v>
      </c>
      <c r="E30" s="213">
        <v>35</v>
      </c>
      <c r="F30" s="213">
        <v>33</v>
      </c>
      <c r="G30" s="300">
        <v>2.920241234142102</v>
      </c>
      <c r="H30" s="300">
        <v>0.83676936058491813</v>
      </c>
      <c r="I30" s="213">
        <v>9.4723957933848454E-2</v>
      </c>
      <c r="J30" s="213">
        <v>10.520091276849147</v>
      </c>
      <c r="K30" s="213">
        <v>0.70488450792533941</v>
      </c>
      <c r="L30" s="213">
        <v>0.70279758514423551</v>
      </c>
      <c r="M30" s="124">
        <v>0.53781084318495387</v>
      </c>
      <c r="N30" s="213">
        <f t="shared" si="2"/>
        <v>0.32591989673089827</v>
      </c>
      <c r="O30" s="213">
        <f t="shared" si="3"/>
        <v>0.10622377908507939</v>
      </c>
      <c r="P30" s="384">
        <f t="shared" si="4"/>
        <v>10.520091276849147</v>
      </c>
      <c r="Q30" s="213">
        <f t="shared" si="5"/>
        <v>9.5602862736873249</v>
      </c>
      <c r="R30" s="213">
        <f t="shared" si="6"/>
        <v>11.479896280010969</v>
      </c>
      <c r="S30" s="350">
        <f t="shared" si="7"/>
        <v>14276.493626299671</v>
      </c>
      <c r="T30" s="213">
        <f t="shared" si="8"/>
        <v>203818270.26177514</v>
      </c>
      <c r="U30" s="350">
        <f t="shared" si="9"/>
        <v>37052.506373700344</v>
      </c>
      <c r="V30" s="350">
        <f t="shared" si="10"/>
        <v>14189.907815436063</v>
      </c>
      <c r="W30" s="350">
        <f t="shared" si="11"/>
        <v>96751.032242764093</v>
      </c>
      <c r="X30" s="364">
        <f t="shared" si="12"/>
        <v>-0.27813699129731079</v>
      </c>
      <c r="Y30" s="258">
        <f t="shared" si="13"/>
        <v>9.0823713208076846</v>
      </c>
      <c r="Z30" s="386">
        <f t="shared" si="14"/>
        <v>10.532742901669067</v>
      </c>
      <c r="AA30" s="258">
        <f t="shared" si="15"/>
        <v>10.846011173580045</v>
      </c>
      <c r="AB30" s="350">
        <f t="shared" si="18"/>
        <v>83</v>
      </c>
      <c r="AC30" s="247">
        <f t="shared" si="16"/>
        <v>9.5729378985072451</v>
      </c>
      <c r="AD30" s="258">
        <f t="shared" si="17"/>
        <v>11.492547904830889</v>
      </c>
    </row>
    <row r="31" spans="1:30">
      <c r="A31" s="247">
        <v>1979</v>
      </c>
      <c r="B31" s="213">
        <f t="shared" si="1"/>
        <v>1984</v>
      </c>
      <c r="C31" s="300">
        <f>VLOOKUP($A31,BroodTab!$A$12:$AG$67,12)</f>
        <v>9.7664643563694611</v>
      </c>
      <c r="D31" s="300">
        <f>VLOOKUP($A31,BroodTab!$A$12:$AG$67,18)</f>
        <v>11.564540207687728</v>
      </c>
      <c r="E31" s="213">
        <v>35</v>
      </c>
      <c r="F31" s="213">
        <v>33</v>
      </c>
      <c r="G31" s="300">
        <v>2.9526602241879978</v>
      </c>
      <c r="H31" s="300">
        <v>0.83306246009312324</v>
      </c>
      <c r="I31" s="213">
        <v>9.3854199473754729E-2</v>
      </c>
      <c r="J31" s="213">
        <v>11.088735047316943</v>
      </c>
      <c r="K31" s="213">
        <v>0.70234439275081817</v>
      </c>
      <c r="L31" s="213">
        <v>0.70479244376898453</v>
      </c>
      <c r="M31" s="124">
        <v>0.53437713546610122</v>
      </c>
      <c r="N31" s="213">
        <f t="shared" si="2"/>
        <v>0.47580516037078446</v>
      </c>
      <c r="O31" s="213">
        <f t="shared" si="3"/>
        <v>0.22639055063546792</v>
      </c>
      <c r="P31" s="384">
        <f t="shared" si="4"/>
        <v>11.088735047316943</v>
      </c>
      <c r="Q31" s="213">
        <f t="shared" si="5"/>
        <v>10.128930044155121</v>
      </c>
      <c r="R31" s="213">
        <f t="shared" si="6"/>
        <v>12.048540050478765</v>
      </c>
      <c r="S31" s="350">
        <f t="shared" si="7"/>
        <v>39867.072008740121</v>
      </c>
      <c r="T31" s="213">
        <f t="shared" si="8"/>
        <v>1589383430.55007</v>
      </c>
      <c r="U31" s="350">
        <f t="shared" si="9"/>
        <v>65429.927991259792</v>
      </c>
      <c r="V31" s="350">
        <f t="shared" si="10"/>
        <v>25057.539622356042</v>
      </c>
      <c r="W31" s="350">
        <f t="shared" si="11"/>
        <v>170849.79377312513</v>
      </c>
      <c r="X31" s="364">
        <f t="shared" si="12"/>
        <v>-0.37861545921289452</v>
      </c>
      <c r="Y31" s="258">
        <f t="shared" si="13"/>
        <v>9.7664643563694611</v>
      </c>
      <c r="Z31" s="386">
        <f t="shared" si="14"/>
        <v>11.102040730692412</v>
      </c>
      <c r="AA31" s="258">
        <f t="shared" si="15"/>
        <v>11.564540207687728</v>
      </c>
      <c r="AB31" s="350">
        <f t="shared" si="18"/>
        <v>84</v>
      </c>
      <c r="AC31" s="247">
        <f t="shared" si="16"/>
        <v>10.14223572753059</v>
      </c>
      <c r="AD31" s="258">
        <f t="shared" si="17"/>
        <v>12.061845733854234</v>
      </c>
    </row>
    <row r="32" spans="1:30">
      <c r="A32" s="247">
        <v>1980</v>
      </c>
      <c r="B32" s="213">
        <f t="shared" si="1"/>
        <v>1985</v>
      </c>
      <c r="C32" s="300">
        <f>VLOOKUP($A32,BroodTab!$A$12:$AG$67,12)</f>
        <v>10.5395351410555</v>
      </c>
      <c r="D32" s="300">
        <f>VLOOKUP($A32,BroodTab!$A$12:$AG$67,18)</f>
        <v>12.748455257329253</v>
      </c>
      <c r="E32" s="213">
        <v>35</v>
      </c>
      <c r="F32" s="213">
        <v>33</v>
      </c>
      <c r="G32" s="300">
        <v>3.0685069281383903</v>
      </c>
      <c r="H32" s="300">
        <v>0.81973475085889469</v>
      </c>
      <c r="I32" s="213">
        <v>9.182090361895516E-2</v>
      </c>
      <c r="J32" s="213">
        <v>11.708130141160087</v>
      </c>
      <c r="K32" s="213">
        <v>0.68434957079534686</v>
      </c>
      <c r="L32" s="213">
        <v>0.7071897243618156</v>
      </c>
      <c r="M32" s="124">
        <v>0.50992110481404096</v>
      </c>
      <c r="N32" s="213">
        <f t="shared" si="2"/>
        <v>1.040325116169166</v>
      </c>
      <c r="O32" s="213">
        <f t="shared" si="3"/>
        <v>1.0822763473323886</v>
      </c>
      <c r="P32" s="384">
        <f t="shared" si="4"/>
        <v>11.708130141160087</v>
      </c>
      <c r="Q32" s="213">
        <f t="shared" si="5"/>
        <v>10.748325137998265</v>
      </c>
      <c r="R32" s="213">
        <f t="shared" si="6"/>
        <v>12.667935144321909</v>
      </c>
      <c r="S32" s="350">
        <f t="shared" si="7"/>
        <v>222464.08728302119</v>
      </c>
      <c r="T32" s="213">
        <f t="shared" si="8"/>
        <v>49490270130.667671</v>
      </c>
      <c r="U32" s="350">
        <f t="shared" si="9"/>
        <v>121555.97571697876</v>
      </c>
      <c r="V32" s="350">
        <f t="shared" si="10"/>
        <v>46551.994956638475</v>
      </c>
      <c r="W32" s="350">
        <f t="shared" si="11"/>
        <v>317405.4140165188</v>
      </c>
      <c r="X32" s="364">
        <f t="shared" si="12"/>
        <v>-0.6466602131952438</v>
      </c>
      <c r="Y32" s="258">
        <f t="shared" si="13"/>
        <v>10.5395351410555</v>
      </c>
      <c r="Z32" s="386">
        <f t="shared" si="14"/>
        <v>11.745385270871395</v>
      </c>
      <c r="AA32" s="258">
        <f t="shared" si="15"/>
        <v>12.748455257329253</v>
      </c>
      <c r="AB32" s="350">
        <f t="shared" si="18"/>
        <v>85</v>
      </c>
      <c r="AC32" s="247">
        <f t="shared" si="16"/>
        <v>10.785580267709573</v>
      </c>
      <c r="AD32" s="258">
        <f t="shared" si="17"/>
        <v>12.705190274033217</v>
      </c>
    </row>
    <row r="33" spans="1:30">
      <c r="A33" s="247">
        <v>1981</v>
      </c>
      <c r="B33" s="213">
        <f t="shared" si="1"/>
        <v>1986</v>
      </c>
      <c r="C33" s="300">
        <f>VLOOKUP($A33,BroodTab!$A$12:$AG$67,12)</f>
        <v>11.434726857564771</v>
      </c>
      <c r="D33" s="300">
        <f>VLOOKUP($A33,BroodTab!$A$12:$AG$67,18)</f>
        <v>12.782453478868353</v>
      </c>
      <c r="E33" s="213">
        <v>35</v>
      </c>
      <c r="F33" s="213">
        <v>33</v>
      </c>
      <c r="G33" s="300">
        <v>3.0525172178943141</v>
      </c>
      <c r="H33" s="300">
        <v>0.8233976771041156</v>
      </c>
      <c r="I33" s="213">
        <v>9.6409698130005439E-2</v>
      </c>
      <c r="J33" s="213">
        <v>12.467844750733189</v>
      </c>
      <c r="K33" s="213">
        <v>0.70510382193621712</v>
      </c>
      <c r="L33" s="213">
        <v>0.68850888659940668</v>
      </c>
      <c r="M33" s="124">
        <v>0.53801414635108635</v>
      </c>
      <c r="N33" s="213">
        <f t="shared" si="2"/>
        <v>0.31460872813516438</v>
      </c>
      <c r="O33" s="213">
        <f t="shared" si="3"/>
        <v>9.8978651818825772E-2</v>
      </c>
      <c r="P33" s="384">
        <f t="shared" si="4"/>
        <v>12.467844750733189</v>
      </c>
      <c r="Q33" s="213">
        <f t="shared" si="5"/>
        <v>11.508039747571367</v>
      </c>
      <c r="R33" s="213">
        <f t="shared" si="6"/>
        <v>13.427649753895011</v>
      </c>
      <c r="S33" s="350">
        <f t="shared" si="7"/>
        <v>96071.144432922796</v>
      </c>
      <c r="T33" s="213">
        <f t="shared" si="8"/>
        <v>9229664792.6515121</v>
      </c>
      <c r="U33" s="350">
        <f t="shared" si="9"/>
        <v>259846.08416707706</v>
      </c>
      <c r="V33" s="350">
        <f t="shared" si="10"/>
        <v>99512.619830490366</v>
      </c>
      <c r="W33" s="350">
        <f t="shared" si="11"/>
        <v>678506.78207424469</v>
      </c>
      <c r="X33" s="364">
        <f t="shared" si="12"/>
        <v>-0.26992552400685565</v>
      </c>
      <c r="Y33" s="258">
        <f t="shared" si="13"/>
        <v>11.434726857564771</v>
      </c>
      <c r="Z33" s="386">
        <f t="shared" si="14"/>
        <v>12.490358065909282</v>
      </c>
      <c r="AA33" s="258">
        <f t="shared" si="15"/>
        <v>12.782453478868353</v>
      </c>
      <c r="AB33" s="350">
        <f t="shared" si="18"/>
        <v>86</v>
      </c>
      <c r="AC33" s="247">
        <f t="shared" si="16"/>
        <v>11.53055306274746</v>
      </c>
      <c r="AD33" s="258">
        <f t="shared" si="17"/>
        <v>13.450163069071104</v>
      </c>
    </row>
    <row r="34" spans="1:30">
      <c r="A34" s="247">
        <v>1982</v>
      </c>
      <c r="B34" s="213">
        <f t="shared" si="1"/>
        <v>1987</v>
      </c>
      <c r="C34" s="300">
        <f>VLOOKUP($A34,BroodTab!$A$12:$AG$67,12)</f>
        <v>10.978560542529122</v>
      </c>
      <c r="D34" s="300">
        <f>VLOOKUP($A34,BroodTab!$A$12:$AG$67,18)</f>
        <v>13.212176658724646</v>
      </c>
      <c r="E34" s="213">
        <v>35</v>
      </c>
      <c r="F34" s="213">
        <v>33</v>
      </c>
      <c r="G34" s="300">
        <v>3.168908848106371</v>
      </c>
      <c r="H34" s="300">
        <v>0.80922664133245692</v>
      </c>
      <c r="I34" s="213">
        <v>9.1792346295446914E-2</v>
      </c>
      <c r="J34" s="213">
        <v>12.053052522602249</v>
      </c>
      <c r="K34" s="213">
        <v>0.67916725822707236</v>
      </c>
      <c r="L34" s="213">
        <v>0.70194827071232846</v>
      </c>
      <c r="M34" s="124">
        <v>0.50245119212454337</v>
      </c>
      <c r="N34" s="213">
        <f t="shared" si="2"/>
        <v>1.1591241361223972</v>
      </c>
      <c r="O34" s="213">
        <f t="shared" si="3"/>
        <v>1.3435687629414936</v>
      </c>
      <c r="P34" s="384">
        <f t="shared" si="4"/>
        <v>12.053052522602249</v>
      </c>
      <c r="Q34" s="213">
        <f t="shared" si="5"/>
        <v>11.093247519440427</v>
      </c>
      <c r="R34" s="213">
        <f t="shared" si="6"/>
        <v>13.012857525764071</v>
      </c>
      <c r="S34" s="350">
        <f t="shared" si="7"/>
        <v>375362.50921948114</v>
      </c>
      <c r="T34" s="213">
        <f t="shared" si="8"/>
        <v>140897013327.54507</v>
      </c>
      <c r="U34" s="350">
        <f t="shared" si="9"/>
        <v>171622.49078051851</v>
      </c>
      <c r="V34" s="350">
        <f t="shared" si="10"/>
        <v>65725.845875831234</v>
      </c>
      <c r="W34" s="350">
        <f t="shared" si="11"/>
        <v>448138.45982832927</v>
      </c>
      <c r="X34" s="364">
        <f t="shared" si="12"/>
        <v>-0.68623912761681105</v>
      </c>
      <c r="Y34" s="258">
        <f t="shared" si="13"/>
        <v>10.978560542529122</v>
      </c>
      <c r="Z34" s="386">
        <f t="shared" si="14"/>
        <v>12.110739389320777</v>
      </c>
      <c r="AA34" s="258">
        <f t="shared" si="15"/>
        <v>13.212176658724646</v>
      </c>
      <c r="AB34" s="350">
        <f t="shared" si="18"/>
        <v>87</v>
      </c>
      <c r="AC34" s="247">
        <f t="shared" si="16"/>
        <v>11.150934386158955</v>
      </c>
      <c r="AD34" s="258">
        <f t="shared" si="17"/>
        <v>13.070544392482599</v>
      </c>
    </row>
    <row r="35" spans="1:30">
      <c r="A35" s="247">
        <v>1983</v>
      </c>
      <c r="B35" s="213">
        <f t="shared" si="1"/>
        <v>1988</v>
      </c>
      <c r="C35" s="300">
        <f>VLOOKUP($A35,BroodTab!$A$12:$AG$67,12)</f>
        <v>9.3720339609741696</v>
      </c>
      <c r="D35" s="300">
        <f>VLOOKUP($A35,BroodTab!$A$12:$AG$67,18)</f>
        <v>11.371477101385853</v>
      </c>
      <c r="E35" s="213">
        <v>35</v>
      </c>
      <c r="F35" s="213">
        <v>33</v>
      </c>
      <c r="G35" s="300">
        <v>2.9032511039224307</v>
      </c>
      <c r="H35" s="300">
        <v>0.83767010305674638</v>
      </c>
      <c r="I35" s="213">
        <v>9.3626934317704427E-2</v>
      </c>
      <c r="J35" s="213">
        <v>10.75392375786299</v>
      </c>
      <c r="K35" s="213">
        <v>0.69912181728457323</v>
      </c>
      <c r="L35" s="213">
        <v>0.70808571480536375</v>
      </c>
      <c r="M35" s="124">
        <v>0.52994245748707181</v>
      </c>
      <c r="N35" s="213">
        <f t="shared" si="2"/>
        <v>0.61755334352286262</v>
      </c>
      <c r="O35" s="213">
        <f t="shared" si="3"/>
        <v>0.38137213209626675</v>
      </c>
      <c r="P35" s="384">
        <f t="shared" si="4"/>
        <v>10.75392375786299</v>
      </c>
      <c r="Q35" s="213">
        <f t="shared" si="5"/>
        <v>9.7941187547011683</v>
      </c>
      <c r="R35" s="213">
        <f t="shared" si="6"/>
        <v>11.713728761024813</v>
      </c>
      <c r="S35" s="350">
        <f t="shared" si="7"/>
        <v>39996.647180671942</v>
      </c>
      <c r="T35" s="213">
        <f t="shared" si="8"/>
        <v>1599731785.6951528</v>
      </c>
      <c r="U35" s="350">
        <f t="shared" si="9"/>
        <v>46813.352819328014</v>
      </c>
      <c r="V35" s="350">
        <f t="shared" si="10"/>
        <v>17927.995324744039</v>
      </c>
      <c r="W35" s="350">
        <f t="shared" si="11"/>
        <v>122238.43003585647</v>
      </c>
      <c r="X35" s="364">
        <f t="shared" si="12"/>
        <v>-0.46073778574671076</v>
      </c>
      <c r="Y35" s="258">
        <f t="shared" si="13"/>
        <v>9.3720339609741696</v>
      </c>
      <c r="Z35" s="386">
        <f t="shared" si="14"/>
        <v>10.773798289786754</v>
      </c>
      <c r="AA35" s="258">
        <f t="shared" si="15"/>
        <v>11.371477101385853</v>
      </c>
      <c r="AB35" s="350">
        <f t="shared" si="18"/>
        <v>88</v>
      </c>
      <c r="AC35" s="247">
        <f t="shared" si="16"/>
        <v>9.8139932866249318</v>
      </c>
      <c r="AD35" s="258">
        <f t="shared" si="17"/>
        <v>11.733603292948576</v>
      </c>
    </row>
    <row r="36" spans="1:30">
      <c r="A36" s="247">
        <v>1984</v>
      </c>
      <c r="B36" s="213">
        <f t="shared" si="1"/>
        <v>1989</v>
      </c>
      <c r="C36" s="300">
        <f>VLOOKUP($A36,BroodTab!$A$12:$AG$67,12)</f>
        <v>11.078675005430311</v>
      </c>
      <c r="D36" s="300">
        <f>VLOOKUP($A36,BroodTab!$A$12:$AG$67,18)</f>
        <v>11.803682803938937</v>
      </c>
      <c r="E36" s="213">
        <v>35</v>
      </c>
      <c r="F36" s="213">
        <v>33</v>
      </c>
      <c r="G36" s="300">
        <v>2.8979520826802911</v>
      </c>
      <c r="H36" s="300">
        <v>0.84110669516820669</v>
      </c>
      <c r="I36" s="213">
        <v>9.5304817441955791E-2</v>
      </c>
      <c r="J36" s="213">
        <v>12.216299803340394</v>
      </c>
      <c r="K36" s="213">
        <v>0.70361573027348856</v>
      </c>
      <c r="L36" s="213">
        <v>0.70240334824592654</v>
      </c>
      <c r="M36" s="124">
        <v>0.53597574344007393</v>
      </c>
      <c r="N36" s="213">
        <f t="shared" si="2"/>
        <v>-0.41261699940145746</v>
      </c>
      <c r="O36" s="213">
        <f t="shared" si="3"/>
        <v>0.17025278819506234</v>
      </c>
      <c r="P36" s="384">
        <f t="shared" si="4"/>
        <v>12.216299803340394</v>
      </c>
      <c r="Q36" s="213">
        <f t="shared" si="5"/>
        <v>11.256494800178572</v>
      </c>
      <c r="R36" s="213">
        <f t="shared" si="6"/>
        <v>13.176104806502217</v>
      </c>
      <c r="S36" s="350">
        <f t="shared" si="7"/>
        <v>-68311.926785988529</v>
      </c>
      <c r="T36" s="213">
        <f t="shared" si="8"/>
        <v>4666519341.2142572</v>
      </c>
      <c r="U36" s="350">
        <f t="shared" si="9"/>
        <v>202055.92678598847</v>
      </c>
      <c r="V36" s="350">
        <f t="shared" si="10"/>
        <v>77380.864488313397</v>
      </c>
      <c r="W36" s="350">
        <f t="shared" si="11"/>
        <v>527605.85991528502</v>
      </c>
      <c r="X36" s="364">
        <f t="shared" si="12"/>
        <v>0.51076629071949819</v>
      </c>
      <c r="Y36" s="258">
        <f t="shared" si="13"/>
        <v>11.078675005430311</v>
      </c>
      <c r="Z36" s="386">
        <f t="shared" si="14"/>
        <v>12.194054002130249</v>
      </c>
      <c r="AA36" s="258">
        <f t="shared" si="15"/>
        <v>11.803682803938937</v>
      </c>
      <c r="AB36" s="350">
        <f t="shared" si="18"/>
        <v>89</v>
      </c>
      <c r="AC36" s="247">
        <f t="shared" si="16"/>
        <v>11.234248998968427</v>
      </c>
      <c r="AD36" s="258">
        <f t="shared" si="17"/>
        <v>13.153859005292071</v>
      </c>
    </row>
    <row r="37" spans="1:30">
      <c r="A37" s="247">
        <v>1985</v>
      </c>
      <c r="B37" s="213">
        <f t="shared" si="1"/>
        <v>1990</v>
      </c>
      <c r="C37" s="300">
        <f>VLOOKUP($A37,BroodTab!$A$12:$AG$67,12)</f>
        <v>7.4277388405328937</v>
      </c>
      <c r="D37" s="300">
        <f>VLOOKUP($A37,BroodTab!$A$12:$AG$67,18)</f>
        <v>9.4689007956209323</v>
      </c>
      <c r="E37" s="213">
        <v>35</v>
      </c>
      <c r="F37" s="213">
        <v>33</v>
      </c>
      <c r="G37" s="300">
        <v>2.8088649468857909</v>
      </c>
      <c r="H37" s="300">
        <v>0.84795454330026721</v>
      </c>
      <c r="I37" s="213">
        <v>9.9769032115727907E-2</v>
      </c>
      <c r="J37" s="213">
        <v>9.1072498431635172</v>
      </c>
      <c r="K37" s="213">
        <v>0.70464492070826168</v>
      </c>
      <c r="L37" s="213">
        <v>0.68641906415747</v>
      </c>
      <c r="M37" s="124">
        <v>0.53710455147145597</v>
      </c>
      <c r="N37" s="213">
        <f t="shared" si="2"/>
        <v>0.36165095245741519</v>
      </c>
      <c r="O37" s="213">
        <f t="shared" si="3"/>
        <v>0.13079141141335557</v>
      </c>
      <c r="P37" s="384">
        <f t="shared" si="4"/>
        <v>9.1072498431635172</v>
      </c>
      <c r="Q37" s="213">
        <f t="shared" si="5"/>
        <v>8.147444840001695</v>
      </c>
      <c r="R37" s="213">
        <f t="shared" si="6"/>
        <v>10.067054846325339</v>
      </c>
      <c r="S37" s="350">
        <f t="shared" si="7"/>
        <v>3930.1909130570366</v>
      </c>
      <c r="T37" s="213">
        <f t="shared" si="8"/>
        <v>15446400.613076104</v>
      </c>
      <c r="U37" s="350">
        <f t="shared" si="9"/>
        <v>9020.4530869429746</v>
      </c>
      <c r="V37" s="350">
        <f t="shared" si="10"/>
        <v>3454.5408741374567</v>
      </c>
      <c r="W37" s="350">
        <f t="shared" si="11"/>
        <v>23554.092094526299</v>
      </c>
      <c r="X37" s="364">
        <f t="shared" si="12"/>
        <v>-0.30347455408835522</v>
      </c>
      <c r="Y37" s="258">
        <f t="shared" si="13"/>
        <v>7.4277388405328937</v>
      </c>
      <c r="Z37" s="386">
        <f t="shared" si="14"/>
        <v>9.1557683822918925</v>
      </c>
      <c r="AA37" s="258">
        <f t="shared" si="15"/>
        <v>9.4689007956209323</v>
      </c>
      <c r="AB37" s="350">
        <f t="shared" si="18"/>
        <v>90</v>
      </c>
      <c r="AC37" s="247">
        <f t="shared" si="16"/>
        <v>8.1959633791300703</v>
      </c>
      <c r="AD37" s="258">
        <f t="shared" si="17"/>
        <v>10.115573385453715</v>
      </c>
    </row>
    <row r="38" spans="1:30">
      <c r="A38" s="247">
        <v>1986</v>
      </c>
      <c r="B38" s="213">
        <f t="shared" si="1"/>
        <v>1991</v>
      </c>
      <c r="C38" s="300">
        <f>VLOOKUP($A38,BroodTab!$A$12:$AG$67,12)</f>
        <v>8.3828870987891442</v>
      </c>
      <c r="D38" s="300">
        <f>VLOOKUP($A38,BroodTab!$A$12:$AG$67,18)</f>
        <v>9.7565019993862236</v>
      </c>
      <c r="E38" s="213">
        <v>35</v>
      </c>
      <c r="F38" s="213">
        <v>33</v>
      </c>
      <c r="G38" s="300">
        <v>3.0347178203084901</v>
      </c>
      <c r="H38" s="300">
        <v>0.82667262263312546</v>
      </c>
      <c r="I38" s="213">
        <v>9.6334669659366337E-2</v>
      </c>
      <c r="J38" s="213">
        <v>9.9646210835019033</v>
      </c>
      <c r="K38" s="213">
        <v>0.7062094469139012</v>
      </c>
      <c r="L38" s="213">
        <v>0.69054178422311174</v>
      </c>
      <c r="M38" s="124">
        <v>0.53960357605709863</v>
      </c>
      <c r="N38" s="213">
        <f t="shared" si="2"/>
        <v>-0.2081190841156797</v>
      </c>
      <c r="O38" s="213">
        <f t="shared" si="3"/>
        <v>4.3313553173149361E-2</v>
      </c>
      <c r="P38" s="384">
        <f t="shared" si="4"/>
        <v>9.9646210835019033</v>
      </c>
      <c r="Q38" s="213">
        <f t="shared" si="5"/>
        <v>9.0048160803400812</v>
      </c>
      <c r="R38" s="213">
        <f t="shared" si="6"/>
        <v>10.924426086663725</v>
      </c>
      <c r="S38" s="350">
        <f t="shared" si="7"/>
        <v>-3994.6880839415971</v>
      </c>
      <c r="T38" s="213">
        <f t="shared" si="8"/>
        <v>15957532.887984989</v>
      </c>
      <c r="U38" s="350">
        <f t="shared" si="9"/>
        <v>21260.817071643392</v>
      </c>
      <c r="V38" s="350">
        <f t="shared" si="10"/>
        <v>8142.2031558331009</v>
      </c>
      <c r="W38" s="350">
        <f t="shared" si="11"/>
        <v>55515.974473082606</v>
      </c>
      <c r="X38" s="364">
        <f t="shared" si="12"/>
        <v>0.23135979621065655</v>
      </c>
      <c r="Y38" s="258">
        <f t="shared" si="13"/>
        <v>8.3828870987891442</v>
      </c>
      <c r="Z38" s="386">
        <f t="shared" si="14"/>
        <v>9.9506366261619306</v>
      </c>
      <c r="AA38" s="258">
        <f t="shared" si="15"/>
        <v>9.7565019993862236</v>
      </c>
      <c r="AB38" s="350">
        <f t="shared" si="18"/>
        <v>91</v>
      </c>
      <c r="AC38" s="247">
        <f t="shared" si="16"/>
        <v>8.9908316230001084</v>
      </c>
      <c r="AD38" s="258">
        <f t="shared" si="17"/>
        <v>10.910441629323753</v>
      </c>
    </row>
    <row r="39" spans="1:30">
      <c r="A39" s="247">
        <v>1987</v>
      </c>
      <c r="B39" s="213">
        <f t="shared" si="1"/>
        <v>1992</v>
      </c>
      <c r="C39" s="300">
        <f>VLOOKUP($A39,BroodTab!$A$12:$AG$67,12)</f>
        <v>7.6818337364590459</v>
      </c>
      <c r="D39" s="300">
        <f>VLOOKUP($A39,BroodTab!$A$12:$AG$67,18)</f>
        <v>10.89111192881612</v>
      </c>
      <c r="E39" s="213">
        <v>35</v>
      </c>
      <c r="F39" s="213">
        <v>33</v>
      </c>
      <c r="G39" s="300">
        <v>2.2646145054798996</v>
      </c>
      <c r="H39" s="300">
        <v>0.89928471684985645</v>
      </c>
      <c r="I39" s="213">
        <v>9.0732027838560658E-2</v>
      </c>
      <c r="J39" s="213">
        <v>9.1727701820591463</v>
      </c>
      <c r="K39" s="213">
        <v>0.64854131450755348</v>
      </c>
      <c r="L39" s="213">
        <v>0.74854569897773704</v>
      </c>
      <c r="M39" s="124">
        <v>0.45648405328818847</v>
      </c>
      <c r="N39" s="213">
        <f t="shared" si="2"/>
        <v>1.7183417467569733</v>
      </c>
      <c r="O39" s="213">
        <f t="shared" si="3"/>
        <v>2.9526983586478059</v>
      </c>
      <c r="P39" s="384">
        <f t="shared" si="4"/>
        <v>9.1727701820591463</v>
      </c>
      <c r="Q39" s="213">
        <f t="shared" si="5"/>
        <v>8.2129651788973241</v>
      </c>
      <c r="R39" s="213">
        <f t="shared" si="6"/>
        <v>10.132575185220968</v>
      </c>
      <c r="S39" s="350">
        <f t="shared" si="7"/>
        <v>44065.705864428521</v>
      </c>
      <c r="T39" s="213">
        <f t="shared" si="8"/>
        <v>1941786433.3303301</v>
      </c>
      <c r="U39" s="350">
        <f t="shared" si="9"/>
        <v>9631.2681355714503</v>
      </c>
      <c r="V39" s="350">
        <f t="shared" si="10"/>
        <v>3688.4632205747616</v>
      </c>
      <c r="W39" s="350">
        <f t="shared" si="11"/>
        <v>25149.044561929848</v>
      </c>
      <c r="X39" s="364">
        <f t="shared" si="12"/>
        <v>-0.82063666873348473</v>
      </c>
      <c r="Y39" s="258">
        <f t="shared" si="13"/>
        <v>7.6818337364590459</v>
      </c>
      <c r="Z39" s="386">
        <f t="shared" si="14"/>
        <v>9.3672245221689501</v>
      </c>
      <c r="AA39" s="258">
        <f t="shared" si="15"/>
        <v>10.89111192881612</v>
      </c>
      <c r="AB39" s="350">
        <f t="shared" si="18"/>
        <v>92</v>
      </c>
      <c r="AC39" s="247">
        <f t="shared" si="16"/>
        <v>8.4074195190071279</v>
      </c>
      <c r="AD39" s="258">
        <f t="shared" si="17"/>
        <v>10.327029525330772</v>
      </c>
    </row>
    <row r="40" spans="1:30">
      <c r="A40" s="247">
        <v>1988</v>
      </c>
      <c r="B40" s="213">
        <f t="shared" si="1"/>
        <v>1993</v>
      </c>
      <c r="C40" s="300">
        <f>VLOOKUP($A40,BroodTab!$A$12:$AG$67,12)</f>
        <v>8.841176768351712</v>
      </c>
      <c r="D40" s="300">
        <f>VLOOKUP($A40,BroodTab!$A$12:$AG$67,18)</f>
        <v>10.638663998571394</v>
      </c>
      <c r="E40" s="213">
        <v>35</v>
      </c>
      <c r="F40" s="213">
        <v>33</v>
      </c>
      <c r="G40" s="300">
        <v>2.9072846382591191</v>
      </c>
      <c r="H40" s="300">
        <v>0.83809430015017583</v>
      </c>
      <c r="I40" s="213">
        <v>9.5121283831205966E-2</v>
      </c>
      <c r="J40" s="213">
        <v>10.31702449443484</v>
      </c>
      <c r="K40" s="213">
        <v>0.70495914103133461</v>
      </c>
      <c r="L40" s="213">
        <v>0.70170877399915466</v>
      </c>
      <c r="M40" s="124">
        <v>0.53789135856335757</v>
      </c>
      <c r="N40" s="213">
        <f t="shared" si="2"/>
        <v>0.32163950413655407</v>
      </c>
      <c r="O40" s="213">
        <f t="shared" si="3"/>
        <v>0.10345197062120838</v>
      </c>
      <c r="P40" s="384">
        <f t="shared" si="4"/>
        <v>10.31702449443484</v>
      </c>
      <c r="Q40" s="213">
        <f t="shared" si="5"/>
        <v>9.3572194912730176</v>
      </c>
      <c r="R40" s="213">
        <f t="shared" si="6"/>
        <v>11.276829497596662</v>
      </c>
      <c r="S40" s="350">
        <f t="shared" si="7"/>
        <v>11473.865033875987</v>
      </c>
      <c r="T40" s="213">
        <f t="shared" si="8"/>
        <v>131649578.815602</v>
      </c>
      <c r="U40" s="350">
        <f t="shared" si="9"/>
        <v>30243.13496612402</v>
      </c>
      <c r="V40" s="350">
        <f t="shared" si="10"/>
        <v>11582.139488509667</v>
      </c>
      <c r="W40" s="350">
        <f t="shared" si="11"/>
        <v>78970.488439255147</v>
      </c>
      <c r="X40" s="364">
        <f t="shared" si="12"/>
        <v>-0.27504051187467904</v>
      </c>
      <c r="Y40" s="258">
        <f t="shared" si="13"/>
        <v>8.841176768351712</v>
      </c>
      <c r="Z40" s="386">
        <f t="shared" si="14"/>
        <v>10.332022344745575</v>
      </c>
      <c r="AA40" s="258">
        <f t="shared" si="15"/>
        <v>10.638663998571394</v>
      </c>
      <c r="AB40" s="350">
        <f t="shared" si="18"/>
        <v>93</v>
      </c>
      <c r="AC40" s="247">
        <f t="shared" si="16"/>
        <v>9.3722173415837524</v>
      </c>
      <c r="AD40" s="258">
        <f t="shared" si="17"/>
        <v>11.291827347907397</v>
      </c>
    </row>
    <row r="41" spans="1:30">
      <c r="A41" s="247">
        <v>1989</v>
      </c>
      <c r="B41" s="213">
        <f t="shared" si="1"/>
        <v>1994</v>
      </c>
      <c r="C41" s="300">
        <f>VLOOKUP($A41,BroodTab!$A$12:$AG$67,12)</f>
        <v>7.8617270778239803</v>
      </c>
      <c r="D41" s="300">
        <f>VLOOKUP($A41,BroodTab!$A$12:$AG$67,18)</f>
        <v>8.4471998195957028</v>
      </c>
      <c r="E41" s="213">
        <v>35</v>
      </c>
      <c r="F41" s="213">
        <v>33</v>
      </c>
      <c r="G41" s="300">
        <v>3.4276243738559007</v>
      </c>
      <c r="H41" s="300">
        <v>0.78961802919146862</v>
      </c>
      <c r="I41" s="213">
        <v>9.4320723545762597E-2</v>
      </c>
      <c r="J41" s="213">
        <v>9.6353858150884761</v>
      </c>
      <c r="K41" s="213">
        <v>0.67929359070966178</v>
      </c>
      <c r="L41" s="213">
        <v>0.67987321811864221</v>
      </c>
      <c r="M41" s="124">
        <v>0.50050738829621444</v>
      </c>
      <c r="N41" s="213">
        <f t="shared" si="2"/>
        <v>-1.1881859954927734</v>
      </c>
      <c r="O41" s="213">
        <f t="shared" si="3"/>
        <v>1.4117859598851528</v>
      </c>
      <c r="P41" s="384">
        <f t="shared" si="4"/>
        <v>9.6353858150884761</v>
      </c>
      <c r="Q41" s="213">
        <f t="shared" si="5"/>
        <v>8.675580811926654</v>
      </c>
      <c r="R41" s="213">
        <f t="shared" si="6"/>
        <v>10.595190818250298</v>
      </c>
      <c r="S41" s="350">
        <f t="shared" si="7"/>
        <v>-10634.599305919666</v>
      </c>
      <c r="T41" s="213">
        <f t="shared" si="8"/>
        <v>113094702.39746705</v>
      </c>
      <c r="U41" s="350">
        <f t="shared" si="9"/>
        <v>15296.599305919668</v>
      </c>
      <c r="V41" s="350">
        <f t="shared" si="10"/>
        <v>5858.1012537043762</v>
      </c>
      <c r="W41" s="350">
        <f t="shared" si="11"/>
        <v>39942.285083908522</v>
      </c>
      <c r="X41" s="364">
        <f t="shared" si="12"/>
        <v>2.2811238322435998</v>
      </c>
      <c r="Y41" s="258">
        <f t="shared" si="13"/>
        <v>7.8617270778239803</v>
      </c>
      <c r="Z41" s="386">
        <f t="shared" si="14"/>
        <v>9.5169306050714173</v>
      </c>
      <c r="AA41" s="258">
        <f t="shared" si="15"/>
        <v>8.4471998195957028</v>
      </c>
      <c r="AB41" s="350">
        <f t="shared" si="18"/>
        <v>94</v>
      </c>
      <c r="AC41" s="247">
        <f t="shared" si="16"/>
        <v>8.5571256019095951</v>
      </c>
      <c r="AD41" s="258">
        <f t="shared" si="17"/>
        <v>10.476735608233239</v>
      </c>
    </row>
    <row r="42" spans="1:30">
      <c r="A42" s="247">
        <v>1990</v>
      </c>
      <c r="B42" s="213">
        <f t="shared" si="1"/>
        <v>1995</v>
      </c>
      <c r="C42" s="300">
        <f>VLOOKUP($A42,BroodTab!$A$12:$AG$67,12)</f>
        <v>8.165932137321585</v>
      </c>
      <c r="D42" s="300">
        <f>VLOOKUP($A42,BroodTab!$A$12:$AG$67,18)</f>
        <v>9.8938411754843223</v>
      </c>
      <c r="E42" s="213">
        <v>35</v>
      </c>
      <c r="F42" s="213">
        <v>33</v>
      </c>
      <c r="G42" s="300">
        <v>2.9303798264393137</v>
      </c>
      <c r="H42" s="300">
        <v>0.83628095794846424</v>
      </c>
      <c r="I42" s="213">
        <v>9.7048837124681681E-2</v>
      </c>
      <c r="J42" s="213">
        <v>9.7593933767807588</v>
      </c>
      <c r="K42" s="213">
        <v>0.70671912959203431</v>
      </c>
      <c r="L42" s="213">
        <v>0.69232107586801905</v>
      </c>
      <c r="M42" s="124">
        <v>0.5403279469954646</v>
      </c>
      <c r="N42" s="213">
        <f t="shared" si="2"/>
        <v>0.13444779870356349</v>
      </c>
      <c r="O42" s="213">
        <f t="shared" si="3"/>
        <v>1.8076210576233927E-2</v>
      </c>
      <c r="P42" s="384">
        <f t="shared" si="4"/>
        <v>9.7593933767807588</v>
      </c>
      <c r="Q42" s="213">
        <f t="shared" ref="Q42:Q61" si="19">$P42-(SQRT($O$65)*$Q$65)</f>
        <v>8.7995883736189366</v>
      </c>
      <c r="R42" s="213">
        <f t="shared" si="6"/>
        <v>10.719198379942581</v>
      </c>
      <c r="S42" s="350">
        <f t="shared" si="7"/>
        <v>2491.8758746768581</v>
      </c>
      <c r="T42" s="213">
        <f t="shared" si="8"/>
        <v>6209445.3747965563</v>
      </c>
      <c r="U42" s="350">
        <f t="shared" si="9"/>
        <v>17316.124125323135</v>
      </c>
      <c r="V42" s="350">
        <f t="shared" si="10"/>
        <v>6631.5137383901856</v>
      </c>
      <c r="W42" s="350">
        <f t="shared" si="11"/>
        <v>45215.642544440656</v>
      </c>
      <c r="X42" s="364">
        <f t="shared" si="12"/>
        <v>-0.12580148801882365</v>
      </c>
      <c r="Y42" s="258">
        <f t="shared" si="13"/>
        <v>8.165932137321585</v>
      </c>
      <c r="Z42" s="386">
        <f t="shared" si="14"/>
        <v>9.7700881011241094</v>
      </c>
      <c r="AA42" s="258">
        <f t="shared" si="15"/>
        <v>9.8938411754843223</v>
      </c>
      <c r="AB42" s="350">
        <f t="shared" si="18"/>
        <v>95</v>
      </c>
      <c r="AC42" s="247">
        <f t="shared" si="16"/>
        <v>8.8102830979622873</v>
      </c>
      <c r="AD42" s="258">
        <f t="shared" si="17"/>
        <v>10.729893104285932</v>
      </c>
    </row>
    <row r="43" spans="1:30">
      <c r="A43" s="247">
        <v>1991</v>
      </c>
      <c r="B43" s="213">
        <f t="shared" si="1"/>
        <v>1996</v>
      </c>
      <c r="C43" s="300">
        <f>VLOOKUP($A43,BroodTab!$A$12:$AG$67,12)</f>
        <v>10.560359677231361</v>
      </c>
      <c r="D43" s="300">
        <f>VLOOKUP($A43,BroodTab!$A$12:$AG$67,18)</f>
        <v>11.639936898781851</v>
      </c>
      <c r="E43" s="213">
        <v>35</v>
      </c>
      <c r="F43" s="213">
        <v>33</v>
      </c>
      <c r="G43" s="300">
        <v>2.9624657334410855</v>
      </c>
      <c r="H43" s="300">
        <v>0.83376673800133572</v>
      </c>
      <c r="I43" s="213">
        <v>9.4850065256080834E-2</v>
      </c>
      <c r="J43" s="213">
        <v>11.767342373647116</v>
      </c>
      <c r="K43" s="213">
        <v>0.70674047600971979</v>
      </c>
      <c r="L43" s="213">
        <v>0.70073598546532778</v>
      </c>
      <c r="M43" s="124">
        <v>0.5403809099666641</v>
      </c>
      <c r="N43" s="213">
        <f t="shared" si="2"/>
        <v>-0.12740547486526488</v>
      </c>
      <c r="O43" s="213">
        <f t="shared" si="3"/>
        <v>1.6232155025643642E-2</v>
      </c>
      <c r="P43" s="384">
        <f t="shared" si="4"/>
        <v>11.767342373647116</v>
      </c>
      <c r="Q43" s="213">
        <f t="shared" si="19"/>
        <v>10.807537370485294</v>
      </c>
      <c r="R43" s="213">
        <f t="shared" si="6"/>
        <v>12.727147376808938</v>
      </c>
      <c r="S43" s="350">
        <f t="shared" si="7"/>
        <v>-15427.938323188413</v>
      </c>
      <c r="T43" s="213">
        <f t="shared" si="8"/>
        <v>238021280.90410569</v>
      </c>
      <c r="U43" s="350">
        <f t="shared" si="9"/>
        <v>128970.93832318833</v>
      </c>
      <c r="V43" s="350">
        <f t="shared" si="10"/>
        <v>49391.685064935766</v>
      </c>
      <c r="W43" s="350">
        <f t="shared" si="11"/>
        <v>336767.26983692514</v>
      </c>
      <c r="X43" s="364">
        <f t="shared" si="12"/>
        <v>0.13587749419328735</v>
      </c>
      <c r="Y43" s="258">
        <f t="shared" si="13"/>
        <v>10.560359677231361</v>
      </c>
      <c r="Z43" s="386">
        <f t="shared" si="14"/>
        <v>11.762715316083154</v>
      </c>
      <c r="AA43" s="258">
        <f t="shared" si="15"/>
        <v>11.639936898781851</v>
      </c>
      <c r="AB43" s="350">
        <f t="shared" si="18"/>
        <v>96</v>
      </c>
      <c r="AC43" s="247">
        <f t="shared" si="16"/>
        <v>10.802910312921332</v>
      </c>
      <c r="AD43" s="258">
        <f t="shared" si="17"/>
        <v>12.722520319244977</v>
      </c>
    </row>
    <row r="44" spans="1:30">
      <c r="A44" s="247">
        <v>1992</v>
      </c>
      <c r="B44" s="213">
        <f t="shared" si="1"/>
        <v>1997</v>
      </c>
      <c r="C44" s="300">
        <f>VLOOKUP($A44,BroodTab!$A$12:$AG$67,12)</f>
        <v>9.6051488998958181</v>
      </c>
      <c r="D44" s="300">
        <f>VLOOKUP($A44,BroodTab!$A$12:$AG$67,18)</f>
        <v>11.485728970281757</v>
      </c>
      <c r="E44" s="213">
        <v>35</v>
      </c>
      <c r="F44" s="213">
        <v>33</v>
      </c>
      <c r="G44" s="300">
        <v>2.9348609263823846</v>
      </c>
      <c r="H44" s="300">
        <v>0.83470391329389892</v>
      </c>
      <c r="I44" s="213">
        <v>9.3742836846457178E-2</v>
      </c>
      <c r="J44" s="213">
        <v>10.952316300896012</v>
      </c>
      <c r="K44" s="213">
        <v>0.70113067641871829</v>
      </c>
      <c r="L44" s="213">
        <v>0.70610389430259535</v>
      </c>
      <c r="M44" s="124">
        <v>0.53271501327694737</v>
      </c>
      <c r="N44" s="213">
        <f t="shared" si="2"/>
        <v>0.53341266938574528</v>
      </c>
      <c r="O44" s="213">
        <f t="shared" si="3"/>
        <v>0.28452907586122639</v>
      </c>
      <c r="P44" s="384">
        <f t="shared" si="4"/>
        <v>10.952316300896012</v>
      </c>
      <c r="Q44" s="213">
        <f t="shared" si="19"/>
        <v>9.9925112977341897</v>
      </c>
      <c r="R44" s="213">
        <f t="shared" si="6"/>
        <v>11.912121304057834</v>
      </c>
      <c r="S44" s="350">
        <f t="shared" si="7"/>
        <v>40230.879023088826</v>
      </c>
      <c r="T44" s="213">
        <f t="shared" si="8"/>
        <v>1618523626.9704084</v>
      </c>
      <c r="U44" s="350">
        <f t="shared" si="9"/>
        <v>57086.120976911232</v>
      </c>
      <c r="V44" s="350">
        <f t="shared" si="10"/>
        <v>21862.132241023453</v>
      </c>
      <c r="W44" s="350">
        <f t="shared" si="11"/>
        <v>149062.55127647083</v>
      </c>
      <c r="X44" s="364">
        <f t="shared" si="12"/>
        <v>-0.41340032083899836</v>
      </c>
      <c r="Y44" s="258">
        <f t="shared" si="13"/>
        <v>9.6051488998958181</v>
      </c>
      <c r="Z44" s="386">
        <f t="shared" si="14"/>
        <v>10.967795044237004</v>
      </c>
      <c r="AA44" s="258">
        <f t="shared" si="15"/>
        <v>11.485728970281757</v>
      </c>
      <c r="AB44" s="350">
        <f t="shared" si="18"/>
        <v>97</v>
      </c>
      <c r="AC44" s="247">
        <f t="shared" si="16"/>
        <v>10.007990041075182</v>
      </c>
      <c r="AD44" s="258">
        <f t="shared" si="17"/>
        <v>11.927600047398826</v>
      </c>
    </row>
    <row r="45" spans="1:30">
      <c r="A45" s="247">
        <v>1993</v>
      </c>
      <c r="B45" s="213">
        <f t="shared" si="1"/>
        <v>1998</v>
      </c>
      <c r="C45" s="300">
        <f>VLOOKUP($A45,BroodTab!$A$12:$AG$67,12)</f>
        <v>9.043929525845293</v>
      </c>
      <c r="D45" s="300">
        <f>VLOOKUP($A45,BroodTab!$A$12:$AG$67,18)</f>
        <v>10.974471674086764</v>
      </c>
      <c r="E45" s="213">
        <v>35</v>
      </c>
      <c r="F45" s="213">
        <v>33</v>
      </c>
      <c r="G45" s="300">
        <v>2.8890389278828987</v>
      </c>
      <c r="H45" s="300">
        <v>0.83945962585270117</v>
      </c>
      <c r="I45" s="213">
        <v>9.4397252654031219E-2</v>
      </c>
      <c r="J45" s="213">
        <v>10.481052623887186</v>
      </c>
      <c r="K45" s="213">
        <v>0.70204915629720199</v>
      </c>
      <c r="L45" s="213">
        <v>0.70557427137766959</v>
      </c>
      <c r="M45" s="124">
        <v>0.53388857750949714</v>
      </c>
      <c r="N45" s="213">
        <f t="shared" si="2"/>
        <v>0.49341905019957899</v>
      </c>
      <c r="O45" s="213">
        <f t="shared" si="3"/>
        <v>0.24346235909985464</v>
      </c>
      <c r="P45" s="384">
        <f t="shared" si="4"/>
        <v>10.481052623887186</v>
      </c>
      <c r="Q45" s="213">
        <f t="shared" si="19"/>
        <v>9.5212476207253633</v>
      </c>
      <c r="R45" s="213">
        <f t="shared" si="6"/>
        <v>11.440857627049008</v>
      </c>
      <c r="S45" s="350">
        <f t="shared" si="7"/>
        <v>22731.103101724599</v>
      </c>
      <c r="T45" s="213">
        <f t="shared" si="8"/>
        <v>516703048.22123367</v>
      </c>
      <c r="U45" s="350">
        <f t="shared" si="9"/>
        <v>35633.896898275452</v>
      </c>
      <c r="V45" s="350">
        <f t="shared" si="10"/>
        <v>13646.626411491106</v>
      </c>
      <c r="W45" s="350">
        <f t="shared" si="11"/>
        <v>93046.777267069774</v>
      </c>
      <c r="X45" s="364">
        <f t="shared" si="12"/>
        <v>-0.38946462951639815</v>
      </c>
      <c r="Y45" s="258">
        <f t="shared" si="13"/>
        <v>9.043929525845293</v>
      </c>
      <c r="Z45" s="386">
        <f t="shared" si="14"/>
        <v>10.500751886882785</v>
      </c>
      <c r="AA45" s="258">
        <f t="shared" si="15"/>
        <v>10.974471674086764</v>
      </c>
      <c r="AB45" s="350">
        <f t="shared" si="18"/>
        <v>98</v>
      </c>
      <c r="AC45" s="247">
        <f t="shared" si="16"/>
        <v>9.540946883720963</v>
      </c>
      <c r="AD45" s="258">
        <f t="shared" si="17"/>
        <v>11.460556890044607</v>
      </c>
    </row>
    <row r="46" spans="1:30">
      <c r="A46" s="247">
        <v>1994</v>
      </c>
      <c r="B46" s="213">
        <f t="shared" si="1"/>
        <v>1999</v>
      </c>
      <c r="C46" s="300">
        <f>VLOOKUP($A46,BroodTab!$A$12:$AG$67,12)</f>
        <v>7.7463006622314392</v>
      </c>
      <c r="D46" s="300">
        <f>VLOOKUP($A46,BroodTab!$A$12:$AG$67,18)</f>
        <v>9.1741949253398296</v>
      </c>
      <c r="E46" s="213">
        <v>35</v>
      </c>
      <c r="F46" s="213">
        <v>33</v>
      </c>
      <c r="G46" s="300">
        <v>3.0855754870206642</v>
      </c>
      <c r="H46" s="300">
        <v>0.82171199616804447</v>
      </c>
      <c r="I46" s="213">
        <v>9.844142923182049E-2</v>
      </c>
      <c r="J46" s="213">
        <v>9.4508036671007041</v>
      </c>
      <c r="K46" s="213">
        <v>0.70561210288059617</v>
      </c>
      <c r="L46" s="213">
        <v>0.67860075879895876</v>
      </c>
      <c r="M46" s="124">
        <v>0.53865777974152884</v>
      </c>
      <c r="N46" s="213">
        <f t="shared" si="2"/>
        <v>-0.27660874176087447</v>
      </c>
      <c r="O46" s="213">
        <f t="shared" si="3"/>
        <v>7.6512396018534143E-2</v>
      </c>
      <c r="P46" s="384">
        <f t="shared" si="4"/>
        <v>9.4508036671007041</v>
      </c>
      <c r="Q46" s="213">
        <f t="shared" si="19"/>
        <v>8.4909986639388819</v>
      </c>
      <c r="R46" s="213">
        <f t="shared" si="6"/>
        <v>10.410608670262526</v>
      </c>
      <c r="S46" s="350">
        <f t="shared" si="7"/>
        <v>-3073.3825030783901</v>
      </c>
      <c r="T46" s="213">
        <f t="shared" si="8"/>
        <v>9445680.0102283899</v>
      </c>
      <c r="U46" s="350">
        <f t="shared" si="9"/>
        <v>12718.382503078392</v>
      </c>
      <c r="V46" s="350">
        <f t="shared" si="10"/>
        <v>4870.7278654767551</v>
      </c>
      <c r="W46" s="350">
        <f t="shared" si="11"/>
        <v>33210.078239256647</v>
      </c>
      <c r="X46" s="364">
        <f t="shared" si="12"/>
        <v>0.31865033728132602</v>
      </c>
      <c r="Y46" s="258">
        <f t="shared" si="13"/>
        <v>7.7463006622314392</v>
      </c>
      <c r="Z46" s="386">
        <f t="shared" si="14"/>
        <v>9.4208734836086663</v>
      </c>
      <c r="AA46" s="258">
        <f t="shared" si="15"/>
        <v>9.1741949253398296</v>
      </c>
      <c r="AB46" s="350">
        <f t="shared" si="18"/>
        <v>99</v>
      </c>
      <c r="AC46" s="247">
        <f t="shared" si="16"/>
        <v>8.4610684804468441</v>
      </c>
      <c r="AD46" s="258">
        <f t="shared" si="17"/>
        <v>10.380678486770488</v>
      </c>
    </row>
    <row r="47" spans="1:30">
      <c r="A47" s="247">
        <v>1995</v>
      </c>
      <c r="B47" s="213">
        <f t="shared" si="1"/>
        <v>2000</v>
      </c>
      <c r="C47" s="300">
        <f>VLOOKUP($A47,BroodTab!$A$12:$AG$67,12)</f>
        <v>11.804452635548273</v>
      </c>
      <c r="D47" s="300">
        <f>VLOOKUP($A47,BroodTab!$A$12:$AG$67,18)</f>
        <v>12.084577102036734</v>
      </c>
      <c r="E47" s="213">
        <v>35</v>
      </c>
      <c r="F47" s="213">
        <v>33</v>
      </c>
      <c r="G47" s="300">
        <v>2.7275658321654088</v>
      </c>
      <c r="H47" s="300">
        <v>0.8594287369478929</v>
      </c>
      <c r="I47" s="213">
        <v>9.6222972418471026E-2</v>
      </c>
      <c r="J47" s="213">
        <v>12.872651651095886</v>
      </c>
      <c r="K47" s="213">
        <v>0.69492290473910057</v>
      </c>
      <c r="L47" s="213">
        <v>0.70737975918515228</v>
      </c>
      <c r="M47" s="124">
        <v>0.52307205264256185</v>
      </c>
      <c r="N47" s="213">
        <f t="shared" si="2"/>
        <v>-0.78807454905915186</v>
      </c>
      <c r="O47" s="213">
        <f t="shared" si="3"/>
        <v>0.62106149487478557</v>
      </c>
      <c r="P47" s="384">
        <f t="shared" si="4"/>
        <v>12.872651651095886</v>
      </c>
      <c r="Q47" s="213">
        <f t="shared" si="19"/>
        <v>11.912846647934064</v>
      </c>
      <c r="R47" s="213">
        <f t="shared" si="6"/>
        <v>13.832456654257708</v>
      </c>
      <c r="S47" s="350">
        <f t="shared" si="7"/>
        <v>-212393.66160554037</v>
      </c>
      <c r="T47" s="213">
        <f t="shared" si="8"/>
        <v>45111067490.208794</v>
      </c>
      <c r="U47" s="350">
        <f t="shared" si="9"/>
        <v>389512.66160554049</v>
      </c>
      <c r="V47" s="350">
        <f t="shared" si="10"/>
        <v>149170.7121073704</v>
      </c>
      <c r="W47" s="350">
        <f t="shared" si="11"/>
        <v>1017090.4958999382</v>
      </c>
      <c r="X47" s="364">
        <f t="shared" si="12"/>
        <v>1.199157976307117</v>
      </c>
      <c r="Y47" s="258">
        <f t="shared" si="13"/>
        <v>11.804452635548273</v>
      </c>
      <c r="Z47" s="386">
        <f t="shared" si="14"/>
        <v>12.798041482927443</v>
      </c>
      <c r="AA47" s="258">
        <f t="shared" si="15"/>
        <v>12.084577102036734</v>
      </c>
      <c r="AB47" s="350">
        <f t="shared" si="18"/>
        <v>100</v>
      </c>
      <c r="AC47" s="247">
        <f t="shared" si="16"/>
        <v>11.838236479765621</v>
      </c>
      <c r="AD47" s="258">
        <f t="shared" si="17"/>
        <v>13.757846486089266</v>
      </c>
    </row>
    <row r="48" spans="1:30">
      <c r="A48" s="247">
        <v>1996</v>
      </c>
      <c r="B48" s="213">
        <f t="shared" si="1"/>
        <v>2001</v>
      </c>
      <c r="C48" s="300">
        <f>VLOOKUP($A48,BroodTab!$A$12:$AG$67,12)</f>
        <v>10.013865460005738</v>
      </c>
      <c r="D48" s="300">
        <f>VLOOKUP($A48,BroodTab!$A$12:$AG$67,18)</f>
        <v>11.594680551839147</v>
      </c>
      <c r="E48" s="213">
        <v>35</v>
      </c>
      <c r="F48" s="213">
        <v>33</v>
      </c>
      <c r="G48" s="300">
        <v>2.9737999339994996</v>
      </c>
      <c r="H48" s="300">
        <v>0.83142911758026383</v>
      </c>
      <c r="I48" s="213">
        <v>9.4253032911775309E-2</v>
      </c>
      <c r="J48" s="213">
        <v>11.299619256979552</v>
      </c>
      <c r="K48" s="213">
        <v>0.70526036214453514</v>
      </c>
      <c r="L48" s="213">
        <v>0.70220468032420369</v>
      </c>
      <c r="M48" s="124">
        <v>0.53832885053664825</v>
      </c>
      <c r="N48" s="213">
        <f t="shared" si="2"/>
        <v>0.29506129485959498</v>
      </c>
      <c r="O48" s="213">
        <f t="shared" si="3"/>
        <v>8.7061167724220845E-2</v>
      </c>
      <c r="P48" s="384">
        <f t="shared" si="4"/>
        <v>11.299619256979552</v>
      </c>
      <c r="Q48" s="213">
        <f t="shared" si="19"/>
        <v>10.33981425381773</v>
      </c>
      <c r="R48" s="213">
        <f t="shared" si="6"/>
        <v>12.259424260141374</v>
      </c>
      <c r="S48" s="350">
        <f t="shared" si="7"/>
        <v>27728.128876660237</v>
      </c>
      <c r="T48" s="213">
        <f t="shared" si="8"/>
        <v>768849131.00067937</v>
      </c>
      <c r="U48" s="350">
        <f t="shared" si="9"/>
        <v>80790.87112333985</v>
      </c>
      <c r="V48" s="350">
        <f t="shared" si="10"/>
        <v>30940.282473918865</v>
      </c>
      <c r="W48" s="350">
        <f t="shared" si="11"/>
        <v>210960.09263555324</v>
      </c>
      <c r="X48" s="364">
        <f t="shared" si="12"/>
        <v>-0.25551404709461212</v>
      </c>
      <c r="Y48" s="258">
        <f t="shared" si="13"/>
        <v>10.013865460005738</v>
      </c>
      <c r="Z48" s="386">
        <f t="shared" si="14"/>
        <v>11.30792633963221</v>
      </c>
      <c r="AA48" s="258">
        <f t="shared" si="15"/>
        <v>11.594680551839147</v>
      </c>
      <c r="AB48" s="350">
        <f t="shared" si="18"/>
        <v>101</v>
      </c>
      <c r="AC48" s="247">
        <f t="shared" si="16"/>
        <v>10.348121336470388</v>
      </c>
      <c r="AD48" s="258">
        <f t="shared" si="17"/>
        <v>12.267731342794033</v>
      </c>
    </row>
    <row r="49" spans="1:32">
      <c r="A49" s="247">
        <v>1997</v>
      </c>
      <c r="B49" s="213">
        <f t="shared" si="1"/>
        <v>2002</v>
      </c>
      <c r="C49" s="300">
        <f>VLOOKUP($A49,BroodTab!$A$12:$AG$67,12)</f>
        <v>9.4387500329628917</v>
      </c>
      <c r="D49" s="300">
        <f>VLOOKUP($A49,BroodTab!$A$12:$AG$67,18)</f>
        <v>10.317416739056421</v>
      </c>
      <c r="E49" s="213">
        <v>35</v>
      </c>
      <c r="F49" s="213">
        <v>33</v>
      </c>
      <c r="G49" s="300">
        <v>3.0291543150618789</v>
      </c>
      <c r="H49" s="300">
        <v>0.82813765410659845</v>
      </c>
      <c r="I49" s="213">
        <v>9.3859304464364537E-2</v>
      </c>
      <c r="J49" s="213">
        <v>10.845738625058347</v>
      </c>
      <c r="K49" s="213">
        <v>0.7012565086687107</v>
      </c>
      <c r="L49" s="213">
        <v>0.70229645039964916</v>
      </c>
      <c r="M49" s="124">
        <v>0.53284145355573254</v>
      </c>
      <c r="N49" s="213">
        <f t="shared" si="2"/>
        <v>-0.52832188600192609</v>
      </c>
      <c r="O49" s="213">
        <f t="shared" si="3"/>
        <v>0.27912401522863217</v>
      </c>
      <c r="P49" s="384">
        <f t="shared" si="4"/>
        <v>10.845738625058347</v>
      </c>
      <c r="Q49" s="213">
        <f t="shared" si="19"/>
        <v>9.885933621896525</v>
      </c>
      <c r="R49" s="213">
        <f t="shared" si="6"/>
        <v>11.805543628220169</v>
      </c>
      <c r="S49" s="350">
        <f t="shared" si="7"/>
        <v>-21060.012263184879</v>
      </c>
      <c r="T49" s="213">
        <f t="shared" si="8"/>
        <v>443524116.5254975</v>
      </c>
      <c r="U49" s="350">
        <f t="shared" si="9"/>
        <v>51315.012263184857</v>
      </c>
      <c r="V49" s="350">
        <f t="shared" si="10"/>
        <v>19651.984840609992</v>
      </c>
      <c r="W49" s="350">
        <f t="shared" si="11"/>
        <v>133993.10578183195</v>
      </c>
      <c r="X49" s="364">
        <f t="shared" si="12"/>
        <v>0.69608369734539399</v>
      </c>
      <c r="Y49" s="258">
        <f t="shared" si="13"/>
        <v>9.4387500329628917</v>
      </c>
      <c r="Z49" s="386">
        <f t="shared" si="14"/>
        <v>10.829318976257351</v>
      </c>
      <c r="AA49" s="258">
        <f t="shared" si="15"/>
        <v>10.317416739056421</v>
      </c>
      <c r="AB49" s="350">
        <f t="shared" si="18"/>
        <v>102</v>
      </c>
      <c r="AC49" s="247">
        <f t="shared" si="16"/>
        <v>9.869513973095529</v>
      </c>
      <c r="AD49" s="258">
        <f t="shared" si="17"/>
        <v>11.789123979419173</v>
      </c>
    </row>
    <row r="50" spans="1:32">
      <c r="A50" s="247">
        <v>1998</v>
      </c>
      <c r="B50" s="213">
        <f t="shared" si="1"/>
        <v>2003</v>
      </c>
      <c r="C50" s="300">
        <f>VLOOKUP($A50,BroodTab!$A$12:$AG$67,12)</f>
        <v>9.9528965727936711</v>
      </c>
      <c r="D50" s="300">
        <f>VLOOKUP($A50,BroodTab!$A$12:$AG$67,18)</f>
        <v>11.124096210513489</v>
      </c>
      <c r="E50" s="213">
        <v>35</v>
      </c>
      <c r="F50" s="213">
        <v>33</v>
      </c>
      <c r="G50" s="300">
        <v>2.9762250812097886</v>
      </c>
      <c r="H50" s="300">
        <v>0.83239926377488616</v>
      </c>
      <c r="I50" s="213">
        <v>9.4431325598845567E-2</v>
      </c>
      <c r="J50" s="213">
        <v>11.261008860830827</v>
      </c>
      <c r="K50" s="213">
        <v>0.70668517591169155</v>
      </c>
      <c r="L50" s="213">
        <v>0.70190192527378281</v>
      </c>
      <c r="M50" s="124">
        <v>0.54028100228456566</v>
      </c>
      <c r="N50" s="213">
        <f t="shared" si="2"/>
        <v>-0.13691265031733835</v>
      </c>
      <c r="O50" s="213">
        <f t="shared" si="3"/>
        <v>1.8745073816917767E-2</v>
      </c>
      <c r="P50" s="384">
        <f t="shared" si="4"/>
        <v>11.261008860830827</v>
      </c>
      <c r="Q50" s="213">
        <f t="shared" si="19"/>
        <v>10.301203857669005</v>
      </c>
      <c r="R50" s="213">
        <f t="shared" si="6"/>
        <v>12.22081386399265</v>
      </c>
      <c r="S50" s="350">
        <f t="shared" si="7"/>
        <v>-9945.9559765666927</v>
      </c>
      <c r="T50" s="213">
        <f t="shared" si="8"/>
        <v>98922040.287802711</v>
      </c>
      <c r="U50" s="350">
        <f t="shared" si="9"/>
        <v>77730.955976566649</v>
      </c>
      <c r="V50" s="350">
        <f t="shared" si="10"/>
        <v>29768.434248110654</v>
      </c>
      <c r="W50" s="350">
        <f t="shared" si="11"/>
        <v>202970.08121663044</v>
      </c>
      <c r="X50" s="364">
        <f t="shared" si="12"/>
        <v>0.14672797782056057</v>
      </c>
      <c r="Y50" s="258">
        <f t="shared" si="13"/>
        <v>9.9528965727936711</v>
      </c>
      <c r="Z50" s="386">
        <f t="shared" si="14"/>
        <v>11.257188423408149</v>
      </c>
      <c r="AA50" s="391">
        <f t="shared" si="15"/>
        <v>11.124096210513489</v>
      </c>
      <c r="AB50" s="350">
        <f t="shared" si="18"/>
        <v>103</v>
      </c>
      <c r="AC50" s="247">
        <f t="shared" si="16"/>
        <v>10.297383420246327</v>
      </c>
      <c r="AD50" s="258">
        <f t="shared" si="17"/>
        <v>12.216993426569971</v>
      </c>
    </row>
    <row r="51" spans="1:32">
      <c r="A51" s="247">
        <v>1999</v>
      </c>
      <c r="B51" s="213">
        <f t="shared" si="1"/>
        <v>2004</v>
      </c>
      <c r="C51" s="300">
        <f>VLOOKUP($A51,BroodTab!$A$12:$AG$67,12)</f>
        <v>11.511614606170127</v>
      </c>
      <c r="D51" s="300">
        <f>VLOOKUP($A51,BroodTab!$A$12:$AG$67,18)</f>
        <v>11.795001854901175</v>
      </c>
      <c r="E51" s="213">
        <v>35</v>
      </c>
      <c r="F51" s="213">
        <v>33</v>
      </c>
      <c r="G51" s="300">
        <v>2.7594104059152027</v>
      </c>
      <c r="H51" s="300">
        <v>0.85629676176201663</v>
      </c>
      <c r="I51" s="213">
        <v>9.5059181096349504E-2</v>
      </c>
      <c r="J51" s="213">
        <v>12.616768715831014</v>
      </c>
      <c r="K51" s="213">
        <v>0.69357549916586836</v>
      </c>
      <c r="L51" s="213">
        <v>0.71089342373836484</v>
      </c>
      <c r="M51" s="124">
        <v>0.52152567073280032</v>
      </c>
      <c r="N51" s="213">
        <f t="shared" si="2"/>
        <v>-0.82176686092983964</v>
      </c>
      <c r="O51" s="213">
        <f t="shared" si="3"/>
        <v>0.67530077372248243</v>
      </c>
      <c r="P51" s="384">
        <f t="shared" si="4"/>
        <v>12.616768715831014</v>
      </c>
      <c r="Q51" s="213">
        <f t="shared" si="19"/>
        <v>11.656963712669192</v>
      </c>
      <c r="R51" s="213">
        <f t="shared" si="6"/>
        <v>13.576573718992837</v>
      </c>
      <c r="S51" s="350">
        <f t="shared" si="7"/>
        <v>-168985.40026872297</v>
      </c>
      <c r="T51" s="213">
        <f t="shared" si="8"/>
        <v>28556065503.980515</v>
      </c>
      <c r="U51" s="350">
        <f t="shared" si="9"/>
        <v>301573.40026872291</v>
      </c>
      <c r="V51" s="350">
        <f t="shared" si="10"/>
        <v>115492.82810293775</v>
      </c>
      <c r="W51" s="350">
        <f t="shared" si="11"/>
        <v>787464.61787722027</v>
      </c>
      <c r="X51" s="364">
        <f t="shared" si="12"/>
        <v>1.2745150410951447</v>
      </c>
      <c r="Y51" s="258">
        <f t="shared" si="13"/>
        <v>11.511614606170127</v>
      </c>
      <c r="Z51" s="386">
        <f t="shared" si="14"/>
        <v>12.554343556309101</v>
      </c>
      <c r="AA51" s="258">
        <f t="shared" si="15"/>
        <v>11.795001854901175</v>
      </c>
      <c r="AB51" s="350">
        <f t="shared" si="18"/>
        <v>104</v>
      </c>
      <c r="AC51" s="247">
        <f t="shared" si="16"/>
        <v>11.594538553147279</v>
      </c>
      <c r="AD51" s="258">
        <f t="shared" si="17"/>
        <v>13.514148559470923</v>
      </c>
    </row>
    <row r="52" spans="1:32">
      <c r="A52" s="247">
        <v>2000</v>
      </c>
      <c r="B52" s="213">
        <f t="shared" si="1"/>
        <v>2005</v>
      </c>
      <c r="C52" s="300">
        <f>VLOOKUP($A52,BroodTab!$A$12:$AG$67,12)</f>
        <v>10.932696171065359</v>
      </c>
      <c r="D52" s="300">
        <f>VLOOKUP($A52,BroodTab!$A$12:$AG$67,18)</f>
        <v>11.372075931382099</v>
      </c>
      <c r="E52" s="213">
        <v>35</v>
      </c>
      <c r="F52" s="213">
        <v>33</v>
      </c>
      <c r="G52" s="300">
        <v>2.8569576965319321</v>
      </c>
      <c r="H52" s="300">
        <v>0.84617033916852691</v>
      </c>
      <c r="I52" s="213">
        <v>9.3971728851229813E-2</v>
      </c>
      <c r="J52" s="213">
        <v>12.107880923628763</v>
      </c>
      <c r="K52" s="213">
        <v>0.69594330855218989</v>
      </c>
      <c r="L52" s="213">
        <v>0.71073282631679524</v>
      </c>
      <c r="M52" s="124">
        <v>0.52535329220002225</v>
      </c>
      <c r="N52" s="213">
        <f t="shared" si="2"/>
        <v>-0.7358049922466634</v>
      </c>
      <c r="O52" s="213">
        <f t="shared" si="3"/>
        <v>0.54140898661511239</v>
      </c>
      <c r="P52" s="384">
        <f t="shared" si="4"/>
        <v>12.107880923628763</v>
      </c>
      <c r="Q52" s="213">
        <f t="shared" si="19"/>
        <v>11.14807592046694</v>
      </c>
      <c r="R52" s="213">
        <f t="shared" si="6"/>
        <v>13.067685926790585</v>
      </c>
      <c r="S52" s="350">
        <f t="shared" si="7"/>
        <v>-94433.019192818581</v>
      </c>
      <c r="T52" s="213">
        <f t="shared" si="8"/>
        <v>8917595113.8712425</v>
      </c>
      <c r="U52" s="350">
        <f t="shared" si="9"/>
        <v>181295.01919281864</v>
      </c>
      <c r="V52" s="350">
        <f t="shared" si="10"/>
        <v>69430.110443751153</v>
      </c>
      <c r="W52" s="350">
        <f t="shared" si="11"/>
        <v>473395.24269880599</v>
      </c>
      <c r="X52" s="364">
        <f t="shared" si="12"/>
        <v>1.087161465230118</v>
      </c>
      <c r="Y52" s="258">
        <f t="shared" si="13"/>
        <v>10.932696171065359</v>
      </c>
      <c r="Z52" s="386">
        <f t="shared" si="14"/>
        <v>12.072571354058734</v>
      </c>
      <c r="AA52" s="258">
        <f t="shared" si="15"/>
        <v>11.372075931382099</v>
      </c>
      <c r="AB52" s="350">
        <f t="shared" si="18"/>
        <v>105</v>
      </c>
      <c r="AC52" s="247">
        <f t="shared" si="16"/>
        <v>11.112766350896912</v>
      </c>
      <c r="AD52" s="258">
        <f t="shared" si="17"/>
        <v>13.032376357220556</v>
      </c>
    </row>
    <row r="53" spans="1:32">
      <c r="A53" s="247">
        <v>2001</v>
      </c>
      <c r="B53" s="213">
        <f t="shared" si="1"/>
        <v>2006</v>
      </c>
      <c r="C53" s="300">
        <f>VLOOKUP($A53,BroodTab!$A$12:$AG$67,12)</f>
        <v>8.7975484884815582</v>
      </c>
      <c r="D53" s="300">
        <f>VLOOKUP($A53,BroodTab!$A$12:$AG$67,18)</f>
        <v>8.3409332260008782</v>
      </c>
      <c r="E53" s="213">
        <v>35</v>
      </c>
      <c r="F53" s="213">
        <v>33</v>
      </c>
      <c r="G53" s="300">
        <v>3.4191537095482953</v>
      </c>
      <c r="H53" s="300">
        <v>0.79291313958242016</v>
      </c>
      <c r="I53" s="213">
        <v>8.3061429374009565E-2</v>
      </c>
      <c r="J53" s="213">
        <v>10.394845502178782</v>
      </c>
      <c r="K53" s="213">
        <v>0.6150536148992698</v>
      </c>
      <c r="L53" s="213">
        <v>0.73414566331021092</v>
      </c>
      <c r="M53" s="124">
        <v>0.42029017420367176</v>
      </c>
      <c r="N53" s="213">
        <f t="shared" si="2"/>
        <v>-2.0539122761779041</v>
      </c>
      <c r="O53" s="213">
        <f t="shared" si="3"/>
        <v>4.2185556382342986</v>
      </c>
      <c r="P53" s="384">
        <f t="shared" si="4"/>
        <v>10.394845502178782</v>
      </c>
      <c r="Q53" s="213">
        <f t="shared" si="19"/>
        <v>9.4350404990169601</v>
      </c>
      <c r="R53" s="213">
        <f t="shared" si="6"/>
        <v>11.354650505340604</v>
      </c>
      <c r="S53" s="350">
        <f t="shared" si="7"/>
        <v>-28498.686577644476</v>
      </c>
      <c r="T53" s="213">
        <f t="shared" si="8"/>
        <v>812175136.65081334</v>
      </c>
      <c r="U53" s="350">
        <f t="shared" si="9"/>
        <v>32690.686577644476</v>
      </c>
      <c r="V53" s="350">
        <f t="shared" si="10"/>
        <v>12519.472347742338</v>
      </c>
      <c r="W53" s="350">
        <f t="shared" si="11"/>
        <v>85361.504002243528</v>
      </c>
      <c r="X53" s="364">
        <f t="shared" si="12"/>
        <v>6.7983508057358009</v>
      </c>
      <c r="Y53" s="258">
        <f t="shared" si="13"/>
        <v>8.7975484884815582</v>
      </c>
      <c r="Z53" s="386">
        <f t="shared" si="14"/>
        <v>10.295715170541259</v>
      </c>
      <c r="AA53" s="258">
        <f t="shared" si="15"/>
        <v>8.3409332260008782</v>
      </c>
      <c r="AB53" s="350">
        <f t="shared" si="18"/>
        <v>106</v>
      </c>
      <c r="AC53" s="247">
        <f t="shared" si="16"/>
        <v>9.3359101673794367</v>
      </c>
      <c r="AD53" s="258">
        <f t="shared" si="17"/>
        <v>11.255520173703081</v>
      </c>
    </row>
    <row r="54" spans="1:32">
      <c r="A54" s="247">
        <v>2002</v>
      </c>
      <c r="B54" s="213">
        <f t="shared" si="1"/>
        <v>2007</v>
      </c>
      <c r="C54" s="300">
        <f>VLOOKUP($A54,BroodTab!$A$12:$AG$67,12)</f>
        <v>10.213322429629041</v>
      </c>
      <c r="D54" s="300">
        <f>VLOOKUP($A54,BroodTab!$A$12:$AG$67,18)</f>
        <v>11.911715007656303</v>
      </c>
      <c r="E54" s="213">
        <v>35</v>
      </c>
      <c r="F54" s="213">
        <v>33</v>
      </c>
      <c r="G54" s="300">
        <v>2.9893144558591587</v>
      </c>
      <c r="H54" s="300">
        <v>0.82941727875729676</v>
      </c>
      <c r="I54" s="213">
        <v>9.4012510458661366E-2</v>
      </c>
      <c r="J54" s="213">
        <v>11.460420552512941</v>
      </c>
      <c r="K54" s="213">
        <v>0.70282922631956368</v>
      </c>
      <c r="L54" s="213">
        <v>0.7022600813836789</v>
      </c>
      <c r="M54" s="124">
        <v>0.53500059293203828</v>
      </c>
      <c r="N54" s="213">
        <f t="shared" si="2"/>
        <v>0.45129445514336197</v>
      </c>
      <c r="O54" s="213">
        <f t="shared" si="3"/>
        <v>0.20366668524314396</v>
      </c>
      <c r="P54" s="384">
        <f t="shared" si="4"/>
        <v>11.460420552512941</v>
      </c>
      <c r="Q54" s="213">
        <f t="shared" si="19"/>
        <v>10.500615549351119</v>
      </c>
      <c r="R54" s="213">
        <f t="shared" si="6"/>
        <v>12.420225555674763</v>
      </c>
      <c r="S54" s="350">
        <f t="shared" si="7"/>
        <v>54117.034013907396</v>
      </c>
      <c r="T54" s="213">
        <f t="shared" si="8"/>
        <v>2928653370.46241</v>
      </c>
      <c r="U54" s="350">
        <f t="shared" si="9"/>
        <v>94884.965986092633</v>
      </c>
      <c r="V54" s="350">
        <f t="shared" si="10"/>
        <v>36337.863539755417</v>
      </c>
      <c r="W54" s="350">
        <f t="shared" si="11"/>
        <v>247762.41344877245</v>
      </c>
      <c r="X54" s="364">
        <f t="shared" si="12"/>
        <v>-0.36319669543970812</v>
      </c>
      <c r="Y54" s="258">
        <f t="shared" si="13"/>
        <v>10.213322429629041</v>
      </c>
      <c r="Z54" s="386">
        <f t="shared" si="14"/>
        <v>11.473913148278603</v>
      </c>
      <c r="AA54" s="391">
        <f t="shared" si="15"/>
        <v>11.911715007656303</v>
      </c>
      <c r="AB54" s="350">
        <f t="shared" si="18"/>
        <v>107</v>
      </c>
      <c r="AC54" s="247">
        <f t="shared" si="16"/>
        <v>10.514108145116781</v>
      </c>
      <c r="AD54" s="258">
        <f t="shared" si="17"/>
        <v>12.433718151440425</v>
      </c>
    </row>
    <row r="55" spans="1:32">
      <c r="A55" s="247">
        <v>2003</v>
      </c>
      <c r="B55" s="213">
        <f t="shared" si="1"/>
        <v>2008</v>
      </c>
      <c r="C55" s="300">
        <f>VLOOKUP($A55,BroodTab!$A$12:$AG$67,12)</f>
        <v>10.284045024938107</v>
      </c>
      <c r="D55" s="300">
        <f>VLOOKUP($A55,BroodTab!$A$12:$AG$67,18)</f>
        <v>11.125776585897835</v>
      </c>
      <c r="E55" s="213">
        <v>35</v>
      </c>
      <c r="F55" s="213">
        <v>33</v>
      </c>
      <c r="G55" s="300">
        <v>2.9553886198039141</v>
      </c>
      <c r="H55" s="300">
        <v>0.83530729257411662</v>
      </c>
      <c r="I55" s="213">
        <v>9.4135924076108796E-2</v>
      </c>
      <c r="J55" s="213">
        <v>11.545726426295278</v>
      </c>
      <c r="K55" s="213">
        <v>0.70340375839136737</v>
      </c>
      <c r="L55" s="213">
        <v>0.70466502047484314</v>
      </c>
      <c r="M55" s="124">
        <v>0.53578155085251089</v>
      </c>
      <c r="N55" s="213">
        <f t="shared" si="2"/>
        <v>-0.4199498403974431</v>
      </c>
      <c r="O55" s="213">
        <f t="shared" si="3"/>
        <v>0.17635786844983792</v>
      </c>
      <c r="P55" s="384">
        <f t="shared" si="4"/>
        <v>11.545726426295278</v>
      </c>
      <c r="Q55" s="213">
        <f t="shared" si="19"/>
        <v>10.585921423133456</v>
      </c>
      <c r="R55" s="213">
        <f t="shared" si="6"/>
        <v>12.505531429457101</v>
      </c>
      <c r="S55" s="350">
        <f t="shared" si="7"/>
        <v>-35435.484318289557</v>
      </c>
      <c r="T55" s="213">
        <f t="shared" si="8"/>
        <v>1255673548.8717451</v>
      </c>
      <c r="U55" s="350">
        <f t="shared" si="9"/>
        <v>103334.48431828954</v>
      </c>
      <c r="V55" s="350">
        <f t="shared" si="10"/>
        <v>39573.754926142552</v>
      </c>
      <c r="W55" s="350">
        <f t="shared" si="11"/>
        <v>269825.68799082789</v>
      </c>
      <c r="X55" s="364">
        <f t="shared" si="12"/>
        <v>0.52188521654648179</v>
      </c>
      <c r="Y55" s="258">
        <f t="shared" si="13"/>
        <v>10.284045024938107</v>
      </c>
      <c r="Z55" s="386">
        <f t="shared" si="14"/>
        <v>11.53276803771522</v>
      </c>
      <c r="AA55" s="391">
        <f t="shared" si="15"/>
        <v>11.125776585897835</v>
      </c>
      <c r="AB55" s="350">
        <f t="shared" si="18"/>
        <v>108</v>
      </c>
      <c r="AC55" s="247">
        <f t="shared" si="16"/>
        <v>10.572963034553398</v>
      </c>
      <c r="AD55" s="258">
        <f t="shared" si="17"/>
        <v>12.492573040877042</v>
      </c>
    </row>
    <row r="56" spans="1:32">
      <c r="A56" s="247">
        <v>2004</v>
      </c>
      <c r="B56" s="213">
        <f t="shared" si="1"/>
        <v>2009</v>
      </c>
      <c r="C56" s="300">
        <f>VLOOKUP($A56,BroodTab!$A$12:$AG$67,12)</f>
        <v>10.736070535336799</v>
      </c>
      <c r="D56" s="300">
        <f>VLOOKUP($A56,BroodTab!$A$12:$AG$67,18)</f>
        <v>11.584445806379085</v>
      </c>
      <c r="E56" s="213">
        <v>35</v>
      </c>
      <c r="F56" s="213">
        <v>33</v>
      </c>
      <c r="G56" s="300">
        <v>2.9321340489868746</v>
      </c>
      <c r="H56" s="300">
        <v>0.83743425413489392</v>
      </c>
      <c r="I56" s="213">
        <v>9.4819599840837945E-2</v>
      </c>
      <c r="J56" s="213">
        <v>11.922887270086258</v>
      </c>
      <c r="K56" s="213">
        <v>0.70471849975463696</v>
      </c>
      <c r="L56" s="213">
        <v>0.70270780324626914</v>
      </c>
      <c r="M56" s="124">
        <v>0.53754854631040294</v>
      </c>
      <c r="N56" s="213">
        <f t="shared" si="2"/>
        <v>-0.33844146370717354</v>
      </c>
      <c r="O56" s="213">
        <f t="shared" si="3"/>
        <v>0.11454262435625406</v>
      </c>
      <c r="P56" s="384">
        <f t="shared" si="4"/>
        <v>11.922887270086258</v>
      </c>
      <c r="Q56" s="213">
        <f t="shared" si="19"/>
        <v>10.963082266924436</v>
      </c>
      <c r="R56" s="213">
        <f t="shared" si="6"/>
        <v>12.882692273248081</v>
      </c>
      <c r="S56" s="350">
        <f t="shared" si="7"/>
        <v>-43262.023348148374</v>
      </c>
      <c r="T56" s="213">
        <f t="shared" si="8"/>
        <v>1871602664.175735</v>
      </c>
      <c r="U56" s="350">
        <f t="shared" si="9"/>
        <v>150676.02334814833</v>
      </c>
      <c r="V56" s="350">
        <f t="shared" si="10"/>
        <v>57704.028433129504</v>
      </c>
      <c r="W56" s="350">
        <f t="shared" si="11"/>
        <v>393443.31112552201</v>
      </c>
      <c r="X56" s="364">
        <f t="shared" si="12"/>
        <v>0.40275963420176503</v>
      </c>
      <c r="Y56" s="258">
        <f t="shared" si="13"/>
        <v>10.736070535336799</v>
      </c>
      <c r="Z56" s="386">
        <f t="shared" si="14"/>
        <v>11.908940763288751</v>
      </c>
      <c r="AA56" s="391">
        <f t="shared" si="15"/>
        <v>11.584445806379085</v>
      </c>
      <c r="AB56" s="350">
        <f t="shared" si="18"/>
        <v>109</v>
      </c>
      <c r="AC56" s="247">
        <f t="shared" si="16"/>
        <v>10.949135760126929</v>
      </c>
      <c r="AD56" s="258">
        <f t="shared" si="17"/>
        <v>12.868745766450573</v>
      </c>
    </row>
    <row r="57" spans="1:32">
      <c r="A57" s="247">
        <v>2005</v>
      </c>
      <c r="B57" s="213">
        <f t="shared" si="1"/>
        <v>2010</v>
      </c>
      <c r="C57" s="300">
        <f>VLOOKUP($A57,BroodTab!$A$12:$AG$67,12)</f>
        <v>7.9409397623277913</v>
      </c>
      <c r="D57" s="300">
        <f>VLOOKUP($A57,BroodTab!$A$12:$AG$67,18)</f>
        <v>9.444621667700849</v>
      </c>
      <c r="E57" s="213">
        <v>35</v>
      </c>
      <c r="F57" s="213">
        <v>33</v>
      </c>
      <c r="G57" s="300">
        <v>3.0305208059937812</v>
      </c>
      <c r="H57" s="300">
        <v>0.82694161462616844</v>
      </c>
      <c r="I57" s="213">
        <v>9.7813706508041762E-2</v>
      </c>
      <c r="J57" s="213">
        <v>9.5972143547022668</v>
      </c>
      <c r="K57" s="213">
        <v>0.70662362335986606</v>
      </c>
      <c r="L57" s="213">
        <v>0.68413301949459882</v>
      </c>
      <c r="M57" s="124">
        <v>0.54015553868386945</v>
      </c>
      <c r="N57" s="213">
        <f t="shared" si="2"/>
        <v>-0.15259268700141781</v>
      </c>
      <c r="O57" s="213">
        <f t="shared" si="3"/>
        <v>2.3284528126312664E-2</v>
      </c>
      <c r="P57" s="384">
        <f t="shared" si="4"/>
        <v>9.5972143547022668</v>
      </c>
      <c r="Q57" s="213">
        <f t="shared" si="19"/>
        <v>8.6374093515404446</v>
      </c>
      <c r="R57" s="213">
        <f t="shared" si="6"/>
        <v>10.557019357864089</v>
      </c>
      <c r="S57" s="350">
        <f t="shared" si="7"/>
        <v>-2083.709354102848</v>
      </c>
      <c r="T57" s="213">
        <f t="shared" si="8"/>
        <v>4341844.6723757079</v>
      </c>
      <c r="U57" s="350">
        <f t="shared" si="9"/>
        <v>14723.709354102855</v>
      </c>
      <c r="V57" s="350">
        <f t="shared" si="10"/>
        <v>5638.7029889100595</v>
      </c>
      <c r="W57" s="350">
        <f t="shared" si="11"/>
        <v>38446.362145774263</v>
      </c>
      <c r="X57" s="364">
        <f t="shared" si="12"/>
        <v>0.16485042358408597</v>
      </c>
      <c r="Y57" s="258">
        <f t="shared" si="13"/>
        <v>7.9409397623277913</v>
      </c>
      <c r="Z57" s="386">
        <f t="shared" si="14"/>
        <v>9.5828508921886488</v>
      </c>
      <c r="AA57" s="391">
        <f t="shared" si="15"/>
        <v>9.444621667700849</v>
      </c>
      <c r="AB57" s="350">
        <f t="shared" si="18"/>
        <v>110</v>
      </c>
      <c r="AC57" s="247">
        <f t="shared" si="16"/>
        <v>8.6230458890268267</v>
      </c>
      <c r="AD57" s="258">
        <f t="shared" si="17"/>
        <v>10.542655895350471</v>
      </c>
    </row>
    <row r="58" spans="1:32">
      <c r="A58" s="247">
        <v>2006</v>
      </c>
      <c r="B58" s="213">
        <f t="shared" si="1"/>
        <v>2011</v>
      </c>
      <c r="C58" s="300">
        <f>VLOOKUP($A58,BroodTab!$A$12:$AG$67,12)</f>
        <v>10.52741862240739</v>
      </c>
      <c r="D58" s="300">
        <f>VLOOKUP($A58,BroodTab!$A$12:$AG$67,18)</f>
        <v>11.714036063660766</v>
      </c>
      <c r="E58" s="213">
        <v>35</v>
      </c>
      <c r="F58" s="213">
        <v>33</v>
      </c>
      <c r="G58" s="300">
        <v>2.9725054608382209</v>
      </c>
      <c r="H58" s="300">
        <v>0.83245286413175645</v>
      </c>
      <c r="I58" s="213">
        <v>9.4854639251067754E-2</v>
      </c>
      <c r="J58" s="213">
        <v>11.736085244975243</v>
      </c>
      <c r="K58" s="213">
        <v>0.707065704817883</v>
      </c>
      <c r="L58" s="213">
        <v>0.70005387610690029</v>
      </c>
      <c r="M58" s="124">
        <v>0.54080696670602779</v>
      </c>
      <c r="N58" s="213">
        <f t="shared" si="2"/>
        <v>-2.2049181314477195E-2</v>
      </c>
      <c r="O58" s="213">
        <f t="shared" si="3"/>
        <v>4.8616639663869032E-4</v>
      </c>
      <c r="P58" s="384">
        <f t="shared" si="4"/>
        <v>11.736085244975243</v>
      </c>
      <c r="Q58" s="213">
        <f t="shared" si="19"/>
        <v>10.776280241813421</v>
      </c>
      <c r="R58" s="213">
        <f t="shared" si="6"/>
        <v>12.695890248137065</v>
      </c>
      <c r="S58" s="350">
        <f t="shared" si="7"/>
        <v>-2726.0286028112168</v>
      </c>
      <c r="T58" s="213">
        <f t="shared" si="8"/>
        <v>7431231.9433448752</v>
      </c>
      <c r="U58" s="350">
        <f t="shared" si="9"/>
        <v>125002.02860281132</v>
      </c>
      <c r="V58" s="350">
        <f t="shared" si="10"/>
        <v>47871.721408714322</v>
      </c>
      <c r="W58" s="350">
        <f t="shared" si="11"/>
        <v>326403.70337661752</v>
      </c>
      <c r="X58" s="364">
        <f t="shared" si="12"/>
        <v>2.2294060999797298E-2</v>
      </c>
      <c r="Y58" s="258">
        <f t="shared" si="13"/>
        <v>10.52741862240739</v>
      </c>
      <c r="Z58" s="386">
        <f t="shared" si="14"/>
        <v>11.735301981898829</v>
      </c>
      <c r="AA58" s="391">
        <f t="shared" si="15"/>
        <v>11.714036063660766</v>
      </c>
      <c r="AB58" s="350">
        <f t="shared" si="18"/>
        <v>111</v>
      </c>
      <c r="AC58" s="247">
        <f t="shared" si="16"/>
        <v>10.775496978737007</v>
      </c>
      <c r="AD58" s="258">
        <f t="shared" si="17"/>
        <v>12.695106985060651</v>
      </c>
    </row>
    <row r="59" spans="1:32">
      <c r="A59" s="247">
        <v>2007</v>
      </c>
      <c r="B59" s="213">
        <f t="shared" si="1"/>
        <v>2012</v>
      </c>
      <c r="C59" s="300">
        <f>VLOOKUP($A59,BroodTab!$A$12:$AG$67,12)</f>
        <v>11.560514908563141</v>
      </c>
      <c r="D59" s="300">
        <f>VLOOKUP($A59,BroodTab!$A$12:$AG$67,18)</f>
        <v>13.190298623135615</v>
      </c>
      <c r="E59" s="213">
        <v>35</v>
      </c>
      <c r="F59" s="213">
        <v>33</v>
      </c>
      <c r="G59" s="300">
        <v>3.1491270127747057</v>
      </c>
      <c r="H59" s="300">
        <v>0.8126747805756841</v>
      </c>
      <c r="I59" s="213">
        <v>9.5924286755872917E-2</v>
      </c>
      <c r="J59" s="213">
        <v>12.544065929433181</v>
      </c>
      <c r="K59" s="213">
        <v>0.6987841199671484</v>
      </c>
      <c r="L59" s="213">
        <v>0.68504096323048103</v>
      </c>
      <c r="M59" s="124">
        <v>0.52888641938796033</v>
      </c>
      <c r="N59" s="213">
        <f t="shared" si="2"/>
        <v>0.64623269370243364</v>
      </c>
      <c r="O59" s="213">
        <f t="shared" si="3"/>
        <v>0.4176166944099034</v>
      </c>
      <c r="P59" s="384">
        <f t="shared" si="4"/>
        <v>12.544065929433181</v>
      </c>
      <c r="Q59" s="213">
        <f t="shared" si="19"/>
        <v>11.584260926271359</v>
      </c>
      <c r="R59" s="213">
        <f t="shared" si="6"/>
        <v>13.503870932595003</v>
      </c>
      <c r="S59" s="350">
        <f t="shared" si="7"/>
        <v>254721.78269493557</v>
      </c>
      <c r="T59" s="213">
        <f t="shared" si="8"/>
        <v>64883186579.285973</v>
      </c>
      <c r="U59" s="350">
        <f t="shared" si="9"/>
        <v>280426.2173050649</v>
      </c>
      <c r="V59" s="350">
        <f t="shared" si="10"/>
        <v>107394.14312373592</v>
      </c>
      <c r="W59" s="350">
        <f t="shared" si="11"/>
        <v>732245.36333813309</v>
      </c>
      <c r="X59" s="364">
        <f t="shared" si="12"/>
        <v>-0.47598380764748321</v>
      </c>
      <c r="Y59" s="258">
        <f t="shared" si="13"/>
        <v>11.560514908563141</v>
      </c>
      <c r="Z59" s="386">
        <f t="shared" si="14"/>
        <v>12.595038073785174</v>
      </c>
      <c r="AA59" s="391">
        <f t="shared" si="15"/>
        <v>13.190298623135615</v>
      </c>
      <c r="AB59" s="350">
        <f t="shared" si="18"/>
        <v>112</v>
      </c>
      <c r="AC59" s="247">
        <f t="shared" si="16"/>
        <v>11.635233070623352</v>
      </c>
      <c r="AD59" s="258">
        <f t="shared" si="17"/>
        <v>13.554843076946996</v>
      </c>
    </row>
    <row r="60" spans="1:32">
      <c r="A60" s="247">
        <v>2008</v>
      </c>
      <c r="B60" s="213">
        <f t="shared" si="1"/>
        <v>2013</v>
      </c>
      <c r="C60" s="300">
        <f>VLOOKUP($A60,BroodTab!$A$12:$AG$67,12)</f>
        <v>10.315100391230526</v>
      </c>
      <c r="D60" s="300">
        <f>VLOOKUP($A60,BroodTab!$A$12:$AG$67,18)</f>
        <v>10.613368932087239</v>
      </c>
      <c r="E60" s="213">
        <v>35</v>
      </c>
      <c r="F60" s="213">
        <v>33</v>
      </c>
      <c r="G60" s="300">
        <v>2.9248160163893768</v>
      </c>
      <c r="H60" s="300">
        <v>0.83996983381165291</v>
      </c>
      <c r="I60" s="213">
        <v>9.1966798353668402E-2</v>
      </c>
      <c r="J60" s="213">
        <v>11.589189177761797</v>
      </c>
      <c r="K60" s="213">
        <v>0.68702618984858521</v>
      </c>
      <c r="L60" s="213">
        <v>0.7165412379251751</v>
      </c>
      <c r="M60" s="124">
        <v>0.51361360204662942</v>
      </c>
      <c r="N60" s="213">
        <f t="shared" si="2"/>
        <v>-0.97582024567455861</v>
      </c>
      <c r="O60" s="213">
        <f t="shared" si="3"/>
        <v>0.95222515186835588</v>
      </c>
      <c r="P60" s="384">
        <f t="shared" si="4"/>
        <v>11.589189177761797</v>
      </c>
      <c r="Q60" s="213">
        <f t="shared" si="19"/>
        <v>10.629384174599975</v>
      </c>
      <c r="R60" s="213">
        <f t="shared" si="6"/>
        <v>12.54899418092362</v>
      </c>
      <c r="S60" s="350">
        <f t="shared" si="7"/>
        <v>-67249.714791093356</v>
      </c>
      <c r="T60" s="213">
        <f t="shared" si="8"/>
        <v>4522524139.4834003</v>
      </c>
      <c r="U60" s="350">
        <f t="shared" si="9"/>
        <v>107924.71479109337</v>
      </c>
      <c r="V60" s="350">
        <f t="shared" si="10"/>
        <v>41331.664272510658</v>
      </c>
      <c r="W60" s="350">
        <f t="shared" si="11"/>
        <v>281811.63927835505</v>
      </c>
      <c r="X60" s="364">
        <f t="shared" si="12"/>
        <v>1.6533427115204262</v>
      </c>
      <c r="Y60" s="258">
        <f t="shared" si="13"/>
        <v>10.315100391230526</v>
      </c>
      <c r="Z60" s="386">
        <f t="shared" si="14"/>
        <v>11.558612114018789</v>
      </c>
      <c r="AA60" s="391">
        <f t="shared" si="15"/>
        <v>10.613368932087239</v>
      </c>
      <c r="AB60" s="350">
        <f t="shared" si="18"/>
        <v>113</v>
      </c>
      <c r="AC60" s="247">
        <f t="shared" si="16"/>
        <v>10.598807110856967</v>
      </c>
      <c r="AD60" s="258">
        <f t="shared" si="17"/>
        <v>12.518417117180611</v>
      </c>
    </row>
    <row r="61" spans="1:32">
      <c r="A61" s="247">
        <v>2009</v>
      </c>
      <c r="B61" s="213">
        <f t="shared" si="1"/>
        <v>2014</v>
      </c>
      <c r="C61" s="300">
        <f>VLOOKUP($A61,BroodTab!$A$12:$AG$67,12)</f>
        <v>10.472487740353191</v>
      </c>
      <c r="D61" s="300">
        <f>VLOOKUP($A61,BroodTab!$A$12:$AG$67,18)</f>
        <v>11.327956406634861</v>
      </c>
      <c r="E61" s="213">
        <v>35</v>
      </c>
      <c r="F61" s="213">
        <v>33</v>
      </c>
      <c r="G61" s="300">
        <v>2.9450198480342795</v>
      </c>
      <c r="H61" s="300">
        <v>0.83622995060547367</v>
      </c>
      <c r="I61" s="213">
        <v>9.4405321021523422E-2</v>
      </c>
      <c r="J61" s="213">
        <v>11.702427753866257</v>
      </c>
      <c r="K61" s="213">
        <v>0.70416791572505788</v>
      </c>
      <c r="L61" s="213">
        <v>0.70393454898962704</v>
      </c>
      <c r="M61" s="307">
        <v>0.53684301534764167</v>
      </c>
      <c r="N61" s="390">
        <f t="shared" si="2"/>
        <v>-0.37447134723139541</v>
      </c>
      <c r="O61" s="213">
        <f t="shared" si="3"/>
        <v>0.14022878989729631</v>
      </c>
      <c r="P61" s="384">
        <f t="shared" si="4"/>
        <v>11.702427753866257</v>
      </c>
      <c r="Q61" s="213">
        <f t="shared" si="19"/>
        <v>10.742622750704435</v>
      </c>
      <c r="R61" s="213">
        <f t="shared" si="6"/>
        <v>12.662232757028079</v>
      </c>
      <c r="S61" s="350">
        <f t="shared" si="7"/>
        <v>-37751.789045562327</v>
      </c>
      <c r="T61" s="213">
        <f t="shared" si="8"/>
        <v>1425197576.1406398</v>
      </c>
      <c r="U61" s="350">
        <f t="shared" si="9"/>
        <v>120864.7890455623</v>
      </c>
      <c r="V61" s="350">
        <f t="shared" si="10"/>
        <v>46287.292886237658</v>
      </c>
      <c r="W61" s="350">
        <f t="shared" si="11"/>
        <v>315600.59619238775</v>
      </c>
      <c r="X61" s="364">
        <f t="shared" si="12"/>
        <v>0.45422243265869766</v>
      </c>
      <c r="Y61" s="258">
        <f t="shared" si="13"/>
        <v>10.472487740353191</v>
      </c>
      <c r="Z61" s="386">
        <f t="shared" si="14"/>
        <v>11.689588854774076</v>
      </c>
      <c r="AA61" s="258">
        <f t="shared" si="15"/>
        <v>11.327956406634861</v>
      </c>
      <c r="AB61" s="350">
        <f t="shared" si="18"/>
        <v>114</v>
      </c>
      <c r="AC61" s="247">
        <f t="shared" si="16"/>
        <v>10.729783851612254</v>
      </c>
      <c r="AD61" s="258">
        <f t="shared" si="17"/>
        <v>12.649393857935898</v>
      </c>
    </row>
    <row r="62" spans="1:32">
      <c r="A62" s="247"/>
      <c r="C62" s="309"/>
      <c r="D62" s="309"/>
      <c r="E62" s="213"/>
      <c r="F62" s="213"/>
      <c r="G62" s="300"/>
      <c r="H62" s="300"/>
      <c r="I62" s="213"/>
      <c r="J62" s="213"/>
      <c r="K62" s="213"/>
      <c r="L62" s="213"/>
      <c r="P62" s="302"/>
      <c r="S62" s="265"/>
      <c r="U62" s="306"/>
      <c r="V62" s="265"/>
      <c r="W62" s="265"/>
      <c r="X62" s="303"/>
      <c r="Y62" s="248"/>
      <c r="Z62" s="304"/>
      <c r="AA62" s="248"/>
      <c r="AB62" s="265"/>
      <c r="AC62" s="246"/>
      <c r="AD62" s="248"/>
    </row>
    <row r="63" spans="1:32" ht="21">
      <c r="A63" s="247">
        <v>2010</v>
      </c>
      <c r="B63" s="213">
        <f>A63+5</f>
        <v>2015</v>
      </c>
      <c r="C63" s="300">
        <f>VLOOKUP($A63,BroodTab!$A$12:$AG$67,12)</f>
        <v>9.9515631757676921</v>
      </c>
      <c r="D63" s="309"/>
      <c r="E63" s="213">
        <v>36</v>
      </c>
      <c r="F63" s="213">
        <v>34</v>
      </c>
      <c r="G63" s="300">
        <v>2.9744518410480101</v>
      </c>
      <c r="H63" s="300">
        <v>0.83219357518504411</v>
      </c>
      <c r="I63" s="213">
        <v>9.3077631467558736E-2</v>
      </c>
      <c r="J63" s="213">
        <v>11.256078778969957</v>
      </c>
      <c r="K63" s="213">
        <v>0.6965999771318705</v>
      </c>
      <c r="L63" s="213">
        <v>0.70159440412202867</v>
      </c>
      <c r="M63" s="124">
        <v>0.52579725620834394</v>
      </c>
      <c r="P63" s="384">
        <f>J63</f>
        <v>11.256078778969957</v>
      </c>
      <c r="Q63" s="213">
        <f>$P63-(SQRT($O$66)*$Q$66)</f>
        <v>10.306173167143635</v>
      </c>
      <c r="R63" s="213">
        <f>$P63+SQRT($O$66)*$Q$66</f>
        <v>12.20598439079628</v>
      </c>
      <c r="S63" s="265"/>
      <c r="U63" s="477">
        <f>EXP(P63)</f>
        <v>77348.679102910974</v>
      </c>
      <c r="V63" s="477">
        <f>EXP(Q63)</f>
        <v>29916.730971450597</v>
      </c>
      <c r="W63" s="477">
        <f>EXP(R63)</f>
        <v>199982.3498320881</v>
      </c>
      <c r="X63" s="303"/>
      <c r="Y63" s="258">
        <f>C63</f>
        <v>9.9515631757676921</v>
      </c>
      <c r="Z63" s="386">
        <f>(+G$63+H$63*C63)</f>
        <v>11.256078778969957</v>
      </c>
      <c r="AA63" s="248"/>
      <c r="AB63" s="350">
        <f>B63-1900</f>
        <v>115</v>
      </c>
      <c r="AC63" s="247">
        <f>Z63-SQRT($O$66)*$Q$66</f>
        <v>10.306173167143635</v>
      </c>
      <c r="AD63" s="258">
        <f>Z63+SQRT($O$66)*$Q$66</f>
        <v>12.20598439079628</v>
      </c>
      <c r="AE63" s="390">
        <f>Z63</f>
        <v>11.256078778969957</v>
      </c>
      <c r="AF63" s="124">
        <v>99</v>
      </c>
    </row>
    <row r="64" spans="1:32">
      <c r="A64" s="297"/>
      <c r="B64" s="224"/>
      <c r="C64" s="315"/>
      <c r="D64" s="224"/>
      <c r="E64" s="224"/>
      <c r="F64" s="224"/>
      <c r="G64" s="224"/>
      <c r="H64" s="224"/>
      <c r="I64" s="224"/>
      <c r="J64" s="224"/>
      <c r="K64" s="224"/>
      <c r="L64" s="224"/>
      <c r="M64" s="224"/>
      <c r="N64" s="224"/>
      <c r="O64" s="224"/>
      <c r="P64" s="224"/>
      <c r="Q64" s="224"/>
      <c r="R64" s="224"/>
      <c r="S64" s="224"/>
      <c r="T64" s="224"/>
      <c r="U64" s="224"/>
      <c r="V64" s="224"/>
      <c r="W64" s="224"/>
      <c r="X64" s="298"/>
      <c r="Y64" s="294"/>
      <c r="Z64" s="298"/>
      <c r="AA64" s="298"/>
      <c r="AB64" s="298"/>
      <c r="AC64" s="224"/>
      <c r="AD64" s="298"/>
    </row>
    <row r="65" spans="1:25">
      <c r="A65" s="246"/>
      <c r="C65" s="309"/>
      <c r="E65" s="308" t="s">
        <v>152</v>
      </c>
      <c r="F65" s="213">
        <f>F61</f>
        <v>33</v>
      </c>
      <c r="M65" s="308" t="s">
        <v>153</v>
      </c>
      <c r="O65" s="213">
        <f>AVERAGEA(O26:O60)</f>
        <v>0.53681349810294532</v>
      </c>
      <c r="P65" s="308" t="s">
        <v>154</v>
      </c>
      <c r="Q65" s="213">
        <f>VLOOKUP(F65,ttab!$A$3:$G$43,4)</f>
        <v>1.31</v>
      </c>
      <c r="X65" s="248"/>
      <c r="Y65" s="246"/>
    </row>
    <row r="66" spans="1:25" ht="21">
      <c r="A66" s="246"/>
      <c r="E66" s="308" t="s">
        <v>152</v>
      </c>
      <c r="F66" s="213">
        <f>F63</f>
        <v>34</v>
      </c>
      <c r="M66" s="308" t="s">
        <v>155</v>
      </c>
      <c r="O66" s="213">
        <f>AVERAGEA(O26:O64)</f>
        <v>0.52579725620834394</v>
      </c>
      <c r="P66" s="308" t="s">
        <v>154</v>
      </c>
      <c r="Q66" s="213">
        <f>VLOOKUP(F66,ttab!$A$3:$G$43,4)</f>
        <v>1.31</v>
      </c>
      <c r="S66" s="308" t="s">
        <v>166</v>
      </c>
      <c r="T66" s="213">
        <f>AVERAGEA(T26:T63)</f>
        <v>27437191233.741295</v>
      </c>
      <c r="W66" s="124" t="s">
        <v>167</v>
      </c>
      <c r="X66" s="478">
        <f>AVERAGEA(X26:X62)</f>
        <v>0.32501808640696933</v>
      </c>
      <c r="Y66" s="246"/>
    </row>
    <row r="67" spans="1:25">
      <c r="A67" s="224"/>
      <c r="B67" s="224"/>
      <c r="C67" s="224"/>
      <c r="D67" s="224"/>
      <c r="E67" s="224"/>
      <c r="F67" s="224"/>
      <c r="G67" s="224"/>
      <c r="H67" s="224"/>
      <c r="I67" s="224"/>
      <c r="J67" s="224"/>
      <c r="K67" s="224"/>
      <c r="L67" s="224"/>
      <c r="M67" s="224"/>
      <c r="N67" s="224"/>
      <c r="O67" s="224"/>
      <c r="P67" s="224"/>
      <c r="Q67" s="224"/>
      <c r="R67" s="224"/>
      <c r="S67" s="224"/>
      <c r="T67" s="224"/>
      <c r="U67" s="224"/>
      <c r="V67" s="224"/>
      <c r="W67" s="224"/>
      <c r="X67" s="298"/>
    </row>
    <row r="68" spans="1:25" ht="15" customHeight="1"/>
    <row r="69" spans="1:25" ht="15" customHeight="1"/>
    <row r="70" spans="1:25" ht="15" customHeight="1"/>
    <row r="71" spans="1:25" ht="15" customHeight="1"/>
    <row r="72" spans="1:25" ht="15" customHeight="1">
      <c r="K72" s="124" t="s">
        <v>369</v>
      </c>
      <c r="L72" s="213">
        <f>ROUND(L63,5)</f>
        <v>0.70159000000000005</v>
      </c>
    </row>
    <row r="73" spans="1:25" ht="15" customHeight="1">
      <c r="K73" s="124" t="s">
        <v>171</v>
      </c>
      <c r="L73" s="390">
        <f>ROUND(H63,5)</f>
        <v>0.83218999999999999</v>
      </c>
    </row>
    <row r="74" spans="1:25" ht="15" customHeight="1"/>
    <row r="75" spans="1:25" ht="15" customHeight="1"/>
    <row r="76" spans="1:25" ht="15" customHeight="1"/>
    <row r="77" spans="1:25" ht="15" customHeight="1">
      <c r="O77" s="219"/>
    </row>
    <row r="78" spans="1:25" ht="15" customHeight="1"/>
    <row r="79" spans="1:25" ht="15" customHeight="1"/>
    <row r="80" spans="1:25" ht="15" customHeight="1"/>
    <row r="81" ht="15" customHeight="1"/>
    <row r="82" ht="15" customHeight="1"/>
    <row r="83" ht="15" customHeight="1"/>
    <row r="84" ht="15" customHeight="1"/>
    <row r="85" ht="15" customHeight="1"/>
    <row r="86" ht="15" customHeight="1"/>
    <row r="87" ht="15" customHeight="1"/>
    <row r="88" ht="15" customHeight="1"/>
  </sheetData>
  <sortState ref="A26:AD61">
    <sortCondition ref="B26"/>
  </sortState>
  <phoneticPr fontId="11" type="noConversion"/>
  <pageMargins left="0.5" right="0.5" top="1" bottom="0.55000000000000004" header="0.5" footer="0.5"/>
  <pageSetup orientation="landscape"/>
  <headerFooter alignWithMargins="0">
    <oddFooter>&amp;L&amp;D&amp;C+&amp;R^</oddFooter>
  </headerFooter>
  <rowBreaks count="1" manualBreakCount="1">
    <brk id="88" max="16383" man="1"/>
  </rowBreaks>
  <drawing r:id="rId1"/>
  <legacy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1" enableFormatConditionsCalculation="0"/>
  <dimension ref="A1:AE75"/>
  <sheetViews>
    <sheetView defaultGridColor="0" colorId="22" zoomScale="77" workbookViewId="0">
      <pane ySplit="11" topLeftCell="A12" activePane="bottomLeft" state="frozenSplit"/>
      <selection pane="bottomLeft" activeCell="A12" sqref="A12"/>
    </sheetView>
  </sheetViews>
  <sheetFormatPr baseColWidth="10" defaultColWidth="9.625" defaultRowHeight="15" x14ac:dyDescent="0"/>
  <cols>
    <col min="1" max="2" width="6.625" style="124" customWidth="1"/>
    <col min="3" max="4" width="9.625" style="124"/>
    <col min="5" max="6" width="6.625" style="124" customWidth="1"/>
    <col min="7" max="14" width="9.625" style="124"/>
    <col min="15" max="15" width="14.75" style="124" customWidth="1"/>
    <col min="16" max="16" width="9.625" style="124"/>
    <col min="17" max="17" width="12.625" style="124" customWidth="1"/>
    <col min="18" max="18" width="12.5" style="124" customWidth="1"/>
    <col min="19" max="19" width="9.625" style="124"/>
    <col min="20" max="20" width="11.875" style="124" bestFit="1" customWidth="1"/>
    <col min="21" max="21" width="12.25" style="124" customWidth="1"/>
    <col min="22" max="22" width="12.125" style="124" customWidth="1"/>
    <col min="23" max="23" width="13" style="124" customWidth="1"/>
    <col min="24" max="24" width="12.125" style="124" customWidth="1"/>
    <col min="25" max="16384" width="9.625" style="124"/>
  </cols>
  <sheetData>
    <row r="1" spans="1:30">
      <c r="A1" s="124" t="s">
        <v>30</v>
      </c>
      <c r="B1" s="213" t="str">
        <f ca="1">CELL("filename",B2)</f>
        <v>NWCLM04072996:Users:eric.ward:Documents:NCEAS-covariation:data:salmon data:[2015 Coghill Lake Wild Sockeye forecast-FINAL.xlsm]ln13rps x BYE</v>
      </c>
      <c r="F1" s="124" t="s">
        <v>172</v>
      </c>
    </row>
    <row r="2" spans="1:30">
      <c r="A2" s="124" t="s">
        <v>31</v>
      </c>
      <c r="F2" s="288" t="s">
        <v>115</v>
      </c>
      <c r="G2" s="288" t="s">
        <v>116</v>
      </c>
    </row>
    <row r="3" spans="1:30">
      <c r="A3" s="124" t="s">
        <v>104</v>
      </c>
      <c r="B3" s="124" t="s">
        <v>105</v>
      </c>
      <c r="F3" s="288" t="s">
        <v>117</v>
      </c>
      <c r="G3" s="288" t="s">
        <v>173</v>
      </c>
    </row>
    <row r="4" spans="1:30">
      <c r="H4" s="124">
        <v>5</v>
      </c>
    </row>
    <row r="9" spans="1:30">
      <c r="A9" s="256"/>
      <c r="B9" s="256"/>
      <c r="C9" s="233" t="s">
        <v>120</v>
      </c>
      <c r="D9" s="289"/>
      <c r="E9" s="233"/>
      <c r="F9" s="230"/>
      <c r="G9" s="230"/>
      <c r="H9" s="230" t="s">
        <v>121</v>
      </c>
      <c r="I9" s="230"/>
      <c r="J9" s="230"/>
      <c r="K9" s="230"/>
      <c r="L9" s="230"/>
      <c r="M9" s="289"/>
      <c r="N9" s="233" t="s">
        <v>122</v>
      </c>
      <c r="O9" s="230"/>
      <c r="P9" s="230"/>
      <c r="Q9" s="230"/>
      <c r="R9" s="289"/>
      <c r="S9" s="233" t="s">
        <v>123</v>
      </c>
      <c r="T9" s="230"/>
      <c r="U9" s="230"/>
      <c r="V9" s="230"/>
      <c r="W9" s="289"/>
      <c r="X9" s="225" t="s">
        <v>124</v>
      </c>
      <c r="Y9" s="290" t="s">
        <v>125</v>
      </c>
      <c r="Z9" s="290" t="s">
        <v>126</v>
      </c>
      <c r="AA9" s="290" t="s">
        <v>127</v>
      </c>
      <c r="AB9" s="290" t="s">
        <v>128</v>
      </c>
      <c r="AC9" s="291" t="s">
        <v>129</v>
      </c>
      <c r="AD9" s="292"/>
    </row>
    <row r="10" spans="1:30">
      <c r="A10" s="188" t="s">
        <v>37</v>
      </c>
      <c r="B10" s="188" t="s">
        <v>40</v>
      </c>
      <c r="C10" s="293" t="s">
        <v>130</v>
      </c>
      <c r="D10" s="293" t="s">
        <v>131</v>
      </c>
      <c r="E10" s="256"/>
      <c r="F10" s="256"/>
      <c r="G10" s="256"/>
      <c r="H10" s="256"/>
      <c r="I10" s="293" t="s">
        <v>132</v>
      </c>
      <c r="J10" s="293" t="s">
        <v>133</v>
      </c>
      <c r="K10" s="293" t="s">
        <v>132</v>
      </c>
      <c r="L10" s="256"/>
      <c r="M10" s="293" t="s">
        <v>134</v>
      </c>
      <c r="N10" s="256"/>
      <c r="O10" s="256"/>
      <c r="P10" s="225" t="s">
        <v>135</v>
      </c>
      <c r="Q10" s="225" t="s">
        <v>4</v>
      </c>
      <c r="R10" s="225" t="s">
        <v>5</v>
      </c>
      <c r="S10" s="256"/>
      <c r="T10" s="256"/>
      <c r="U10" s="225" t="s">
        <v>135</v>
      </c>
      <c r="V10" s="225" t="s">
        <v>4</v>
      </c>
      <c r="W10" s="225" t="s">
        <v>5</v>
      </c>
      <c r="X10" s="188" t="s">
        <v>12</v>
      </c>
      <c r="Y10" s="252" t="s">
        <v>136</v>
      </c>
      <c r="Z10" s="225" t="s">
        <v>137</v>
      </c>
      <c r="AA10" s="225" t="s">
        <v>54</v>
      </c>
      <c r="AB10" s="225" t="s">
        <v>40</v>
      </c>
      <c r="AC10" s="290" t="s">
        <v>138</v>
      </c>
      <c r="AD10" s="290" t="s">
        <v>139</v>
      </c>
    </row>
    <row r="11" spans="1:30">
      <c r="A11" s="243" t="s">
        <v>42</v>
      </c>
      <c r="B11" s="243" t="s">
        <v>42</v>
      </c>
      <c r="C11" s="295" t="s">
        <v>125</v>
      </c>
      <c r="D11" s="295" t="s">
        <v>140</v>
      </c>
      <c r="E11" s="295" t="s">
        <v>49</v>
      </c>
      <c r="F11" s="295" t="s">
        <v>141</v>
      </c>
      <c r="G11" s="295" t="s">
        <v>107</v>
      </c>
      <c r="H11" s="295" t="s">
        <v>142</v>
      </c>
      <c r="I11" s="295" t="s">
        <v>142</v>
      </c>
      <c r="J11" s="295" t="s">
        <v>143</v>
      </c>
      <c r="K11" s="295" t="s">
        <v>133</v>
      </c>
      <c r="L11" s="295" t="s">
        <v>144</v>
      </c>
      <c r="M11" s="295" t="s">
        <v>145</v>
      </c>
      <c r="N11" s="295" t="s">
        <v>146</v>
      </c>
      <c r="O11" s="295" t="s">
        <v>147</v>
      </c>
      <c r="P11" s="295" t="s">
        <v>143</v>
      </c>
      <c r="Q11" s="295" t="s">
        <v>148</v>
      </c>
      <c r="R11" s="295" t="s">
        <v>149</v>
      </c>
      <c r="S11" s="295" t="s">
        <v>146</v>
      </c>
      <c r="T11" s="295" t="s">
        <v>147</v>
      </c>
      <c r="U11" s="295" t="s">
        <v>143</v>
      </c>
      <c r="V11" s="295" t="s">
        <v>148</v>
      </c>
      <c r="W11" s="295" t="s">
        <v>149</v>
      </c>
      <c r="X11" s="295" t="s">
        <v>150</v>
      </c>
      <c r="Y11" s="296" t="s">
        <v>60</v>
      </c>
      <c r="Z11" s="243" t="s">
        <v>151</v>
      </c>
      <c r="AA11" s="243" t="s">
        <v>151</v>
      </c>
      <c r="AB11" s="243" t="s">
        <v>42</v>
      </c>
      <c r="AC11" s="290" t="s">
        <v>4</v>
      </c>
      <c r="AD11" s="290" t="s">
        <v>5</v>
      </c>
    </row>
    <row r="12" spans="1:30">
      <c r="A12" s="253"/>
      <c r="B12" s="254"/>
      <c r="C12" s="254"/>
      <c r="D12" s="254"/>
      <c r="E12" s="254"/>
      <c r="F12" s="254"/>
      <c r="G12" s="254"/>
      <c r="H12" s="254"/>
      <c r="I12" s="254"/>
      <c r="J12" s="254"/>
      <c r="K12" s="254"/>
      <c r="L12" s="254"/>
      <c r="M12" s="254"/>
      <c r="N12" s="254"/>
      <c r="O12" s="254"/>
      <c r="P12" s="254"/>
      <c r="Q12" s="254"/>
      <c r="R12" s="254"/>
      <c r="S12" s="254"/>
      <c r="T12" s="254"/>
      <c r="U12" s="254"/>
      <c r="V12" s="254"/>
      <c r="W12" s="254"/>
      <c r="X12" s="255"/>
      <c r="Y12" s="256"/>
      <c r="Z12" s="256"/>
      <c r="AA12" s="256"/>
      <c r="AB12" s="256"/>
      <c r="AC12" s="253"/>
      <c r="AD12" s="255"/>
    </row>
    <row r="13" spans="1:30">
      <c r="A13" s="247">
        <v>1962</v>
      </c>
      <c r="B13" s="213">
        <f t="shared" ref="B13:B24" si="0">A13+5</f>
        <v>1967</v>
      </c>
      <c r="C13" s="213">
        <f>VLOOKUP($A13,BroodTab!$A$12:$AG$67,2)</f>
        <v>26866</v>
      </c>
      <c r="D13" s="213">
        <f>VLOOKUP($A13,BroodTab!$A$12:$AG$67,20)</f>
        <v>0.23611643436872409</v>
      </c>
      <c r="X13" s="248"/>
      <c r="Y13" s="252"/>
      <c r="Z13" s="252"/>
      <c r="AA13" s="252"/>
      <c r="AB13" s="252"/>
      <c r="AC13" s="246"/>
      <c r="AD13" s="248"/>
    </row>
    <row r="14" spans="1:30">
      <c r="A14" s="247">
        <v>1963</v>
      </c>
      <c r="B14" s="213">
        <f t="shared" si="0"/>
        <v>1968</v>
      </c>
      <c r="C14" s="213">
        <f>VLOOKUP($A14,BroodTab!$A$12:$AG$67,2)</f>
        <v>1</v>
      </c>
      <c r="D14" s="213">
        <f>VLOOKUP($A14,BroodTab!$A$12:$AG$67,20)</f>
        <v>10.892210567666956</v>
      </c>
      <c r="X14" s="248"/>
      <c r="Y14" s="252"/>
      <c r="Z14" s="252"/>
      <c r="AA14" s="252"/>
      <c r="AB14" s="252"/>
      <c r="AC14" s="246"/>
      <c r="AD14" s="248"/>
    </row>
    <row r="15" spans="1:30">
      <c r="A15" s="247">
        <v>1964</v>
      </c>
      <c r="B15" s="213">
        <f t="shared" si="0"/>
        <v>1969</v>
      </c>
      <c r="C15" s="213">
        <f>VLOOKUP($A15,BroodTab!$A$12:$AG$67,2)</f>
        <v>22200</v>
      </c>
      <c r="D15" s="213">
        <f>VLOOKUP($A15,BroodTab!$A$12:$AG$67,20)</f>
        <v>1.72295158706453</v>
      </c>
      <c r="X15" s="248"/>
      <c r="Y15" s="252"/>
      <c r="Z15" s="252"/>
      <c r="AA15" s="252"/>
      <c r="AB15" s="252"/>
      <c r="AC15" s="246"/>
      <c r="AD15" s="248"/>
    </row>
    <row r="16" spans="1:30">
      <c r="A16" s="247">
        <v>1965</v>
      </c>
      <c r="B16" s="213">
        <f t="shared" si="0"/>
        <v>1970</v>
      </c>
      <c r="C16" s="213">
        <f>VLOOKUP($A16,BroodTab!$A$12:$AG$67,2)</f>
        <v>62500</v>
      </c>
      <c r="D16" s="213">
        <f>VLOOKUP($A16,BroodTab!$A$12:$AG$67,20)</f>
        <v>-0.24508245883296367</v>
      </c>
      <c r="X16" s="248"/>
      <c r="Y16" s="252"/>
      <c r="Z16" s="252"/>
      <c r="AA16" s="252"/>
      <c r="AB16" s="252"/>
      <c r="AC16" s="246"/>
      <c r="AD16" s="248"/>
    </row>
    <row r="17" spans="1:30">
      <c r="A17" s="247">
        <v>1966</v>
      </c>
      <c r="B17" s="213">
        <f t="shared" si="0"/>
        <v>1971</v>
      </c>
      <c r="C17" s="213">
        <f>VLOOKUP($A17,BroodTab!$A$12:$AG$67,2)</f>
        <v>82500</v>
      </c>
      <c r="D17" s="213">
        <f>VLOOKUP($A17,BroodTab!$A$12:$AG$67,20)</f>
        <v>-0.40972872989414683</v>
      </c>
      <c r="X17" s="248"/>
      <c r="Y17" s="252"/>
      <c r="Z17" s="252"/>
      <c r="AA17" s="252"/>
      <c r="AB17" s="252"/>
      <c r="AC17" s="246"/>
      <c r="AD17" s="248"/>
    </row>
    <row r="18" spans="1:30">
      <c r="A18" s="247">
        <v>1967</v>
      </c>
      <c r="B18" s="213">
        <f t="shared" si="0"/>
        <v>1972</v>
      </c>
      <c r="C18" s="213">
        <f>VLOOKUP($A18,BroodTab!$A$12:$AG$67,2)</f>
        <v>33000</v>
      </c>
      <c r="D18" s="213">
        <f>VLOOKUP($A18,BroodTab!$A$12:$AG$67,20)</f>
        <v>1.4461197661683549</v>
      </c>
      <c r="X18" s="248"/>
      <c r="Y18" s="252"/>
      <c r="Z18" s="252"/>
      <c r="AA18" s="252"/>
      <c r="AB18" s="252"/>
      <c r="AC18" s="246"/>
      <c r="AD18" s="248"/>
    </row>
    <row r="19" spans="1:30">
      <c r="A19" s="247">
        <v>1968</v>
      </c>
      <c r="B19" s="213">
        <f t="shared" si="0"/>
        <v>1973</v>
      </c>
      <c r="C19" s="213">
        <f>VLOOKUP($A19,BroodTab!$A$12:$AG$67,2)</f>
        <v>11800</v>
      </c>
      <c r="D19" s="213">
        <f>VLOOKUP($A19,BroodTab!$A$12:$AG$67,20)</f>
        <v>2.2151395715855675</v>
      </c>
      <c r="X19" s="248"/>
      <c r="Y19" s="252"/>
      <c r="Z19" s="252"/>
      <c r="AA19" s="252"/>
      <c r="AB19" s="252"/>
      <c r="AC19" s="246"/>
      <c r="AD19" s="248"/>
    </row>
    <row r="20" spans="1:30">
      <c r="A20" s="247">
        <v>1969</v>
      </c>
      <c r="B20" s="213">
        <f t="shared" si="0"/>
        <v>1974</v>
      </c>
      <c r="C20" s="213">
        <f>VLOOKUP($A20,BroodTab!$A$12:$AG$67,2)</f>
        <v>81000</v>
      </c>
      <c r="D20" s="213">
        <f>VLOOKUP($A20,BroodTab!$A$12:$AG$67,20)</f>
        <v>-0.28667846101192573</v>
      </c>
      <c r="X20" s="248"/>
      <c r="Y20" s="252"/>
      <c r="Z20" s="252"/>
      <c r="AA20" s="252"/>
      <c r="AB20" s="252"/>
      <c r="AC20" s="246"/>
      <c r="AD20" s="248"/>
    </row>
    <row r="21" spans="1:30">
      <c r="A21" s="247">
        <v>1970</v>
      </c>
      <c r="B21" s="213">
        <f t="shared" si="0"/>
        <v>1975</v>
      </c>
      <c r="C21" s="213">
        <f>VLOOKUP($A21,BroodTab!$A$12:$AG$67,2)</f>
        <v>35200</v>
      </c>
      <c r="D21" s="213">
        <f>VLOOKUP($A21,BroodTab!$A$12:$AG$67,20)</f>
        <v>1.5025863867832163</v>
      </c>
      <c r="X21" s="248"/>
      <c r="Y21" s="252"/>
      <c r="Z21" s="252"/>
      <c r="AA21" s="252"/>
      <c r="AB21" s="252"/>
      <c r="AC21" s="246"/>
      <c r="AD21" s="248"/>
    </row>
    <row r="22" spans="1:30">
      <c r="A22" s="247">
        <v>1971</v>
      </c>
      <c r="B22" s="213">
        <f t="shared" si="0"/>
        <v>1976</v>
      </c>
      <c r="C22" s="213">
        <f>VLOOKUP($A22,BroodTab!$A$12:$AG$67,2)</f>
        <v>15000</v>
      </c>
      <c r="D22" s="213">
        <f>VLOOKUP($A22,BroodTab!$A$12:$AG$67,20)</f>
        <v>0.77521859823981831</v>
      </c>
      <c r="X22" s="248"/>
      <c r="Y22" s="252"/>
      <c r="Z22" s="252"/>
      <c r="AA22" s="252"/>
      <c r="AB22" s="252"/>
      <c r="AC22" s="246"/>
      <c r="AD22" s="248"/>
    </row>
    <row r="23" spans="1:30">
      <c r="A23" s="247">
        <v>1972</v>
      </c>
      <c r="B23" s="213">
        <f t="shared" si="0"/>
        <v>1977</v>
      </c>
      <c r="C23" s="213">
        <f>VLOOKUP($A23,BroodTab!$A$12:$AG$67,2)</f>
        <v>51000</v>
      </c>
      <c r="D23" s="213">
        <f>VLOOKUP($A23,BroodTab!$A$12:$AG$67,20)</f>
        <v>1.1685223864332215</v>
      </c>
      <c r="X23" s="248"/>
      <c r="Y23" s="252"/>
      <c r="Z23" s="252"/>
      <c r="AA23" s="252"/>
      <c r="AB23" s="252"/>
      <c r="AC23" s="246"/>
      <c r="AD23" s="248"/>
    </row>
    <row r="24" spans="1:30">
      <c r="A24" s="297">
        <v>1973</v>
      </c>
      <c r="B24" s="213">
        <f t="shared" si="0"/>
        <v>1978</v>
      </c>
      <c r="C24" s="213">
        <f>VLOOKUP($A24,BroodTab!$A$12:$AG$67,2)</f>
        <v>55000</v>
      </c>
      <c r="D24" s="213">
        <f>VLOOKUP($A24,BroodTab!$A$12:$AG$67,20)</f>
        <v>1.3063505121960306</v>
      </c>
      <c r="E24" s="224"/>
      <c r="F24" s="224"/>
      <c r="G24" s="224"/>
      <c r="H24" s="224"/>
      <c r="I24" s="224"/>
      <c r="J24" s="224"/>
      <c r="K24" s="224"/>
      <c r="L24" s="224"/>
      <c r="M24" s="224"/>
      <c r="N24" s="224"/>
      <c r="O24" s="224"/>
      <c r="P24" s="224"/>
      <c r="Q24" s="224"/>
      <c r="R24" s="224"/>
      <c r="S24" s="224"/>
      <c r="T24" s="224"/>
      <c r="U24" s="224"/>
      <c r="V24" s="224"/>
      <c r="W24" s="224"/>
      <c r="X24" s="298"/>
      <c r="Y24" s="294"/>
      <c r="Z24" s="294"/>
      <c r="AA24" s="294"/>
      <c r="AB24" s="294"/>
      <c r="AC24" s="260"/>
      <c r="AD24" s="298"/>
    </row>
    <row r="25" spans="1:30">
      <c r="A25" s="244"/>
      <c r="B25" s="254"/>
      <c r="C25" s="213"/>
      <c r="D25" s="213"/>
      <c r="E25" s="299"/>
      <c r="F25" s="254"/>
      <c r="G25" s="254"/>
      <c r="H25" s="254"/>
      <c r="I25" s="254"/>
      <c r="J25" s="254"/>
      <c r="K25" s="254"/>
      <c r="L25" s="254"/>
      <c r="M25" s="254"/>
      <c r="N25" s="254"/>
      <c r="O25" s="254"/>
      <c r="P25" s="254"/>
      <c r="Q25" s="254"/>
      <c r="R25" s="254"/>
      <c r="S25" s="254"/>
      <c r="T25" s="254"/>
      <c r="U25" s="254"/>
      <c r="V25" s="254"/>
      <c r="W25" s="254"/>
      <c r="X25" s="255"/>
      <c r="Y25" s="256"/>
      <c r="Z25" s="256"/>
      <c r="AA25" s="256"/>
      <c r="AB25" s="256"/>
      <c r="AC25" s="246"/>
      <c r="AD25" s="248"/>
    </row>
    <row r="26" spans="1:30">
      <c r="A26" s="247">
        <v>1974</v>
      </c>
      <c r="B26" s="213">
        <f t="shared" ref="B26:B61" si="1">A26+$H$4</f>
        <v>1979</v>
      </c>
      <c r="C26" s="213">
        <f>VLOOKUP($A26,BroodTab!$A$12:$AG$67,2)</f>
        <v>22334</v>
      </c>
      <c r="D26" s="213">
        <f>VLOOKUP($A26,BroodTab!$A$12:$AG$67,20)</f>
        <v>1.2279072344639206</v>
      </c>
      <c r="E26" s="213">
        <v>35</v>
      </c>
      <c r="F26" s="213">
        <v>33</v>
      </c>
      <c r="G26" s="300">
        <v>1.1706466822039259</v>
      </c>
      <c r="H26" s="300">
        <v>-9.9661586465360657E-6</v>
      </c>
      <c r="I26" s="213">
        <v>4.415845424390692E-6</v>
      </c>
      <c r="J26" s="301">
        <v>0.94806249499218942</v>
      </c>
      <c r="K26" s="213">
        <v>1.2858326107346869</v>
      </c>
      <c r="L26" s="213">
        <v>0.13371355789631711</v>
      </c>
      <c r="M26" s="124">
        <v>1.791037484366429</v>
      </c>
      <c r="N26" s="213">
        <f t="shared" ref="N26:N61" si="2">D26-J26</f>
        <v>0.27984473947173116</v>
      </c>
      <c r="O26" s="213">
        <f t="shared" ref="O26:O61" si="3">N26^2</f>
        <v>7.8313078210001094E-2</v>
      </c>
      <c r="P26" s="384">
        <f t="shared" ref="P26:P61" si="4">J26</f>
        <v>0.94806249499218942</v>
      </c>
      <c r="Q26" s="213">
        <f t="shared" ref="Q26:Q41" si="5">$P26-SQRT($O$65)*$Q$65</f>
        <v>-0.80459109392541595</v>
      </c>
      <c r="R26" s="213">
        <f t="shared" ref="R26:R61" si="6">$P26+SQRT($O$65)*$Q$65</f>
        <v>2.7007160839097946</v>
      </c>
      <c r="S26" s="350">
        <f t="shared" ref="S26:S61" si="7">EXP(D26)*C26-U26</f>
        <v>18612.541586423053</v>
      </c>
      <c r="T26" s="392">
        <f t="shared" ref="T26:T61" si="8">S26^2</f>
        <v>346426704.30632758</v>
      </c>
      <c r="U26" s="350">
        <f t="shared" ref="U26:U61" si="9">EXP(P26)*C26</f>
        <v>57637.458413576947</v>
      </c>
      <c r="V26" s="350">
        <f t="shared" ref="V26:V61" si="10">EXP(Q26)*C26</f>
        <v>9989.3456208658154</v>
      </c>
      <c r="W26" s="350">
        <f t="shared" ref="W26:W61" si="11">EXP(R26)*C26</f>
        <v>332561.98538547254</v>
      </c>
      <c r="X26" s="364">
        <f t="shared" ref="X26:X61" si="12">(+U26-EXP(D26)*C26)/(EXP(D26)*C26)</f>
        <v>-0.24409890605144988</v>
      </c>
      <c r="Y26" s="385">
        <f t="shared" ref="Y26:Y61" si="13">C26</f>
        <v>22334</v>
      </c>
      <c r="Z26" s="386">
        <f t="shared" ref="Z26:Z61" si="14">(+G$63+H$63*C26)</f>
        <v>0.95906673303454226</v>
      </c>
      <c r="AA26" s="385">
        <f t="shared" ref="AA26:AA61" si="15">D26</f>
        <v>1.2279072344639206</v>
      </c>
      <c r="AB26" s="387">
        <f>'ln 12 x ln 11'!B26-1900</f>
        <v>80</v>
      </c>
      <c r="AC26" s="247">
        <f t="shared" ref="AC26:AC61" si="16">Z26-SQRT($O$65)*$Q$65</f>
        <v>-0.7935868558830631</v>
      </c>
      <c r="AD26" s="258">
        <f t="shared" ref="AD26:AD61" si="17">Z26+SQRT($O$65)*$Q$65</f>
        <v>2.7117203219521477</v>
      </c>
    </row>
    <row r="27" spans="1:30">
      <c r="A27" s="247">
        <v>1975</v>
      </c>
      <c r="B27" s="213">
        <f t="shared" si="1"/>
        <v>1980</v>
      </c>
      <c r="C27" s="213">
        <f>VLOOKUP($A27,BroodTab!$A$12:$AG$67,2)</f>
        <v>34855</v>
      </c>
      <c r="D27" s="213">
        <f>VLOOKUP($A27,BroodTab!$A$12:$AG$67,20)</f>
        <v>1.3663696343027323</v>
      </c>
      <c r="E27" s="213">
        <v>35</v>
      </c>
      <c r="F27" s="213">
        <v>33</v>
      </c>
      <c r="G27" s="300">
        <v>1.1620896027660357</v>
      </c>
      <c r="H27" s="300">
        <v>-9.9471027548487038E-6</v>
      </c>
      <c r="I27" s="213">
        <v>4.3902070148851191E-6</v>
      </c>
      <c r="J27" s="301">
        <v>0.81538333624578407</v>
      </c>
      <c r="K27" s="213">
        <v>1.2832535968516507</v>
      </c>
      <c r="L27" s="213">
        <v>0.13462175370495627</v>
      </c>
      <c r="M27" s="124">
        <v>1.7846011180111006</v>
      </c>
      <c r="N27" s="213">
        <f t="shared" si="2"/>
        <v>0.55098629805694821</v>
      </c>
      <c r="O27" s="213">
        <f t="shared" si="3"/>
        <v>0.30358590064650015</v>
      </c>
      <c r="P27" s="384">
        <f t="shared" si="4"/>
        <v>0.81538333624578407</v>
      </c>
      <c r="Q27" s="213">
        <f t="shared" si="5"/>
        <v>-0.93727025267182129</v>
      </c>
      <c r="R27" s="213">
        <f t="shared" si="6"/>
        <v>2.5680369251633897</v>
      </c>
      <c r="S27" s="350">
        <f t="shared" si="7"/>
        <v>57895.827090199266</v>
      </c>
      <c r="T27" s="392">
        <f t="shared" si="8"/>
        <v>3351926794.458251</v>
      </c>
      <c r="U27" s="350">
        <f t="shared" si="9"/>
        <v>78773.759109800696</v>
      </c>
      <c r="V27" s="350">
        <f t="shared" si="10"/>
        <v>13652.550394506403</v>
      </c>
      <c r="W27" s="350">
        <f t="shared" si="11"/>
        <v>454516.18525325781</v>
      </c>
      <c r="X27" s="364">
        <f t="shared" si="12"/>
        <v>-0.42361895356495405</v>
      </c>
      <c r="Y27" s="385">
        <f t="shared" si="13"/>
        <v>34855</v>
      </c>
      <c r="Z27" s="386">
        <f t="shared" si="14"/>
        <v>0.83299521466832593</v>
      </c>
      <c r="AA27" s="385">
        <f t="shared" si="15"/>
        <v>1.3663696343027323</v>
      </c>
      <c r="AB27" s="387">
        <f t="shared" ref="AB27:AB61" si="18">B27-1900</f>
        <v>80</v>
      </c>
      <c r="AC27" s="247">
        <f t="shared" si="16"/>
        <v>-0.91965837424927943</v>
      </c>
      <c r="AD27" s="258">
        <f t="shared" si="17"/>
        <v>2.5856488035859311</v>
      </c>
    </row>
    <row r="28" spans="1:30">
      <c r="A28" s="247">
        <v>1976</v>
      </c>
      <c r="B28" s="213">
        <f t="shared" si="1"/>
        <v>1981</v>
      </c>
      <c r="C28" s="213">
        <f>VLOOKUP($A28,BroodTab!$A$12:$AG$67,2)</f>
        <v>9056</v>
      </c>
      <c r="D28" s="213">
        <f>VLOOKUP($A28,BroodTab!$A$12:$AG$67,20)</f>
        <v>2.4008762142676261</v>
      </c>
      <c r="E28" s="213">
        <v>35</v>
      </c>
      <c r="F28" s="213">
        <v>33</v>
      </c>
      <c r="G28" s="300">
        <v>1.1069616140066993</v>
      </c>
      <c r="H28" s="300">
        <v>-9.349816515748067E-6</v>
      </c>
      <c r="I28" s="213">
        <v>4.3722757734669038E-6</v>
      </c>
      <c r="J28" s="301">
        <v>1.0222896756400848</v>
      </c>
      <c r="K28" s="213">
        <v>1.2653056195038399</v>
      </c>
      <c r="L28" s="213">
        <v>0.1217072479820652</v>
      </c>
      <c r="M28" s="124">
        <v>1.7389749767585703</v>
      </c>
      <c r="N28" s="213">
        <f t="shared" si="2"/>
        <v>1.3785865386275413</v>
      </c>
      <c r="O28" s="213">
        <f t="shared" si="3"/>
        <v>1.9005008444850655</v>
      </c>
      <c r="P28" s="384">
        <f t="shared" si="4"/>
        <v>1.0222896756400848</v>
      </c>
      <c r="Q28" s="213">
        <f t="shared" si="5"/>
        <v>-0.73036391327752059</v>
      </c>
      <c r="R28" s="213">
        <f t="shared" si="6"/>
        <v>2.7749432645576899</v>
      </c>
      <c r="S28" s="350">
        <f t="shared" si="7"/>
        <v>74741.771803029464</v>
      </c>
      <c r="T28" s="392">
        <f t="shared" si="8"/>
        <v>5586332452.2561302</v>
      </c>
      <c r="U28" s="350">
        <f t="shared" si="9"/>
        <v>25171.620696970429</v>
      </c>
      <c r="V28" s="350">
        <f t="shared" si="10"/>
        <v>4362.5799245885282</v>
      </c>
      <c r="W28" s="350">
        <f t="shared" si="11"/>
        <v>145237.56572136871</v>
      </c>
      <c r="X28" s="364">
        <f t="shared" si="12"/>
        <v>-0.74806559894390068</v>
      </c>
      <c r="Y28" s="385">
        <f t="shared" si="13"/>
        <v>9056</v>
      </c>
      <c r="Z28" s="386">
        <f t="shared" si="14"/>
        <v>1.0927603374484567</v>
      </c>
      <c r="AA28" s="385">
        <f t="shared" si="15"/>
        <v>2.4008762142676261</v>
      </c>
      <c r="AB28" s="387">
        <f t="shared" si="18"/>
        <v>81</v>
      </c>
      <c r="AC28" s="247">
        <f t="shared" si="16"/>
        <v>-0.65989325146914868</v>
      </c>
      <c r="AD28" s="258">
        <f t="shared" si="17"/>
        <v>2.8454139263660618</v>
      </c>
    </row>
    <row r="29" spans="1:30">
      <c r="A29" s="247">
        <v>1977</v>
      </c>
      <c r="B29" s="213">
        <f t="shared" si="1"/>
        <v>1982</v>
      </c>
      <c r="C29" s="213">
        <f>VLOOKUP($A29,BroodTab!$A$12:$AG$67,2)</f>
        <v>31562</v>
      </c>
      <c r="D29" s="213">
        <f>VLOOKUP($A29,BroodTab!$A$12:$AG$67,20)</f>
        <v>3.5585892838978235</v>
      </c>
      <c r="E29" s="213">
        <v>35</v>
      </c>
      <c r="F29" s="213">
        <v>33</v>
      </c>
      <c r="G29" s="300">
        <v>1.0676934968226939</v>
      </c>
      <c r="H29" s="300">
        <v>-9.3465397307303645E-6</v>
      </c>
      <c r="I29" s="213">
        <v>4.0920822999132468E-6</v>
      </c>
      <c r="J29" s="301">
        <v>0.77269800984138204</v>
      </c>
      <c r="K29" s="213">
        <v>1.1951347975193121</v>
      </c>
      <c r="L29" s="213">
        <v>0.13650780138156274</v>
      </c>
      <c r="M29" s="124">
        <v>1.5715267097191774</v>
      </c>
      <c r="N29" s="213">
        <f t="shared" si="2"/>
        <v>2.7858912740564414</v>
      </c>
      <c r="O29" s="213">
        <f t="shared" si="3"/>
        <v>7.7611901908638226</v>
      </c>
      <c r="P29" s="384">
        <f t="shared" si="4"/>
        <v>0.77269800984138204</v>
      </c>
      <c r="Q29" s="213">
        <f t="shared" si="5"/>
        <v>-0.97995557907622333</v>
      </c>
      <c r="R29" s="213">
        <f t="shared" si="6"/>
        <v>2.5253515987589874</v>
      </c>
      <c r="S29" s="350">
        <f t="shared" si="7"/>
        <v>1039905.5851713459</v>
      </c>
      <c r="T29" s="392">
        <f t="shared" si="8"/>
        <v>1081403626070.5592</v>
      </c>
      <c r="U29" s="350">
        <f t="shared" si="9"/>
        <v>68350.70482865395</v>
      </c>
      <c r="V29" s="350">
        <f t="shared" si="10"/>
        <v>11846.095104748278</v>
      </c>
      <c r="W29" s="350">
        <f t="shared" si="11"/>
        <v>394376.27414464788</v>
      </c>
      <c r="X29" s="364">
        <f t="shared" si="12"/>
        <v>-0.93832590399405358</v>
      </c>
      <c r="Y29" s="385">
        <f t="shared" si="13"/>
        <v>31562</v>
      </c>
      <c r="Z29" s="386">
        <f t="shared" si="14"/>
        <v>0.86615179241610563</v>
      </c>
      <c r="AA29" s="385">
        <f t="shared" si="15"/>
        <v>3.5585892838978235</v>
      </c>
      <c r="AB29" s="387">
        <f t="shared" si="18"/>
        <v>82</v>
      </c>
      <c r="AC29" s="247">
        <f t="shared" si="16"/>
        <v>-0.88650179650149974</v>
      </c>
      <c r="AD29" s="258">
        <f t="shared" si="17"/>
        <v>2.6188053813337109</v>
      </c>
    </row>
    <row r="30" spans="1:30">
      <c r="A30" s="247">
        <v>1978</v>
      </c>
      <c r="B30" s="213">
        <f t="shared" si="1"/>
        <v>1983</v>
      </c>
      <c r="C30" s="213">
        <f>VLOOKUP($A30,BroodTab!$A$12:$AG$67,2)</f>
        <v>42284</v>
      </c>
      <c r="D30" s="213">
        <f>VLOOKUP($A30,BroodTab!$A$12:$AG$67,20)</f>
        <v>0.19384713069149123</v>
      </c>
      <c r="E30" s="213">
        <v>35</v>
      </c>
      <c r="F30" s="213">
        <v>33</v>
      </c>
      <c r="G30" s="300">
        <v>1.2042949813490955</v>
      </c>
      <c r="H30" s="300">
        <v>-1.0146890689215991E-5</v>
      </c>
      <c r="I30" s="213">
        <v>4.3828548452442398E-6</v>
      </c>
      <c r="J30" s="301">
        <v>0.7752438554462866</v>
      </c>
      <c r="K30" s="213">
        <v>1.2828494058804325</v>
      </c>
      <c r="L30" s="213">
        <v>0.13972528578736698</v>
      </c>
      <c r="M30" s="124">
        <v>1.7836172251279838</v>
      </c>
      <c r="N30" s="213">
        <f t="shared" si="2"/>
        <v>-0.58139672475479531</v>
      </c>
      <c r="O30" s="213">
        <f t="shared" si="3"/>
        <v>0.33802215155560322</v>
      </c>
      <c r="P30" s="384">
        <f t="shared" si="4"/>
        <v>0.7752438554462866</v>
      </c>
      <c r="Q30" s="213">
        <f t="shared" si="5"/>
        <v>-0.97740973347131876</v>
      </c>
      <c r="R30" s="213">
        <f t="shared" si="6"/>
        <v>2.5278974443638917</v>
      </c>
      <c r="S30" s="350">
        <f t="shared" si="7"/>
        <v>-40474.701609097661</v>
      </c>
      <c r="T30" s="392">
        <f t="shared" si="8"/>
        <v>1638201470.3454928</v>
      </c>
      <c r="U30" s="350">
        <f t="shared" si="9"/>
        <v>91803.701609097654</v>
      </c>
      <c r="V30" s="350">
        <f t="shared" si="10"/>
        <v>15910.814423282958</v>
      </c>
      <c r="W30" s="350">
        <f t="shared" si="11"/>
        <v>529697.56323719746</v>
      </c>
      <c r="X30" s="364">
        <f t="shared" si="12"/>
        <v>0.78853477778833925</v>
      </c>
      <c r="Y30" s="385">
        <f t="shared" si="13"/>
        <v>42284</v>
      </c>
      <c r="Z30" s="386">
        <f t="shared" si="14"/>
        <v>0.75819405581978172</v>
      </c>
      <c r="AA30" s="385">
        <f t="shared" si="15"/>
        <v>0.19384713069149123</v>
      </c>
      <c r="AB30" s="387">
        <f t="shared" si="18"/>
        <v>83</v>
      </c>
      <c r="AC30" s="247">
        <f t="shared" si="16"/>
        <v>-0.99445953309782364</v>
      </c>
      <c r="AD30" s="258">
        <f t="shared" si="17"/>
        <v>2.5108476447373871</v>
      </c>
    </row>
    <row r="31" spans="1:30">
      <c r="A31" s="247">
        <v>1979</v>
      </c>
      <c r="B31" s="213">
        <f t="shared" si="1"/>
        <v>1984</v>
      </c>
      <c r="C31" s="213">
        <f>VLOOKUP($A31,BroodTab!$A$12:$AG$67,2)</f>
        <v>48281</v>
      </c>
      <c r="D31" s="213">
        <f>VLOOKUP($A31,BroodTab!$A$12:$AG$67,20)</f>
        <v>0.7797468201804052</v>
      </c>
      <c r="E31" s="213">
        <v>35</v>
      </c>
      <c r="F31" s="213">
        <v>33</v>
      </c>
      <c r="G31" s="300">
        <v>1.181309349116483</v>
      </c>
      <c r="H31" s="300">
        <v>-1.0063375037065239E-5</v>
      </c>
      <c r="I31" s="213">
        <v>4.3931007952205216E-6</v>
      </c>
      <c r="J31" s="301">
        <v>0.69543953895193611</v>
      </c>
      <c r="K31" s="213">
        <v>1.2866374715230091</v>
      </c>
      <c r="L31" s="213">
        <v>0.13719647451425668</v>
      </c>
      <c r="M31" s="124">
        <v>1.7930719232390542</v>
      </c>
      <c r="N31" s="213">
        <f t="shared" si="2"/>
        <v>8.4307281228469089E-2</v>
      </c>
      <c r="O31" s="213">
        <f t="shared" si="3"/>
        <v>7.1077176681361761E-3</v>
      </c>
      <c r="P31" s="384">
        <f t="shared" si="4"/>
        <v>0.69543953895193611</v>
      </c>
      <c r="Q31" s="213">
        <f t="shared" si="5"/>
        <v>-1.0572140499656693</v>
      </c>
      <c r="R31" s="213">
        <f t="shared" si="6"/>
        <v>2.4480931278695417</v>
      </c>
      <c r="S31" s="350">
        <f t="shared" si="7"/>
        <v>8513.3913828102814</v>
      </c>
      <c r="T31" s="392">
        <f t="shared" si="8"/>
        <v>72477832.836908355</v>
      </c>
      <c r="U31" s="350">
        <f t="shared" si="9"/>
        <v>96783.608617189719</v>
      </c>
      <c r="V31" s="350">
        <f t="shared" si="10"/>
        <v>16773.899188517596</v>
      </c>
      <c r="W31" s="350">
        <f t="shared" si="11"/>
        <v>558431.09533992491</v>
      </c>
      <c r="X31" s="364">
        <f t="shared" si="12"/>
        <v>-8.0851224468031196E-2</v>
      </c>
      <c r="Y31" s="385">
        <f t="shared" si="13"/>
        <v>48281</v>
      </c>
      <c r="Z31" s="386">
        <f t="shared" si="14"/>
        <v>0.69781142698484833</v>
      </c>
      <c r="AA31" s="385">
        <f t="shared" si="15"/>
        <v>0.7797468201804052</v>
      </c>
      <c r="AB31" s="387">
        <f t="shared" si="18"/>
        <v>84</v>
      </c>
      <c r="AC31" s="247">
        <f t="shared" si="16"/>
        <v>-1.054842161932757</v>
      </c>
      <c r="AD31" s="258">
        <f t="shared" si="17"/>
        <v>2.4504650159024539</v>
      </c>
    </row>
    <row r="32" spans="1:30">
      <c r="A32" s="247">
        <v>1980</v>
      </c>
      <c r="B32" s="213">
        <f t="shared" si="1"/>
        <v>1985</v>
      </c>
      <c r="C32" s="213">
        <f>VLOOKUP($A32,BroodTab!$A$12:$AG$67,2)</f>
        <v>142253</v>
      </c>
      <c r="D32" s="213">
        <f>VLOOKUP($A32,BroodTab!$A$12:$AG$67,20)</f>
        <v>0.88309281593212741</v>
      </c>
      <c r="E32" s="213">
        <v>35</v>
      </c>
      <c r="F32" s="213">
        <v>33</v>
      </c>
      <c r="G32" s="300">
        <v>1.2194953426534902</v>
      </c>
      <c r="H32" s="300">
        <v>-1.1392469909701158E-5</v>
      </c>
      <c r="I32" s="213">
        <v>4.552456461836193E-6</v>
      </c>
      <c r="J32" s="301">
        <v>-0.40111767941122856</v>
      </c>
      <c r="K32" s="213">
        <v>1.2694934938572215</v>
      </c>
      <c r="L32" s="213">
        <v>0.15950224376870678</v>
      </c>
      <c r="M32" s="124">
        <v>1.7461550981338576</v>
      </c>
      <c r="N32" s="213">
        <f t="shared" si="2"/>
        <v>1.284210495343356</v>
      </c>
      <c r="O32" s="213">
        <f t="shared" si="3"/>
        <v>1.6491965963500277</v>
      </c>
      <c r="P32" s="384">
        <f t="shared" si="4"/>
        <v>-0.40111767941122856</v>
      </c>
      <c r="Q32" s="213">
        <f t="shared" si="5"/>
        <v>-2.1537712683288337</v>
      </c>
      <c r="R32" s="213">
        <f t="shared" si="6"/>
        <v>1.3515359095063768</v>
      </c>
      <c r="S32" s="350">
        <f t="shared" si="7"/>
        <v>248771.54231655289</v>
      </c>
      <c r="T32" s="392">
        <f t="shared" si="8"/>
        <v>61887280266.556465</v>
      </c>
      <c r="U32" s="350">
        <f t="shared" si="9"/>
        <v>95248.520683447117</v>
      </c>
      <c r="V32" s="350">
        <f t="shared" si="10"/>
        <v>16507.847833189913</v>
      </c>
      <c r="W32" s="350">
        <f t="shared" si="11"/>
        <v>549573.8017492959</v>
      </c>
      <c r="X32" s="364">
        <f t="shared" si="12"/>
        <v>-0.72313091320070155</v>
      </c>
      <c r="Y32" s="385">
        <f t="shared" si="13"/>
        <v>142253</v>
      </c>
      <c r="Z32" s="386">
        <f t="shared" si="14"/>
        <v>-0.24837439874073963</v>
      </c>
      <c r="AA32" s="385">
        <f t="shared" si="15"/>
        <v>0.88309281593212741</v>
      </c>
      <c r="AB32" s="387">
        <f t="shared" si="18"/>
        <v>85</v>
      </c>
      <c r="AC32" s="247">
        <f t="shared" si="16"/>
        <v>-2.001027987658345</v>
      </c>
      <c r="AD32" s="258">
        <f t="shared" si="17"/>
        <v>1.5042791901768657</v>
      </c>
    </row>
    <row r="33" spans="1:30">
      <c r="A33" s="247">
        <v>1981</v>
      </c>
      <c r="B33" s="213">
        <f t="shared" si="1"/>
        <v>1986</v>
      </c>
      <c r="C33" s="213">
        <f>VLOOKUP($A33,BroodTab!$A$12:$AG$67,2)</f>
        <v>156112</v>
      </c>
      <c r="D33" s="213">
        <f>VLOOKUP($A33,BroodTab!$A$12:$AG$67,20)</f>
        <v>0.82412450152062222</v>
      </c>
      <c r="E33" s="213">
        <v>35</v>
      </c>
      <c r="F33" s="213">
        <v>33</v>
      </c>
      <c r="G33" s="300">
        <v>1.2357956636983514</v>
      </c>
      <c r="H33" s="300">
        <v>-1.1768344722733863E-5</v>
      </c>
      <c r="I33" s="213">
        <v>4.6222139174472715E-6</v>
      </c>
      <c r="J33" s="301">
        <v>-0.60138416765707747</v>
      </c>
      <c r="K33" s="213">
        <v>1.2662102622262461</v>
      </c>
      <c r="L33" s="213">
        <v>0.16418292239929386</v>
      </c>
      <c r="M33" s="124">
        <v>1.7352157161466932</v>
      </c>
      <c r="N33" s="213">
        <f t="shared" si="2"/>
        <v>1.4255086691776997</v>
      </c>
      <c r="O33" s="213">
        <f t="shared" si="3"/>
        <v>2.0320749659007764</v>
      </c>
      <c r="P33" s="384">
        <f t="shared" si="4"/>
        <v>-0.60138416765707747</v>
      </c>
      <c r="Q33" s="213">
        <f t="shared" si="5"/>
        <v>-2.3540377565746828</v>
      </c>
      <c r="R33" s="213">
        <f t="shared" si="6"/>
        <v>1.1512694212605279</v>
      </c>
      <c r="S33" s="350">
        <f t="shared" si="7"/>
        <v>270359.65449155524</v>
      </c>
      <c r="T33" s="392">
        <f t="shared" si="8"/>
        <v>73094342776.793121</v>
      </c>
      <c r="U33" s="350">
        <f t="shared" si="9"/>
        <v>85557.574108444751</v>
      </c>
      <c r="V33" s="350">
        <f t="shared" si="10"/>
        <v>14828.276641198536</v>
      </c>
      <c r="W33" s="350">
        <f t="shared" si="11"/>
        <v>493658.07399249793</v>
      </c>
      <c r="X33" s="364">
        <f t="shared" si="12"/>
        <v>-0.75961384492404216</v>
      </c>
      <c r="Y33" s="385">
        <f t="shared" si="13"/>
        <v>156112</v>
      </c>
      <c r="Z33" s="386">
        <f t="shared" si="14"/>
        <v>-0.38791797936827677</v>
      </c>
      <c r="AA33" s="385">
        <f t="shared" si="15"/>
        <v>0.82412450152062222</v>
      </c>
      <c r="AB33" s="387">
        <f t="shared" si="18"/>
        <v>86</v>
      </c>
      <c r="AC33" s="247">
        <f t="shared" si="16"/>
        <v>-2.1405715682858819</v>
      </c>
      <c r="AD33" s="258">
        <f t="shared" si="17"/>
        <v>1.3647356095493286</v>
      </c>
    </row>
    <row r="34" spans="1:30">
      <c r="A34" s="247">
        <v>1982</v>
      </c>
      <c r="B34" s="213">
        <f t="shared" si="1"/>
        <v>1987</v>
      </c>
      <c r="C34" s="213">
        <f>VLOOKUP($A34,BroodTab!$A$12:$AG$67,2)</f>
        <v>180314</v>
      </c>
      <c r="D34" s="213">
        <f>VLOOKUP($A34,BroodTab!$A$12:$AG$67,20)</f>
        <v>1.109721604183878</v>
      </c>
      <c r="E34" s="213">
        <v>35</v>
      </c>
      <c r="F34" s="213">
        <v>33</v>
      </c>
      <c r="G34" s="300">
        <v>1.2981921187389771</v>
      </c>
      <c r="H34" s="300">
        <v>-1.3336139282516807E-5</v>
      </c>
      <c r="I34" s="213">
        <v>4.7104463663934439E-6</v>
      </c>
      <c r="J34" s="301">
        <v>-1.1065004998487584</v>
      </c>
      <c r="K34" s="213">
        <v>1.2404438676443599</v>
      </c>
      <c r="L34" s="213">
        <v>0.19542811076310393</v>
      </c>
      <c r="M34" s="124">
        <v>1.6529424176180627</v>
      </c>
      <c r="N34" s="213">
        <f t="shared" si="2"/>
        <v>2.2162221040326364</v>
      </c>
      <c r="O34" s="213">
        <f t="shared" si="3"/>
        <v>4.9116404144028456</v>
      </c>
      <c r="P34" s="384">
        <f t="shared" si="4"/>
        <v>-1.1065004998487584</v>
      </c>
      <c r="Q34" s="213">
        <f t="shared" si="5"/>
        <v>-2.8591540887663638</v>
      </c>
      <c r="R34" s="213">
        <f t="shared" si="6"/>
        <v>0.64615308906884694</v>
      </c>
      <c r="S34" s="350">
        <f t="shared" si="7"/>
        <v>487352.5865715227</v>
      </c>
      <c r="T34" s="392">
        <f t="shared" si="8"/>
        <v>237512543637.95352</v>
      </c>
      <c r="U34" s="350">
        <f t="shared" si="9"/>
        <v>59632.413428477317</v>
      </c>
      <c r="V34" s="350">
        <f t="shared" si="10"/>
        <v>10335.098117426716</v>
      </c>
      <c r="W34" s="350">
        <f t="shared" si="11"/>
        <v>344072.66296860646</v>
      </c>
      <c r="X34" s="364">
        <f t="shared" si="12"/>
        <v>-0.89097980122219567</v>
      </c>
      <c r="Y34" s="385">
        <f t="shared" si="13"/>
        <v>180314</v>
      </c>
      <c r="Z34" s="386">
        <f t="shared" si="14"/>
        <v>-0.63160321916535134</v>
      </c>
      <c r="AA34" s="385">
        <f t="shared" si="15"/>
        <v>1.109721604183878</v>
      </c>
      <c r="AB34" s="387">
        <f t="shared" si="18"/>
        <v>87</v>
      </c>
      <c r="AC34" s="247">
        <f t="shared" si="16"/>
        <v>-2.3842568080829567</v>
      </c>
      <c r="AD34" s="258">
        <f t="shared" si="17"/>
        <v>1.121050369752254</v>
      </c>
    </row>
    <row r="35" spans="1:30">
      <c r="A35" s="247">
        <v>1983</v>
      </c>
      <c r="B35" s="213">
        <f t="shared" si="1"/>
        <v>1988</v>
      </c>
      <c r="C35" s="213">
        <f>VLOOKUP($A35,BroodTab!$A$12:$AG$67,2)</f>
        <v>38783</v>
      </c>
      <c r="D35" s="213">
        <f>VLOOKUP($A35,BroodTab!$A$12:$AG$67,20)</f>
        <v>0.80573981611765888</v>
      </c>
      <c r="E35" s="213">
        <v>35</v>
      </c>
      <c r="F35" s="213">
        <v>33</v>
      </c>
      <c r="G35" s="300">
        <v>1.1834717304517774</v>
      </c>
      <c r="H35" s="300">
        <v>-1.0066585451394149E-5</v>
      </c>
      <c r="I35" s="213">
        <v>4.3985234171860322E-6</v>
      </c>
      <c r="J35" s="301">
        <v>0.79305934689035817</v>
      </c>
      <c r="K35" s="213">
        <v>1.2867169791784203</v>
      </c>
      <c r="L35" s="213">
        <v>0.13698008455166044</v>
      </c>
      <c r="M35" s="124">
        <v>1.7932704067638632</v>
      </c>
      <c r="N35" s="213">
        <f t="shared" si="2"/>
        <v>1.2680469227300706E-2</v>
      </c>
      <c r="O35" s="213">
        <f t="shared" si="3"/>
        <v>1.6079429982452016E-4</v>
      </c>
      <c r="P35" s="384">
        <f t="shared" si="4"/>
        <v>0.79305934689035817</v>
      </c>
      <c r="Q35" s="213">
        <f t="shared" si="5"/>
        <v>-0.95959424202724719</v>
      </c>
      <c r="R35" s="213">
        <f t="shared" si="6"/>
        <v>2.5457129358079635</v>
      </c>
      <c r="S35" s="350">
        <f t="shared" si="7"/>
        <v>1093.8416639230854</v>
      </c>
      <c r="T35" s="392">
        <f t="shared" si="8"/>
        <v>1196489.5857340242</v>
      </c>
      <c r="U35" s="350">
        <f t="shared" si="9"/>
        <v>85716.158336076915</v>
      </c>
      <c r="V35" s="350">
        <f t="shared" si="10"/>
        <v>14855.761417651875</v>
      </c>
      <c r="W35" s="350">
        <f t="shared" si="11"/>
        <v>494573.08806570258</v>
      </c>
      <c r="X35" s="364">
        <f t="shared" si="12"/>
        <v>-1.2600410827359583E-2</v>
      </c>
      <c r="Y35" s="385">
        <f t="shared" si="13"/>
        <v>38783</v>
      </c>
      <c r="Z35" s="386">
        <f t="shared" si="14"/>
        <v>0.79344494518965014</v>
      </c>
      <c r="AA35" s="385">
        <f t="shared" si="15"/>
        <v>0.80573981611765888</v>
      </c>
      <c r="AB35" s="387">
        <f t="shared" si="18"/>
        <v>88</v>
      </c>
      <c r="AC35" s="247">
        <f t="shared" si="16"/>
        <v>-0.95920864372795522</v>
      </c>
      <c r="AD35" s="258">
        <f t="shared" si="17"/>
        <v>2.5460985341072555</v>
      </c>
    </row>
    <row r="36" spans="1:30">
      <c r="A36" s="247">
        <v>1984</v>
      </c>
      <c r="B36" s="213">
        <f t="shared" si="1"/>
        <v>1989</v>
      </c>
      <c r="C36" s="213">
        <f>VLOOKUP($A36,BroodTab!$A$12:$AG$67,2)</f>
        <v>63622</v>
      </c>
      <c r="D36" s="213">
        <f>VLOOKUP($A36,BroodTab!$A$12:$AG$67,20)</f>
        <v>0.74296820247478357</v>
      </c>
      <c r="E36" s="213">
        <v>35</v>
      </c>
      <c r="F36" s="213">
        <v>33</v>
      </c>
      <c r="G36" s="300">
        <v>1.1794983548614568</v>
      </c>
      <c r="H36" s="300">
        <v>-1.0092315124555711E-5</v>
      </c>
      <c r="I36" s="213">
        <v>4.3934607008543832E-6</v>
      </c>
      <c r="J36" s="301">
        <v>0.53740508200697334</v>
      </c>
      <c r="K36" s="213">
        <v>1.2862355244654347</v>
      </c>
      <c r="L36" s="213">
        <v>0.13785827428087236</v>
      </c>
      <c r="M36" s="124">
        <v>1.7920676809868163</v>
      </c>
      <c r="N36" s="213">
        <f t="shared" si="2"/>
        <v>0.20556312046781022</v>
      </c>
      <c r="O36" s="213">
        <f t="shared" si="3"/>
        <v>4.2256196496463456E-2</v>
      </c>
      <c r="P36" s="384">
        <f t="shared" si="4"/>
        <v>0.53740508200697334</v>
      </c>
      <c r="Q36" s="213">
        <f t="shared" si="5"/>
        <v>-1.215248506910632</v>
      </c>
      <c r="R36" s="213">
        <f t="shared" si="6"/>
        <v>2.2900586709245787</v>
      </c>
      <c r="S36" s="350">
        <f t="shared" si="7"/>
        <v>24851.146377002136</v>
      </c>
      <c r="T36" s="392">
        <f t="shared" si="8"/>
        <v>617579476.25118637</v>
      </c>
      <c r="U36" s="350">
        <f t="shared" si="9"/>
        <v>108892.85362299786</v>
      </c>
      <c r="V36" s="350">
        <f t="shared" si="10"/>
        <v>18872.593976597756</v>
      </c>
      <c r="W36" s="350">
        <f t="shared" si="11"/>
        <v>628300.14702076837</v>
      </c>
      <c r="X36" s="364">
        <f t="shared" si="12"/>
        <v>-0.18581129902651436</v>
      </c>
      <c r="Y36" s="385">
        <f t="shared" si="13"/>
        <v>63622</v>
      </c>
      <c r="Z36" s="386">
        <f t="shared" si="14"/>
        <v>0.54334587604992901</v>
      </c>
      <c r="AA36" s="385">
        <f t="shared" si="15"/>
        <v>0.74296820247478357</v>
      </c>
      <c r="AB36" s="387">
        <f t="shared" si="18"/>
        <v>89</v>
      </c>
      <c r="AC36" s="247">
        <f t="shared" si="16"/>
        <v>-1.2093077128676764</v>
      </c>
      <c r="AD36" s="258">
        <f t="shared" si="17"/>
        <v>2.2959994649675344</v>
      </c>
    </row>
    <row r="37" spans="1:30">
      <c r="A37" s="247">
        <v>1985</v>
      </c>
      <c r="B37" s="213">
        <f t="shared" si="1"/>
        <v>1990</v>
      </c>
      <c r="C37" s="213">
        <f>VLOOKUP($A37,BroodTab!$A$12:$AG$67,2)</f>
        <v>163342</v>
      </c>
      <c r="D37" s="213">
        <f>VLOOKUP($A37,BroodTab!$A$12:$AG$67,20)</f>
        <v>-2.5347006456145609</v>
      </c>
      <c r="E37" s="213">
        <v>35</v>
      </c>
      <c r="F37" s="213">
        <v>33</v>
      </c>
      <c r="G37" s="300">
        <v>1.0820178523590593</v>
      </c>
      <c r="H37" s="300">
        <v>-6.8883502411283333E-6</v>
      </c>
      <c r="I37" s="213">
        <v>4.5171036162089909E-6</v>
      </c>
      <c r="J37" s="301">
        <v>-4.3139052727324989E-2</v>
      </c>
      <c r="K37" s="213">
        <v>1.224359242754123</v>
      </c>
      <c r="L37" s="213">
        <v>6.5829781572150609E-2</v>
      </c>
      <c r="M37" s="124">
        <v>1.6159070245681215</v>
      </c>
      <c r="N37" s="213">
        <f t="shared" si="2"/>
        <v>-2.4915615928872361</v>
      </c>
      <c r="O37" s="213">
        <f t="shared" si="3"/>
        <v>6.2078791711507817</v>
      </c>
      <c r="P37" s="384">
        <f t="shared" si="4"/>
        <v>-4.3139052727324989E-2</v>
      </c>
      <c r="Q37" s="213">
        <f t="shared" si="5"/>
        <v>-1.7957926416449304</v>
      </c>
      <c r="R37" s="213">
        <f t="shared" si="6"/>
        <v>1.7095145361902804</v>
      </c>
      <c r="S37" s="350">
        <f t="shared" si="7"/>
        <v>-143494.76260330548</v>
      </c>
      <c r="T37" s="392">
        <f t="shared" si="8"/>
        <v>20590746894.578999</v>
      </c>
      <c r="U37" s="350">
        <f t="shared" si="9"/>
        <v>156445.40660330548</v>
      </c>
      <c r="V37" s="350">
        <f t="shared" si="10"/>
        <v>27114.090044421097</v>
      </c>
      <c r="W37" s="350">
        <f t="shared" si="11"/>
        <v>902673.30407090334</v>
      </c>
      <c r="X37" s="364">
        <f t="shared" si="12"/>
        <v>11.080125637250585</v>
      </c>
      <c r="Y37" s="385">
        <f t="shared" si="13"/>
        <v>163342</v>
      </c>
      <c r="Z37" s="386">
        <f t="shared" si="14"/>
        <v>-0.46071544584761104</v>
      </c>
      <c r="AA37" s="385">
        <f t="shared" si="15"/>
        <v>-2.5347006456145609</v>
      </c>
      <c r="AB37" s="387">
        <f t="shared" si="18"/>
        <v>90</v>
      </c>
      <c r="AC37" s="247">
        <f t="shared" si="16"/>
        <v>-2.2133690347652166</v>
      </c>
      <c r="AD37" s="258">
        <f t="shared" si="17"/>
        <v>1.2919381430699943</v>
      </c>
    </row>
    <row r="38" spans="1:30">
      <c r="A38" s="247">
        <v>1986</v>
      </c>
      <c r="B38" s="213">
        <f t="shared" si="1"/>
        <v>1991</v>
      </c>
      <c r="C38" s="213">
        <f>VLOOKUP($A38,BroodTab!$A$12:$AG$67,2)</f>
        <v>74135</v>
      </c>
      <c r="D38" s="213">
        <f>VLOOKUP($A38,BroodTab!$A$12:$AG$67,20)</f>
        <v>-1.4571410350659026</v>
      </c>
      <c r="E38" s="213">
        <v>35</v>
      </c>
      <c r="F38" s="213">
        <v>33</v>
      </c>
      <c r="G38" s="300">
        <v>1.2133820808311337</v>
      </c>
      <c r="H38" s="300">
        <v>-9.6048798224161481E-6</v>
      </c>
      <c r="I38" s="213">
        <v>4.251333339066029E-6</v>
      </c>
      <c r="J38" s="301">
        <v>0.5013243151963126</v>
      </c>
      <c r="K38" s="213">
        <v>1.2422574883705944</v>
      </c>
      <c r="L38" s="213">
        <v>0.13395530549381779</v>
      </c>
      <c r="M38" s="124">
        <v>1.6836868143673522</v>
      </c>
      <c r="N38" s="213">
        <f t="shared" si="2"/>
        <v>-1.9584653502622151</v>
      </c>
      <c r="O38" s="213">
        <f t="shared" si="3"/>
        <v>3.8355865281777008</v>
      </c>
      <c r="P38" s="384">
        <f t="shared" si="4"/>
        <v>0.5013243151963126</v>
      </c>
      <c r="Q38" s="213">
        <f t="shared" si="5"/>
        <v>-1.2513292737212929</v>
      </c>
      <c r="R38" s="213">
        <f t="shared" si="6"/>
        <v>2.2539779041139179</v>
      </c>
      <c r="S38" s="350">
        <f t="shared" si="7"/>
        <v>-105123.79797878678</v>
      </c>
      <c r="T38" s="392">
        <f t="shared" si="8"/>
        <v>11051012901.484776</v>
      </c>
      <c r="U38" s="350">
        <f t="shared" si="9"/>
        <v>122389.92696648858</v>
      </c>
      <c r="V38" s="350">
        <f t="shared" si="10"/>
        <v>21211.818054294843</v>
      </c>
      <c r="W38" s="350">
        <f t="shared" si="11"/>
        <v>706176.82013491949</v>
      </c>
      <c r="X38" s="364">
        <f t="shared" si="12"/>
        <v>6.0884404404521506</v>
      </c>
      <c r="Y38" s="385">
        <f t="shared" si="13"/>
        <v>74135</v>
      </c>
      <c r="Z38" s="386">
        <f t="shared" si="14"/>
        <v>0.43749251988156923</v>
      </c>
      <c r="AA38" s="385">
        <f t="shared" si="15"/>
        <v>-1.4571410350659026</v>
      </c>
      <c r="AB38" s="387">
        <f t="shared" si="18"/>
        <v>91</v>
      </c>
      <c r="AC38" s="247">
        <f t="shared" si="16"/>
        <v>-1.3151610690360362</v>
      </c>
      <c r="AD38" s="258">
        <f t="shared" si="17"/>
        <v>2.1901461087991745</v>
      </c>
    </row>
    <row r="39" spans="1:30">
      <c r="A39" s="247">
        <v>1987</v>
      </c>
      <c r="B39" s="213">
        <f t="shared" si="1"/>
        <v>1992</v>
      </c>
      <c r="C39" s="213">
        <f>VLOOKUP($A39,BroodTab!$A$12:$AG$67,2)</f>
        <v>187263</v>
      </c>
      <c r="D39" s="213">
        <f>VLOOKUP($A39,BroodTab!$A$12:$AG$67,20)</f>
        <v>-1.2491573960546811</v>
      </c>
      <c r="E39" s="213">
        <v>35</v>
      </c>
      <c r="F39" s="213">
        <v>33</v>
      </c>
      <c r="G39" s="300">
        <v>1.1439065775075306</v>
      </c>
      <c r="H39" s="300">
        <v>-8.9550629628763286E-6</v>
      </c>
      <c r="I39" s="213">
        <v>4.9351690060952457E-6</v>
      </c>
      <c r="J39" s="301">
        <v>-0.53304537810957942</v>
      </c>
      <c r="K39" s="213">
        <v>1.2820930123428707</v>
      </c>
      <c r="L39" s="213">
        <v>9.0722637375946449E-2</v>
      </c>
      <c r="M39" s="124">
        <v>1.7786231031082749</v>
      </c>
      <c r="N39" s="213">
        <f t="shared" si="2"/>
        <v>-0.71611201794510171</v>
      </c>
      <c r="O39" s="213">
        <f t="shared" si="3"/>
        <v>0.51281642224540569</v>
      </c>
      <c r="P39" s="384">
        <f t="shared" si="4"/>
        <v>-0.53304537810957942</v>
      </c>
      <c r="Q39" s="213">
        <f t="shared" si="5"/>
        <v>-2.2856989670271846</v>
      </c>
      <c r="R39" s="213">
        <f t="shared" si="6"/>
        <v>1.2196082108080259</v>
      </c>
      <c r="S39" s="350">
        <f t="shared" si="7"/>
        <v>-56191.795493861915</v>
      </c>
      <c r="T39" s="392">
        <f t="shared" si="8"/>
        <v>3157517880.8240004</v>
      </c>
      <c r="U39" s="350">
        <f t="shared" si="9"/>
        <v>109888.76949386191</v>
      </c>
      <c r="V39" s="350">
        <f t="shared" si="10"/>
        <v>19045.199572284873</v>
      </c>
      <c r="W39" s="350">
        <f t="shared" si="11"/>
        <v>634046.47533585306</v>
      </c>
      <c r="X39" s="364">
        <f t="shared" si="12"/>
        <v>1.0464611189051718</v>
      </c>
      <c r="Y39" s="385">
        <f t="shared" si="13"/>
        <v>187263</v>
      </c>
      <c r="Z39" s="386">
        <f t="shared" si="14"/>
        <v>-0.70157135119369074</v>
      </c>
      <c r="AA39" s="385">
        <f t="shared" si="15"/>
        <v>-1.2491573960546811</v>
      </c>
      <c r="AB39" s="387">
        <f t="shared" si="18"/>
        <v>92</v>
      </c>
      <c r="AC39" s="247">
        <f t="shared" si="16"/>
        <v>-2.4542249401112963</v>
      </c>
      <c r="AD39" s="258">
        <f t="shared" si="17"/>
        <v>1.0510822377239146</v>
      </c>
    </row>
    <row r="40" spans="1:30">
      <c r="A40" s="247">
        <v>1988</v>
      </c>
      <c r="B40" s="213">
        <f t="shared" si="1"/>
        <v>1993</v>
      </c>
      <c r="C40" s="213">
        <f>VLOOKUP($A40,BroodTab!$A$12:$AG$67,2)</f>
        <v>72023</v>
      </c>
      <c r="D40" s="213">
        <f>VLOOKUP($A40,BroodTab!$A$12:$AG$67,20)</f>
        <v>-0.54607679285972988</v>
      </c>
      <c r="E40" s="213">
        <v>35</v>
      </c>
      <c r="F40" s="213">
        <v>33</v>
      </c>
      <c r="G40" s="300">
        <v>1.2009154553407551</v>
      </c>
      <c r="H40" s="300">
        <v>-9.8485400778566411E-6</v>
      </c>
      <c r="I40" s="213">
        <v>4.3591341850542518E-6</v>
      </c>
      <c r="J40" s="301">
        <v>0.49159405331328621</v>
      </c>
      <c r="K40" s="213">
        <v>1.2743816990624786</v>
      </c>
      <c r="L40" s="213">
        <v>0.13395789231925498</v>
      </c>
      <c r="M40" s="124">
        <v>1.7625104070296456</v>
      </c>
      <c r="N40" s="213">
        <f t="shared" si="2"/>
        <v>-1.037670846173016</v>
      </c>
      <c r="O40" s="213">
        <f t="shared" si="3"/>
        <v>1.076760784997423</v>
      </c>
      <c r="P40" s="384">
        <f t="shared" si="4"/>
        <v>0.49159405331328621</v>
      </c>
      <c r="Q40" s="213">
        <f t="shared" si="5"/>
        <v>-1.261059535604319</v>
      </c>
      <c r="R40" s="213">
        <f t="shared" si="6"/>
        <v>2.2442476422308917</v>
      </c>
      <c r="S40" s="350">
        <f t="shared" si="7"/>
        <v>-76034.864334700382</v>
      </c>
      <c r="T40" s="392">
        <f t="shared" si="8"/>
        <v>5781300594.3962917</v>
      </c>
      <c r="U40" s="350">
        <f t="shared" si="9"/>
        <v>117751.86433470038</v>
      </c>
      <c r="V40" s="350">
        <f t="shared" si="10"/>
        <v>20407.979510483532</v>
      </c>
      <c r="W40" s="350">
        <f t="shared" si="11"/>
        <v>679415.69361018855</v>
      </c>
      <c r="X40" s="364">
        <f t="shared" si="12"/>
        <v>1.8226350009516596</v>
      </c>
      <c r="Y40" s="385">
        <f t="shared" si="13"/>
        <v>72023</v>
      </c>
      <c r="Z40" s="386">
        <f t="shared" si="14"/>
        <v>0.4587578378904702</v>
      </c>
      <c r="AA40" s="385">
        <f t="shared" si="15"/>
        <v>-0.54607679285972988</v>
      </c>
      <c r="AB40" s="387">
        <f t="shared" si="18"/>
        <v>93</v>
      </c>
      <c r="AC40" s="247">
        <f t="shared" si="16"/>
        <v>-1.2938957510271352</v>
      </c>
      <c r="AD40" s="258">
        <f t="shared" si="17"/>
        <v>2.2114114268080756</v>
      </c>
    </row>
    <row r="41" spans="1:30">
      <c r="A41" s="247">
        <v>1989</v>
      </c>
      <c r="B41" s="213">
        <f t="shared" si="1"/>
        <v>1994</v>
      </c>
      <c r="C41" s="213">
        <f>VLOOKUP($A41,BroodTab!$A$12:$AG$67,2)</f>
        <v>36881</v>
      </c>
      <c r="D41" s="213">
        <f>VLOOKUP($A41,BroodTab!$A$12:$AG$67,20)</f>
        <v>-2.0682519726746857</v>
      </c>
      <c r="E41" s="213">
        <v>35</v>
      </c>
      <c r="F41" s="213">
        <v>33</v>
      </c>
      <c r="G41" s="300">
        <v>1.2980990674822639</v>
      </c>
      <c r="H41" s="300">
        <v>-1.0655367186696227E-5</v>
      </c>
      <c r="I41" s="213">
        <v>4.0405165964735068E-6</v>
      </c>
      <c r="J41" s="301">
        <v>0.90511847026972037</v>
      </c>
      <c r="K41" s="213">
        <v>1.1815560815120332</v>
      </c>
      <c r="L41" s="213">
        <v>0.17405954674526353</v>
      </c>
      <c r="M41" s="124">
        <v>1.5406769497159887</v>
      </c>
      <c r="N41" s="213">
        <f t="shared" si="2"/>
        <v>-2.9733704429444061</v>
      </c>
      <c r="O41" s="213">
        <f t="shared" si="3"/>
        <v>8.8409317909754144</v>
      </c>
      <c r="P41" s="384">
        <f t="shared" si="4"/>
        <v>0.90511847026972037</v>
      </c>
      <c r="Q41" s="213">
        <f t="shared" si="5"/>
        <v>-0.847535118647885</v>
      </c>
      <c r="R41" s="213">
        <f t="shared" si="6"/>
        <v>2.6577720591873257</v>
      </c>
      <c r="S41" s="350">
        <f t="shared" si="7"/>
        <v>-86516.122511222566</v>
      </c>
      <c r="T41" s="392">
        <f t="shared" si="8"/>
        <v>7485039454.3768721</v>
      </c>
      <c r="U41" s="350">
        <f t="shared" si="9"/>
        <v>91178.122511222566</v>
      </c>
      <c r="V41" s="350">
        <f t="shared" si="10"/>
        <v>15802.393164020914</v>
      </c>
      <c r="W41" s="350">
        <f t="shared" si="11"/>
        <v>526088.03858897008</v>
      </c>
      <c r="X41" s="364">
        <f t="shared" si="12"/>
        <v>18.557726836384081</v>
      </c>
      <c r="Y41" s="385">
        <f t="shared" si="13"/>
        <v>36881</v>
      </c>
      <c r="Z41" s="386">
        <f t="shared" si="14"/>
        <v>0.81259581396471159</v>
      </c>
      <c r="AA41" s="385">
        <f t="shared" si="15"/>
        <v>-2.0682519726746857</v>
      </c>
      <c r="AB41" s="387">
        <f t="shared" si="18"/>
        <v>94</v>
      </c>
      <c r="AC41" s="247">
        <f t="shared" si="16"/>
        <v>-0.94005777495289378</v>
      </c>
      <c r="AD41" s="258">
        <f t="shared" si="17"/>
        <v>2.565249402882317</v>
      </c>
    </row>
    <row r="42" spans="1:30">
      <c r="A42" s="247">
        <v>1990</v>
      </c>
      <c r="B42" s="213">
        <f t="shared" si="1"/>
        <v>1995</v>
      </c>
      <c r="C42" s="213">
        <f>VLOOKUP($A42,BroodTab!$A$12:$AG$67,2)</f>
        <v>8250</v>
      </c>
      <c r="D42" s="213">
        <f>VLOOKUP($A42,BroodTab!$A$12:$AG$67,20)</f>
        <v>0.87587269615559593</v>
      </c>
      <c r="E42" s="213">
        <v>35</v>
      </c>
      <c r="F42" s="213">
        <v>33</v>
      </c>
      <c r="G42" s="300">
        <v>1.1973165441274238</v>
      </c>
      <c r="H42" s="300">
        <v>-1.0194815955313381E-5</v>
      </c>
      <c r="I42" s="213">
        <v>4.4460836863307333E-6</v>
      </c>
      <c r="J42" s="301">
        <v>1.1132093124960885</v>
      </c>
      <c r="K42" s="213">
        <v>1.2860898422749156</v>
      </c>
      <c r="L42" s="213">
        <v>0.13743064883828263</v>
      </c>
      <c r="M42" s="124">
        <v>1.7916656103308306</v>
      </c>
      <c r="N42" s="213">
        <f t="shared" si="2"/>
        <v>-0.23733661634049252</v>
      </c>
      <c r="O42" s="213">
        <f t="shared" si="3"/>
        <v>5.632866945595414E-2</v>
      </c>
      <c r="P42" s="384">
        <f t="shared" si="4"/>
        <v>1.1132093124960885</v>
      </c>
      <c r="Q42" s="213">
        <f t="shared" ref="Q42:Q61" si="19">$P42-(SQRT($O$65)*$Q$65)</f>
        <v>-0.63944427642151691</v>
      </c>
      <c r="R42" s="213">
        <f t="shared" si="6"/>
        <v>2.8658629014136938</v>
      </c>
      <c r="S42" s="350">
        <f t="shared" si="7"/>
        <v>-5305.9259960801392</v>
      </c>
      <c r="T42" s="392">
        <f t="shared" si="8"/>
        <v>28152850.675879017</v>
      </c>
      <c r="U42" s="350">
        <f t="shared" si="9"/>
        <v>25113.925996080139</v>
      </c>
      <c r="V42" s="350">
        <f t="shared" si="10"/>
        <v>4352.5806580776734</v>
      </c>
      <c r="W42" s="350">
        <f t="shared" si="11"/>
        <v>144904.67345300011</v>
      </c>
      <c r="X42" s="364">
        <f t="shared" si="12"/>
        <v>0.26786783098142869</v>
      </c>
      <c r="Y42" s="385">
        <f t="shared" si="13"/>
        <v>8250</v>
      </c>
      <c r="Z42" s="386">
        <f t="shared" si="14"/>
        <v>1.1008757949840504</v>
      </c>
      <c r="AA42" s="385">
        <f t="shared" si="15"/>
        <v>0.87587269615559593</v>
      </c>
      <c r="AB42" s="387">
        <f t="shared" si="18"/>
        <v>95</v>
      </c>
      <c r="AC42" s="247">
        <f t="shared" si="16"/>
        <v>-0.65177779393355495</v>
      </c>
      <c r="AD42" s="258">
        <f t="shared" si="17"/>
        <v>2.8535293839016558</v>
      </c>
    </row>
    <row r="43" spans="1:30">
      <c r="A43" s="247">
        <v>1991</v>
      </c>
      <c r="B43" s="213">
        <f t="shared" si="1"/>
        <v>1996</v>
      </c>
      <c r="C43" s="213">
        <f>VLOOKUP($A43,BroodTab!$A$12:$AG$67,2)</f>
        <v>9701</v>
      </c>
      <c r="D43" s="213">
        <f>VLOOKUP($A43,BroodTab!$A$12:$AG$67,20)</f>
        <v>2.4599526468205686</v>
      </c>
      <c r="E43" s="213">
        <v>35</v>
      </c>
      <c r="F43" s="213">
        <v>33</v>
      </c>
      <c r="G43" s="300">
        <v>1.1037448057748838</v>
      </c>
      <c r="H43" s="300">
        <v>-9.3251817351632084E-6</v>
      </c>
      <c r="I43" s="213">
        <v>4.3631233622522003E-6</v>
      </c>
      <c r="J43" s="301">
        <v>1.0132812177620654</v>
      </c>
      <c r="K43" s="213">
        <v>1.26310130484267</v>
      </c>
      <c r="L43" s="213">
        <v>0.12159125350270331</v>
      </c>
      <c r="M43" s="124">
        <v>1.7334790516394527</v>
      </c>
      <c r="N43" s="213">
        <f t="shared" si="2"/>
        <v>1.4466714290585032</v>
      </c>
      <c r="O43" s="213">
        <f t="shared" si="3"/>
        <v>2.0928582236541717</v>
      </c>
      <c r="P43" s="384">
        <f t="shared" si="4"/>
        <v>1.0132812177620654</v>
      </c>
      <c r="Q43" s="213">
        <f t="shared" si="19"/>
        <v>-0.73937237115554</v>
      </c>
      <c r="R43" s="213">
        <f t="shared" si="6"/>
        <v>2.7659348066796707</v>
      </c>
      <c r="S43" s="350">
        <f t="shared" si="7"/>
        <v>86820.385531915279</v>
      </c>
      <c r="T43" s="392">
        <f t="shared" si="8"/>
        <v>7537779343.9104042</v>
      </c>
      <c r="U43" s="350">
        <f t="shared" si="9"/>
        <v>26722.614468084732</v>
      </c>
      <c r="V43" s="350">
        <f t="shared" si="10"/>
        <v>4631.3879751499871</v>
      </c>
      <c r="W43" s="350">
        <f t="shared" si="11"/>
        <v>154186.63429655027</v>
      </c>
      <c r="X43" s="364">
        <f t="shared" si="12"/>
        <v>-0.76464762717133827</v>
      </c>
      <c r="Y43" s="385">
        <f t="shared" si="13"/>
        <v>9701</v>
      </c>
      <c r="Z43" s="386">
        <f t="shared" si="14"/>
        <v>1.0862659576588065</v>
      </c>
      <c r="AA43" s="385">
        <f t="shared" si="15"/>
        <v>2.4599526468205686</v>
      </c>
      <c r="AB43" s="387">
        <f t="shared" si="18"/>
        <v>96</v>
      </c>
      <c r="AC43" s="247">
        <f t="shared" si="16"/>
        <v>-0.66638763125879885</v>
      </c>
      <c r="AD43" s="258">
        <f t="shared" si="17"/>
        <v>2.8389195465764119</v>
      </c>
    </row>
    <row r="44" spans="1:30">
      <c r="A44" s="247">
        <v>1992</v>
      </c>
      <c r="B44" s="213">
        <f t="shared" si="1"/>
        <v>1997</v>
      </c>
      <c r="C44" s="213">
        <f>VLOOKUP($A44,BroodTab!$A$12:$AG$67,2)</f>
        <v>29642</v>
      </c>
      <c r="D44" s="213">
        <f>VLOOKUP($A44,BroodTab!$A$12:$AG$67,20)</f>
        <v>1.1887814167648962</v>
      </c>
      <c r="E44" s="213">
        <v>35</v>
      </c>
      <c r="F44" s="213">
        <v>33</v>
      </c>
      <c r="G44" s="300">
        <v>1.170455791699792</v>
      </c>
      <c r="H44" s="300">
        <v>-9.9803270333977778E-6</v>
      </c>
      <c r="I44" s="213">
        <v>4.4041849798832385E-6</v>
      </c>
      <c r="J44" s="301">
        <v>0.87461893777581512</v>
      </c>
      <c r="K44" s="213">
        <v>1.28559631834624</v>
      </c>
      <c r="L44" s="213">
        <v>0.13465803358675663</v>
      </c>
      <c r="M44" s="124">
        <v>1.7904550562237271</v>
      </c>
      <c r="N44" s="213">
        <f t="shared" si="2"/>
        <v>0.31416247898908112</v>
      </c>
      <c r="O44" s="213">
        <f t="shared" si="3"/>
        <v>9.869806320456484E-2</v>
      </c>
      <c r="P44" s="384">
        <f t="shared" si="4"/>
        <v>0.87461893777581512</v>
      </c>
      <c r="Q44" s="213">
        <f t="shared" si="19"/>
        <v>-0.87803465114179025</v>
      </c>
      <c r="R44" s="213">
        <f t="shared" si="6"/>
        <v>2.6272725266934205</v>
      </c>
      <c r="S44" s="350">
        <f t="shared" si="7"/>
        <v>26236.629741603494</v>
      </c>
      <c r="T44" s="392">
        <f t="shared" si="8"/>
        <v>688360740.19799304</v>
      </c>
      <c r="U44" s="350">
        <f t="shared" si="9"/>
        <v>71080.370258396506</v>
      </c>
      <c r="V44" s="350">
        <f t="shared" si="10"/>
        <v>12319.182783447943</v>
      </c>
      <c r="W44" s="350">
        <f t="shared" si="11"/>
        <v>410126.1524310825</v>
      </c>
      <c r="X44" s="364">
        <f t="shared" si="12"/>
        <v>-0.2695996561916571</v>
      </c>
      <c r="Y44" s="385">
        <f t="shared" si="13"/>
        <v>29642</v>
      </c>
      <c r="Z44" s="386">
        <f t="shared" si="14"/>
        <v>0.88548389969692476</v>
      </c>
      <c r="AA44" s="385">
        <f t="shared" si="15"/>
        <v>1.1887814167648962</v>
      </c>
      <c r="AB44" s="387">
        <f t="shared" si="18"/>
        <v>97</v>
      </c>
      <c r="AC44" s="247">
        <f t="shared" si="16"/>
        <v>-0.86716968922068061</v>
      </c>
      <c r="AD44" s="258">
        <f t="shared" si="17"/>
        <v>2.6381374886145301</v>
      </c>
    </row>
    <row r="45" spans="1:30">
      <c r="A45" s="247">
        <v>1993</v>
      </c>
      <c r="B45" s="213">
        <f t="shared" si="1"/>
        <v>1998</v>
      </c>
      <c r="C45" s="213">
        <f>VLOOKUP($A45,BroodTab!$A$12:$AG$67,2)</f>
        <v>9232</v>
      </c>
      <c r="D45" s="213">
        <f>VLOOKUP($A45,BroodTab!$A$12:$AG$67,20)</f>
        <v>1.8440406853388829</v>
      </c>
      <c r="E45" s="213">
        <v>35</v>
      </c>
      <c r="F45" s="213">
        <v>33</v>
      </c>
      <c r="G45" s="300">
        <v>1.1397228882988513</v>
      </c>
      <c r="H45" s="300">
        <v>-9.6566074845626167E-6</v>
      </c>
      <c r="I45" s="213">
        <v>4.4214625609640705E-6</v>
      </c>
      <c r="J45" s="301">
        <v>1.0505730880013693</v>
      </c>
      <c r="K45" s="213">
        <v>1.2796634556283402</v>
      </c>
      <c r="L45" s="213">
        <v>0.12629042101966559</v>
      </c>
      <c r="M45" s="124">
        <v>1.775286691514584</v>
      </c>
      <c r="N45" s="213">
        <f t="shared" si="2"/>
        <v>0.7934675973375136</v>
      </c>
      <c r="O45" s="213">
        <f t="shared" si="3"/>
        <v>0.62959082802456656</v>
      </c>
      <c r="P45" s="384">
        <f t="shared" si="4"/>
        <v>1.0505730880013693</v>
      </c>
      <c r="Q45" s="213">
        <f t="shared" si="19"/>
        <v>-0.70208050091623608</v>
      </c>
      <c r="R45" s="213">
        <f t="shared" si="6"/>
        <v>2.8032266769189746</v>
      </c>
      <c r="S45" s="350">
        <f t="shared" si="7"/>
        <v>31968.041431759491</v>
      </c>
      <c r="T45" s="392">
        <f t="shared" si="8"/>
        <v>1021955672.9826914</v>
      </c>
      <c r="U45" s="350">
        <f t="shared" si="9"/>
        <v>26396.958568240509</v>
      </c>
      <c r="V45" s="350">
        <f t="shared" si="10"/>
        <v>4574.9474341102432</v>
      </c>
      <c r="W45" s="350">
        <f t="shared" si="11"/>
        <v>152307.63450048753</v>
      </c>
      <c r="X45" s="364">
        <f t="shared" si="12"/>
        <v>-0.54772623030513989</v>
      </c>
      <c r="Y45" s="385">
        <f t="shared" si="13"/>
        <v>9232</v>
      </c>
      <c r="Z45" s="386">
        <f t="shared" si="14"/>
        <v>1.0909882276143814</v>
      </c>
      <c r="AA45" s="385">
        <f t="shared" si="15"/>
        <v>1.8440406853388829</v>
      </c>
      <c r="AB45" s="387">
        <f t="shared" si="18"/>
        <v>98</v>
      </c>
      <c r="AC45" s="247">
        <f t="shared" si="16"/>
        <v>-0.66166536130322395</v>
      </c>
      <c r="AD45" s="258">
        <f t="shared" si="17"/>
        <v>2.8436418165319868</v>
      </c>
    </row>
    <row r="46" spans="1:30">
      <c r="A46" s="247">
        <v>1994</v>
      </c>
      <c r="B46" s="213">
        <f t="shared" si="1"/>
        <v>1999</v>
      </c>
      <c r="C46" s="213">
        <f>VLOOKUP($A46,BroodTab!$A$12:$AG$67,2)</f>
        <v>7264</v>
      </c>
      <c r="D46" s="213">
        <f>VLOOKUP($A46,BroodTab!$A$12:$AG$67,20)</f>
        <v>0.28350900505870025</v>
      </c>
      <c r="E46" s="213">
        <v>35</v>
      </c>
      <c r="F46" s="213">
        <v>33</v>
      </c>
      <c r="G46" s="300">
        <v>1.2337089624628339</v>
      </c>
      <c r="H46" s="300">
        <v>-1.0542677860199173E-5</v>
      </c>
      <c r="I46" s="213">
        <v>4.4212074096097513E-6</v>
      </c>
      <c r="J46" s="301">
        <v>1.1571269504863471</v>
      </c>
      <c r="K46" s="213">
        <v>1.2781800005584121</v>
      </c>
      <c r="L46" s="213">
        <v>0.14698205708292605</v>
      </c>
      <c r="M46" s="124">
        <v>1.7714690490417655</v>
      </c>
      <c r="N46" s="213">
        <f t="shared" si="2"/>
        <v>-0.87361794542764681</v>
      </c>
      <c r="O46" s="213">
        <f t="shared" si="3"/>
        <v>0.76320831457322291</v>
      </c>
      <c r="P46" s="384">
        <f t="shared" si="4"/>
        <v>1.1571269504863471</v>
      </c>
      <c r="Q46" s="213">
        <f t="shared" si="19"/>
        <v>-0.5955266384312583</v>
      </c>
      <c r="R46" s="213">
        <f t="shared" si="6"/>
        <v>2.9097805394039522</v>
      </c>
      <c r="S46" s="350">
        <f t="shared" si="7"/>
        <v>-13460.197489979164</v>
      </c>
      <c r="T46" s="392">
        <f t="shared" si="8"/>
        <v>181176916.46924138</v>
      </c>
      <c r="U46" s="350">
        <f t="shared" si="9"/>
        <v>23105.197489979164</v>
      </c>
      <c r="V46" s="350">
        <f t="shared" si="10"/>
        <v>4004.4410305121146</v>
      </c>
      <c r="W46" s="350">
        <f t="shared" si="11"/>
        <v>133314.52429520909</v>
      </c>
      <c r="X46" s="364">
        <f t="shared" si="12"/>
        <v>1.3955622073591669</v>
      </c>
      <c r="Y46" s="385">
        <f t="shared" si="13"/>
        <v>7264</v>
      </c>
      <c r="Z46" s="386">
        <f t="shared" si="14"/>
        <v>1.110803637577221</v>
      </c>
      <c r="AA46" s="385">
        <f t="shared" si="15"/>
        <v>0.28350900505870025</v>
      </c>
      <c r="AB46" s="387">
        <f t="shared" si="18"/>
        <v>99</v>
      </c>
      <c r="AC46" s="247">
        <f t="shared" si="16"/>
        <v>-0.64184995134038436</v>
      </c>
      <c r="AD46" s="258">
        <f t="shared" si="17"/>
        <v>2.8634572264948264</v>
      </c>
    </row>
    <row r="47" spans="1:30">
      <c r="A47" s="247">
        <v>1995</v>
      </c>
      <c r="B47" s="213">
        <f t="shared" si="1"/>
        <v>2000</v>
      </c>
      <c r="C47" s="213">
        <f>VLOOKUP($A47,BroodTab!$A$12:$AG$67,2)</f>
        <v>30382</v>
      </c>
      <c r="D47" s="213">
        <f>VLOOKUP($A47,BroodTab!$A$12:$AG$67,20)</f>
        <v>1.7629714952691256</v>
      </c>
      <c r="E47" s="213">
        <v>35</v>
      </c>
      <c r="F47" s="213">
        <v>33</v>
      </c>
      <c r="G47" s="300">
        <v>1.1450320936789091</v>
      </c>
      <c r="H47" s="300">
        <v>-9.8186603482586231E-6</v>
      </c>
      <c r="I47" s="213">
        <v>4.37426993692888E-6</v>
      </c>
      <c r="J47" s="301">
        <v>0.84672155497811563</v>
      </c>
      <c r="K47" s="213">
        <v>1.2771354112340607</v>
      </c>
      <c r="L47" s="213">
        <v>0.13245580128355428</v>
      </c>
      <c r="M47" s="124">
        <v>1.7692888879414779</v>
      </c>
      <c r="N47" s="213">
        <f t="shared" si="2"/>
        <v>0.91624994029100992</v>
      </c>
      <c r="O47" s="213">
        <f t="shared" si="3"/>
        <v>0.83951395308327925</v>
      </c>
      <c r="P47" s="384">
        <f t="shared" si="4"/>
        <v>0.84672155497811563</v>
      </c>
      <c r="Q47" s="213">
        <f t="shared" si="19"/>
        <v>-0.90593203393948973</v>
      </c>
      <c r="R47" s="213">
        <f t="shared" si="6"/>
        <v>2.5993751438957209</v>
      </c>
      <c r="S47" s="350">
        <f t="shared" si="7"/>
        <v>106268.50995528961</v>
      </c>
      <c r="T47" s="392">
        <f t="shared" si="8"/>
        <v>11292996208.117487</v>
      </c>
      <c r="U47" s="350">
        <f t="shared" si="9"/>
        <v>70850.490044710386</v>
      </c>
      <c r="V47" s="350">
        <f t="shared" si="10"/>
        <v>12279.341455098041</v>
      </c>
      <c r="W47" s="350">
        <f t="shared" si="11"/>
        <v>408799.76812531153</v>
      </c>
      <c r="X47" s="364">
        <f t="shared" si="12"/>
        <v>-0.59998368303394678</v>
      </c>
      <c r="Y47" s="385">
        <f t="shared" si="13"/>
        <v>30382</v>
      </c>
      <c r="Z47" s="386">
        <f t="shared" si="14"/>
        <v>0.87803298334910895</v>
      </c>
      <c r="AA47" s="385">
        <f t="shared" si="15"/>
        <v>1.7629714952691256</v>
      </c>
      <c r="AB47" s="387">
        <f t="shared" si="18"/>
        <v>100</v>
      </c>
      <c r="AC47" s="247">
        <f t="shared" si="16"/>
        <v>-0.87462060556849641</v>
      </c>
      <c r="AD47" s="258">
        <f t="shared" si="17"/>
        <v>2.6306865722667143</v>
      </c>
    </row>
    <row r="48" spans="1:30">
      <c r="A48" s="247">
        <v>1996</v>
      </c>
      <c r="B48" s="213">
        <f t="shared" si="1"/>
        <v>2001</v>
      </c>
      <c r="C48" s="213">
        <f>VLOOKUP($A48,BroodTab!$A$12:$AG$67,2)</f>
        <v>38693</v>
      </c>
      <c r="D48" s="213">
        <f>VLOOKUP($A48,BroodTab!$A$12:$AG$67,20)</f>
        <v>1.0312665677347432</v>
      </c>
      <c r="E48" s="213">
        <v>35</v>
      </c>
      <c r="F48" s="213">
        <v>33</v>
      </c>
      <c r="G48" s="300">
        <v>1.1748397051899127</v>
      </c>
      <c r="H48" s="300">
        <v>-1.0025761834817988E-5</v>
      </c>
      <c r="I48" s="213">
        <v>4.3962704637334592E-6</v>
      </c>
      <c r="J48" s="301">
        <v>0.78691290251530022</v>
      </c>
      <c r="K48" s="213">
        <v>1.2860369479559617</v>
      </c>
      <c r="L48" s="213">
        <v>0.13614261058231106</v>
      </c>
      <c r="M48" s="124">
        <v>1.7915690376379665</v>
      </c>
      <c r="N48" s="213">
        <f t="shared" si="2"/>
        <v>0.24435366521944302</v>
      </c>
      <c r="O48" s="213">
        <f t="shared" si="3"/>
        <v>5.9708713706175635E-2</v>
      </c>
      <c r="P48" s="384">
        <f t="shared" si="4"/>
        <v>0.78691290251530022</v>
      </c>
      <c r="Q48" s="213">
        <f t="shared" si="19"/>
        <v>-0.96574068640230515</v>
      </c>
      <c r="R48" s="213">
        <f t="shared" si="6"/>
        <v>2.5395664914329057</v>
      </c>
      <c r="S48" s="350">
        <f t="shared" si="7"/>
        <v>23525.769882873472</v>
      </c>
      <c r="T48" s="392">
        <f t="shared" si="8"/>
        <v>553461848.58191645</v>
      </c>
      <c r="U48" s="350">
        <f t="shared" si="9"/>
        <v>84993.230117126528</v>
      </c>
      <c r="V48" s="350">
        <f t="shared" si="10"/>
        <v>14730.468248297426</v>
      </c>
      <c r="W48" s="350">
        <f t="shared" si="11"/>
        <v>490401.86937558965</v>
      </c>
      <c r="X48" s="364">
        <f t="shared" si="12"/>
        <v>-0.21678940907005659</v>
      </c>
      <c r="Y48" s="385">
        <f t="shared" si="13"/>
        <v>38693</v>
      </c>
      <c r="Z48" s="386">
        <f t="shared" si="14"/>
        <v>0.79435113771843857</v>
      </c>
      <c r="AA48" s="385">
        <f t="shared" si="15"/>
        <v>1.0312665677347432</v>
      </c>
      <c r="AB48" s="387">
        <f t="shared" si="18"/>
        <v>101</v>
      </c>
      <c r="AC48" s="247">
        <f t="shared" si="16"/>
        <v>-0.95830245119916679</v>
      </c>
      <c r="AD48" s="258">
        <f t="shared" si="17"/>
        <v>2.547004726636044</v>
      </c>
    </row>
    <row r="49" spans="1:31">
      <c r="A49" s="247">
        <v>1997</v>
      </c>
      <c r="B49" s="213">
        <f t="shared" si="1"/>
        <v>2002</v>
      </c>
      <c r="C49" s="213">
        <f>VLOOKUP($A49,BroodTab!$A$12:$AG$67,2)</f>
        <v>35010</v>
      </c>
      <c r="D49" s="213">
        <f>VLOOKUP($A49,BroodTab!$A$12:$AG$67,20)</f>
        <v>-0.14597227489228951</v>
      </c>
      <c r="E49" s="213">
        <v>35</v>
      </c>
      <c r="F49" s="213">
        <v>33</v>
      </c>
      <c r="G49" s="300">
        <v>1.2238895806807242</v>
      </c>
      <c r="H49" s="300">
        <v>-1.0289987012983849E-5</v>
      </c>
      <c r="I49" s="213">
        <v>4.3619739359175822E-6</v>
      </c>
      <c r="J49" s="301">
        <v>0.8636371353561596</v>
      </c>
      <c r="K49" s="213">
        <v>1.275046001138356</v>
      </c>
      <c r="L49" s="213">
        <v>0.14430135957453663</v>
      </c>
      <c r="M49" s="124">
        <v>1.7641518248506511</v>
      </c>
      <c r="N49" s="213">
        <f t="shared" si="2"/>
        <v>-1.0096094102484492</v>
      </c>
      <c r="O49" s="213">
        <f t="shared" si="3"/>
        <v>1.0193111612622214</v>
      </c>
      <c r="P49" s="384">
        <f t="shared" si="4"/>
        <v>0.8636371353561596</v>
      </c>
      <c r="Q49" s="213">
        <f t="shared" si="19"/>
        <v>-0.88901645356144576</v>
      </c>
      <c r="R49" s="213">
        <f t="shared" si="6"/>
        <v>2.6162907242737647</v>
      </c>
      <c r="S49" s="350">
        <f t="shared" si="7"/>
        <v>-52780.719473493693</v>
      </c>
      <c r="T49" s="392">
        <f t="shared" si="8"/>
        <v>2785804348.1396365</v>
      </c>
      <c r="U49" s="350">
        <f t="shared" si="9"/>
        <v>83035.719473493693</v>
      </c>
      <c r="V49" s="350">
        <f t="shared" si="10"/>
        <v>14391.205364159463</v>
      </c>
      <c r="W49" s="350">
        <f t="shared" si="11"/>
        <v>479107.24181952112</v>
      </c>
      <c r="X49" s="364">
        <f t="shared" si="12"/>
        <v>1.7445288208062697</v>
      </c>
      <c r="Y49" s="385">
        <f t="shared" si="13"/>
        <v>35010</v>
      </c>
      <c r="Z49" s="386">
        <f t="shared" si="14"/>
        <v>0.83143454975763476</v>
      </c>
      <c r="AA49" s="385">
        <f t="shared" si="15"/>
        <v>-0.14597227489228951</v>
      </c>
      <c r="AB49" s="387">
        <f t="shared" si="18"/>
        <v>102</v>
      </c>
      <c r="AC49" s="247">
        <f t="shared" si="16"/>
        <v>-0.92121903915997061</v>
      </c>
      <c r="AD49" s="258">
        <f t="shared" si="17"/>
        <v>2.5840881386752401</v>
      </c>
    </row>
    <row r="50" spans="1:31">
      <c r="A50" s="247">
        <v>1998</v>
      </c>
      <c r="B50" s="213">
        <f t="shared" si="1"/>
        <v>2003</v>
      </c>
      <c r="C50" s="213">
        <f>VLOOKUP($A50,BroodTab!$A$12:$AG$67,2)</f>
        <v>28963</v>
      </c>
      <c r="D50" s="213">
        <f>VLOOKUP($A50,BroodTab!$A$12:$AG$67,20)</f>
        <v>0.85032177821880983</v>
      </c>
      <c r="E50" s="213">
        <v>35</v>
      </c>
      <c r="F50" s="213">
        <v>33</v>
      </c>
      <c r="G50" s="300">
        <v>1.1858304146272483</v>
      </c>
      <c r="H50" s="300">
        <v>-1.0081407204422188E-5</v>
      </c>
      <c r="I50" s="213">
        <v>4.4088423451602534E-6</v>
      </c>
      <c r="J50" s="301">
        <v>0.89384261776556839</v>
      </c>
      <c r="K50" s="213">
        <v>1.2866972916196686</v>
      </c>
      <c r="L50" s="213">
        <v>0.13677405436072199</v>
      </c>
      <c r="M50" s="124">
        <v>1.7932208847874331</v>
      </c>
      <c r="N50" s="213">
        <f t="shared" si="2"/>
        <v>-4.3520839546758561E-2</v>
      </c>
      <c r="O50" s="213">
        <f t="shared" si="3"/>
        <v>1.8940634748547038E-3</v>
      </c>
      <c r="P50" s="384">
        <f t="shared" si="4"/>
        <v>0.89384261776556839</v>
      </c>
      <c r="Q50" s="213">
        <f t="shared" si="19"/>
        <v>-0.85881097115203697</v>
      </c>
      <c r="R50" s="213">
        <f t="shared" si="6"/>
        <v>2.6464962066831736</v>
      </c>
      <c r="S50" s="350">
        <f t="shared" si="7"/>
        <v>-3015.1961430650554</v>
      </c>
      <c r="T50" s="392">
        <f t="shared" si="8"/>
        <v>9091407.7811543867</v>
      </c>
      <c r="U50" s="350">
        <f t="shared" si="9"/>
        <v>70800.196143065055</v>
      </c>
      <c r="V50" s="350">
        <f t="shared" si="10"/>
        <v>12270.624846489936</v>
      </c>
      <c r="W50" s="350">
        <f t="shared" si="11"/>
        <v>408509.57767895388</v>
      </c>
      <c r="X50" s="364">
        <f t="shared" si="12"/>
        <v>4.448176061171432E-2</v>
      </c>
      <c r="Y50" s="385">
        <f t="shared" si="13"/>
        <v>28963</v>
      </c>
      <c r="Z50" s="386">
        <f t="shared" si="14"/>
        <v>0.89232061888633929</v>
      </c>
      <c r="AA50" s="385">
        <f t="shared" si="15"/>
        <v>0.85032177821880983</v>
      </c>
      <c r="AB50" s="387">
        <f t="shared" si="18"/>
        <v>103</v>
      </c>
      <c r="AC50" s="247">
        <f t="shared" si="16"/>
        <v>-0.86033297003126608</v>
      </c>
      <c r="AD50" s="258">
        <f t="shared" si="17"/>
        <v>2.6449742078039447</v>
      </c>
    </row>
    <row r="51" spans="1:31">
      <c r="A51" s="247">
        <v>1999</v>
      </c>
      <c r="B51" s="213">
        <f t="shared" si="1"/>
        <v>2004</v>
      </c>
      <c r="C51" s="213">
        <f>VLOOKUP($A51,BroodTab!$A$12:$AG$67,2)</f>
        <v>59311</v>
      </c>
      <c r="D51" s="213">
        <f>VLOOKUP($A51,BroodTab!$A$12:$AG$67,20)</f>
        <v>0.80445178964739794</v>
      </c>
      <c r="E51" s="213">
        <v>35</v>
      </c>
      <c r="F51" s="213">
        <v>33</v>
      </c>
      <c r="G51" s="300">
        <v>1.1784941155079274</v>
      </c>
      <c r="H51" s="300">
        <v>-1.0083169956122675E-5</v>
      </c>
      <c r="I51" s="213">
        <v>4.3914102002751372E-6</v>
      </c>
      <c r="J51" s="301">
        <v>0.58045122224033541</v>
      </c>
      <c r="K51" s="213">
        <v>1.2861444665145592</v>
      </c>
      <c r="L51" s="213">
        <v>0.13775377910642783</v>
      </c>
      <c r="M51" s="124">
        <v>1.7918413936238951</v>
      </c>
      <c r="N51" s="213">
        <f t="shared" si="2"/>
        <v>0.22400056740706253</v>
      </c>
      <c r="O51" s="213">
        <f t="shared" si="3"/>
        <v>5.0176254198685967E-2</v>
      </c>
      <c r="P51" s="384">
        <f t="shared" si="4"/>
        <v>0.58045122224033541</v>
      </c>
      <c r="Q51" s="213">
        <f t="shared" si="19"/>
        <v>-1.1722023666772698</v>
      </c>
      <c r="R51" s="213">
        <f t="shared" si="6"/>
        <v>2.3331048111579409</v>
      </c>
      <c r="S51" s="350">
        <f t="shared" si="7"/>
        <v>26608.46509778827</v>
      </c>
      <c r="T51" s="392">
        <f t="shared" si="8"/>
        <v>708010414.8602165</v>
      </c>
      <c r="U51" s="350">
        <f t="shared" si="9"/>
        <v>105979.53490221173</v>
      </c>
      <c r="V51" s="350">
        <f t="shared" si="10"/>
        <v>18367.676716075111</v>
      </c>
      <c r="W51" s="350">
        <f t="shared" si="11"/>
        <v>611490.60884000314</v>
      </c>
      <c r="X51" s="364">
        <f t="shared" si="12"/>
        <v>-0.20068531916755869</v>
      </c>
      <c r="Y51" s="385">
        <f t="shared" si="13"/>
        <v>59311</v>
      </c>
      <c r="Z51" s="386">
        <f t="shared" si="14"/>
        <v>0.58675249817889308</v>
      </c>
      <c r="AA51" s="385">
        <f t="shared" si="15"/>
        <v>0.80445178964739794</v>
      </c>
      <c r="AB51" s="387">
        <f t="shared" si="18"/>
        <v>104</v>
      </c>
      <c r="AC51" s="247">
        <f t="shared" si="16"/>
        <v>-1.1659010907387124</v>
      </c>
      <c r="AD51" s="258">
        <f t="shared" si="17"/>
        <v>2.3394060870964983</v>
      </c>
    </row>
    <row r="52" spans="1:31">
      <c r="A52" s="247">
        <v>2000</v>
      </c>
      <c r="B52" s="213">
        <f t="shared" si="1"/>
        <v>2005</v>
      </c>
      <c r="C52" s="213">
        <f>VLOOKUP($A52,BroodTab!$A$12:$AG$67,2)</f>
        <v>28416</v>
      </c>
      <c r="D52" s="213">
        <f>VLOOKUP($A52,BroodTab!$A$12:$AG$67,20)</f>
        <v>1.1173682855902018</v>
      </c>
      <c r="E52" s="213">
        <v>35</v>
      </c>
      <c r="F52" s="213">
        <v>33</v>
      </c>
      <c r="G52" s="300">
        <v>1.1739983677828532</v>
      </c>
      <c r="H52" s="300">
        <v>-1.0001462539768109E-5</v>
      </c>
      <c r="I52" s="213">
        <v>4.40763122404366E-6</v>
      </c>
      <c r="J52" s="301">
        <v>0.88979680825280261</v>
      </c>
      <c r="K52" s="213">
        <v>1.2861303735282703</v>
      </c>
      <c r="L52" s="213">
        <v>0.13496906043101256</v>
      </c>
      <c r="M52" s="124">
        <v>1.7917953215353568</v>
      </c>
      <c r="N52" s="213">
        <f t="shared" si="2"/>
        <v>0.22757147733739924</v>
      </c>
      <c r="O52" s="213">
        <f t="shared" si="3"/>
        <v>5.1788777297526414E-2</v>
      </c>
      <c r="P52" s="384">
        <f t="shared" si="4"/>
        <v>0.88979680825280261</v>
      </c>
      <c r="Q52" s="213">
        <f t="shared" si="19"/>
        <v>-0.86285678066480276</v>
      </c>
      <c r="R52" s="213">
        <f t="shared" si="6"/>
        <v>2.6424503971704079</v>
      </c>
      <c r="S52" s="350">
        <f t="shared" si="7"/>
        <v>17679.414587616004</v>
      </c>
      <c r="T52" s="392">
        <f t="shared" si="8"/>
        <v>312561700.16080958</v>
      </c>
      <c r="U52" s="350">
        <f t="shared" si="9"/>
        <v>69182.585412383996</v>
      </c>
      <c r="V52" s="350">
        <f t="shared" si="10"/>
        <v>11990.271182162018</v>
      </c>
      <c r="W52" s="350">
        <f t="shared" si="11"/>
        <v>399176.13635480602</v>
      </c>
      <c r="X52" s="364">
        <f t="shared" si="12"/>
        <v>-0.20353450976970372</v>
      </c>
      <c r="Y52" s="385">
        <f t="shared" si="13"/>
        <v>28416</v>
      </c>
      <c r="Z52" s="386">
        <f t="shared" si="14"/>
        <v>0.89782825570019775</v>
      </c>
      <c r="AA52" s="385">
        <f t="shared" si="15"/>
        <v>1.1173682855902018</v>
      </c>
      <c r="AB52" s="387">
        <f t="shared" si="18"/>
        <v>105</v>
      </c>
      <c r="AC52" s="247">
        <f t="shared" si="16"/>
        <v>-0.85482533321740761</v>
      </c>
      <c r="AD52" s="258">
        <f t="shared" si="17"/>
        <v>2.6504818446178033</v>
      </c>
    </row>
    <row r="53" spans="1:31">
      <c r="A53" s="247">
        <v>2001</v>
      </c>
      <c r="B53" s="213">
        <f t="shared" si="1"/>
        <v>2006</v>
      </c>
      <c r="C53" s="213">
        <f>VLOOKUP($A53,BroodTab!$A$12:$AG$67,2)</f>
        <v>38547</v>
      </c>
      <c r="D53" s="213">
        <f>VLOOKUP($A53,BroodTab!$A$12:$AG$67,20)</f>
        <v>-2.2187003289507121</v>
      </c>
      <c r="E53" s="213">
        <v>35</v>
      </c>
      <c r="F53" s="213">
        <v>33</v>
      </c>
      <c r="G53" s="300">
        <v>1.3000706227930163</v>
      </c>
      <c r="H53" s="300">
        <v>-1.0621819614501164E-5</v>
      </c>
      <c r="I53" s="213">
        <v>4.0036669271487698E-6</v>
      </c>
      <c r="J53" s="301">
        <v>0.89063134211284001</v>
      </c>
      <c r="K53" s="213">
        <v>1.1711577796824131</v>
      </c>
      <c r="L53" s="213">
        <v>0.17579391531106409</v>
      </c>
      <c r="M53" s="124">
        <v>1.5170480454387474</v>
      </c>
      <c r="N53" s="213">
        <f t="shared" si="2"/>
        <v>-3.1093316710635523</v>
      </c>
      <c r="O53" s="213">
        <f t="shared" si="3"/>
        <v>9.6679434406788634</v>
      </c>
      <c r="P53" s="384">
        <f t="shared" si="4"/>
        <v>0.89063134211284001</v>
      </c>
      <c r="Q53" s="213">
        <f t="shared" si="19"/>
        <v>-0.86202224680476536</v>
      </c>
      <c r="R53" s="213">
        <f t="shared" si="6"/>
        <v>2.6432849310304452</v>
      </c>
      <c r="S53" s="350">
        <f t="shared" si="7"/>
        <v>-89734.223533465061</v>
      </c>
      <c r="T53" s="392">
        <f t="shared" si="8"/>
        <v>8052230873.1538744</v>
      </c>
      <c r="U53" s="350">
        <f t="shared" si="9"/>
        <v>93926.223533465061</v>
      </c>
      <c r="V53" s="350">
        <f t="shared" si="10"/>
        <v>16278.67597849298</v>
      </c>
      <c r="W53" s="350">
        <f t="shared" si="11"/>
        <v>541944.28827713348</v>
      </c>
      <c r="X53" s="364">
        <f t="shared" si="12"/>
        <v>21.406064774204452</v>
      </c>
      <c r="Y53" s="385">
        <f t="shared" si="13"/>
        <v>38547</v>
      </c>
      <c r="Z53" s="386">
        <f t="shared" si="14"/>
        <v>0.79582118337625085</v>
      </c>
      <c r="AA53" s="385">
        <f t="shared" si="15"/>
        <v>-2.2187003289507121</v>
      </c>
      <c r="AB53" s="387">
        <f t="shared" si="18"/>
        <v>106</v>
      </c>
      <c r="AC53" s="247">
        <f t="shared" si="16"/>
        <v>-0.95683240554135451</v>
      </c>
      <c r="AD53" s="258">
        <f t="shared" si="17"/>
        <v>2.5484747722938561</v>
      </c>
    </row>
    <row r="54" spans="1:31">
      <c r="A54" s="247">
        <v>2002</v>
      </c>
      <c r="B54" s="213">
        <f t="shared" si="1"/>
        <v>2007</v>
      </c>
      <c r="C54" s="213">
        <f>VLOOKUP($A54,BroodTab!$A$12:$AG$67,2)</f>
        <v>28323</v>
      </c>
      <c r="D54" s="213">
        <f>VLOOKUP($A54,BroodTab!$A$12:$AG$67,20)</f>
        <v>1.6602855332556767</v>
      </c>
      <c r="E54" s="213">
        <v>35</v>
      </c>
      <c r="F54" s="213">
        <v>33</v>
      </c>
      <c r="G54" s="300">
        <v>1.1493988419560222</v>
      </c>
      <c r="H54" s="300">
        <v>-9.8343423772511342E-6</v>
      </c>
      <c r="I54" s="213">
        <v>4.3854463870093066E-6</v>
      </c>
      <c r="J54" s="301">
        <v>0.87086076280513836</v>
      </c>
      <c r="K54" s="213">
        <v>1.2796203479186112</v>
      </c>
      <c r="L54" s="213">
        <v>0.13223626981644901</v>
      </c>
      <c r="M54" s="124">
        <v>1.7754695303666894</v>
      </c>
      <c r="N54" s="213">
        <f t="shared" si="2"/>
        <v>0.78942477045053838</v>
      </c>
      <c r="O54" s="213">
        <f t="shared" si="3"/>
        <v>0.62319146820088522</v>
      </c>
      <c r="P54" s="384">
        <f t="shared" si="4"/>
        <v>0.87086076280513836</v>
      </c>
      <c r="Q54" s="213">
        <f t="shared" si="19"/>
        <v>-0.88179282611246701</v>
      </c>
      <c r="R54" s="213">
        <f t="shared" si="6"/>
        <v>2.6235143517227435</v>
      </c>
      <c r="S54" s="350">
        <f t="shared" si="7"/>
        <v>81339.307425448758</v>
      </c>
      <c r="T54" s="392">
        <f t="shared" si="8"/>
        <v>6616082932.451664</v>
      </c>
      <c r="U54" s="350">
        <f t="shared" si="9"/>
        <v>67662.692574551242</v>
      </c>
      <c r="V54" s="350">
        <f t="shared" si="10"/>
        <v>11726.853341027414</v>
      </c>
      <c r="W54" s="350">
        <f t="shared" si="11"/>
        <v>390406.51684632746</v>
      </c>
      <c r="X54" s="364">
        <f t="shared" si="12"/>
        <v>-0.54589406467999602</v>
      </c>
      <c r="Y54" s="385">
        <f t="shared" si="13"/>
        <v>28323</v>
      </c>
      <c r="Z54" s="386">
        <f t="shared" si="14"/>
        <v>0.89876465464661237</v>
      </c>
      <c r="AA54" s="385">
        <f t="shared" si="15"/>
        <v>1.6602855332556767</v>
      </c>
      <c r="AB54" s="387">
        <f t="shared" si="18"/>
        <v>107</v>
      </c>
      <c r="AC54" s="247">
        <f t="shared" si="16"/>
        <v>-0.85388893427099299</v>
      </c>
      <c r="AD54" s="258">
        <f t="shared" si="17"/>
        <v>2.6514182435642177</v>
      </c>
    </row>
    <row r="55" spans="1:31">
      <c r="A55" s="247">
        <v>2003</v>
      </c>
      <c r="B55" s="213">
        <f t="shared" si="1"/>
        <v>2008</v>
      </c>
      <c r="C55" s="213">
        <f>VLOOKUP($A55,BroodTab!$A$12:$AG$67,2)</f>
        <v>75427</v>
      </c>
      <c r="D55" s="213">
        <f>VLOOKUP($A55,BroodTab!$A$12:$AG$67,20)</f>
        <v>-0.10514399418489957</v>
      </c>
      <c r="E55" s="213">
        <v>35</v>
      </c>
      <c r="F55" s="213">
        <v>33</v>
      </c>
      <c r="G55" s="300">
        <v>1.1917342802611786</v>
      </c>
      <c r="H55" s="300">
        <v>-9.9307862755461873E-6</v>
      </c>
      <c r="I55" s="213">
        <v>4.3932180985286552E-6</v>
      </c>
      <c r="J55" s="301">
        <v>0.44268486385555628</v>
      </c>
      <c r="K55" s="213">
        <v>1.283297715769713</v>
      </c>
      <c r="L55" s="213">
        <v>0.13408042025198616</v>
      </c>
      <c r="M55" s="124">
        <v>1.7847002449523746</v>
      </c>
      <c r="N55" s="213">
        <f t="shared" si="2"/>
        <v>-0.54782885804045589</v>
      </c>
      <c r="O55" s="213">
        <f t="shared" si="3"/>
        <v>0.30011645770190998</v>
      </c>
      <c r="P55" s="384">
        <f t="shared" si="4"/>
        <v>0.44268486385555628</v>
      </c>
      <c r="Q55" s="213">
        <f t="shared" si="19"/>
        <v>-1.3099687250620491</v>
      </c>
      <c r="R55" s="213">
        <f t="shared" si="6"/>
        <v>2.1953384527731616</v>
      </c>
      <c r="S55" s="350">
        <f t="shared" si="7"/>
        <v>-49531.910506331114</v>
      </c>
      <c r="T55" s="392">
        <f t="shared" si="8"/>
        <v>2453410158.4071946</v>
      </c>
      <c r="U55" s="350">
        <f t="shared" si="9"/>
        <v>117430.91050633111</v>
      </c>
      <c r="V55" s="350">
        <f t="shared" si="10"/>
        <v>20352.353901579765</v>
      </c>
      <c r="W55" s="350">
        <f t="shared" si="11"/>
        <v>677563.82426484604</v>
      </c>
      <c r="X55" s="364">
        <f t="shared" si="12"/>
        <v>0.72949396171270731</v>
      </c>
      <c r="Y55" s="385">
        <f t="shared" si="13"/>
        <v>75427</v>
      </c>
      <c r="Z55" s="386">
        <f t="shared" si="14"/>
        <v>0.42448362269051798</v>
      </c>
      <c r="AA55" s="385">
        <f t="shared" si="15"/>
        <v>-0.10514399418489957</v>
      </c>
      <c r="AB55" s="387">
        <f t="shared" si="18"/>
        <v>108</v>
      </c>
      <c r="AC55" s="247">
        <f t="shared" si="16"/>
        <v>-1.3281699662270874</v>
      </c>
      <c r="AD55" s="258">
        <f t="shared" si="17"/>
        <v>2.1771372116081231</v>
      </c>
    </row>
    <row r="56" spans="1:31">
      <c r="A56" s="247">
        <v>2004</v>
      </c>
      <c r="B56" s="213">
        <f t="shared" si="1"/>
        <v>2009</v>
      </c>
      <c r="C56" s="213">
        <f>VLOOKUP($A56,BroodTab!$A$12:$AG$67,2)</f>
        <v>30569</v>
      </c>
      <c r="D56" s="213">
        <f>VLOOKUP($A56,BroodTab!$A$12:$AG$67,20)</f>
        <v>1.2567041038382112</v>
      </c>
      <c r="E56" s="213">
        <v>35</v>
      </c>
      <c r="F56" s="213">
        <v>33</v>
      </c>
      <c r="G56" s="300">
        <v>1.1672581861758429</v>
      </c>
      <c r="H56" s="300">
        <v>-9.9621046097665961E-6</v>
      </c>
      <c r="I56" s="213">
        <v>4.4008110170062129E-6</v>
      </c>
      <c r="J56" s="301">
        <v>0.86272661035988785</v>
      </c>
      <c r="K56" s="213">
        <v>1.2849521331425009</v>
      </c>
      <c r="L56" s="213">
        <v>0.13441092875040903</v>
      </c>
      <c r="M56" s="124">
        <v>1.7888401933047873</v>
      </c>
      <c r="N56" s="213">
        <f t="shared" si="2"/>
        <v>0.39397749347832334</v>
      </c>
      <c r="O56" s="213">
        <f t="shared" si="3"/>
        <v>0.1552182653674623</v>
      </c>
      <c r="P56" s="384">
        <f t="shared" si="4"/>
        <v>0.86272661035988785</v>
      </c>
      <c r="Q56" s="213">
        <f t="shared" si="19"/>
        <v>-0.88992697855771752</v>
      </c>
      <c r="R56" s="213">
        <f t="shared" si="6"/>
        <v>2.6153801992774932</v>
      </c>
      <c r="S56" s="350">
        <f t="shared" si="7"/>
        <v>34977.303123246529</v>
      </c>
      <c r="T56" s="392">
        <f t="shared" si="8"/>
        <v>1223411733.7754714</v>
      </c>
      <c r="U56" s="350">
        <f t="shared" si="9"/>
        <v>72436.696876753485</v>
      </c>
      <c r="V56" s="350">
        <f t="shared" si="10"/>
        <v>12554.252402033979</v>
      </c>
      <c r="W56" s="350">
        <f t="shared" si="11"/>
        <v>417952.01230497507</v>
      </c>
      <c r="X56" s="364">
        <f t="shared" si="12"/>
        <v>-0.32563076622457526</v>
      </c>
      <c r="Y56" s="385">
        <f t="shared" si="13"/>
        <v>30569</v>
      </c>
      <c r="Z56" s="386">
        <f t="shared" si="14"/>
        <v>0.87615011665040421</v>
      </c>
      <c r="AA56" s="385">
        <f t="shared" si="15"/>
        <v>1.2567041038382112</v>
      </c>
      <c r="AB56" s="387">
        <f t="shared" si="18"/>
        <v>109</v>
      </c>
      <c r="AC56" s="247">
        <f t="shared" si="16"/>
        <v>-0.87650347226720116</v>
      </c>
      <c r="AD56" s="258">
        <f t="shared" si="17"/>
        <v>2.6288037055680098</v>
      </c>
    </row>
    <row r="57" spans="1:31">
      <c r="A57" s="247">
        <v>2005</v>
      </c>
      <c r="B57" s="213">
        <f t="shared" si="1"/>
        <v>2010</v>
      </c>
      <c r="C57" s="213">
        <f>VLOOKUP($A57,BroodTab!$A$12:$AG$67,2)</f>
        <v>30313</v>
      </c>
      <c r="D57" s="213">
        <f>VLOOKUP($A57,BroodTab!$A$12:$AG$67,20)</f>
        <v>-0.87471027468831297</v>
      </c>
      <c r="E57" s="213">
        <v>35</v>
      </c>
      <c r="F57" s="213">
        <v>33</v>
      </c>
      <c r="G57" s="300">
        <v>1.261124876254986</v>
      </c>
      <c r="H57" s="300">
        <v>-1.0565929393913905E-5</v>
      </c>
      <c r="I57" s="213">
        <v>4.276857934990404E-6</v>
      </c>
      <c r="J57" s="301">
        <v>0.94083985853727392</v>
      </c>
      <c r="K57" s="213">
        <v>1.2486700875475001</v>
      </c>
      <c r="L57" s="213">
        <v>0.15608177201875606</v>
      </c>
      <c r="M57" s="124">
        <v>1.6990972212794164</v>
      </c>
      <c r="N57" s="213">
        <f t="shared" si="2"/>
        <v>-1.815550133225587</v>
      </c>
      <c r="O57" s="213">
        <f t="shared" si="3"/>
        <v>3.2962222862554467</v>
      </c>
      <c r="P57" s="384">
        <f t="shared" si="4"/>
        <v>0.94083985853727392</v>
      </c>
      <c r="Q57" s="213">
        <f t="shared" si="19"/>
        <v>-0.81181373038033144</v>
      </c>
      <c r="R57" s="213">
        <f t="shared" si="6"/>
        <v>2.6934934474548795</v>
      </c>
      <c r="S57" s="350">
        <f t="shared" si="7"/>
        <v>-65025.917734238566</v>
      </c>
      <c r="T57" s="392">
        <f t="shared" si="8"/>
        <v>4228369977.1799617</v>
      </c>
      <c r="U57" s="350">
        <f t="shared" si="9"/>
        <v>77665.917734238566</v>
      </c>
      <c r="V57" s="350">
        <f t="shared" si="10"/>
        <v>13460.546605682524</v>
      </c>
      <c r="W57" s="350">
        <f t="shared" si="11"/>
        <v>448124.05871801963</v>
      </c>
      <c r="X57" s="364">
        <f t="shared" si="12"/>
        <v>5.1444555169492538</v>
      </c>
      <c r="Y57" s="385">
        <f t="shared" si="13"/>
        <v>30313</v>
      </c>
      <c r="Z57" s="386">
        <f t="shared" si="14"/>
        <v>0.8787277309545134</v>
      </c>
      <c r="AA57" s="385">
        <f t="shared" si="15"/>
        <v>-0.87471027468831297</v>
      </c>
      <c r="AB57" s="387">
        <f t="shared" si="18"/>
        <v>110</v>
      </c>
      <c r="AC57" s="247">
        <f t="shared" si="16"/>
        <v>-0.87392585796309197</v>
      </c>
      <c r="AD57" s="258">
        <f t="shared" si="17"/>
        <v>2.6313813198721188</v>
      </c>
    </row>
    <row r="58" spans="1:31">
      <c r="A58" s="247">
        <v>2006</v>
      </c>
      <c r="B58" s="213">
        <f t="shared" si="1"/>
        <v>2011</v>
      </c>
      <c r="C58" s="213">
        <f>VLOOKUP($A58,BroodTab!$A$12:$AG$67,2)</f>
        <v>23479</v>
      </c>
      <c r="D58" s="213">
        <f>VLOOKUP($A58,BroodTab!$A$12:$AG$67,20)</f>
        <v>1.6501743800635074</v>
      </c>
      <c r="E58" s="213">
        <v>35</v>
      </c>
      <c r="F58" s="213">
        <v>33</v>
      </c>
      <c r="G58" s="300">
        <v>1.1497457843733923</v>
      </c>
      <c r="H58" s="300">
        <v>-9.8105103037971344E-6</v>
      </c>
      <c r="I58" s="213">
        <v>4.3961891934574829E-6</v>
      </c>
      <c r="J58" s="301">
        <v>0.91940481295053933</v>
      </c>
      <c r="K58" s="213">
        <v>1.28065832826408</v>
      </c>
      <c r="L58" s="213">
        <v>0.13112193284791757</v>
      </c>
      <c r="M58" s="124">
        <v>1.7780171677376155</v>
      </c>
      <c r="N58" s="213">
        <f t="shared" si="2"/>
        <v>0.73076956711296803</v>
      </c>
      <c r="O58" s="213">
        <f t="shared" si="3"/>
        <v>0.53402416021847465</v>
      </c>
      <c r="P58" s="384">
        <f t="shared" si="4"/>
        <v>0.91940481295053933</v>
      </c>
      <c r="Q58" s="213">
        <f t="shared" si="19"/>
        <v>-0.83324877596706604</v>
      </c>
      <c r="R58" s="213">
        <f t="shared" si="6"/>
        <v>2.6720584018681448</v>
      </c>
      <c r="S58" s="350">
        <f t="shared" si="7"/>
        <v>63395.426320825369</v>
      </c>
      <c r="T58" s="392">
        <f t="shared" si="8"/>
        <v>4018980078.3991981</v>
      </c>
      <c r="U58" s="350">
        <f t="shared" si="9"/>
        <v>58880.573679174617</v>
      </c>
      <c r="V58" s="350">
        <f t="shared" si="10"/>
        <v>10204.794191576982</v>
      </c>
      <c r="W58" s="350">
        <f t="shared" si="11"/>
        <v>339734.62783309247</v>
      </c>
      <c r="X58" s="364">
        <f t="shared" si="12"/>
        <v>-0.51846172855527961</v>
      </c>
      <c r="Y58" s="385">
        <f t="shared" si="13"/>
        <v>23479</v>
      </c>
      <c r="Z58" s="386">
        <f t="shared" si="14"/>
        <v>0.9475379503071788</v>
      </c>
      <c r="AA58" s="385">
        <f t="shared" si="15"/>
        <v>1.6501743800635074</v>
      </c>
      <c r="AB58" s="387">
        <f t="shared" si="18"/>
        <v>111</v>
      </c>
      <c r="AC58" s="247">
        <f t="shared" si="16"/>
        <v>-0.80511563861042656</v>
      </c>
      <c r="AD58" s="258">
        <f t="shared" si="17"/>
        <v>2.7001915392247842</v>
      </c>
    </row>
    <row r="59" spans="1:31">
      <c r="A59" s="247">
        <v>2007</v>
      </c>
      <c r="B59" s="213">
        <f t="shared" si="1"/>
        <v>2012</v>
      </c>
      <c r="C59" s="213">
        <f>VLOOKUP($A59,BroodTab!$A$12:$AG$67,2)</f>
        <v>70001</v>
      </c>
      <c r="D59" s="213">
        <f>VLOOKUP($A59,BroodTab!$A$12:$AG$67,20)</f>
        <v>2.0340338164918719</v>
      </c>
      <c r="E59" s="213">
        <v>35</v>
      </c>
      <c r="F59" s="213">
        <v>33</v>
      </c>
      <c r="G59" s="300">
        <v>1.1556680340753975</v>
      </c>
      <c r="H59" s="300">
        <v>-1.0371561865064579E-5</v>
      </c>
      <c r="I59" s="213">
        <v>4.2978793820604874E-6</v>
      </c>
      <c r="J59" s="301">
        <v>0.42964833195901198</v>
      </c>
      <c r="K59" s="213">
        <v>1.2569999055546894</v>
      </c>
      <c r="L59" s="213">
        <v>0.14999812258929068</v>
      </c>
      <c r="M59" s="124">
        <v>1.7197306356587221</v>
      </c>
      <c r="N59" s="213">
        <f t="shared" si="2"/>
        <v>1.6043854845328598</v>
      </c>
      <c r="O59" s="213">
        <f t="shared" si="3"/>
        <v>2.5740527829797393</v>
      </c>
      <c r="P59" s="384">
        <f t="shared" si="4"/>
        <v>0.42964833195901198</v>
      </c>
      <c r="Q59" s="213">
        <f t="shared" si="19"/>
        <v>-1.3230052569585933</v>
      </c>
      <c r="R59" s="213">
        <f t="shared" si="6"/>
        <v>2.1823019208766175</v>
      </c>
      <c r="S59" s="350">
        <f t="shared" si="7"/>
        <v>427576.27228534757</v>
      </c>
      <c r="T59" s="392">
        <f t="shared" si="8"/>
        <v>182821468621.43369</v>
      </c>
      <c r="U59" s="350">
        <f t="shared" si="9"/>
        <v>107571.72771465244</v>
      </c>
      <c r="V59" s="350">
        <f t="shared" si="10"/>
        <v>18643.625113806371</v>
      </c>
      <c r="W59" s="350">
        <f t="shared" si="11"/>
        <v>620677.39148788317</v>
      </c>
      <c r="X59" s="364">
        <f t="shared" si="12"/>
        <v>-0.79898695741243086</v>
      </c>
      <c r="Y59" s="385">
        <f t="shared" si="13"/>
        <v>70001</v>
      </c>
      <c r="Z59" s="386">
        <f t="shared" si="14"/>
        <v>0.47911696337058274</v>
      </c>
      <c r="AA59" s="385">
        <f t="shared" si="15"/>
        <v>2.0340338164918719</v>
      </c>
      <c r="AB59" s="387">
        <f t="shared" si="18"/>
        <v>112</v>
      </c>
      <c r="AC59" s="247">
        <f t="shared" si="16"/>
        <v>-1.2735366255470226</v>
      </c>
      <c r="AD59" s="258">
        <f t="shared" si="17"/>
        <v>2.2317705522881881</v>
      </c>
    </row>
    <row r="60" spans="1:31">
      <c r="A60" s="247">
        <v>2008</v>
      </c>
      <c r="B60" s="213">
        <f t="shared" si="1"/>
        <v>2013</v>
      </c>
      <c r="C60" s="213">
        <f>VLOOKUP($A60,BroodTab!$A$12:$AG$67,2)</f>
        <v>29298</v>
      </c>
      <c r="D60" s="213">
        <f>VLOOKUP($A60,BroodTab!$A$12:$AG$67,20)</f>
        <v>0.32809439879752322</v>
      </c>
      <c r="E60" s="213">
        <v>35</v>
      </c>
      <c r="F60" s="213">
        <v>33</v>
      </c>
      <c r="G60" s="300">
        <v>1.2090149908605445</v>
      </c>
      <c r="H60" s="300">
        <v>-1.0234782128304802E-5</v>
      </c>
      <c r="I60" s="213">
        <v>4.3953086570341816E-6</v>
      </c>
      <c r="J60" s="301">
        <v>0.90915634406547041</v>
      </c>
      <c r="K60" s="213">
        <v>1.282875614077098</v>
      </c>
      <c r="L60" s="213">
        <v>0.14112235254671288</v>
      </c>
      <c r="M60" s="124">
        <v>1.783628344194184</v>
      </c>
      <c r="N60" s="213">
        <f t="shared" si="2"/>
        <v>-0.58106194526794719</v>
      </c>
      <c r="O60" s="213">
        <f t="shared" si="3"/>
        <v>0.33763298423857085</v>
      </c>
      <c r="P60" s="384">
        <f t="shared" si="4"/>
        <v>0.90915634406547041</v>
      </c>
      <c r="Q60" s="213">
        <f t="shared" si="19"/>
        <v>-0.84349724485213495</v>
      </c>
      <c r="R60" s="213">
        <f t="shared" si="6"/>
        <v>2.6618099329830756</v>
      </c>
      <c r="S60" s="350">
        <f t="shared" si="7"/>
        <v>-32049.301406407802</v>
      </c>
      <c r="T60" s="392">
        <f t="shared" si="8"/>
        <v>1027157720.6387731</v>
      </c>
      <c r="U60" s="350">
        <f t="shared" si="9"/>
        <v>72724.301406407802</v>
      </c>
      <c r="V60" s="350">
        <f t="shared" si="10"/>
        <v>12604.098129585467</v>
      </c>
      <c r="W60" s="350">
        <f t="shared" si="11"/>
        <v>419611.45975495415</v>
      </c>
      <c r="X60" s="364">
        <f t="shared" si="12"/>
        <v>0.78793611324911617</v>
      </c>
      <c r="Y60" s="385">
        <f t="shared" si="13"/>
        <v>29298</v>
      </c>
      <c r="Z60" s="386">
        <f t="shared" si="14"/>
        <v>0.88894756891807147</v>
      </c>
      <c r="AA60" s="385">
        <f t="shared" si="15"/>
        <v>0.32809439879752322</v>
      </c>
      <c r="AB60" s="387">
        <f t="shared" si="18"/>
        <v>113</v>
      </c>
      <c r="AC60" s="247">
        <f t="shared" si="16"/>
        <v>-0.86370601999953389</v>
      </c>
      <c r="AD60" s="258">
        <f t="shared" si="17"/>
        <v>2.6416011578356766</v>
      </c>
    </row>
    <row r="61" spans="1:31">
      <c r="A61" s="247">
        <v>2009</v>
      </c>
      <c r="B61" s="213">
        <f t="shared" si="1"/>
        <v>2014</v>
      </c>
      <c r="C61" s="213">
        <f>VLOOKUP($A61,BroodTab!$A$12:$AG$67,2)</f>
        <v>23186</v>
      </c>
      <c r="D61" s="213">
        <f>VLOOKUP($A61,BroodTab!$A$12:$AG$67,20)</f>
        <v>1.2766524794045149</v>
      </c>
      <c r="E61" s="213">
        <v>35</v>
      </c>
      <c r="F61" s="213">
        <v>33</v>
      </c>
      <c r="G61" s="300">
        <v>1.1680030865171855</v>
      </c>
      <c r="H61" s="300">
        <v>-9.9477203531433545E-6</v>
      </c>
      <c r="I61" s="213">
        <v>4.412995404590303E-6</v>
      </c>
      <c r="J61" s="301">
        <v>0.93735524240920376</v>
      </c>
      <c r="K61" s="213">
        <v>1.2854150199299728</v>
      </c>
      <c r="L61" s="213">
        <v>0.1334343689939792</v>
      </c>
      <c r="M61" s="307">
        <v>1.7899857833143533</v>
      </c>
      <c r="N61" s="213">
        <f t="shared" si="2"/>
        <v>0.33929723699531111</v>
      </c>
      <c r="O61" s="213">
        <f t="shared" si="3"/>
        <v>0.11512261503265232</v>
      </c>
      <c r="P61" s="384">
        <f t="shared" si="4"/>
        <v>0.93735524240920376</v>
      </c>
      <c r="Q61" s="213">
        <f t="shared" si="19"/>
        <v>-0.81529834650840161</v>
      </c>
      <c r="R61" s="213">
        <f t="shared" si="6"/>
        <v>2.6900088313268089</v>
      </c>
      <c r="S61" s="350">
        <f t="shared" si="7"/>
        <v>23914.044943744455</v>
      </c>
      <c r="T61" s="392">
        <f t="shared" si="8"/>
        <v>571881545.57142973</v>
      </c>
      <c r="U61" s="350">
        <f t="shared" si="9"/>
        <v>59198.955056255545</v>
      </c>
      <c r="V61" s="350">
        <f t="shared" si="10"/>
        <v>10259.97396012416</v>
      </c>
      <c r="W61" s="350">
        <f t="shared" si="11"/>
        <v>341571.65440897027</v>
      </c>
      <c r="X61" s="364">
        <f t="shared" si="12"/>
        <v>-0.28772929558245347</v>
      </c>
      <c r="Y61" s="385">
        <f t="shared" si="13"/>
        <v>23186</v>
      </c>
      <c r="Z61" s="386">
        <f t="shared" si="14"/>
        <v>0.95048811042867887</v>
      </c>
      <c r="AA61" s="385">
        <f t="shared" si="15"/>
        <v>1.2766524794045149</v>
      </c>
      <c r="AB61" s="387">
        <f t="shared" si="18"/>
        <v>114</v>
      </c>
      <c r="AC61" s="247">
        <f t="shared" si="16"/>
        <v>-0.8021654784889265</v>
      </c>
      <c r="AD61" s="258">
        <f t="shared" si="17"/>
        <v>2.7031416993462845</v>
      </c>
    </row>
    <row r="62" spans="1:31">
      <c r="A62" s="247"/>
      <c r="E62" s="213"/>
      <c r="F62" s="213"/>
      <c r="G62" s="300"/>
      <c r="H62" s="300"/>
      <c r="I62" s="213"/>
      <c r="J62" s="301"/>
      <c r="K62" s="213"/>
      <c r="L62" s="213"/>
      <c r="P62" s="302"/>
      <c r="S62" s="265"/>
      <c r="U62" s="306"/>
      <c r="V62" s="265"/>
      <c r="W62" s="265"/>
      <c r="X62" s="303"/>
      <c r="Y62" s="252"/>
      <c r="Z62" s="304"/>
      <c r="AA62" s="248"/>
      <c r="AB62" s="305"/>
      <c r="AC62" s="246"/>
      <c r="AD62" s="248"/>
    </row>
    <row r="63" spans="1:31" ht="21">
      <c r="A63" s="247">
        <v>2010</v>
      </c>
      <c r="B63" s="213">
        <f>A63+5</f>
        <v>2015</v>
      </c>
      <c r="C63" s="213">
        <f>VLOOKUP($A63,BroodTab!$A$12:$AG$67,2)</f>
        <v>24312</v>
      </c>
      <c r="E63" s="213">
        <v>36</v>
      </c>
      <c r="F63" s="213">
        <v>34</v>
      </c>
      <c r="G63" s="300">
        <v>1.1839434434563199</v>
      </c>
      <c r="H63" s="300">
        <v>-1.0068805875426596E-5</v>
      </c>
      <c r="I63" s="213">
        <v>4.3274951757918238E-6</v>
      </c>
      <c r="J63" s="301">
        <v>0.93915063501294849</v>
      </c>
      <c r="K63" s="213">
        <v>1.2676552601675051</v>
      </c>
      <c r="L63" s="213">
        <v>0.13735267277409841</v>
      </c>
      <c r="M63" s="124">
        <v>1.7434618064176393</v>
      </c>
      <c r="P63" s="384">
        <f>J63</f>
        <v>0.93915063501294849</v>
      </c>
      <c r="Q63" s="213">
        <f>$P63-(SQRT($O$65)*$Q$65)</f>
        <v>-0.81350295390465688</v>
      </c>
      <c r="R63" s="213">
        <f>$P63+SQRT($O$65)*$Q$65</f>
        <v>2.691804223930554</v>
      </c>
      <c r="S63" s="265"/>
      <c r="U63" s="477">
        <f>EXP(P63)*C63</f>
        <v>62185.427680159846</v>
      </c>
      <c r="V63" s="477">
        <f>EXP(Q63)*C63</f>
        <v>10777.569774522643</v>
      </c>
      <c r="W63" s="477">
        <f>EXP(R63)*C63</f>
        <v>358803.28280553099</v>
      </c>
      <c r="X63" s="303"/>
      <c r="Y63" s="385">
        <f>C63</f>
        <v>24312</v>
      </c>
      <c r="Z63" s="386">
        <f>(+G$63+H$63*C63)</f>
        <v>0.93915063501294849</v>
      </c>
      <c r="AA63" s="248"/>
      <c r="AB63" s="387">
        <f>B63-1900</f>
        <v>115</v>
      </c>
      <c r="AC63" s="247">
        <f>Z63-SQRT($O$66)*$Q$66</f>
        <v>-0.79057616595687852</v>
      </c>
      <c r="AD63" s="258">
        <f>Z63+SQRT($O$66)*$Q$66</f>
        <v>2.6688774359827754</v>
      </c>
      <c r="AE63" s="213">
        <f>Z63</f>
        <v>0.93915063501294849</v>
      </c>
    </row>
    <row r="64" spans="1:31">
      <c r="A64" s="260"/>
      <c r="B64" s="224"/>
      <c r="C64" s="224"/>
      <c r="D64" s="224"/>
      <c r="E64" s="224"/>
      <c r="F64" s="224"/>
      <c r="G64" s="224"/>
      <c r="H64" s="224"/>
      <c r="I64" s="224"/>
      <c r="J64" s="224"/>
      <c r="K64" s="224"/>
      <c r="L64" s="224"/>
      <c r="M64" s="224"/>
      <c r="N64" s="224"/>
      <c r="O64" s="224"/>
      <c r="P64" s="224"/>
      <c r="Q64" s="224"/>
      <c r="R64" s="224"/>
      <c r="S64" s="224"/>
      <c r="T64" s="224"/>
      <c r="U64" s="224"/>
      <c r="V64" s="224"/>
      <c r="W64" s="224"/>
      <c r="X64" s="298"/>
      <c r="Y64" s="294"/>
      <c r="Z64" s="294"/>
      <c r="AA64" s="298"/>
      <c r="AB64" s="298"/>
      <c r="AC64" s="224"/>
      <c r="AD64" s="298"/>
    </row>
    <row r="65" spans="1:25">
      <c r="A65" s="246"/>
      <c r="E65" s="308" t="s">
        <v>152</v>
      </c>
      <c r="F65" s="213">
        <f>F61</f>
        <v>33</v>
      </c>
      <c r="M65" s="308" t="s">
        <v>153</v>
      </c>
      <c r="O65" s="213">
        <f>AVERAGEA(O26:O60)</f>
        <v>1.7899857833143533</v>
      </c>
      <c r="P65" s="308" t="s">
        <v>154</v>
      </c>
      <c r="Q65" s="213">
        <f>VLOOKUP(F65,ttab!$A$3:$G$43,4)</f>
        <v>1.31</v>
      </c>
      <c r="X65" s="248"/>
      <c r="Y65" s="246"/>
    </row>
    <row r="66" spans="1:25" ht="21">
      <c r="A66" s="246"/>
      <c r="E66" s="308" t="s">
        <v>152</v>
      </c>
      <c r="F66" s="213">
        <f>F63</f>
        <v>34</v>
      </c>
      <c r="M66" s="308" t="s">
        <v>155</v>
      </c>
      <c r="O66" s="213">
        <f>AVERAGEA(O26:O64)</f>
        <v>1.7434618064176393</v>
      </c>
      <c r="P66" s="308" t="s">
        <v>154</v>
      </c>
      <c r="Q66" s="213">
        <f>VLOOKUP(F66,ttab!$A$3:$G$43,4)</f>
        <v>1.31</v>
      </c>
      <c r="S66" s="308" t="s">
        <v>166</v>
      </c>
      <c r="T66" s="213">
        <f>AVERAGEA(T26:T63)</f>
        <v>48603052688.623672</v>
      </c>
      <c r="W66" s="124" t="s">
        <v>167</v>
      </c>
      <c r="X66" s="478">
        <f>AVERAGEA(X26:X64)</f>
        <v>1.6838207970616323</v>
      </c>
      <c r="Y66" s="246"/>
    </row>
    <row r="67" spans="1:25">
      <c r="A67" s="224"/>
      <c r="B67" s="224"/>
      <c r="C67" s="224"/>
      <c r="D67" s="224"/>
      <c r="E67" s="224"/>
      <c r="F67" s="224"/>
      <c r="G67" s="224"/>
      <c r="H67" s="224"/>
      <c r="I67" s="224"/>
      <c r="J67" s="224"/>
      <c r="K67" s="224"/>
      <c r="L67" s="224"/>
      <c r="M67" s="224"/>
      <c r="N67" s="224"/>
      <c r="O67" s="224"/>
      <c r="P67" s="224"/>
      <c r="Q67" s="224"/>
      <c r="R67" s="224"/>
      <c r="S67" s="224"/>
      <c r="T67" s="224"/>
      <c r="U67" s="224"/>
      <c r="V67" s="224"/>
      <c r="W67" s="224"/>
      <c r="X67" s="298"/>
    </row>
    <row r="74" spans="1:25">
      <c r="J74" s="124" t="s">
        <v>371</v>
      </c>
      <c r="K74" s="213">
        <f>ROUND(L63,5)</f>
        <v>0.13735</v>
      </c>
    </row>
    <row r="75" spans="1:25">
      <c r="J75" s="124" t="s">
        <v>174</v>
      </c>
      <c r="K75" s="213">
        <f>ROUND(H63,5)</f>
        <v>-1.0000000000000001E-5</v>
      </c>
    </row>
  </sheetData>
  <sortState ref="A26:AD61">
    <sortCondition ref="B26"/>
  </sortState>
  <phoneticPr fontId="11" type="noConversion"/>
  <pageMargins left="0.5" right="0.5" top="1" bottom="0.55000000000000004" header="0.5" footer="0.5"/>
  <pageSetup orientation="landscape"/>
  <headerFooter alignWithMargins="0">
    <oddFooter>&amp;L&amp;D&amp;C+&amp;R^</oddFooter>
  </headerFooter>
  <drawing r:id="rId1"/>
  <legacy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2" enableFormatConditionsCalculation="0"/>
  <dimension ref="A1:AE90"/>
  <sheetViews>
    <sheetView defaultGridColor="0" colorId="22" zoomScale="77" workbookViewId="0">
      <pane ySplit="11" topLeftCell="A12" activePane="bottomLeft" state="frozenSplit"/>
      <selection pane="bottomLeft" activeCell="A12" sqref="A12"/>
    </sheetView>
  </sheetViews>
  <sheetFormatPr baseColWidth="10" defaultColWidth="9.625" defaultRowHeight="15" x14ac:dyDescent="0"/>
  <cols>
    <col min="1" max="2" width="6.625" style="124" customWidth="1"/>
    <col min="3" max="4" width="9.625" style="124"/>
    <col min="5" max="12" width="7.625" style="124" customWidth="1"/>
    <col min="13" max="14" width="9.625" style="124"/>
    <col min="15" max="15" width="15" style="124" customWidth="1"/>
    <col min="16" max="16" width="9.625" style="124"/>
    <col min="17" max="18" width="11.75" style="124" customWidth="1"/>
    <col min="19" max="19" width="9.625" style="124"/>
    <col min="20" max="20" width="15" style="124" customWidth="1"/>
    <col min="21" max="21" width="9.625" style="124"/>
    <col min="22" max="22" width="12.25" style="124" customWidth="1"/>
    <col min="23" max="23" width="11.625" style="124" customWidth="1"/>
    <col min="24" max="24" width="12.25" style="124" customWidth="1"/>
    <col min="25" max="16384" width="9.625" style="124"/>
  </cols>
  <sheetData>
    <row r="1" spans="1:30">
      <c r="A1" s="124" t="s">
        <v>30</v>
      </c>
      <c r="B1" s="213" t="str">
        <f ca="1">CELL("filename",B2)</f>
        <v>NWCLM04072996:Users:eric.ward:Documents:NCEAS-covariation:data:salmon data:[2015 Coghill Lake Wild Sockeye forecast-FINAL.xlsm]ln 22 x ln BY E</v>
      </c>
      <c r="F1" s="124" t="s">
        <v>175</v>
      </c>
    </row>
    <row r="2" spans="1:30">
      <c r="A2" s="124" t="s">
        <v>31</v>
      </c>
      <c r="F2" s="288" t="s">
        <v>115</v>
      </c>
      <c r="G2" s="288" t="s">
        <v>176</v>
      </c>
    </row>
    <row r="3" spans="1:30">
      <c r="A3" s="124" t="s">
        <v>104</v>
      </c>
      <c r="B3" s="124" t="s">
        <v>105</v>
      </c>
      <c r="F3" s="288" t="s">
        <v>117</v>
      </c>
      <c r="G3" s="288" t="s">
        <v>177</v>
      </c>
    </row>
    <row r="4" spans="1:30">
      <c r="H4" s="124">
        <v>5</v>
      </c>
    </row>
    <row r="7" spans="1:30">
      <c r="M7" s="288"/>
    </row>
    <row r="8" spans="1:30">
      <c r="Z8" s="124" t="s">
        <v>119</v>
      </c>
    </row>
    <row r="9" spans="1:30">
      <c r="A9" s="256"/>
      <c r="B9" s="256"/>
      <c r="C9" s="233" t="s">
        <v>120</v>
      </c>
      <c r="D9" s="289"/>
      <c r="E9" s="233"/>
      <c r="F9" s="230"/>
      <c r="G9" s="230"/>
      <c r="H9" s="230" t="s">
        <v>121</v>
      </c>
      <c r="I9" s="230"/>
      <c r="J9" s="230"/>
      <c r="K9" s="230"/>
      <c r="L9" s="230"/>
      <c r="M9" s="289"/>
      <c r="N9" s="233" t="s">
        <v>122</v>
      </c>
      <c r="O9" s="230"/>
      <c r="P9" s="230"/>
      <c r="Q9" s="230"/>
      <c r="R9" s="289"/>
      <c r="S9" s="233" t="s">
        <v>123</v>
      </c>
      <c r="T9" s="230"/>
      <c r="U9" s="230"/>
      <c r="V9" s="230"/>
      <c r="W9" s="289"/>
      <c r="X9" s="225" t="s">
        <v>124</v>
      </c>
      <c r="Y9" s="290" t="s">
        <v>125</v>
      </c>
      <c r="Z9" s="290" t="s">
        <v>126</v>
      </c>
      <c r="AA9" s="290" t="s">
        <v>127</v>
      </c>
      <c r="AB9" s="290" t="s">
        <v>128</v>
      </c>
      <c r="AC9" s="291" t="s">
        <v>129</v>
      </c>
      <c r="AD9" s="292"/>
    </row>
    <row r="10" spans="1:30">
      <c r="A10" s="188" t="s">
        <v>37</v>
      </c>
      <c r="B10" s="252" t="s">
        <v>40</v>
      </c>
      <c r="C10" s="293" t="s">
        <v>130</v>
      </c>
      <c r="D10" s="293" t="s">
        <v>131</v>
      </c>
      <c r="E10" s="256"/>
      <c r="F10" s="256"/>
      <c r="G10" s="256"/>
      <c r="H10" s="256"/>
      <c r="I10" s="293" t="s">
        <v>132</v>
      </c>
      <c r="J10" s="293" t="s">
        <v>133</v>
      </c>
      <c r="K10" s="293" t="s">
        <v>132</v>
      </c>
      <c r="L10" s="256"/>
      <c r="M10" s="316" t="s">
        <v>134</v>
      </c>
      <c r="N10" s="256"/>
      <c r="O10" s="256"/>
      <c r="P10" s="225" t="s">
        <v>135</v>
      </c>
      <c r="Q10" s="225" t="s">
        <v>4</v>
      </c>
      <c r="R10" s="225" t="s">
        <v>5</v>
      </c>
      <c r="S10" s="256"/>
      <c r="T10" s="256"/>
      <c r="U10" s="225" t="s">
        <v>135</v>
      </c>
      <c r="V10" s="225" t="s">
        <v>4</v>
      </c>
      <c r="W10" s="225" t="s">
        <v>5</v>
      </c>
      <c r="X10" s="188" t="s">
        <v>12</v>
      </c>
      <c r="Y10" s="252"/>
      <c r="Z10" s="225" t="s">
        <v>137</v>
      </c>
      <c r="AA10" s="225" t="s">
        <v>54</v>
      </c>
      <c r="AB10" s="225" t="s">
        <v>40</v>
      </c>
      <c r="AC10" s="290" t="s">
        <v>138</v>
      </c>
      <c r="AD10" s="290" t="s">
        <v>139</v>
      </c>
    </row>
    <row r="11" spans="1:30" ht="17" customHeight="1">
      <c r="A11" s="243" t="s">
        <v>42</v>
      </c>
      <c r="B11" s="294" t="s">
        <v>42</v>
      </c>
      <c r="C11" s="295" t="s">
        <v>125</v>
      </c>
      <c r="D11" s="295" t="s">
        <v>140</v>
      </c>
      <c r="E11" s="295" t="s">
        <v>49</v>
      </c>
      <c r="F11" s="295" t="s">
        <v>141</v>
      </c>
      <c r="G11" s="295" t="s">
        <v>107</v>
      </c>
      <c r="H11" s="295" t="s">
        <v>142</v>
      </c>
      <c r="I11" s="295" t="s">
        <v>142</v>
      </c>
      <c r="J11" s="295" t="s">
        <v>143</v>
      </c>
      <c r="K11" s="295" t="s">
        <v>133</v>
      </c>
      <c r="L11" s="295" t="s">
        <v>144</v>
      </c>
      <c r="M11" s="295" t="s">
        <v>145</v>
      </c>
      <c r="N11" s="295" t="s">
        <v>146</v>
      </c>
      <c r="O11" s="295" t="s">
        <v>147</v>
      </c>
      <c r="P11" s="295" t="s">
        <v>143</v>
      </c>
      <c r="Q11" s="295" t="s">
        <v>148</v>
      </c>
      <c r="R11" s="295" t="s">
        <v>149</v>
      </c>
      <c r="S11" s="295" t="s">
        <v>146</v>
      </c>
      <c r="T11" s="295" t="s">
        <v>147</v>
      </c>
      <c r="U11" s="295" t="s">
        <v>143</v>
      </c>
      <c r="V11" s="295" t="s">
        <v>148</v>
      </c>
      <c r="W11" s="295" t="s">
        <v>149</v>
      </c>
      <c r="X11" s="295" t="s">
        <v>150</v>
      </c>
      <c r="Y11" s="243" t="s">
        <v>178</v>
      </c>
      <c r="Z11" s="243" t="s">
        <v>151</v>
      </c>
      <c r="AA11" s="243" t="s">
        <v>151</v>
      </c>
      <c r="AB11" s="243" t="s">
        <v>42</v>
      </c>
      <c r="AC11" s="290" t="s">
        <v>4</v>
      </c>
      <c r="AD11" s="290" t="s">
        <v>5</v>
      </c>
    </row>
    <row r="12" spans="1:30">
      <c r="A12" s="253"/>
      <c r="B12" s="254"/>
      <c r="C12" s="254"/>
      <c r="D12" s="254"/>
      <c r="E12" s="254"/>
      <c r="F12" s="254"/>
      <c r="G12" s="254"/>
      <c r="H12" s="254"/>
      <c r="I12" s="254"/>
      <c r="J12" s="254"/>
      <c r="K12" s="254"/>
      <c r="L12" s="254"/>
      <c r="M12" s="254"/>
      <c r="N12" s="254"/>
      <c r="O12" s="254"/>
      <c r="P12" s="254"/>
      <c r="Q12" s="254"/>
      <c r="R12" s="254"/>
      <c r="S12" s="254"/>
      <c r="T12" s="254"/>
      <c r="U12" s="254"/>
      <c r="V12" s="254"/>
      <c r="W12" s="254"/>
      <c r="X12" s="255"/>
      <c r="Y12" s="256"/>
      <c r="Z12" s="256"/>
      <c r="AA12" s="256"/>
      <c r="AB12" s="256"/>
      <c r="AC12" s="253"/>
      <c r="AD12" s="255"/>
    </row>
    <row r="13" spans="1:30">
      <c r="A13" s="247">
        <v>1962</v>
      </c>
      <c r="B13" s="213">
        <f t="shared" ref="B13:B23" si="0">A13+5</f>
        <v>1967</v>
      </c>
      <c r="C13" s="300">
        <f>VLOOKUP($A13,BroodTab!$A$12:$AG$67,3)</f>
        <v>10.198616825622958</v>
      </c>
      <c r="D13" s="300">
        <f>VLOOKUP($A13,BroodTab!$A$12:$AG$67,24)</f>
        <v>7.693937325509272</v>
      </c>
      <c r="X13" s="248"/>
      <c r="Y13" s="252"/>
      <c r="Z13" s="252"/>
      <c r="AA13" s="252"/>
      <c r="AB13" s="252"/>
      <c r="AC13" s="246"/>
      <c r="AD13" s="248"/>
    </row>
    <row r="14" spans="1:30">
      <c r="A14" s="247">
        <v>1963</v>
      </c>
      <c r="B14" s="213">
        <f t="shared" si="0"/>
        <v>1968</v>
      </c>
      <c r="C14" s="300">
        <f>VLOOKUP($A14,BroodTab!$A$12:$AG$67,3)</f>
        <v>0</v>
      </c>
      <c r="D14" s="300">
        <f>VLOOKUP($A14,BroodTab!$A$12:$AG$67,24)</f>
        <v>5.7620513827801769</v>
      </c>
      <c r="X14" s="248"/>
      <c r="Y14" s="252"/>
      <c r="Z14" s="252"/>
      <c r="AA14" s="252"/>
      <c r="AB14" s="252"/>
      <c r="AC14" s="246"/>
      <c r="AD14" s="248"/>
    </row>
    <row r="15" spans="1:30">
      <c r="A15" s="247">
        <v>1964</v>
      </c>
      <c r="B15" s="213">
        <f t="shared" si="0"/>
        <v>1969</v>
      </c>
      <c r="C15" s="300">
        <f>VLOOKUP($A15,BroodTab!$A$12:$AG$67,3)</f>
        <v>10.00784756786037</v>
      </c>
      <c r="D15" s="300">
        <f>VLOOKUP($A15,BroodTab!$A$12:$AG$67,24)</f>
        <v>8.3318270044360574</v>
      </c>
      <c r="X15" s="248"/>
      <c r="Y15" s="252"/>
      <c r="Z15" s="252"/>
      <c r="AA15" s="252"/>
      <c r="AB15" s="252"/>
      <c r="AC15" s="246"/>
      <c r="AD15" s="248"/>
    </row>
    <row r="16" spans="1:30">
      <c r="A16" s="247">
        <v>1965</v>
      </c>
      <c r="B16" s="213">
        <f t="shared" si="0"/>
        <v>1970</v>
      </c>
      <c r="C16" s="300">
        <f>VLOOKUP($A16,BroodTab!$A$12:$AG$67,3)</f>
        <v>11.042921835724492</v>
      </c>
      <c r="D16" s="300">
        <f>VLOOKUP($A16,BroodTab!$A$12:$AG$67,24)</f>
        <v>7.3987862754199485</v>
      </c>
      <c r="X16" s="248"/>
      <c r="Y16" s="252"/>
      <c r="Z16" s="252"/>
      <c r="AA16" s="252"/>
      <c r="AB16" s="252"/>
      <c r="AC16" s="246"/>
      <c r="AD16" s="248"/>
    </row>
    <row r="17" spans="1:30">
      <c r="A17" s="247">
        <v>1966</v>
      </c>
      <c r="B17" s="213">
        <f t="shared" si="0"/>
        <v>1971</v>
      </c>
      <c r="C17" s="300">
        <f>VLOOKUP($A17,BroodTab!$A$12:$AG$67,3)</f>
        <v>11.320553572322773</v>
      </c>
      <c r="D17" s="300">
        <f>VLOOKUP($A17,BroodTab!$A$12:$AG$67,24)</f>
        <v>5.7137328055093688</v>
      </c>
      <c r="X17" s="248"/>
      <c r="Y17" s="252"/>
      <c r="Z17" s="252"/>
      <c r="AA17" s="252"/>
      <c r="AB17" s="252"/>
      <c r="AC17" s="246"/>
      <c r="AD17" s="248"/>
    </row>
    <row r="18" spans="1:30">
      <c r="A18" s="247">
        <v>1967</v>
      </c>
      <c r="B18" s="213">
        <f t="shared" si="0"/>
        <v>1972</v>
      </c>
      <c r="C18" s="300">
        <f>VLOOKUP($A18,BroodTab!$A$12:$AG$67,3)</f>
        <v>10.404262840448617</v>
      </c>
      <c r="D18" s="300">
        <f>VLOOKUP($A18,BroodTab!$A$12:$AG$67,24)</f>
        <v>7.2416009919483422</v>
      </c>
      <c r="X18" s="248"/>
      <c r="Y18" s="252"/>
      <c r="Z18" s="252"/>
      <c r="AA18" s="252"/>
      <c r="AB18" s="252"/>
      <c r="AC18" s="246"/>
      <c r="AD18" s="248"/>
    </row>
    <row r="19" spans="1:30">
      <c r="A19" s="247">
        <v>1968</v>
      </c>
      <c r="B19" s="213">
        <f t="shared" si="0"/>
        <v>1973</v>
      </c>
      <c r="C19" s="300">
        <f>VLOOKUP($A19,BroodTab!$A$12:$AG$67,3)</f>
        <v>9.375854810453756</v>
      </c>
      <c r="D19" s="300">
        <f>VLOOKUP($A19,BroodTab!$A$12:$AG$67,24)</f>
        <v>8.0769194366010453</v>
      </c>
      <c r="X19" s="248"/>
      <c r="Y19" s="252"/>
      <c r="Z19" s="252"/>
      <c r="AA19" s="252"/>
      <c r="AB19" s="252"/>
      <c r="AC19" s="246"/>
      <c r="AD19" s="248"/>
    </row>
    <row r="20" spans="1:30">
      <c r="A20" s="247">
        <v>1969</v>
      </c>
      <c r="B20" s="213">
        <f t="shared" si="0"/>
        <v>1974</v>
      </c>
      <c r="C20" s="300">
        <f>VLOOKUP($A20,BroodTab!$A$12:$AG$67,3)</f>
        <v>11.302204433654575</v>
      </c>
      <c r="D20" s="300">
        <f>VLOOKUP($A20,BroodTab!$A$12:$AG$67,24)</f>
        <v>8.9756301842905071</v>
      </c>
      <c r="X20" s="248"/>
      <c r="Y20" s="252"/>
      <c r="Z20" s="252"/>
      <c r="AA20" s="252"/>
      <c r="AB20" s="252"/>
      <c r="AC20" s="246"/>
      <c r="AD20" s="248"/>
    </row>
    <row r="21" spans="1:30">
      <c r="A21" s="247">
        <v>1970</v>
      </c>
      <c r="B21" s="213">
        <f t="shared" si="0"/>
        <v>1975</v>
      </c>
      <c r="C21" s="300">
        <f>VLOOKUP($A21,BroodTab!$A$12:$AG$67,3)</f>
        <v>10.468801361586188</v>
      </c>
      <c r="D21" s="300">
        <f>VLOOKUP($A21,BroodTab!$A$12:$AG$67,24)</f>
        <v>9.0828478514609063</v>
      </c>
      <c r="X21" s="248"/>
      <c r="Y21" s="252"/>
      <c r="Z21" s="252"/>
      <c r="AA21" s="252"/>
      <c r="AB21" s="252"/>
      <c r="AC21" s="246"/>
      <c r="AD21" s="248"/>
    </row>
    <row r="22" spans="1:30">
      <c r="A22" s="247">
        <v>1971</v>
      </c>
      <c r="B22" s="213">
        <f t="shared" si="0"/>
        <v>1976</v>
      </c>
      <c r="C22" s="300">
        <f>VLOOKUP($A22,BroodTab!$A$12:$AG$67,3)</f>
        <v>9.6158054800843473</v>
      </c>
      <c r="D22" s="300">
        <f>VLOOKUP($A22,BroodTab!$A$12:$AG$67,24)</f>
        <v>7.9309253724833884</v>
      </c>
      <c r="X22" s="248"/>
      <c r="Y22" s="252"/>
      <c r="Z22" s="252"/>
      <c r="AA22" s="252"/>
      <c r="AB22" s="252"/>
      <c r="AC22" s="246"/>
      <c r="AD22" s="248"/>
    </row>
    <row r="23" spans="1:30">
      <c r="A23" s="297">
        <v>1972</v>
      </c>
      <c r="B23" s="261">
        <f t="shared" si="0"/>
        <v>1977</v>
      </c>
      <c r="C23" s="300">
        <f>VLOOKUP($A23,BroodTab!$A$12:$AG$67,3)</f>
        <v>10.839580911706463</v>
      </c>
      <c r="D23" s="300">
        <f>VLOOKUP($A23,BroodTab!$A$12:$AG$67,24)</f>
        <v>8.8085186187828164</v>
      </c>
      <c r="E23" s="224"/>
      <c r="F23" s="224"/>
      <c r="G23" s="224"/>
      <c r="H23" s="224"/>
      <c r="I23" s="224"/>
      <c r="J23" s="224"/>
      <c r="K23" s="224"/>
      <c r="L23" s="224"/>
      <c r="M23" s="224"/>
      <c r="N23" s="224"/>
      <c r="O23" s="224"/>
      <c r="P23" s="224"/>
      <c r="Q23" s="224"/>
      <c r="R23" s="224"/>
      <c r="S23" s="224"/>
      <c r="T23" s="224"/>
      <c r="U23" s="224"/>
      <c r="V23" s="224"/>
      <c r="W23" s="224"/>
      <c r="X23" s="298"/>
      <c r="Y23" s="294"/>
      <c r="Z23" s="294"/>
      <c r="AA23" s="294"/>
      <c r="AB23" s="294"/>
      <c r="AC23" s="260"/>
      <c r="AD23" s="298"/>
    </row>
    <row r="24" spans="1:30">
      <c r="A24" s="247"/>
      <c r="C24" s="300"/>
      <c r="D24" s="300"/>
      <c r="X24" s="248"/>
      <c r="Y24" s="256"/>
      <c r="Z24" s="256"/>
      <c r="AA24" s="256"/>
      <c r="AB24" s="256"/>
      <c r="AC24" s="246"/>
      <c r="AD24" s="248"/>
    </row>
    <row r="25" spans="1:30">
      <c r="A25" s="247"/>
      <c r="C25" s="300"/>
      <c r="D25" s="300"/>
      <c r="X25" s="248"/>
      <c r="Y25" s="252"/>
      <c r="Z25" s="252"/>
      <c r="AA25" s="252"/>
      <c r="AB25" s="252"/>
      <c r="AC25" s="246"/>
      <c r="AD25" s="248"/>
    </row>
    <row r="26" spans="1:30">
      <c r="A26" s="247">
        <v>1973</v>
      </c>
      <c r="B26" s="213">
        <f t="shared" ref="B26:B62" si="1">A26+$H$4</f>
        <v>1978</v>
      </c>
      <c r="C26" s="300">
        <f>VLOOKUP($A26,BroodTab!$A$12:$AG$67,3)</f>
        <v>10.915088464214607</v>
      </c>
      <c r="D26" s="300">
        <f>VLOOKUP($A26,BroodTab!$A$12:$AG$67,24)</f>
        <v>8.111328003286733</v>
      </c>
      <c r="E26" s="213">
        <v>36</v>
      </c>
      <c r="F26" s="213">
        <v>34</v>
      </c>
      <c r="G26" s="300">
        <v>3.4319447087405162</v>
      </c>
      <c r="H26" s="300">
        <v>0.36815740085420673</v>
      </c>
      <c r="I26" s="213">
        <v>0.28081858855097086</v>
      </c>
      <c r="J26" s="213">
        <v>7.450415307819501</v>
      </c>
      <c r="K26" s="213">
        <v>1.4150074620284185</v>
      </c>
      <c r="L26" s="213">
        <v>4.8119265144428956E-2</v>
      </c>
      <c r="M26" s="124">
        <v>2.1534757629648658</v>
      </c>
      <c r="N26" s="213">
        <f t="shared" ref="N26:N62" si="2">D26-J26</f>
        <v>0.66091269546723197</v>
      </c>
      <c r="O26" s="213">
        <f t="shared" ref="O26:O62" si="3">N26^2</f>
        <v>0.43680559102976213</v>
      </c>
      <c r="P26" s="384">
        <f t="shared" ref="P26:P62" si="4">J26</f>
        <v>7.450415307819501</v>
      </c>
      <c r="Q26" s="213">
        <f t="shared" ref="Q26:Q41" si="5">$P26-SQRT($O$66)*$Q$66</f>
        <v>5.5337657897304542</v>
      </c>
      <c r="R26" s="213">
        <f t="shared" ref="R26:R62" si="6">$P26+SQRT($O$66)*$Q$66</f>
        <v>9.3670648259085478</v>
      </c>
      <c r="S26" s="350">
        <f t="shared" ref="S26:S62" si="7">EXP(D26)-U26</f>
        <v>1611.4224336692946</v>
      </c>
      <c r="T26" s="213">
        <f t="shared" ref="T26:T62" si="8">S26^2</f>
        <v>2596682.259732672</v>
      </c>
      <c r="U26" s="350">
        <f t="shared" ref="U26:U62" si="9">EXP(P26)</f>
        <v>1720.5775663307045</v>
      </c>
      <c r="V26" s="350">
        <f t="shared" ref="V26:V62" si="10">EXP(Q26)</f>
        <v>253.09522206869863</v>
      </c>
      <c r="W26" s="350">
        <f t="shared" ref="W26:W62" si="11">EXP(R26)</f>
        <v>11696.732706226039</v>
      </c>
      <c r="X26" s="364">
        <f t="shared" ref="X26:X62" si="12">(+U26-EXP(D26))/(EXP(D26))</f>
        <v>-0.48362017817205732</v>
      </c>
      <c r="Y26" s="222">
        <f t="shared" ref="Y26:Y62" si="13">C26</f>
        <v>10.915088464214607</v>
      </c>
      <c r="Z26" s="386">
        <f t="shared" ref="Z26:Z62" si="14">(+G$64+H$64*C26)</f>
        <v>7.471635228448644</v>
      </c>
      <c r="AA26" s="385">
        <f t="shared" ref="AA26:AA62" si="15">D26</f>
        <v>8.111328003286733</v>
      </c>
      <c r="AB26" s="387">
        <f>'ln 12 x ln 11'!B26-1900</f>
        <v>80</v>
      </c>
      <c r="AC26" s="247">
        <f t="shared" ref="AC26:AC62" si="16">Z26-SQRT($O$66)*$Q$66</f>
        <v>5.5549857103595972</v>
      </c>
      <c r="AD26" s="258">
        <f t="shared" ref="AD26:AD62" si="17">Z26+SQRT($O$66)*$Q$66</f>
        <v>9.3882847465376909</v>
      </c>
    </row>
    <row r="27" spans="1:30">
      <c r="A27" s="247">
        <v>1974</v>
      </c>
      <c r="B27" s="213">
        <f t="shared" si="1"/>
        <v>1979</v>
      </c>
      <c r="C27" s="300">
        <f>VLOOKUP($A27,BroodTab!$A$12:$AG$67,3)</f>
        <v>10.013865460005738</v>
      </c>
      <c r="D27" s="300">
        <f>VLOOKUP($A27,BroodTab!$A$12:$AG$67,24)</f>
        <v>9.2590352935149411</v>
      </c>
      <c r="E27" s="213">
        <v>36</v>
      </c>
      <c r="F27" s="213">
        <v>34</v>
      </c>
      <c r="G27" s="300">
        <v>2.7963982231985689</v>
      </c>
      <c r="H27" s="300">
        <v>0.42439648083468479</v>
      </c>
      <c r="I27" s="213">
        <v>0.27273899566796322</v>
      </c>
      <c r="J27" s="213">
        <v>7.0462474839770062</v>
      </c>
      <c r="K27" s="213">
        <v>1.3697491473466452</v>
      </c>
      <c r="L27" s="213">
        <v>6.6480396285767587E-2</v>
      </c>
      <c r="M27" s="124">
        <v>2.0295973102145903</v>
      </c>
      <c r="N27" s="213">
        <f t="shared" si="2"/>
        <v>2.212787809537935</v>
      </c>
      <c r="O27" s="213">
        <f t="shared" si="3"/>
        <v>4.8964298900396921</v>
      </c>
      <c r="P27" s="384">
        <f t="shared" si="4"/>
        <v>7.0462474839770062</v>
      </c>
      <c r="Q27" s="213">
        <f t="shared" si="5"/>
        <v>5.1295979658879585</v>
      </c>
      <c r="R27" s="213">
        <f t="shared" si="6"/>
        <v>8.9628970020660539</v>
      </c>
      <c r="S27" s="350">
        <f t="shared" si="7"/>
        <v>9350.4592713455859</v>
      </c>
      <c r="T27" s="213">
        <f t="shared" si="8"/>
        <v>87431088.585092619</v>
      </c>
      <c r="U27" s="350">
        <f t="shared" si="9"/>
        <v>1148.5407286544119</v>
      </c>
      <c r="V27" s="350">
        <f t="shared" si="10"/>
        <v>168.9491810553229</v>
      </c>
      <c r="W27" s="350">
        <f t="shared" si="11"/>
        <v>7807.9443601804096</v>
      </c>
      <c r="X27" s="364">
        <f t="shared" si="12"/>
        <v>-0.89060475010435158</v>
      </c>
      <c r="Y27" s="222">
        <f t="shared" si="13"/>
        <v>10.013865460005738</v>
      </c>
      <c r="Z27" s="386">
        <f t="shared" si="14"/>
        <v>7.1314402535700259</v>
      </c>
      <c r="AA27" s="385">
        <f t="shared" si="15"/>
        <v>9.2590352935149411</v>
      </c>
      <c r="AB27" s="387">
        <f t="shared" ref="AB27:AB62" si="18">B27-1900</f>
        <v>79</v>
      </c>
      <c r="AC27" s="247">
        <f t="shared" si="16"/>
        <v>5.2147907354809782</v>
      </c>
      <c r="AD27" s="258">
        <f t="shared" si="17"/>
        <v>9.0480897716590736</v>
      </c>
    </row>
    <row r="28" spans="1:30">
      <c r="A28" s="247">
        <v>1975</v>
      </c>
      <c r="B28" s="213">
        <f t="shared" si="1"/>
        <v>1980</v>
      </c>
      <c r="C28" s="300">
        <f>VLOOKUP($A28,BroodTab!$A$12:$AG$67,3)</f>
        <v>10.4589518779205</v>
      </c>
      <c r="D28" s="300">
        <f>VLOOKUP($A28,BroodTab!$A$12:$AG$67,24)</f>
        <v>8.9507089359291587</v>
      </c>
      <c r="E28" s="213">
        <v>36</v>
      </c>
      <c r="F28" s="213">
        <v>34</v>
      </c>
      <c r="G28" s="300">
        <v>3.2380663903058684</v>
      </c>
      <c r="H28" s="300">
        <v>0.38387084583350783</v>
      </c>
      <c r="I28" s="213">
        <v>0.27519477070079523</v>
      </c>
      <c r="J28" s="213">
        <v>7.2529530942151661</v>
      </c>
      <c r="K28" s="213">
        <v>1.3900456845646982</v>
      </c>
      <c r="L28" s="213">
        <v>5.4130520163634593E-2</v>
      </c>
      <c r="M28" s="124">
        <v>2.0855432822136382</v>
      </c>
      <c r="N28" s="213">
        <f t="shared" si="2"/>
        <v>1.6977558417139926</v>
      </c>
      <c r="O28" s="213">
        <f t="shared" si="3"/>
        <v>2.8823748980739876</v>
      </c>
      <c r="P28" s="384">
        <f t="shared" si="4"/>
        <v>7.2529530942151661</v>
      </c>
      <c r="Q28" s="213">
        <f t="shared" si="5"/>
        <v>5.3363035761261184</v>
      </c>
      <c r="R28" s="213">
        <f t="shared" si="6"/>
        <v>9.1696026123042138</v>
      </c>
      <c r="S28" s="350">
        <f t="shared" si="7"/>
        <v>6301.0889395893355</v>
      </c>
      <c r="T28" s="213">
        <f t="shared" si="8"/>
        <v>39703721.824615054</v>
      </c>
      <c r="U28" s="350">
        <f t="shared" si="9"/>
        <v>1412.2692604106689</v>
      </c>
      <c r="V28" s="350">
        <f t="shared" si="10"/>
        <v>207.74338168706137</v>
      </c>
      <c r="W28" s="350">
        <f t="shared" si="11"/>
        <v>9600.8086886029505</v>
      </c>
      <c r="X28" s="364">
        <f t="shared" si="12"/>
        <v>-0.816906044839112</v>
      </c>
      <c r="Y28" s="222">
        <f t="shared" si="13"/>
        <v>10.4589518779205</v>
      </c>
      <c r="Z28" s="386">
        <f t="shared" si="14"/>
        <v>7.2994521241660788</v>
      </c>
      <c r="AA28" s="385">
        <f t="shared" si="15"/>
        <v>8.9507089359291587</v>
      </c>
      <c r="AB28" s="387">
        <f t="shared" si="18"/>
        <v>80</v>
      </c>
      <c r="AC28" s="247">
        <f t="shared" si="16"/>
        <v>5.382802606077032</v>
      </c>
      <c r="AD28" s="258">
        <f t="shared" si="17"/>
        <v>9.2161016422551256</v>
      </c>
    </row>
    <row r="29" spans="1:30">
      <c r="A29" s="247">
        <v>1976</v>
      </c>
      <c r="B29" s="213">
        <f t="shared" si="1"/>
        <v>1981</v>
      </c>
      <c r="C29" s="300">
        <f>VLOOKUP($A29,BroodTab!$A$12:$AG$67,3)</f>
        <v>9.1111828004429647</v>
      </c>
      <c r="D29" s="300">
        <f>VLOOKUP($A29,BroodTab!$A$12:$AG$67,24)</f>
        <v>9.4506666431929993</v>
      </c>
      <c r="E29" s="213">
        <v>36</v>
      </c>
      <c r="F29" s="213">
        <v>34</v>
      </c>
      <c r="G29" s="300">
        <v>1.4888130981102421</v>
      </c>
      <c r="H29" s="300">
        <v>0.54630366536364683</v>
      </c>
      <c r="I29" s="213">
        <v>0.27601051851479047</v>
      </c>
      <c r="J29" s="213">
        <v>6.4662856577904497</v>
      </c>
      <c r="K29" s="213">
        <v>1.3346158088889053</v>
      </c>
      <c r="L29" s="213">
        <v>0.10331810814782108</v>
      </c>
      <c r="M29" s="124">
        <v>1.9182056442147963</v>
      </c>
      <c r="N29" s="213">
        <f t="shared" si="2"/>
        <v>2.9843809854025496</v>
      </c>
      <c r="O29" s="213">
        <f t="shared" si="3"/>
        <v>8.9065298660322938</v>
      </c>
      <c r="P29" s="384">
        <f t="shared" si="4"/>
        <v>6.4662856577904497</v>
      </c>
      <c r="Q29" s="213">
        <f t="shared" si="5"/>
        <v>4.549636139701402</v>
      </c>
      <c r="R29" s="213">
        <f t="shared" si="6"/>
        <v>8.3829351758794974</v>
      </c>
      <c r="S29" s="350">
        <f t="shared" si="7"/>
        <v>12073.549273339515</v>
      </c>
      <c r="T29" s="213">
        <f t="shared" si="8"/>
        <v>145770592.05575714</v>
      </c>
      <c r="U29" s="350">
        <f t="shared" si="9"/>
        <v>643.09062666048851</v>
      </c>
      <c r="V29" s="350">
        <f t="shared" si="10"/>
        <v>94.597981602214375</v>
      </c>
      <c r="W29" s="350">
        <f t="shared" si="11"/>
        <v>4371.822179437484</v>
      </c>
      <c r="X29" s="364">
        <f t="shared" si="12"/>
        <v>-0.94942920207558223</v>
      </c>
      <c r="Y29" s="222">
        <f t="shared" si="13"/>
        <v>9.1111828004429647</v>
      </c>
      <c r="Z29" s="386">
        <f t="shared" si="14"/>
        <v>6.7906942858581871</v>
      </c>
      <c r="AA29" s="385">
        <f t="shared" si="15"/>
        <v>9.4506666431929993</v>
      </c>
      <c r="AB29" s="387">
        <f t="shared" si="18"/>
        <v>81</v>
      </c>
      <c r="AC29" s="247">
        <f t="shared" si="16"/>
        <v>4.8740447677691403</v>
      </c>
      <c r="AD29" s="258">
        <f t="shared" si="17"/>
        <v>8.707343803947234</v>
      </c>
    </row>
    <row r="30" spans="1:30">
      <c r="A30" s="247">
        <v>1977</v>
      </c>
      <c r="B30" s="213">
        <f t="shared" si="1"/>
        <v>1982</v>
      </c>
      <c r="C30" s="300">
        <f>VLOOKUP($A30,BroodTab!$A$12:$AG$67,3)</f>
        <v>10.359709144308079</v>
      </c>
      <c r="D30" s="300">
        <f>VLOOKUP($A30,BroodTab!$A$12:$AG$67,24)</f>
        <v>7.4802039718325091</v>
      </c>
      <c r="E30" s="213">
        <v>36</v>
      </c>
      <c r="F30" s="213">
        <v>34</v>
      </c>
      <c r="G30" s="300">
        <v>3.327179604545643</v>
      </c>
      <c r="H30" s="300">
        <v>0.37920019554339984</v>
      </c>
      <c r="I30" s="213">
        <v>0.28106830183623038</v>
      </c>
      <c r="J30" s="213">
        <v>7.2555833378400134</v>
      </c>
      <c r="K30" s="213">
        <v>1.4188866148371495</v>
      </c>
      <c r="L30" s="213">
        <v>5.0814265365731741E-2</v>
      </c>
      <c r="M30" s="124">
        <v>2.1642077396819377</v>
      </c>
      <c r="N30" s="213">
        <f t="shared" si="2"/>
        <v>0.22462063399249566</v>
      </c>
      <c r="O30" s="213">
        <f t="shared" si="3"/>
        <v>5.0454429215190694E-2</v>
      </c>
      <c r="P30" s="384">
        <f t="shared" si="4"/>
        <v>7.2555833378400134</v>
      </c>
      <c r="Q30" s="213">
        <f t="shared" si="5"/>
        <v>5.3389338197509666</v>
      </c>
      <c r="R30" s="213">
        <f t="shared" si="6"/>
        <v>9.1722328559290602</v>
      </c>
      <c r="S30" s="350">
        <f t="shared" si="7"/>
        <v>356.613537917136</v>
      </c>
      <c r="T30" s="213">
        <f t="shared" si="8"/>
        <v>127173.21542577659</v>
      </c>
      <c r="U30" s="350">
        <f t="shared" si="9"/>
        <v>1415.9887620828638</v>
      </c>
      <c r="V30" s="350">
        <f t="shared" si="10"/>
        <v>208.29051662600921</v>
      </c>
      <c r="W30" s="350">
        <f t="shared" si="11"/>
        <v>9626.0943936541844</v>
      </c>
      <c r="X30" s="364">
        <f t="shared" si="12"/>
        <v>-0.20118079386286256</v>
      </c>
      <c r="Y30" s="222">
        <f t="shared" si="13"/>
        <v>10.359709144308079</v>
      </c>
      <c r="Z30" s="386">
        <f t="shared" si="14"/>
        <v>7.2619898322466661</v>
      </c>
      <c r="AA30" s="385">
        <f t="shared" si="15"/>
        <v>7.4802039718325091</v>
      </c>
      <c r="AB30" s="387">
        <f t="shared" si="18"/>
        <v>82</v>
      </c>
      <c r="AC30" s="247">
        <f t="shared" si="16"/>
        <v>5.3453403141576192</v>
      </c>
      <c r="AD30" s="258">
        <f t="shared" si="17"/>
        <v>9.1786393503357129</v>
      </c>
    </row>
    <row r="31" spans="1:30">
      <c r="A31" s="247">
        <v>1978</v>
      </c>
      <c r="B31" s="213">
        <f t="shared" si="1"/>
        <v>1983</v>
      </c>
      <c r="C31" s="300">
        <f>VLOOKUP($A31,BroodTab!$A$12:$AG$67,3)</f>
        <v>10.652164042888554</v>
      </c>
      <c r="D31" s="300">
        <f>VLOOKUP($A31,BroodTab!$A$12:$AG$67,24)</f>
        <v>7.668093709082406</v>
      </c>
      <c r="E31" s="213">
        <v>36</v>
      </c>
      <c r="F31" s="213">
        <v>34</v>
      </c>
      <c r="G31" s="300">
        <v>3.3553901696073862</v>
      </c>
      <c r="H31" s="300">
        <v>0.37632412372380064</v>
      </c>
      <c r="I31" s="213">
        <v>0.28082185086685413</v>
      </c>
      <c r="J31" s="213">
        <v>7.3640564688095989</v>
      </c>
      <c r="K31" s="213">
        <v>1.4184627445329845</v>
      </c>
      <c r="L31" s="213">
        <v>5.0168374742551348E-2</v>
      </c>
      <c r="M31" s="124">
        <v>2.1630415115081183</v>
      </c>
      <c r="N31" s="213">
        <f t="shared" si="2"/>
        <v>0.3040372402728071</v>
      </c>
      <c r="O31" s="213">
        <f t="shared" si="3"/>
        <v>9.243864347270464E-2</v>
      </c>
      <c r="P31" s="384">
        <f t="shared" si="4"/>
        <v>7.3640564688095989</v>
      </c>
      <c r="Q31" s="213">
        <f t="shared" si="5"/>
        <v>5.447406950720552</v>
      </c>
      <c r="R31" s="213">
        <f t="shared" si="6"/>
        <v>9.2807059868986457</v>
      </c>
      <c r="S31" s="350">
        <f t="shared" si="7"/>
        <v>560.77438130916221</v>
      </c>
      <c r="T31" s="213">
        <f t="shared" si="8"/>
        <v>314467.90673267364</v>
      </c>
      <c r="U31" s="350">
        <f t="shared" si="9"/>
        <v>1578.2256186908387</v>
      </c>
      <c r="V31" s="350">
        <f t="shared" si="10"/>
        <v>232.15539435918245</v>
      </c>
      <c r="W31" s="350">
        <f t="shared" si="11"/>
        <v>10729.003779418585</v>
      </c>
      <c r="X31" s="364">
        <f t="shared" si="12"/>
        <v>-0.26216661117772883</v>
      </c>
      <c r="Y31" s="222">
        <f t="shared" si="13"/>
        <v>10.652164042888554</v>
      </c>
      <c r="Z31" s="386">
        <f t="shared" si="14"/>
        <v>7.3723861341731265</v>
      </c>
      <c r="AA31" s="385">
        <f t="shared" si="15"/>
        <v>7.668093709082406</v>
      </c>
      <c r="AB31" s="387">
        <f t="shared" si="18"/>
        <v>83</v>
      </c>
      <c r="AC31" s="247">
        <f t="shared" si="16"/>
        <v>5.4557366160840797</v>
      </c>
      <c r="AD31" s="258">
        <f t="shared" si="17"/>
        <v>9.2890356522621733</v>
      </c>
    </row>
    <row r="32" spans="1:30">
      <c r="A32" s="247">
        <v>1979</v>
      </c>
      <c r="B32" s="213">
        <f t="shared" si="1"/>
        <v>1984</v>
      </c>
      <c r="C32" s="300">
        <f>VLOOKUP($A32,BroodTab!$A$12:$AG$67,3)</f>
        <v>10.784793387507323</v>
      </c>
      <c r="D32" s="300">
        <f>VLOOKUP($A32,BroodTab!$A$12:$AG$67,24)</f>
        <v>8.7563675598029747</v>
      </c>
      <c r="E32" s="213">
        <v>36</v>
      </c>
      <c r="F32" s="213">
        <v>34</v>
      </c>
      <c r="G32" s="300">
        <v>3.4448149056320809</v>
      </c>
      <c r="H32" s="300">
        <v>0.3651124126792003</v>
      </c>
      <c r="I32" s="213">
        <v>0.27746419673401174</v>
      </c>
      <c r="J32" s="213">
        <v>7.3824768395915648</v>
      </c>
      <c r="K32" s="213">
        <v>1.4002782689684978</v>
      </c>
      <c r="L32" s="213">
        <v>4.8460426478287418E-2</v>
      </c>
      <c r="M32" s="124">
        <v>2.1131765929633861</v>
      </c>
      <c r="N32" s="213">
        <f t="shared" si="2"/>
        <v>1.3738907202114099</v>
      </c>
      <c r="O32" s="213">
        <f t="shared" si="3"/>
        <v>1.8875757110830267</v>
      </c>
      <c r="P32" s="384">
        <f t="shared" si="4"/>
        <v>7.3824768395915648</v>
      </c>
      <c r="Q32" s="213">
        <f t="shared" si="5"/>
        <v>5.4658273215025179</v>
      </c>
      <c r="R32" s="213">
        <f t="shared" si="6"/>
        <v>9.2991263576806116</v>
      </c>
      <c r="S32" s="350">
        <f t="shared" si="7"/>
        <v>4743.4334746797213</v>
      </c>
      <c r="T32" s="213">
        <f t="shared" si="8"/>
        <v>22500161.128712133</v>
      </c>
      <c r="U32" s="350">
        <f t="shared" si="9"/>
        <v>1607.5665253202781</v>
      </c>
      <c r="V32" s="350">
        <f t="shared" si="10"/>
        <v>236.47141208741056</v>
      </c>
      <c r="W32" s="350">
        <f t="shared" si="11"/>
        <v>10928.467464705833</v>
      </c>
      <c r="X32" s="364">
        <f t="shared" si="12"/>
        <v>-0.74687977872456657</v>
      </c>
      <c r="Y32" s="222">
        <f t="shared" si="13"/>
        <v>10.784793387507323</v>
      </c>
      <c r="Z32" s="386">
        <f t="shared" si="14"/>
        <v>7.4224512527398208</v>
      </c>
      <c r="AA32" s="385">
        <f t="shared" si="15"/>
        <v>8.7563675598029747</v>
      </c>
      <c r="AB32" s="387">
        <f t="shared" si="18"/>
        <v>84</v>
      </c>
      <c r="AC32" s="247">
        <f t="shared" si="16"/>
        <v>5.5058017346507739</v>
      </c>
      <c r="AD32" s="258">
        <f t="shared" si="17"/>
        <v>9.3391007708288676</v>
      </c>
    </row>
    <row r="33" spans="1:30">
      <c r="A33" s="247">
        <v>1980</v>
      </c>
      <c r="B33" s="213">
        <f t="shared" si="1"/>
        <v>1985</v>
      </c>
      <c r="C33" s="300">
        <f>VLOOKUP($A33,BroodTab!$A$12:$AG$67,3)</f>
        <v>11.865362441397126</v>
      </c>
      <c r="D33" s="300">
        <f>VLOOKUP($A33,BroodTab!$A$12:$AG$67,24)</f>
        <v>10.850724531471959</v>
      </c>
      <c r="E33" s="213">
        <v>36</v>
      </c>
      <c r="F33" s="213">
        <v>34</v>
      </c>
      <c r="G33" s="300">
        <v>5.068372854176026</v>
      </c>
      <c r="H33" s="300">
        <v>0.20627245432761063</v>
      </c>
      <c r="I33" s="213">
        <v>0.2689394364886124</v>
      </c>
      <c r="J33" s="213">
        <v>7.5158702864496618</v>
      </c>
      <c r="K33" s="213">
        <v>1.3108890901597343</v>
      </c>
      <c r="L33" s="213">
        <v>1.7007665476232725E-2</v>
      </c>
      <c r="M33" s="124">
        <v>1.8566855617283808</v>
      </c>
      <c r="N33" s="213">
        <f t="shared" si="2"/>
        <v>3.3348542450222975</v>
      </c>
      <c r="O33" s="213">
        <f t="shared" si="3"/>
        <v>11.121252835543238</v>
      </c>
      <c r="P33" s="384">
        <f t="shared" si="4"/>
        <v>7.5158702864496618</v>
      </c>
      <c r="Q33" s="213">
        <f t="shared" si="5"/>
        <v>5.599220768360615</v>
      </c>
      <c r="R33" s="213">
        <f t="shared" si="6"/>
        <v>9.4325198045387086</v>
      </c>
      <c r="S33" s="350">
        <f t="shared" si="7"/>
        <v>49734.537533007555</v>
      </c>
      <c r="T33" s="213">
        <f t="shared" si="8"/>
        <v>2473524223.6221371</v>
      </c>
      <c r="U33" s="350">
        <f t="shared" si="9"/>
        <v>1836.965466992433</v>
      </c>
      <c r="V33" s="350">
        <f t="shared" si="10"/>
        <v>270.21576469376038</v>
      </c>
      <c r="W33" s="350">
        <f t="shared" si="11"/>
        <v>12487.954323268421</v>
      </c>
      <c r="X33" s="364">
        <f t="shared" si="12"/>
        <v>-0.96438022240708332</v>
      </c>
      <c r="Y33" s="222">
        <f t="shared" si="13"/>
        <v>11.865362441397126</v>
      </c>
      <c r="Z33" s="386">
        <f t="shared" si="14"/>
        <v>7.830346036190619</v>
      </c>
      <c r="AA33" s="385">
        <f t="shared" si="15"/>
        <v>10.850724531471959</v>
      </c>
      <c r="AB33" s="387">
        <f t="shared" si="18"/>
        <v>85</v>
      </c>
      <c r="AC33" s="247">
        <f t="shared" si="16"/>
        <v>5.9136965181015722</v>
      </c>
      <c r="AD33" s="258">
        <f t="shared" si="17"/>
        <v>9.7469955542796658</v>
      </c>
    </row>
    <row r="34" spans="1:30">
      <c r="A34" s="247">
        <v>1981</v>
      </c>
      <c r="B34" s="213">
        <f t="shared" si="1"/>
        <v>1986</v>
      </c>
      <c r="C34" s="300">
        <f>VLOOKUP($A34,BroodTab!$A$12:$AG$67,3)</f>
        <v>11.958328977347731</v>
      </c>
      <c r="D34" s="300">
        <f>VLOOKUP($A34,BroodTab!$A$12:$AG$67,24)</f>
        <v>9.5880886668722418</v>
      </c>
      <c r="E34" s="213">
        <v>36</v>
      </c>
      <c r="F34" s="213">
        <v>34</v>
      </c>
      <c r="G34" s="300">
        <v>4.4153942632526881</v>
      </c>
      <c r="H34" s="300">
        <v>0.27175198630101854</v>
      </c>
      <c r="I34" s="213">
        <v>0.28563457184295948</v>
      </c>
      <c r="J34" s="213">
        <v>7.6650939156879616</v>
      </c>
      <c r="K34" s="213">
        <v>1.3846480031857791</v>
      </c>
      <c r="L34" s="213">
        <v>2.5931898684013136E-2</v>
      </c>
      <c r="M34" s="124">
        <v>2.0628895623522956</v>
      </c>
      <c r="N34" s="213">
        <f t="shared" si="2"/>
        <v>1.9229947511842802</v>
      </c>
      <c r="O34" s="213">
        <f t="shared" si="3"/>
        <v>3.6979088130822917</v>
      </c>
      <c r="P34" s="384">
        <f t="shared" si="4"/>
        <v>7.6650939156879616</v>
      </c>
      <c r="Q34" s="213">
        <f t="shared" si="5"/>
        <v>5.7484443975989148</v>
      </c>
      <c r="R34" s="213">
        <f t="shared" si="6"/>
        <v>9.5817434337770084</v>
      </c>
      <c r="S34" s="350">
        <f t="shared" si="7"/>
        <v>12457.363543512745</v>
      </c>
      <c r="T34" s="213">
        <f t="shared" si="8"/>
        <v>155185906.45524043</v>
      </c>
      <c r="U34" s="350">
        <f t="shared" si="9"/>
        <v>2132.5930564872433</v>
      </c>
      <c r="V34" s="350">
        <f t="shared" si="10"/>
        <v>313.70228449791426</v>
      </c>
      <c r="W34" s="350">
        <f t="shared" si="11"/>
        <v>14497.673014580298</v>
      </c>
      <c r="X34" s="364">
        <f t="shared" si="12"/>
        <v>-0.85383143247408666</v>
      </c>
      <c r="Y34" s="222">
        <f t="shared" si="13"/>
        <v>11.958328977347731</v>
      </c>
      <c r="Z34" s="386">
        <f t="shared" si="14"/>
        <v>7.8654391798571321</v>
      </c>
      <c r="AA34" s="385">
        <f t="shared" si="15"/>
        <v>9.5880886668722418</v>
      </c>
      <c r="AB34" s="387">
        <f t="shared" si="18"/>
        <v>86</v>
      </c>
      <c r="AC34" s="247">
        <f t="shared" si="16"/>
        <v>5.9487896617680853</v>
      </c>
      <c r="AD34" s="258">
        <f t="shared" si="17"/>
        <v>9.782088697946179</v>
      </c>
    </row>
    <row r="35" spans="1:30">
      <c r="A35" s="247">
        <v>1982</v>
      </c>
      <c r="B35" s="213">
        <f t="shared" si="1"/>
        <v>1987</v>
      </c>
      <c r="C35" s="300">
        <f>VLOOKUP($A35,BroodTab!$A$12:$AG$67,3)</f>
        <v>12.102455054540769</v>
      </c>
      <c r="D35" s="300">
        <f>VLOOKUP($A35,BroodTab!$A$12:$AG$67,24)</f>
        <v>8.6706007380455503</v>
      </c>
      <c r="E35" s="213">
        <v>36</v>
      </c>
      <c r="F35" s="213">
        <v>34</v>
      </c>
      <c r="G35" s="300">
        <v>3.8747861444151885</v>
      </c>
      <c r="H35" s="300">
        <v>0.32570752452360346</v>
      </c>
      <c r="I35" s="213">
        <v>0.2941776094393177</v>
      </c>
      <c r="J35" s="213">
        <v>7.8166468208878346</v>
      </c>
      <c r="K35" s="213">
        <v>1.4127365757532537</v>
      </c>
      <c r="L35" s="213">
        <v>3.4799652499609389E-2</v>
      </c>
      <c r="M35" s="124">
        <v>2.1453526601426649</v>
      </c>
      <c r="N35" s="213">
        <f t="shared" si="2"/>
        <v>0.85395391715771574</v>
      </c>
      <c r="O35" s="213">
        <f t="shared" si="3"/>
        <v>0.72923729262900683</v>
      </c>
      <c r="P35" s="384">
        <f t="shared" si="4"/>
        <v>7.8166468208878346</v>
      </c>
      <c r="Q35" s="213">
        <f t="shared" si="5"/>
        <v>5.8999973027987878</v>
      </c>
      <c r="R35" s="213">
        <f t="shared" si="6"/>
        <v>9.7332963389768814</v>
      </c>
      <c r="S35" s="350">
        <f t="shared" si="7"/>
        <v>3347.4297083820406</v>
      </c>
      <c r="T35" s="213">
        <f t="shared" si="8"/>
        <v>11205285.652558673</v>
      </c>
      <c r="U35" s="350">
        <f t="shared" si="9"/>
        <v>2481.5702916179621</v>
      </c>
      <c r="V35" s="350">
        <f t="shared" si="10"/>
        <v>365.03648328715576</v>
      </c>
      <c r="W35" s="350">
        <f t="shared" si="11"/>
        <v>16870.070237326167</v>
      </c>
      <c r="X35" s="364">
        <f t="shared" si="12"/>
        <v>-0.57427169469583794</v>
      </c>
      <c r="Y35" s="222">
        <f t="shared" si="13"/>
        <v>12.102455054540769</v>
      </c>
      <c r="Z35" s="386">
        <f t="shared" si="14"/>
        <v>7.9198441018143555</v>
      </c>
      <c r="AA35" s="385">
        <f t="shared" si="15"/>
        <v>8.6706007380455503</v>
      </c>
      <c r="AB35" s="387">
        <f t="shared" si="18"/>
        <v>87</v>
      </c>
      <c r="AC35" s="247">
        <f t="shared" si="16"/>
        <v>6.0031945837253087</v>
      </c>
      <c r="AD35" s="258">
        <f t="shared" si="17"/>
        <v>9.8364936199034023</v>
      </c>
    </row>
    <row r="36" spans="1:30">
      <c r="A36" s="247">
        <v>1983</v>
      </c>
      <c r="B36" s="213">
        <f t="shared" si="1"/>
        <v>1988</v>
      </c>
      <c r="C36" s="300">
        <f>VLOOKUP($A36,BroodTab!$A$12:$AG$67,3)</f>
        <v>10.565737285268195</v>
      </c>
      <c r="D36" s="300">
        <f>VLOOKUP($A36,BroodTab!$A$12:$AG$67,24)</f>
        <v>6.1047932324149849</v>
      </c>
      <c r="E36" s="213">
        <v>36</v>
      </c>
      <c r="F36" s="213">
        <v>34</v>
      </c>
      <c r="G36" s="300">
        <v>3.3800645160740457</v>
      </c>
      <c r="H36" s="300">
        <v>0.37801504748925141</v>
      </c>
      <c r="I36" s="213">
        <v>0.27772032009689324</v>
      </c>
      <c r="J36" s="213">
        <v>7.374072197723657</v>
      </c>
      <c r="K36" s="213">
        <v>1.4030599926107414</v>
      </c>
      <c r="L36" s="213">
        <v>5.1675074358663482E-2</v>
      </c>
      <c r="M36" s="124">
        <v>2.1208573323886082</v>
      </c>
      <c r="N36" s="213">
        <f t="shared" si="2"/>
        <v>-1.269278965308672</v>
      </c>
      <c r="O36" s="213">
        <f t="shared" si="3"/>
        <v>1.611069091775053</v>
      </c>
      <c r="P36" s="384">
        <f t="shared" si="4"/>
        <v>7.374072197723657</v>
      </c>
      <c r="Q36" s="213">
        <f t="shared" si="5"/>
        <v>5.4574226796346093</v>
      </c>
      <c r="R36" s="213">
        <f t="shared" si="6"/>
        <v>9.2907217158127047</v>
      </c>
      <c r="S36" s="350">
        <f t="shared" si="7"/>
        <v>-1146.1121233105932</v>
      </c>
      <c r="T36" s="213">
        <f t="shared" si="8"/>
        <v>1313572.9991995164</v>
      </c>
      <c r="U36" s="350">
        <f t="shared" si="9"/>
        <v>1594.112123310593</v>
      </c>
      <c r="V36" s="350">
        <f t="shared" si="10"/>
        <v>234.49228314194539</v>
      </c>
      <c r="W36" s="350">
        <f t="shared" si="11"/>
        <v>10837.002512989073</v>
      </c>
      <c r="X36" s="364">
        <f t="shared" si="12"/>
        <v>2.5582859895325747</v>
      </c>
      <c r="Y36" s="222">
        <f t="shared" si="13"/>
        <v>10.565737285268195</v>
      </c>
      <c r="Z36" s="386">
        <f t="shared" si="14"/>
        <v>7.3397616355749031</v>
      </c>
      <c r="AA36" s="385">
        <f t="shared" si="15"/>
        <v>6.1047932324149849</v>
      </c>
      <c r="AB36" s="387">
        <f t="shared" si="18"/>
        <v>88</v>
      </c>
      <c r="AC36" s="247">
        <f t="shared" si="16"/>
        <v>5.4231121174858554</v>
      </c>
      <c r="AD36" s="258">
        <f t="shared" si="17"/>
        <v>9.2564111536639508</v>
      </c>
    </row>
    <row r="37" spans="1:30">
      <c r="A37" s="247">
        <v>1984</v>
      </c>
      <c r="B37" s="213">
        <f t="shared" si="1"/>
        <v>1989</v>
      </c>
      <c r="C37" s="300">
        <f>VLOOKUP($A37,BroodTab!$A$12:$AG$67,3)</f>
        <v>11.060714601464154</v>
      </c>
      <c r="D37" s="300">
        <f>VLOOKUP($A37,BroodTab!$A$12:$AG$67,24)</f>
        <v>7.6553906448261522</v>
      </c>
      <c r="E37" s="213">
        <v>36</v>
      </c>
      <c r="F37" s="213">
        <v>34</v>
      </c>
      <c r="G37" s="300">
        <v>3.3757460776815411</v>
      </c>
      <c r="H37" s="300">
        <v>0.37483163319347196</v>
      </c>
      <c r="I37" s="213">
        <v>0.28237531953440764</v>
      </c>
      <c r="J37" s="213">
        <v>7.5216517960352327</v>
      </c>
      <c r="K37" s="213">
        <v>1.4192160803962299</v>
      </c>
      <c r="L37" s="213">
        <v>4.9271587544573898E-2</v>
      </c>
      <c r="M37" s="124">
        <v>2.1651124160580286</v>
      </c>
      <c r="N37" s="213">
        <f t="shared" si="2"/>
        <v>0.13373884879091946</v>
      </c>
      <c r="O37" s="213">
        <f t="shared" si="3"/>
        <v>1.788607967592042E-2</v>
      </c>
      <c r="P37" s="384">
        <f t="shared" si="4"/>
        <v>7.5216517960352327</v>
      </c>
      <c r="Q37" s="213">
        <f t="shared" si="5"/>
        <v>5.6050022779461859</v>
      </c>
      <c r="R37" s="213">
        <f t="shared" si="6"/>
        <v>9.4383013141242795</v>
      </c>
      <c r="S37" s="350">
        <f t="shared" si="7"/>
        <v>264.3833392310828</v>
      </c>
      <c r="T37" s="213">
        <f t="shared" si="8"/>
        <v>69898.550062977811</v>
      </c>
      <c r="U37" s="350">
        <f t="shared" si="9"/>
        <v>1847.6166607689172</v>
      </c>
      <c r="V37" s="350">
        <f t="shared" si="10"/>
        <v>271.78254453961466</v>
      </c>
      <c r="W37" s="350">
        <f t="shared" si="11"/>
        <v>12560.362663958022</v>
      </c>
      <c r="X37" s="364">
        <f t="shared" si="12"/>
        <v>-0.12518150531774755</v>
      </c>
      <c r="Y37" s="222">
        <f t="shared" si="13"/>
        <v>11.060714601464154</v>
      </c>
      <c r="Z37" s="386">
        <f t="shared" si="14"/>
        <v>7.5266063952651958</v>
      </c>
      <c r="AA37" s="385">
        <f t="shared" si="15"/>
        <v>7.6553906448261522</v>
      </c>
      <c r="AB37" s="387">
        <f t="shared" si="18"/>
        <v>89</v>
      </c>
      <c r="AC37" s="247">
        <f t="shared" si="16"/>
        <v>5.609956877176149</v>
      </c>
      <c r="AD37" s="258">
        <f t="shared" si="17"/>
        <v>9.4432559133542426</v>
      </c>
    </row>
    <row r="38" spans="1:30">
      <c r="A38" s="247">
        <v>1985</v>
      </c>
      <c r="B38" s="213">
        <f t="shared" si="1"/>
        <v>1990</v>
      </c>
      <c r="C38" s="300">
        <f>VLOOKUP($A38,BroodTab!$A$12:$AG$67,3)</f>
        <v>12.003601441235492</v>
      </c>
      <c r="D38" s="300">
        <f>VLOOKUP($A38,BroodTab!$A$12:$AG$67,24)</f>
        <v>7.0646462009142681</v>
      </c>
      <c r="E38" s="213">
        <v>36</v>
      </c>
      <c r="F38" s="213">
        <v>34</v>
      </c>
      <c r="G38" s="300">
        <v>2.8261635194143846</v>
      </c>
      <c r="H38" s="300">
        <v>0.42959360299943622</v>
      </c>
      <c r="I38" s="213">
        <v>0.29201854651553227</v>
      </c>
      <c r="J38" s="213">
        <v>7.982833911523965</v>
      </c>
      <c r="K38" s="213">
        <v>1.4115925447252917</v>
      </c>
      <c r="L38" s="213">
        <v>5.9843369383566047E-2</v>
      </c>
      <c r="M38" s="124">
        <v>2.1421906773847295</v>
      </c>
      <c r="N38" s="213">
        <f t="shared" si="2"/>
        <v>-0.91818771060969695</v>
      </c>
      <c r="O38" s="213">
        <f t="shared" si="3"/>
        <v>0.8430686719146766</v>
      </c>
      <c r="P38" s="384">
        <f t="shared" si="4"/>
        <v>7.982833911523965</v>
      </c>
      <c r="Q38" s="213">
        <f t="shared" si="5"/>
        <v>6.0661843934349182</v>
      </c>
      <c r="R38" s="213">
        <f t="shared" si="6"/>
        <v>9.8994834296130119</v>
      </c>
      <c r="S38" s="350">
        <f t="shared" si="7"/>
        <v>-1760.355302381432</v>
      </c>
      <c r="T38" s="213">
        <f t="shared" si="8"/>
        <v>3098850.7906224229</v>
      </c>
      <c r="U38" s="350">
        <f t="shared" si="9"/>
        <v>2930.2233023814315</v>
      </c>
      <c r="V38" s="350">
        <f t="shared" si="10"/>
        <v>431.03288799045009</v>
      </c>
      <c r="W38" s="350">
        <f t="shared" si="11"/>
        <v>19920.077657761871</v>
      </c>
      <c r="X38" s="364">
        <f t="shared" si="12"/>
        <v>1.5047469478449131</v>
      </c>
      <c r="Y38" s="222">
        <f t="shared" si="13"/>
        <v>12.003601441235492</v>
      </c>
      <c r="Z38" s="386">
        <f t="shared" si="14"/>
        <v>7.8825286955963687</v>
      </c>
      <c r="AA38" s="385">
        <f t="shared" si="15"/>
        <v>7.0646462009142681</v>
      </c>
      <c r="AB38" s="387">
        <f t="shared" si="18"/>
        <v>90</v>
      </c>
      <c r="AC38" s="247">
        <f t="shared" si="16"/>
        <v>5.9658791775073219</v>
      </c>
      <c r="AD38" s="258">
        <f t="shared" si="17"/>
        <v>9.7991782136854155</v>
      </c>
    </row>
    <row r="39" spans="1:30">
      <c r="A39" s="247">
        <v>1986</v>
      </c>
      <c r="B39" s="213">
        <f t="shared" si="1"/>
        <v>1991</v>
      </c>
      <c r="C39" s="300">
        <f>VLOOKUP($A39,BroodTab!$A$12:$AG$67,3)</f>
        <v>11.213643034452126</v>
      </c>
      <c r="D39" s="300">
        <f>VLOOKUP($A39,BroodTab!$A$12:$AG$67,24)</f>
        <v>4.4141677474214127</v>
      </c>
      <c r="E39" s="213">
        <v>36</v>
      </c>
      <c r="F39" s="213">
        <v>34</v>
      </c>
      <c r="G39" s="300">
        <v>2.537785792397723</v>
      </c>
      <c r="H39" s="300">
        <v>0.46305522055213405</v>
      </c>
      <c r="I39" s="213">
        <v>0.2607838519649362</v>
      </c>
      <c r="J39" s="213">
        <v>7.7303217409088534</v>
      </c>
      <c r="K39" s="213">
        <v>1.3059410563690055</v>
      </c>
      <c r="L39" s="213">
        <v>8.4861747389413572E-2</v>
      </c>
      <c r="M39" s="124">
        <v>1.8601404374789512</v>
      </c>
      <c r="N39" s="213">
        <f t="shared" si="2"/>
        <v>-3.3161539934874407</v>
      </c>
      <c r="O39" s="213">
        <f t="shared" si="3"/>
        <v>10.9968773085227</v>
      </c>
      <c r="P39" s="384">
        <f t="shared" si="4"/>
        <v>7.7303217409088534</v>
      </c>
      <c r="Q39" s="213">
        <f t="shared" si="5"/>
        <v>5.8136722228198057</v>
      </c>
      <c r="R39" s="213">
        <f t="shared" si="6"/>
        <v>9.6469712589979011</v>
      </c>
      <c r="S39" s="350">
        <f t="shared" si="7"/>
        <v>-2193.7214155447941</v>
      </c>
      <c r="T39" s="213">
        <f t="shared" si="8"/>
        <v>4812413.6490198551</v>
      </c>
      <c r="U39" s="350">
        <f t="shared" si="9"/>
        <v>2276.3344729022192</v>
      </c>
      <c r="V39" s="350">
        <f t="shared" si="10"/>
        <v>334.84650166076005</v>
      </c>
      <c r="W39" s="350">
        <f t="shared" si="11"/>
        <v>15474.847749111954</v>
      </c>
      <c r="X39" s="364">
        <f t="shared" si="12"/>
        <v>26.554172980836096</v>
      </c>
      <c r="Y39" s="258">
        <f t="shared" si="13"/>
        <v>11.213643034452126</v>
      </c>
      <c r="Z39" s="386">
        <f t="shared" si="14"/>
        <v>7.5843340433340991</v>
      </c>
      <c r="AA39" s="385">
        <f t="shared" si="15"/>
        <v>4.4141677474214127</v>
      </c>
      <c r="AB39" s="387">
        <f t="shared" si="18"/>
        <v>91</v>
      </c>
      <c r="AC39" s="247">
        <f t="shared" si="16"/>
        <v>5.6676845252450523</v>
      </c>
      <c r="AD39" s="258">
        <f t="shared" si="17"/>
        <v>9.5009835614231459</v>
      </c>
    </row>
    <row r="40" spans="1:30">
      <c r="A40" s="247">
        <v>1987</v>
      </c>
      <c r="B40" s="213">
        <f t="shared" si="1"/>
        <v>1992</v>
      </c>
      <c r="C40" s="300">
        <f>VLOOKUP($A40,BroodTab!$A$12:$AG$67,3)</f>
        <v>12.1402693248708</v>
      </c>
      <c r="D40" s="300">
        <f>VLOOKUP($A40,BroodTab!$A$12:$AG$67,24)</f>
        <v>7.2573919120190178</v>
      </c>
      <c r="E40" s="213">
        <v>36</v>
      </c>
      <c r="F40" s="213">
        <v>34</v>
      </c>
      <c r="G40" s="300">
        <v>2.8650029919013766</v>
      </c>
      <c r="H40" s="300">
        <v>0.42554424973476396</v>
      </c>
      <c r="I40" s="213">
        <v>0.29521233894101379</v>
      </c>
      <c r="J40" s="213">
        <v>8.0312247933314911</v>
      </c>
      <c r="K40" s="213">
        <v>1.4139585229081175</v>
      </c>
      <c r="L40" s="213">
        <v>5.7594290549068283E-2</v>
      </c>
      <c r="M40" s="124">
        <v>2.1489754369323495</v>
      </c>
      <c r="N40" s="213">
        <f t="shared" si="2"/>
        <v>-0.7738328813124733</v>
      </c>
      <c r="O40" s="213">
        <f t="shared" si="3"/>
        <v>0.59881732820036437</v>
      </c>
      <c r="P40" s="384">
        <f t="shared" si="4"/>
        <v>8.0312247933314911</v>
      </c>
      <c r="Q40" s="213">
        <f t="shared" si="5"/>
        <v>6.1145752752424443</v>
      </c>
      <c r="R40" s="213">
        <f t="shared" si="6"/>
        <v>9.9478743114205379</v>
      </c>
      <c r="S40" s="350">
        <f t="shared" si="7"/>
        <v>-1656.9542269190802</v>
      </c>
      <c r="T40" s="213">
        <f t="shared" si="8"/>
        <v>2745497.3101050067</v>
      </c>
      <c r="U40" s="350">
        <f t="shared" si="9"/>
        <v>3075.5062269190798</v>
      </c>
      <c r="V40" s="350">
        <f t="shared" si="10"/>
        <v>452.40385944107908</v>
      </c>
      <c r="W40" s="350">
        <f t="shared" si="11"/>
        <v>20907.731785276552</v>
      </c>
      <c r="X40" s="364">
        <f t="shared" si="12"/>
        <v>1.1680602663272692</v>
      </c>
      <c r="Y40" s="258">
        <f t="shared" si="13"/>
        <v>12.1402693248708</v>
      </c>
      <c r="Z40" s="386">
        <f t="shared" si="14"/>
        <v>7.9341182877648926</v>
      </c>
      <c r="AA40" s="385">
        <f t="shared" si="15"/>
        <v>7.2573919120190178</v>
      </c>
      <c r="AB40" s="387">
        <f t="shared" si="18"/>
        <v>92</v>
      </c>
      <c r="AC40" s="247">
        <f t="shared" si="16"/>
        <v>6.0174687696758458</v>
      </c>
      <c r="AD40" s="258">
        <f t="shared" si="17"/>
        <v>9.8507678058539394</v>
      </c>
    </row>
    <row r="41" spans="1:30">
      <c r="A41" s="247">
        <v>1988</v>
      </c>
      <c r="B41" s="213">
        <f t="shared" si="1"/>
        <v>1993</v>
      </c>
      <c r="C41" s="300">
        <f>VLOOKUP($A41,BroodTab!$A$12:$AG$67,3)</f>
        <v>11.184740791431123</v>
      </c>
      <c r="D41" s="300">
        <f>VLOOKUP($A41,BroodTab!$A$12:$AG$67,24)</f>
        <v>7.1276936993473985</v>
      </c>
      <c r="E41" s="213">
        <v>36</v>
      </c>
      <c r="F41" s="213">
        <v>34</v>
      </c>
      <c r="G41" s="300">
        <v>3.2427361049768182</v>
      </c>
      <c r="H41" s="300">
        <v>0.38896775360708619</v>
      </c>
      <c r="I41" s="213">
        <v>0.28279407057360478</v>
      </c>
      <c r="J41" s="213">
        <v>7.5932396052973257</v>
      </c>
      <c r="K41" s="213">
        <v>1.4172429859942501</v>
      </c>
      <c r="L41" s="213">
        <v>5.2709726188928822E-2</v>
      </c>
      <c r="M41" s="124">
        <v>2.1595888907560616</v>
      </c>
      <c r="N41" s="213">
        <f t="shared" si="2"/>
        <v>-0.46554590594992717</v>
      </c>
      <c r="O41" s="213">
        <f t="shared" si="3"/>
        <v>0.21673299054673845</v>
      </c>
      <c r="P41" s="384">
        <f t="shared" si="4"/>
        <v>7.5932396052973257</v>
      </c>
      <c r="Q41" s="213">
        <f t="shared" si="5"/>
        <v>5.6765900872082788</v>
      </c>
      <c r="R41" s="213">
        <f t="shared" si="6"/>
        <v>9.5098891233863725</v>
      </c>
      <c r="S41" s="350">
        <f t="shared" si="7"/>
        <v>-738.73286114665098</v>
      </c>
      <c r="T41" s="213">
        <f t="shared" si="8"/>
        <v>545726.24013791711</v>
      </c>
      <c r="U41" s="350">
        <f t="shared" si="9"/>
        <v>1984.732861146651</v>
      </c>
      <c r="V41" s="350">
        <f t="shared" si="10"/>
        <v>291.95219911544825</v>
      </c>
      <c r="W41" s="350">
        <f t="shared" si="11"/>
        <v>13492.498231046671</v>
      </c>
      <c r="X41" s="364">
        <f t="shared" si="12"/>
        <v>0.59288351616906176</v>
      </c>
      <c r="Y41" s="385">
        <f t="shared" si="13"/>
        <v>11.184740791431123</v>
      </c>
      <c r="Z41" s="386">
        <f t="shared" si="14"/>
        <v>7.5734239824584382</v>
      </c>
      <c r="AA41" s="385">
        <f t="shared" si="15"/>
        <v>7.1276936993473985</v>
      </c>
      <c r="AB41" s="387">
        <f t="shared" si="18"/>
        <v>93</v>
      </c>
      <c r="AC41" s="247">
        <f t="shared" si="16"/>
        <v>5.6567744643693914</v>
      </c>
      <c r="AD41" s="258">
        <f t="shared" si="17"/>
        <v>9.490073500547485</v>
      </c>
    </row>
    <row r="42" spans="1:30">
      <c r="A42" s="247">
        <v>1989</v>
      </c>
      <c r="B42" s="213">
        <f t="shared" si="1"/>
        <v>1994</v>
      </c>
      <c r="C42" s="300">
        <f>VLOOKUP($A42,BroodTab!$A$12:$AG$67,3)</f>
        <v>10.515451792270389</v>
      </c>
      <c r="D42" s="300">
        <f>VLOOKUP($A42,BroodTab!$A$12:$AG$67,24)</f>
        <v>6.0063531596017325</v>
      </c>
      <c r="E42" s="213">
        <v>36</v>
      </c>
      <c r="F42" s="213">
        <v>34</v>
      </c>
      <c r="G42" s="300">
        <v>3.4100058546340417</v>
      </c>
      <c r="H42" s="300">
        <v>0.37538766672099333</v>
      </c>
      <c r="I42" s="213">
        <v>0.27729592119179935</v>
      </c>
      <c r="J42" s="213">
        <v>7.3573767674515107</v>
      </c>
      <c r="K42" s="213">
        <v>1.4008750170991322</v>
      </c>
      <c r="L42" s="213">
        <v>5.1143970551089761E-2</v>
      </c>
      <c r="M42" s="124">
        <v>2.1149074519110425</v>
      </c>
      <c r="N42" s="213">
        <f t="shared" si="2"/>
        <v>-1.3510236078497782</v>
      </c>
      <c r="O42" s="213">
        <f t="shared" si="3"/>
        <v>1.8252647889674312</v>
      </c>
      <c r="P42" s="384">
        <f t="shared" si="4"/>
        <v>7.3573767674515107</v>
      </c>
      <c r="Q42" s="213">
        <f t="shared" ref="Q42:Q62" si="19">$P42-(SQRT($O$66)*$Q$66)</f>
        <v>5.4407272493624639</v>
      </c>
      <c r="R42" s="213">
        <f t="shared" si="6"/>
        <v>9.2740262855405575</v>
      </c>
      <c r="S42" s="350">
        <f t="shared" si="7"/>
        <v>-1161.7186735769765</v>
      </c>
      <c r="T42" s="213">
        <f t="shared" si="8"/>
        <v>1349590.2765374496</v>
      </c>
      <c r="U42" s="350">
        <f t="shared" si="9"/>
        <v>1567.7186735769765</v>
      </c>
      <c r="V42" s="350">
        <f t="shared" si="10"/>
        <v>230.60983334589565</v>
      </c>
      <c r="W42" s="350">
        <f t="shared" si="11"/>
        <v>10657.576061795877</v>
      </c>
      <c r="X42" s="364">
        <f t="shared" si="12"/>
        <v>2.861376043293046</v>
      </c>
      <c r="Y42" s="386">
        <f t="shared" si="13"/>
        <v>10.515451792270389</v>
      </c>
      <c r="Z42" s="386">
        <f t="shared" si="14"/>
        <v>7.3207797942911634</v>
      </c>
      <c r="AA42" s="385">
        <f t="shared" si="15"/>
        <v>6.0063531596017325</v>
      </c>
      <c r="AB42" s="387">
        <f t="shared" si="18"/>
        <v>94</v>
      </c>
      <c r="AC42" s="247">
        <f t="shared" si="16"/>
        <v>5.4041302762021157</v>
      </c>
      <c r="AD42" s="258">
        <f t="shared" si="17"/>
        <v>9.2374293123802111</v>
      </c>
    </row>
    <row r="43" spans="1:30">
      <c r="A43" s="247">
        <v>1990</v>
      </c>
      <c r="B43" s="213">
        <f t="shared" si="1"/>
        <v>1995</v>
      </c>
      <c r="C43" s="300">
        <f>VLOOKUP($A43,BroodTab!$A$12:$AG$67,3)</f>
        <v>9.0179684793287258</v>
      </c>
      <c r="D43" s="300">
        <f>VLOOKUP($A43,BroodTab!$A$12:$AG$67,24)</f>
        <v>6.9255951971104679</v>
      </c>
      <c r="E43" s="213">
        <v>36</v>
      </c>
      <c r="F43" s="213">
        <v>34</v>
      </c>
      <c r="G43" s="300">
        <v>3.2233723413906192</v>
      </c>
      <c r="H43" s="300">
        <v>0.38911555668393422</v>
      </c>
      <c r="I43" s="213">
        <v>0.29528195170726368</v>
      </c>
      <c r="J43" s="213">
        <v>6.7324041663827883</v>
      </c>
      <c r="K43" s="213">
        <v>1.4190540519249868</v>
      </c>
      <c r="L43" s="213">
        <v>4.8592690864842178E-2</v>
      </c>
      <c r="M43" s="124">
        <v>2.1645725078725366</v>
      </c>
      <c r="N43" s="213">
        <f t="shared" si="2"/>
        <v>0.19319103072767962</v>
      </c>
      <c r="O43" s="213">
        <f t="shared" si="3"/>
        <v>3.7322774353623252E-2</v>
      </c>
      <c r="P43" s="384">
        <f t="shared" si="4"/>
        <v>6.7324041663827883</v>
      </c>
      <c r="Q43" s="213">
        <f t="shared" si="19"/>
        <v>4.8157546482937406</v>
      </c>
      <c r="R43" s="213">
        <f t="shared" si="6"/>
        <v>8.649053684471836</v>
      </c>
      <c r="S43" s="350">
        <f t="shared" si="7"/>
        <v>178.83767142929696</v>
      </c>
      <c r="T43" s="213">
        <f t="shared" si="8"/>
        <v>31982.912722253179</v>
      </c>
      <c r="U43" s="350">
        <f t="shared" si="9"/>
        <v>839.16232857070293</v>
      </c>
      <c r="V43" s="350">
        <f t="shared" si="10"/>
        <v>123.43993090310116</v>
      </c>
      <c r="W43" s="350">
        <f t="shared" si="11"/>
        <v>5704.7456891804941</v>
      </c>
      <c r="X43" s="364">
        <f t="shared" si="12"/>
        <v>-0.17567551220952551</v>
      </c>
      <c r="Y43" s="386">
        <f t="shared" si="13"/>
        <v>9.0179684793287258</v>
      </c>
      <c r="Z43" s="386">
        <f t="shared" si="14"/>
        <v>6.7555076078864857</v>
      </c>
      <c r="AA43" s="385">
        <f t="shared" si="15"/>
        <v>6.9255951971104679</v>
      </c>
      <c r="AB43" s="387">
        <f t="shared" si="18"/>
        <v>95</v>
      </c>
      <c r="AC43" s="247">
        <f t="shared" si="16"/>
        <v>4.8388580897974389</v>
      </c>
      <c r="AD43" s="258">
        <f t="shared" si="17"/>
        <v>8.6721571259755326</v>
      </c>
    </row>
    <row r="44" spans="1:30">
      <c r="A44" s="247">
        <v>1991</v>
      </c>
      <c r="B44" s="213">
        <f t="shared" si="1"/>
        <v>1996</v>
      </c>
      <c r="C44" s="300">
        <f>VLOOKUP($A44,BroodTab!$A$12:$AG$67,3)</f>
        <v>9.1799842519612831</v>
      </c>
      <c r="D44" s="300">
        <f>VLOOKUP($A44,BroodTab!$A$12:$AG$67,24)</f>
        <v>6.8480052745763631</v>
      </c>
      <c r="E44" s="213">
        <v>36</v>
      </c>
      <c r="F44" s="213">
        <v>34</v>
      </c>
      <c r="G44" s="300">
        <v>3.3306243415402301</v>
      </c>
      <c r="H44" s="300">
        <v>0.3793597219909226</v>
      </c>
      <c r="I44" s="213">
        <v>0.29229786661553708</v>
      </c>
      <c r="J44" s="213">
        <v>6.8131406152453096</v>
      </c>
      <c r="K44" s="213">
        <v>1.4193832176006973</v>
      </c>
      <c r="L44" s="213">
        <v>4.7203311538133903E-2</v>
      </c>
      <c r="M44" s="124">
        <v>2.165575486480408</v>
      </c>
      <c r="N44" s="213">
        <f t="shared" si="2"/>
        <v>3.4864659331053538E-2</v>
      </c>
      <c r="O44" s="213">
        <f t="shared" si="3"/>
        <v>1.2155444702704186E-3</v>
      </c>
      <c r="P44" s="384">
        <f t="shared" si="4"/>
        <v>6.8131406152453096</v>
      </c>
      <c r="Q44" s="213">
        <f t="shared" si="19"/>
        <v>4.8964910971562627</v>
      </c>
      <c r="R44" s="213">
        <f t="shared" si="6"/>
        <v>8.7297901333343564</v>
      </c>
      <c r="S44" s="350">
        <f t="shared" si="7"/>
        <v>32.276583641016032</v>
      </c>
      <c r="T44" s="213">
        <f t="shared" si="8"/>
        <v>1041.7778515355037</v>
      </c>
      <c r="U44" s="350">
        <f t="shared" si="9"/>
        <v>909.72341635898397</v>
      </c>
      <c r="V44" s="350">
        <f t="shared" si="10"/>
        <v>133.81939564369372</v>
      </c>
      <c r="W44" s="350">
        <f t="shared" si="11"/>
        <v>6184.430069280932</v>
      </c>
      <c r="X44" s="364">
        <f t="shared" si="12"/>
        <v>-3.4263889215515958E-2</v>
      </c>
      <c r="Y44" s="386">
        <f t="shared" si="13"/>
        <v>9.1799842519612831</v>
      </c>
      <c r="Z44" s="386">
        <f t="shared" si="14"/>
        <v>6.8166655581865419</v>
      </c>
      <c r="AA44" s="385">
        <f t="shared" si="15"/>
        <v>6.8480052745763631</v>
      </c>
      <c r="AB44" s="387">
        <f t="shared" si="18"/>
        <v>96</v>
      </c>
      <c r="AC44" s="247">
        <f t="shared" si="16"/>
        <v>4.9000160400974941</v>
      </c>
      <c r="AD44" s="258">
        <f t="shared" si="17"/>
        <v>8.7333150762755896</v>
      </c>
    </row>
    <row r="45" spans="1:30">
      <c r="A45" s="247">
        <v>1992</v>
      </c>
      <c r="B45" s="213">
        <f t="shared" si="1"/>
        <v>1997</v>
      </c>
      <c r="C45" s="300">
        <f>VLOOKUP($A45,BroodTab!$A$12:$AG$67,3)</f>
        <v>10.29694755351686</v>
      </c>
      <c r="D45" s="300">
        <f>VLOOKUP($A45,BroodTab!$A$12:$AG$67,24)</f>
        <v>5.7745515455444085</v>
      </c>
      <c r="E45" s="213">
        <v>36</v>
      </c>
      <c r="F45" s="213">
        <v>34</v>
      </c>
      <c r="G45" s="300">
        <v>3.5531405149107664</v>
      </c>
      <c r="H45" s="300">
        <v>0.36222994556446164</v>
      </c>
      <c r="I45" s="213">
        <v>0.27675905947399826</v>
      </c>
      <c r="J45" s="213">
        <v>7.2830032667012947</v>
      </c>
      <c r="K45" s="213">
        <v>1.3963308796793645</v>
      </c>
      <c r="L45" s="213">
        <v>4.796653074690449E-2</v>
      </c>
      <c r="M45" s="124">
        <v>2.1024029572973273</v>
      </c>
      <c r="N45" s="213">
        <f t="shared" si="2"/>
        <v>-1.5084517211568862</v>
      </c>
      <c r="O45" s="213">
        <f t="shared" si="3"/>
        <v>2.2754265950611723</v>
      </c>
      <c r="P45" s="384">
        <f t="shared" si="4"/>
        <v>7.2830032667012947</v>
      </c>
      <c r="Q45" s="213">
        <f t="shared" si="19"/>
        <v>5.3663537486122479</v>
      </c>
      <c r="R45" s="213">
        <f t="shared" si="6"/>
        <v>9.1996527847903415</v>
      </c>
      <c r="S45" s="350">
        <f t="shared" si="7"/>
        <v>-1133.3522793636696</v>
      </c>
      <c r="T45" s="213">
        <f t="shared" si="8"/>
        <v>1284487.3891388255</v>
      </c>
      <c r="U45" s="350">
        <f t="shared" si="9"/>
        <v>1455.3522793636696</v>
      </c>
      <c r="V45" s="350">
        <f t="shared" si="10"/>
        <v>214.08085025731251</v>
      </c>
      <c r="W45" s="350">
        <f t="shared" si="11"/>
        <v>9893.6932215247562</v>
      </c>
      <c r="X45" s="364">
        <f t="shared" si="12"/>
        <v>3.5197275756635698</v>
      </c>
      <c r="Y45" s="386">
        <f t="shared" si="13"/>
        <v>10.29694755351686</v>
      </c>
      <c r="Z45" s="386">
        <f t="shared" si="14"/>
        <v>7.2382984953601834</v>
      </c>
      <c r="AA45" s="385">
        <f t="shared" si="15"/>
        <v>5.7745515455444085</v>
      </c>
      <c r="AB45" s="387">
        <f t="shared" si="18"/>
        <v>97</v>
      </c>
      <c r="AC45" s="247">
        <f t="shared" si="16"/>
        <v>5.3216489772711366</v>
      </c>
      <c r="AD45" s="258">
        <f t="shared" si="17"/>
        <v>9.1549480134492303</v>
      </c>
    </row>
    <row r="46" spans="1:30">
      <c r="A46" s="247">
        <v>1993</v>
      </c>
      <c r="B46" s="213">
        <f t="shared" si="1"/>
        <v>1998</v>
      </c>
      <c r="C46" s="300">
        <f>VLOOKUP($A46,BroodTab!$A$12:$AG$67,3)</f>
        <v>9.1304309887478805</v>
      </c>
      <c r="D46" s="300">
        <f>VLOOKUP($A46,BroodTab!$A$12:$AG$67,24)</f>
        <v>5.4380793089231956</v>
      </c>
      <c r="E46" s="213">
        <v>36</v>
      </c>
      <c r="F46" s="213">
        <v>34</v>
      </c>
      <c r="G46" s="300">
        <v>4.2891932267057751</v>
      </c>
      <c r="H46" s="300">
        <v>0.29252980230754283</v>
      </c>
      <c r="I46" s="213">
        <v>0.28872445382879203</v>
      </c>
      <c r="J46" s="213">
        <v>6.9601163988268553</v>
      </c>
      <c r="K46" s="213">
        <v>1.3977856441943997</v>
      </c>
      <c r="L46" s="213">
        <v>2.9307308839961358E-2</v>
      </c>
      <c r="M46" s="124">
        <v>2.1012593376311823</v>
      </c>
      <c r="N46" s="213">
        <f t="shared" si="2"/>
        <v>-1.5220370899036597</v>
      </c>
      <c r="O46" s="213">
        <f t="shared" si="3"/>
        <v>2.316596903042401</v>
      </c>
      <c r="P46" s="384">
        <f t="shared" si="4"/>
        <v>6.9601163988268553</v>
      </c>
      <c r="Q46" s="213">
        <f t="shared" si="19"/>
        <v>5.0434668807378085</v>
      </c>
      <c r="R46" s="213">
        <f t="shared" si="6"/>
        <v>8.8767659169159021</v>
      </c>
      <c r="S46" s="350">
        <f t="shared" si="7"/>
        <v>-823.75620609027055</v>
      </c>
      <c r="T46" s="213">
        <f t="shared" si="8"/>
        <v>678574.2870722363</v>
      </c>
      <c r="U46" s="350">
        <f t="shared" si="9"/>
        <v>1053.7562060902706</v>
      </c>
      <c r="V46" s="350">
        <f t="shared" si="10"/>
        <v>155.00647352705576</v>
      </c>
      <c r="W46" s="350">
        <f t="shared" si="11"/>
        <v>7163.5856013455095</v>
      </c>
      <c r="X46" s="364">
        <f t="shared" si="12"/>
        <v>3.5815487221316102</v>
      </c>
      <c r="Y46" s="386">
        <f t="shared" si="13"/>
        <v>9.1304309887478805</v>
      </c>
      <c r="Z46" s="386">
        <f t="shared" si="14"/>
        <v>6.7979601200704387</v>
      </c>
      <c r="AA46" s="385">
        <f t="shared" si="15"/>
        <v>5.4380793089231956</v>
      </c>
      <c r="AB46" s="387">
        <f t="shared" si="18"/>
        <v>98</v>
      </c>
      <c r="AC46" s="247">
        <f t="shared" si="16"/>
        <v>4.8813106019813919</v>
      </c>
      <c r="AD46" s="258">
        <f t="shared" si="17"/>
        <v>8.7146096381594855</v>
      </c>
    </row>
    <row r="47" spans="1:30">
      <c r="A47" s="247">
        <v>1994</v>
      </c>
      <c r="B47" s="213">
        <f t="shared" si="1"/>
        <v>1999</v>
      </c>
      <c r="C47" s="300">
        <f>VLOOKUP($A47,BroodTab!$A$12:$AG$67,3)</f>
        <v>8.890685920281129</v>
      </c>
      <c r="D47" s="300">
        <f>VLOOKUP($A47,BroodTab!$A$12:$AG$67,24)</f>
        <v>8.2937996088468182</v>
      </c>
      <c r="E47" s="213">
        <v>36</v>
      </c>
      <c r="F47" s="213">
        <v>34</v>
      </c>
      <c r="G47" s="300">
        <v>2.0387624528286459</v>
      </c>
      <c r="H47" s="300">
        <v>0.49714335161358653</v>
      </c>
      <c r="I47" s="213">
        <v>0.29166525010867217</v>
      </c>
      <c r="J47" s="213">
        <v>6.4587078493809305</v>
      </c>
      <c r="K47" s="213">
        <v>1.3889063810583313</v>
      </c>
      <c r="L47" s="213">
        <v>7.8723596130593515E-2</v>
      </c>
      <c r="M47" s="124">
        <v>2.0720658692251486</v>
      </c>
      <c r="N47" s="213">
        <f t="shared" si="2"/>
        <v>1.8350917594658878</v>
      </c>
      <c r="O47" s="213">
        <f t="shared" si="3"/>
        <v>3.3675617656596075</v>
      </c>
      <c r="P47" s="384">
        <f t="shared" si="4"/>
        <v>6.4587078493809305</v>
      </c>
      <c r="Q47" s="213">
        <f t="shared" si="19"/>
        <v>4.5420583312918836</v>
      </c>
      <c r="R47" s="213">
        <f t="shared" si="6"/>
        <v>8.3753573674699773</v>
      </c>
      <c r="S47" s="350">
        <f t="shared" si="7"/>
        <v>3360.7641732948555</v>
      </c>
      <c r="T47" s="213">
        <f t="shared" si="8"/>
        <v>11294735.828502253</v>
      </c>
      <c r="U47" s="350">
        <f t="shared" si="9"/>
        <v>638.23582670514395</v>
      </c>
      <c r="V47" s="350">
        <f t="shared" si="10"/>
        <v>93.883845432569146</v>
      </c>
      <c r="W47" s="350">
        <f t="shared" si="11"/>
        <v>4338.8185540670966</v>
      </c>
      <c r="X47" s="364">
        <f t="shared" si="12"/>
        <v>-0.84040114360961637</v>
      </c>
      <c r="Y47" s="386">
        <f t="shared" si="13"/>
        <v>8.890685920281129</v>
      </c>
      <c r="Z47" s="386">
        <f t="shared" si="14"/>
        <v>6.7074608017403268</v>
      </c>
      <c r="AA47" s="385">
        <f t="shared" si="15"/>
        <v>8.2937996088468182</v>
      </c>
      <c r="AB47" s="387">
        <f t="shared" si="18"/>
        <v>99</v>
      </c>
      <c r="AC47" s="247">
        <f t="shared" si="16"/>
        <v>4.79081128365128</v>
      </c>
      <c r="AD47" s="258">
        <f t="shared" si="17"/>
        <v>8.6241103198293736</v>
      </c>
    </row>
    <row r="48" spans="1:30">
      <c r="A48" s="247">
        <v>1995</v>
      </c>
      <c r="B48" s="213">
        <f t="shared" si="1"/>
        <v>2000</v>
      </c>
      <c r="C48" s="300">
        <f>VLOOKUP($A48,BroodTab!$A$12:$AG$67,3)</f>
        <v>10.321605606767609</v>
      </c>
      <c r="D48" s="300">
        <f>VLOOKUP($A48,BroodTab!$A$12:$AG$67,24)</f>
        <v>7.7735944673601942</v>
      </c>
      <c r="E48" s="213">
        <v>36</v>
      </c>
      <c r="F48" s="213">
        <v>34</v>
      </c>
      <c r="G48" s="300">
        <v>3.2844547069782468</v>
      </c>
      <c r="H48" s="300">
        <v>0.38243589439024783</v>
      </c>
      <c r="I48" s="213">
        <v>0.28067590904509093</v>
      </c>
      <c r="J48" s="213">
        <v>7.2318071787458145</v>
      </c>
      <c r="K48" s="213">
        <v>1.4164389425844182</v>
      </c>
      <c r="L48" s="213">
        <v>5.1777192569851756E-2</v>
      </c>
      <c r="M48" s="124">
        <v>2.1574555442128007</v>
      </c>
      <c r="N48" s="213">
        <f t="shared" si="2"/>
        <v>0.54178728861437975</v>
      </c>
      <c r="O48" s="213">
        <f t="shared" si="3"/>
        <v>0.29353346610412123</v>
      </c>
      <c r="P48" s="384">
        <f t="shared" si="4"/>
        <v>7.2318071787458145</v>
      </c>
      <c r="Q48" s="213">
        <f t="shared" si="19"/>
        <v>5.3151576606567676</v>
      </c>
      <c r="R48" s="213">
        <f t="shared" si="6"/>
        <v>9.1484566968348613</v>
      </c>
      <c r="S48" s="350">
        <f t="shared" si="7"/>
        <v>994.28093194986104</v>
      </c>
      <c r="T48" s="213">
        <f t="shared" si="8"/>
        <v>988594.57163908426</v>
      </c>
      <c r="U48" s="350">
        <f t="shared" si="9"/>
        <v>1382.7190680501399</v>
      </c>
      <c r="V48" s="350">
        <f t="shared" si="10"/>
        <v>203.39657823918762</v>
      </c>
      <c r="W48" s="350">
        <f t="shared" si="11"/>
        <v>9399.9222489431577</v>
      </c>
      <c r="X48" s="364">
        <f t="shared" si="12"/>
        <v>-0.41829235673111514</v>
      </c>
      <c r="Y48" s="386">
        <f t="shared" si="13"/>
        <v>10.321605606767609</v>
      </c>
      <c r="Z48" s="386">
        <f t="shared" si="14"/>
        <v>7.247606453287375</v>
      </c>
      <c r="AA48" s="385">
        <f t="shared" si="15"/>
        <v>7.7735944673601942</v>
      </c>
      <c r="AB48" s="387">
        <f t="shared" si="18"/>
        <v>100</v>
      </c>
      <c r="AC48" s="247">
        <f t="shared" si="16"/>
        <v>5.3309569351983281</v>
      </c>
      <c r="AD48" s="258">
        <f t="shared" si="17"/>
        <v>9.1642559713764218</v>
      </c>
    </row>
    <row r="49" spans="1:31">
      <c r="A49" s="247">
        <v>1996</v>
      </c>
      <c r="B49" s="213">
        <f t="shared" si="1"/>
        <v>2001</v>
      </c>
      <c r="C49" s="300">
        <f>VLOOKUP($A49,BroodTab!$A$12:$AG$67,3)</f>
        <v>10.563413984104404</v>
      </c>
      <c r="D49" s="300">
        <f>VLOOKUP($A49,BroodTab!$A$12:$AG$67,24)</f>
        <v>7.4366172652342266</v>
      </c>
      <c r="E49" s="213">
        <v>36</v>
      </c>
      <c r="F49" s="213">
        <v>34</v>
      </c>
      <c r="G49" s="300">
        <v>3.3490260991394116</v>
      </c>
      <c r="H49" s="300">
        <v>0.37744837588750613</v>
      </c>
      <c r="I49" s="213">
        <v>0.28093317929126715</v>
      </c>
      <c r="J49" s="213">
        <v>7.3361695512669893</v>
      </c>
      <c r="K49" s="213">
        <v>1.4192928236481912</v>
      </c>
      <c r="L49" s="213">
        <v>5.0415464188968605E-2</v>
      </c>
      <c r="M49" s="124">
        <v>2.165328980958992</v>
      </c>
      <c r="N49" s="213">
        <f t="shared" si="2"/>
        <v>0.10044771396723728</v>
      </c>
      <c r="O49" s="213">
        <f t="shared" si="3"/>
        <v>1.0089743241243915E-2</v>
      </c>
      <c r="P49" s="384">
        <f t="shared" si="4"/>
        <v>7.3361695512669893</v>
      </c>
      <c r="Q49" s="213">
        <f t="shared" si="19"/>
        <v>5.4195200331779425</v>
      </c>
      <c r="R49" s="213">
        <f t="shared" si="6"/>
        <v>9.2528190693560362</v>
      </c>
      <c r="S49" s="350">
        <f t="shared" si="7"/>
        <v>162.17821659141009</v>
      </c>
      <c r="T49" s="213">
        <f t="shared" si="8"/>
        <v>26301.773936770325</v>
      </c>
      <c r="U49" s="350">
        <f t="shared" si="9"/>
        <v>1534.8217834085904</v>
      </c>
      <c r="V49" s="350">
        <f t="shared" si="10"/>
        <v>225.77073403095264</v>
      </c>
      <c r="W49" s="350">
        <f t="shared" si="11"/>
        <v>10433.938291145247</v>
      </c>
      <c r="X49" s="364">
        <f t="shared" si="12"/>
        <v>-9.5567599641373041E-2</v>
      </c>
      <c r="Y49" s="386">
        <f t="shared" si="13"/>
        <v>10.563413984104404</v>
      </c>
      <c r="Z49" s="386">
        <f t="shared" si="14"/>
        <v>7.3388846324609567</v>
      </c>
      <c r="AA49" s="385">
        <f t="shared" si="15"/>
        <v>7.4366172652342266</v>
      </c>
      <c r="AB49" s="387">
        <f t="shared" si="18"/>
        <v>101</v>
      </c>
      <c r="AC49" s="247">
        <f t="shared" si="16"/>
        <v>5.4222351143719099</v>
      </c>
      <c r="AD49" s="258">
        <f t="shared" si="17"/>
        <v>9.2555341505500035</v>
      </c>
    </row>
    <row r="50" spans="1:31">
      <c r="A50" s="247">
        <v>1997</v>
      </c>
      <c r="B50" s="213">
        <f t="shared" si="1"/>
        <v>2002</v>
      </c>
      <c r="C50" s="300">
        <f>VLOOKUP($A50,BroodTab!$A$12:$AG$67,3)</f>
        <v>10.463389013948712</v>
      </c>
      <c r="D50" s="300">
        <f>VLOOKUP($A50,BroodTab!$A$12:$AG$67,24)</f>
        <v>5.7620513827801769</v>
      </c>
      <c r="E50" s="213">
        <v>36</v>
      </c>
      <c r="F50" s="213">
        <v>34</v>
      </c>
      <c r="G50" s="300">
        <v>3.4541109740020937</v>
      </c>
      <c r="H50" s="300">
        <v>0.3718014340176935</v>
      </c>
      <c r="I50" s="213">
        <v>0.27595994396310897</v>
      </c>
      <c r="J50" s="213">
        <v>7.3444140140732053</v>
      </c>
      <c r="K50" s="213">
        <v>1.3939340565338385</v>
      </c>
      <c r="L50" s="213">
        <v>5.0683005804542713E-2</v>
      </c>
      <c r="M50" s="124">
        <v>2.0960572655792316</v>
      </c>
      <c r="N50" s="213">
        <f t="shared" si="2"/>
        <v>-1.5823626312930283</v>
      </c>
      <c r="O50" s="213">
        <f t="shared" si="3"/>
        <v>2.5038714969125961</v>
      </c>
      <c r="P50" s="384">
        <f t="shared" si="4"/>
        <v>7.3444140140732053</v>
      </c>
      <c r="Q50" s="213">
        <f t="shared" si="19"/>
        <v>5.4277644959841584</v>
      </c>
      <c r="R50" s="213">
        <f t="shared" si="6"/>
        <v>9.2610635321622521</v>
      </c>
      <c r="S50" s="350">
        <f t="shared" si="7"/>
        <v>-1229.5278699745793</v>
      </c>
      <c r="T50" s="213">
        <f t="shared" si="8"/>
        <v>1511738.783044226</v>
      </c>
      <c r="U50" s="350">
        <f t="shared" si="9"/>
        <v>1547.5278699745793</v>
      </c>
      <c r="V50" s="350">
        <f t="shared" si="10"/>
        <v>227.63978653051601</v>
      </c>
      <c r="W50" s="350">
        <f t="shared" si="11"/>
        <v>10520.316087306734</v>
      </c>
      <c r="X50" s="364">
        <f t="shared" si="12"/>
        <v>3.8664398426873561</v>
      </c>
      <c r="Y50" s="386">
        <f t="shared" si="13"/>
        <v>10.463389013948712</v>
      </c>
      <c r="Z50" s="386">
        <f t="shared" si="14"/>
        <v>7.3011270607495895</v>
      </c>
      <c r="AA50" s="385">
        <f t="shared" si="15"/>
        <v>5.7620513827801769</v>
      </c>
      <c r="AB50" s="387">
        <f t="shared" si="18"/>
        <v>102</v>
      </c>
      <c r="AC50" s="247">
        <f t="shared" si="16"/>
        <v>5.3844775426605427</v>
      </c>
      <c r="AD50" s="258">
        <f t="shared" si="17"/>
        <v>9.2177765788386363</v>
      </c>
    </row>
    <row r="51" spans="1:31">
      <c r="A51" s="247">
        <v>1998</v>
      </c>
      <c r="B51" s="213">
        <f t="shared" si="1"/>
        <v>2003</v>
      </c>
      <c r="C51" s="300">
        <f>VLOOKUP($A51,BroodTab!$A$12:$AG$67,3)</f>
        <v>10.27377443229468</v>
      </c>
      <c r="D51" s="300">
        <f>VLOOKUP($A51,BroodTab!$A$12:$AG$67,24)</f>
        <v>5.8493247799468593</v>
      </c>
      <c r="E51" s="213">
        <v>36</v>
      </c>
      <c r="F51" s="213">
        <v>34</v>
      </c>
      <c r="G51" s="300">
        <v>3.5553624966539656</v>
      </c>
      <c r="H51" s="300">
        <v>0.36180087616569784</v>
      </c>
      <c r="I51" s="213">
        <v>0.27733747943262504</v>
      </c>
      <c r="J51" s="213">
        <v>7.272423087786926</v>
      </c>
      <c r="K51" s="213">
        <v>1.3988961128444688</v>
      </c>
      <c r="L51" s="213">
        <v>4.7668483970936537E-2</v>
      </c>
      <c r="M51" s="124">
        <v>2.1093534517774355</v>
      </c>
      <c r="N51" s="213">
        <f t="shared" si="2"/>
        <v>-1.4230983078400667</v>
      </c>
      <c r="O51" s="213">
        <f t="shared" si="3"/>
        <v>2.0252087937772614</v>
      </c>
      <c r="P51" s="384">
        <f t="shared" si="4"/>
        <v>7.272423087786926</v>
      </c>
      <c r="Q51" s="213">
        <f t="shared" si="19"/>
        <v>5.3557735696978792</v>
      </c>
      <c r="R51" s="213">
        <f t="shared" si="6"/>
        <v>9.1890726058759729</v>
      </c>
      <c r="S51" s="350">
        <f t="shared" si="7"/>
        <v>-1093.0355615514052</v>
      </c>
      <c r="T51" s="213">
        <f t="shared" si="8"/>
        <v>1194726.7388159956</v>
      </c>
      <c r="U51" s="350">
        <f t="shared" si="9"/>
        <v>1440.0355615514052</v>
      </c>
      <c r="V51" s="350">
        <f t="shared" si="10"/>
        <v>211.82777653839503</v>
      </c>
      <c r="W51" s="350">
        <f t="shared" si="11"/>
        <v>9789.5679802728791</v>
      </c>
      <c r="X51" s="364">
        <f t="shared" si="12"/>
        <v>3.1499583906380546</v>
      </c>
      <c r="Y51" s="386">
        <f t="shared" si="13"/>
        <v>10.27377443229468</v>
      </c>
      <c r="Z51" s="386">
        <f t="shared" si="14"/>
        <v>7.229551071742252</v>
      </c>
      <c r="AA51" s="385">
        <f t="shared" si="15"/>
        <v>5.8493247799468593</v>
      </c>
      <c r="AB51" s="387">
        <f t="shared" si="18"/>
        <v>103</v>
      </c>
      <c r="AC51" s="247">
        <f t="shared" si="16"/>
        <v>5.3129015536532052</v>
      </c>
      <c r="AD51" s="258">
        <f t="shared" si="17"/>
        <v>9.1462005898312988</v>
      </c>
    </row>
    <row r="52" spans="1:31">
      <c r="A52" s="247">
        <v>1999</v>
      </c>
      <c r="B52" s="213">
        <f t="shared" si="1"/>
        <v>2004</v>
      </c>
      <c r="C52" s="300">
        <f>VLOOKUP($A52,BroodTab!$A$12:$AG$67,3)</f>
        <v>10.990550065253778</v>
      </c>
      <c r="D52" s="300">
        <f>VLOOKUP($A52,BroodTab!$A$12:$AG$67,24)</f>
        <v>7.1981835771019433</v>
      </c>
      <c r="E52" s="213">
        <v>36</v>
      </c>
      <c r="F52" s="213">
        <v>34</v>
      </c>
      <c r="G52" s="300">
        <v>3.3035191226405365</v>
      </c>
      <c r="H52" s="300">
        <v>0.38281772105582451</v>
      </c>
      <c r="I52" s="213">
        <v>0.28183771709094169</v>
      </c>
      <c r="J52" s="213">
        <v>7.5108964517709316</v>
      </c>
      <c r="K52" s="213">
        <v>1.4184159504121518</v>
      </c>
      <c r="L52" s="213">
        <v>5.1470430358886432E-2</v>
      </c>
      <c r="M52" s="124">
        <v>2.1628928809939216</v>
      </c>
      <c r="N52" s="213">
        <f t="shared" si="2"/>
        <v>-0.31271287466898823</v>
      </c>
      <c r="O52" s="213">
        <f t="shared" si="3"/>
        <v>9.7789341983742339E-2</v>
      </c>
      <c r="P52" s="384">
        <f t="shared" si="4"/>
        <v>7.5108964517709316</v>
      </c>
      <c r="Q52" s="213">
        <f t="shared" si="19"/>
        <v>5.5942469336818839</v>
      </c>
      <c r="R52" s="213">
        <f t="shared" si="6"/>
        <v>9.4275459698599793</v>
      </c>
      <c r="S52" s="350">
        <f t="shared" si="7"/>
        <v>-490.85138919662563</v>
      </c>
      <c r="T52" s="213">
        <f t="shared" si="8"/>
        <v>240935.08627625727</v>
      </c>
      <c r="U52" s="350">
        <f t="shared" si="9"/>
        <v>1827.8513891966259</v>
      </c>
      <c r="V52" s="350">
        <f t="shared" si="10"/>
        <v>268.8750930560376</v>
      </c>
      <c r="W52" s="350">
        <f t="shared" si="11"/>
        <v>12425.99551715157</v>
      </c>
      <c r="X52" s="364">
        <f t="shared" si="12"/>
        <v>0.36712893731983959</v>
      </c>
      <c r="Y52" s="386">
        <f t="shared" si="13"/>
        <v>10.990550065253778</v>
      </c>
      <c r="Z52" s="386">
        <f t="shared" si="14"/>
        <v>7.5001205837379903</v>
      </c>
      <c r="AA52" s="385">
        <f t="shared" si="15"/>
        <v>7.1981835771019433</v>
      </c>
      <c r="AB52" s="387">
        <f t="shared" si="18"/>
        <v>104</v>
      </c>
      <c r="AC52" s="247">
        <f t="shared" si="16"/>
        <v>5.5834710656489435</v>
      </c>
      <c r="AD52" s="258">
        <f t="shared" si="17"/>
        <v>9.4167701018270371</v>
      </c>
    </row>
    <row r="53" spans="1:31">
      <c r="A53" s="247">
        <v>2000</v>
      </c>
      <c r="B53" s="213">
        <f t="shared" si="1"/>
        <v>2005</v>
      </c>
      <c r="C53" s="300">
        <f>VLOOKUP($A53,BroodTab!$A$12:$AG$67,3)</f>
        <v>10.254707645791896</v>
      </c>
      <c r="D53" s="300">
        <f>VLOOKUP($A53,BroodTab!$A$12:$AG$67,24)</f>
        <v>5.1298987149230735</v>
      </c>
      <c r="E53" s="213">
        <v>36</v>
      </c>
      <c r="F53" s="213">
        <v>34</v>
      </c>
      <c r="G53" s="300">
        <v>3.6777736409352149</v>
      </c>
      <c r="H53" s="300">
        <v>0.35208627653304742</v>
      </c>
      <c r="I53" s="213">
        <v>0.27202724935262707</v>
      </c>
      <c r="J53" s="213">
        <v>7.2883154728770556</v>
      </c>
      <c r="K53" s="213">
        <v>1.3718038697544748</v>
      </c>
      <c r="L53" s="213">
        <v>4.6957681248457554E-2</v>
      </c>
      <c r="M53" s="124">
        <v>2.0361991710207876</v>
      </c>
      <c r="N53" s="213">
        <f t="shared" si="2"/>
        <v>-2.1584167579539821</v>
      </c>
      <c r="O53" s="213">
        <f t="shared" si="3"/>
        <v>4.658762901016579</v>
      </c>
      <c r="P53" s="384">
        <f t="shared" si="4"/>
        <v>7.2883154728770556</v>
      </c>
      <c r="Q53" s="213">
        <f t="shared" si="19"/>
        <v>5.3716659547880088</v>
      </c>
      <c r="R53" s="213">
        <f t="shared" si="6"/>
        <v>9.2049649909661024</v>
      </c>
      <c r="S53" s="350">
        <f t="shared" si="7"/>
        <v>-1294.1039818217373</v>
      </c>
      <c r="T53" s="213">
        <f t="shared" si="8"/>
        <v>1674705.1157668754</v>
      </c>
      <c r="U53" s="350">
        <f t="shared" si="9"/>
        <v>1463.1039818217373</v>
      </c>
      <c r="V53" s="350">
        <f t="shared" si="10"/>
        <v>215.2211178589755</v>
      </c>
      <c r="W53" s="350">
        <f t="shared" si="11"/>
        <v>9946.3904049848279</v>
      </c>
      <c r="X53" s="364">
        <f t="shared" si="12"/>
        <v>7.6574200107795107</v>
      </c>
      <c r="Y53" s="386">
        <f t="shared" si="13"/>
        <v>10.254707645791896</v>
      </c>
      <c r="Z53" s="386">
        <f t="shared" si="14"/>
        <v>7.2223537133470082</v>
      </c>
      <c r="AA53" s="385">
        <f t="shared" si="15"/>
        <v>5.1298987149230735</v>
      </c>
      <c r="AB53" s="387">
        <f t="shared" si="18"/>
        <v>105</v>
      </c>
      <c r="AC53" s="247">
        <f t="shared" si="16"/>
        <v>5.3057041952579613</v>
      </c>
      <c r="AD53" s="258">
        <f t="shared" si="17"/>
        <v>9.139003231436055</v>
      </c>
    </row>
    <row r="54" spans="1:31">
      <c r="A54" s="247">
        <v>2001</v>
      </c>
      <c r="B54" s="213">
        <f t="shared" si="1"/>
        <v>2006</v>
      </c>
      <c r="C54" s="300">
        <f>VLOOKUP($A54,BroodTab!$A$12:$AG$67,3)</f>
        <v>10.55963355495159</v>
      </c>
      <c r="D54" s="300">
        <f>VLOOKUP($A54,BroodTab!$A$12:$AG$67,24)</f>
        <v>6.5666724298032406</v>
      </c>
      <c r="E54" s="213">
        <v>36</v>
      </c>
      <c r="F54" s="213">
        <v>34</v>
      </c>
      <c r="G54" s="300">
        <v>3.3712869205652334</v>
      </c>
      <c r="H54" s="300">
        <v>0.37762504075504044</v>
      </c>
      <c r="I54" s="213">
        <v>0.27969799857232758</v>
      </c>
      <c r="J54" s="213">
        <v>7.3588689721121199</v>
      </c>
      <c r="K54" s="213">
        <v>1.4130540114479662</v>
      </c>
      <c r="L54" s="213">
        <v>5.0884220915637025E-2</v>
      </c>
      <c r="M54" s="124">
        <v>2.1481766026699658</v>
      </c>
      <c r="N54" s="213">
        <f t="shared" si="2"/>
        <v>-0.79219654230887926</v>
      </c>
      <c r="O54" s="213">
        <f t="shared" si="3"/>
        <v>0.62757536164614391</v>
      </c>
      <c r="P54" s="384">
        <f t="shared" si="4"/>
        <v>7.3588689721121199</v>
      </c>
      <c r="Q54" s="213">
        <f t="shared" si="19"/>
        <v>5.4422194540230731</v>
      </c>
      <c r="R54" s="213">
        <f t="shared" si="6"/>
        <v>9.2755184902011667</v>
      </c>
      <c r="S54" s="350">
        <f t="shared" si="7"/>
        <v>-859.0597769564929</v>
      </c>
      <c r="T54" s="213">
        <f t="shared" si="8"/>
        <v>737983.70038453932</v>
      </c>
      <c r="U54" s="350">
        <f t="shared" si="9"/>
        <v>1570.0597769564927</v>
      </c>
      <c r="V54" s="350">
        <f t="shared" si="10"/>
        <v>230.95420728829691</v>
      </c>
      <c r="W54" s="350">
        <f t="shared" si="11"/>
        <v>10673.491217847948</v>
      </c>
      <c r="X54" s="364">
        <f t="shared" si="12"/>
        <v>1.2082415990949271</v>
      </c>
      <c r="Y54" s="386">
        <f t="shared" si="13"/>
        <v>10.55963355495159</v>
      </c>
      <c r="Z54" s="386">
        <f t="shared" si="14"/>
        <v>7.3374575905471726</v>
      </c>
      <c r="AA54" s="385">
        <f t="shared" si="15"/>
        <v>6.5666724298032406</v>
      </c>
      <c r="AB54" s="387">
        <f t="shared" si="18"/>
        <v>106</v>
      </c>
      <c r="AC54" s="247">
        <f t="shared" si="16"/>
        <v>5.4208080724581258</v>
      </c>
      <c r="AD54" s="258">
        <f t="shared" si="17"/>
        <v>9.2541071086362194</v>
      </c>
    </row>
    <row r="55" spans="1:31">
      <c r="A55" s="247">
        <v>2002</v>
      </c>
      <c r="B55" s="213">
        <f t="shared" si="1"/>
        <v>2007</v>
      </c>
      <c r="C55" s="300">
        <f>VLOOKUP($A55,BroodTab!$A$12:$AG$67,3)</f>
        <v>10.251429474400627</v>
      </c>
      <c r="D55" s="300">
        <f>VLOOKUP($A55,BroodTab!$A$12:$AG$67,24)</f>
        <v>6.953684210870537</v>
      </c>
      <c r="E55" s="213">
        <v>36</v>
      </c>
      <c r="F55" s="213">
        <v>34</v>
      </c>
      <c r="G55" s="300">
        <v>3.3934832035128122</v>
      </c>
      <c r="H55" s="300">
        <v>0.37420006348181772</v>
      </c>
      <c r="I55" s="213">
        <v>0.28132405893347467</v>
      </c>
      <c r="J55" s="213">
        <v>7.229568763612904</v>
      </c>
      <c r="K55" s="213">
        <v>1.4186299179746369</v>
      </c>
      <c r="L55" s="213">
        <v>4.9463391933276014E-2</v>
      </c>
      <c r="M55" s="124">
        <v>2.1634950214256405</v>
      </c>
      <c r="N55" s="213">
        <f t="shared" si="2"/>
        <v>-0.27588455274236701</v>
      </c>
      <c r="O55" s="213">
        <f t="shared" si="3"/>
        <v>7.6112286441855886E-2</v>
      </c>
      <c r="P55" s="384">
        <f t="shared" si="4"/>
        <v>7.229568763612904</v>
      </c>
      <c r="Q55" s="213">
        <f t="shared" si="19"/>
        <v>5.3129192455238563</v>
      </c>
      <c r="R55" s="213">
        <f t="shared" si="6"/>
        <v>9.1462182817019517</v>
      </c>
      <c r="S55" s="350">
        <f t="shared" si="7"/>
        <v>-332.62743023897133</v>
      </c>
      <c r="T55" s="213">
        <f t="shared" si="8"/>
        <v>110641.00734738173</v>
      </c>
      <c r="U55" s="350">
        <f t="shared" si="9"/>
        <v>1379.6274302389716</v>
      </c>
      <c r="V55" s="350">
        <f t="shared" si="10"/>
        <v>202.94180143999768</v>
      </c>
      <c r="W55" s="350">
        <f t="shared" si="11"/>
        <v>9378.9048523378988</v>
      </c>
      <c r="X55" s="364">
        <f t="shared" si="12"/>
        <v>0.3176957308872696</v>
      </c>
      <c r="Y55" s="386">
        <f t="shared" si="13"/>
        <v>10.251429474400627</v>
      </c>
      <c r="Z55" s="386">
        <f t="shared" si="14"/>
        <v>7.2211162644260494</v>
      </c>
      <c r="AA55" s="385">
        <f t="shared" si="15"/>
        <v>6.953684210870537</v>
      </c>
      <c r="AB55" s="387">
        <f t="shared" si="18"/>
        <v>107</v>
      </c>
      <c r="AC55" s="247">
        <f t="shared" si="16"/>
        <v>5.3044667463370025</v>
      </c>
      <c r="AD55" s="258">
        <f t="shared" si="17"/>
        <v>9.1377657825150962</v>
      </c>
    </row>
    <row r="56" spans="1:31">
      <c r="A56" s="247">
        <v>2003</v>
      </c>
      <c r="B56" s="213">
        <f t="shared" si="1"/>
        <v>2008</v>
      </c>
      <c r="C56" s="300">
        <f>VLOOKUP($A56,BroodTab!$A$12:$AG$67,3)</f>
        <v>11.230920580082735</v>
      </c>
      <c r="D56" s="300">
        <f>VLOOKUP($A56,BroodTab!$A$12:$AG$67,24)</f>
        <v>8.0687161927147812</v>
      </c>
      <c r="E56" s="213">
        <v>36</v>
      </c>
      <c r="F56" s="213">
        <v>34</v>
      </c>
      <c r="G56" s="300">
        <v>3.4777228395182909</v>
      </c>
      <c r="H56" s="300">
        <v>0.36423146399297102</v>
      </c>
      <c r="I56" s="213">
        <v>0.28307810898920466</v>
      </c>
      <c r="J56" s="213">
        <v>7.5683774843906129</v>
      </c>
      <c r="K56" s="213">
        <v>1.416915219359731</v>
      </c>
      <c r="L56" s="213">
        <v>4.6431766335351239E-2</v>
      </c>
      <c r="M56" s="124">
        <v>2.1586553954088168</v>
      </c>
      <c r="N56" s="213">
        <f t="shared" si="2"/>
        <v>0.50033870832416838</v>
      </c>
      <c r="O56" s="213">
        <f t="shared" si="3"/>
        <v>0.25033882304749722</v>
      </c>
      <c r="P56" s="384">
        <f t="shared" si="4"/>
        <v>7.5683774843906129</v>
      </c>
      <c r="Q56" s="213">
        <f t="shared" si="19"/>
        <v>5.651727966301566</v>
      </c>
      <c r="R56" s="213">
        <f t="shared" si="6"/>
        <v>9.4850270024796597</v>
      </c>
      <c r="S56" s="350">
        <f t="shared" si="7"/>
        <v>1257.0034527481996</v>
      </c>
      <c r="T56" s="213">
        <f t="shared" si="8"/>
        <v>1580057.6802208952</v>
      </c>
      <c r="U56" s="350">
        <f t="shared" si="9"/>
        <v>1935.9965472517981</v>
      </c>
      <c r="V56" s="350">
        <f t="shared" si="10"/>
        <v>284.78313656958875</v>
      </c>
      <c r="W56" s="350">
        <f t="shared" si="11"/>
        <v>13161.181789480761</v>
      </c>
      <c r="X56" s="364">
        <f t="shared" si="12"/>
        <v>-0.39367474248299422</v>
      </c>
      <c r="Y56" s="386">
        <f t="shared" si="13"/>
        <v>11.230920580082735</v>
      </c>
      <c r="Z56" s="386">
        <f t="shared" si="14"/>
        <v>7.5908559964736888</v>
      </c>
      <c r="AA56" s="385">
        <f t="shared" si="15"/>
        <v>8.0687161927147812</v>
      </c>
      <c r="AB56" s="387">
        <f t="shared" si="18"/>
        <v>108</v>
      </c>
      <c r="AC56" s="247">
        <f t="shared" si="16"/>
        <v>5.674206478384642</v>
      </c>
      <c r="AD56" s="258">
        <f t="shared" si="17"/>
        <v>9.5075055145627356</v>
      </c>
    </row>
    <row r="57" spans="1:31">
      <c r="A57" s="247">
        <v>2004</v>
      </c>
      <c r="B57" s="213">
        <f t="shared" si="1"/>
        <v>2009</v>
      </c>
      <c r="C57" s="300">
        <f>VLOOKUP($A57,BroodTab!$A$12:$AG$67,3)</f>
        <v>10.327741702540875</v>
      </c>
      <c r="D57" s="300">
        <f>VLOOKUP($A57,BroodTab!$A$12:$AG$67,24)</f>
        <v>6.2422232654551655</v>
      </c>
      <c r="E57" s="213">
        <v>36</v>
      </c>
      <c r="F57" s="213">
        <v>34</v>
      </c>
      <c r="G57" s="300">
        <v>3.4769828810513723</v>
      </c>
      <c r="H57" s="300">
        <v>0.36824023581744331</v>
      </c>
      <c r="I57" s="213">
        <v>0.27909025938471865</v>
      </c>
      <c r="J57" s="213">
        <v>7.2800729210566679</v>
      </c>
      <c r="K57" s="213">
        <v>1.4085172486049082</v>
      </c>
      <c r="L57" s="213">
        <v>4.8708827025675513E-2</v>
      </c>
      <c r="M57" s="124">
        <v>2.1356889208370209</v>
      </c>
      <c r="N57" s="213">
        <f t="shared" si="2"/>
        <v>-1.0378496556015024</v>
      </c>
      <c r="O57" s="213">
        <f t="shared" si="3"/>
        <v>1.0771319076321573</v>
      </c>
      <c r="P57" s="384">
        <f t="shared" si="4"/>
        <v>7.2800729210566679</v>
      </c>
      <c r="Q57" s="213">
        <f t="shared" si="19"/>
        <v>5.3634234029676211</v>
      </c>
      <c r="R57" s="213">
        <f t="shared" si="6"/>
        <v>9.1967224391457147</v>
      </c>
      <c r="S57" s="350">
        <f t="shared" si="7"/>
        <v>-937.09383655235479</v>
      </c>
      <c r="T57" s="213">
        <f t="shared" si="8"/>
        <v>878144.85850441142</v>
      </c>
      <c r="U57" s="350">
        <f t="shared" si="9"/>
        <v>1451.093836552355</v>
      </c>
      <c r="V57" s="350">
        <f t="shared" si="10"/>
        <v>213.45443762117949</v>
      </c>
      <c r="W57" s="350">
        <f t="shared" si="11"/>
        <v>9864.7437174260122</v>
      </c>
      <c r="X57" s="364">
        <f t="shared" si="12"/>
        <v>1.8231397598294832</v>
      </c>
      <c r="Y57" s="386">
        <f t="shared" si="13"/>
        <v>10.327741702540875</v>
      </c>
      <c r="Z57" s="386">
        <f t="shared" si="14"/>
        <v>7.24992271567492</v>
      </c>
      <c r="AA57" s="385">
        <f t="shared" si="15"/>
        <v>6.2422232654551655</v>
      </c>
      <c r="AB57" s="387">
        <f t="shared" si="18"/>
        <v>109</v>
      </c>
      <c r="AC57" s="247">
        <f t="shared" si="16"/>
        <v>5.3332731975858731</v>
      </c>
      <c r="AD57" s="258">
        <f t="shared" si="17"/>
        <v>9.1665722337639668</v>
      </c>
    </row>
    <row r="58" spans="1:31">
      <c r="A58" s="247">
        <v>2005</v>
      </c>
      <c r="B58" s="213">
        <f t="shared" si="1"/>
        <v>2010</v>
      </c>
      <c r="C58" s="300">
        <f>VLOOKUP($A58,BroodTab!$A$12:$AG$67,3)</f>
        <v>10.319331942389161</v>
      </c>
      <c r="D58" s="300">
        <f>VLOOKUP($A58,BroodTab!$A$12:$AG$67,24)</f>
        <v>9.5116294478341814</v>
      </c>
      <c r="E58" s="213">
        <v>36</v>
      </c>
      <c r="F58" s="213">
        <v>34</v>
      </c>
      <c r="G58" s="300">
        <v>3.0609578999167111</v>
      </c>
      <c r="H58" s="300">
        <v>0.39902378496651647</v>
      </c>
      <c r="I58" s="213">
        <v>0.27020150405101823</v>
      </c>
      <c r="J58" s="213">
        <v>7.1786167898947086</v>
      </c>
      <c r="K58" s="213">
        <v>1.3635502150466328</v>
      </c>
      <c r="L58" s="213">
        <v>6.0275872280779449E-2</v>
      </c>
      <c r="M58" s="124">
        <v>2.01441624987942</v>
      </c>
      <c r="N58" s="213">
        <f t="shared" si="2"/>
        <v>2.3330126579394728</v>
      </c>
      <c r="O58" s="213">
        <f t="shared" si="3"/>
        <v>5.4429480621058035</v>
      </c>
      <c r="P58" s="384">
        <f t="shared" si="4"/>
        <v>7.1786167898947086</v>
      </c>
      <c r="Q58" s="213">
        <f t="shared" si="19"/>
        <v>5.2619672718056609</v>
      </c>
      <c r="R58" s="213">
        <f t="shared" si="6"/>
        <v>9.0952663079837563</v>
      </c>
      <c r="S58" s="350">
        <f t="shared" si="7"/>
        <v>12204.906514329246</v>
      </c>
      <c r="T58" s="213">
        <f t="shared" si="8"/>
        <v>148959743.02351648</v>
      </c>
      <c r="U58" s="350">
        <f t="shared" si="9"/>
        <v>1311.0934856707636</v>
      </c>
      <c r="V58" s="350">
        <f t="shared" si="10"/>
        <v>192.86052741948046</v>
      </c>
      <c r="W58" s="350">
        <f t="shared" si="11"/>
        <v>8913.0012821622295</v>
      </c>
      <c r="X58" s="364">
        <f t="shared" si="12"/>
        <v>-0.90299693062512854</v>
      </c>
      <c r="Y58" s="386">
        <f t="shared" si="13"/>
        <v>10.319331942389161</v>
      </c>
      <c r="Z58" s="386">
        <f t="shared" si="14"/>
        <v>7.2467481871396</v>
      </c>
      <c r="AA58" s="385">
        <f t="shared" si="15"/>
        <v>9.5116294478341814</v>
      </c>
      <c r="AB58" s="387">
        <f t="shared" si="18"/>
        <v>110</v>
      </c>
      <c r="AC58" s="247">
        <f t="shared" si="16"/>
        <v>5.3300986690505532</v>
      </c>
      <c r="AD58" s="258">
        <f t="shared" si="17"/>
        <v>9.1633977052286468</v>
      </c>
    </row>
    <row r="59" spans="1:31">
      <c r="A59" s="247">
        <v>2006</v>
      </c>
      <c r="B59" s="213">
        <f t="shared" si="1"/>
        <v>2011</v>
      </c>
      <c r="C59" s="300">
        <f>VLOOKUP($A59,BroodTab!$A$12:$AG$67,3)</f>
        <v>10.063861683597258</v>
      </c>
      <c r="D59" s="300">
        <f>VLOOKUP($A59,BroodTab!$A$12:$AG$67,24)</f>
        <v>6.313548046277095</v>
      </c>
      <c r="E59" s="213">
        <v>36</v>
      </c>
      <c r="F59" s="213">
        <v>34</v>
      </c>
      <c r="G59" s="300">
        <v>3.551252258996477</v>
      </c>
      <c r="H59" s="300">
        <v>0.36077004623181635</v>
      </c>
      <c r="I59" s="213">
        <v>0.28082592010296858</v>
      </c>
      <c r="J59" s="213">
        <v>7.1819921038584651</v>
      </c>
      <c r="K59" s="213">
        <v>1.4118455340509386</v>
      </c>
      <c r="L59" s="213">
        <v>4.6293741140326423E-2</v>
      </c>
      <c r="M59" s="124">
        <v>2.1446593882393481</v>
      </c>
      <c r="N59" s="213">
        <f t="shared" si="2"/>
        <v>-0.86844405758137011</v>
      </c>
      <c r="O59" s="213">
        <f t="shared" si="3"/>
        <v>0.75419508114839406</v>
      </c>
      <c r="P59" s="384">
        <f t="shared" si="4"/>
        <v>7.1819921038584651</v>
      </c>
      <c r="Q59" s="213">
        <f t="shared" si="19"/>
        <v>5.2653425857694174</v>
      </c>
      <c r="R59" s="213">
        <f t="shared" si="6"/>
        <v>9.0986416219475128</v>
      </c>
      <c r="S59" s="350">
        <f t="shared" si="7"/>
        <v>-763.52631470710458</v>
      </c>
      <c r="T59" s="213">
        <f t="shared" si="8"/>
        <v>582972.43325021246</v>
      </c>
      <c r="U59" s="350">
        <f t="shared" si="9"/>
        <v>1315.5263147071043</v>
      </c>
      <c r="V59" s="350">
        <f t="shared" si="10"/>
        <v>193.51259209316899</v>
      </c>
      <c r="W59" s="350">
        <f t="shared" si="11"/>
        <v>8943.1362887931991</v>
      </c>
      <c r="X59" s="364">
        <f t="shared" si="12"/>
        <v>1.3831998454838856</v>
      </c>
      <c r="Y59" s="386">
        <f t="shared" si="13"/>
        <v>10.063861683597258</v>
      </c>
      <c r="Z59" s="386">
        <f t="shared" si="14"/>
        <v>7.150312901016119</v>
      </c>
      <c r="AA59" s="385">
        <f t="shared" si="15"/>
        <v>6.313548046277095</v>
      </c>
      <c r="AB59" s="387">
        <f t="shared" si="18"/>
        <v>111</v>
      </c>
      <c r="AC59" s="247">
        <f t="shared" si="16"/>
        <v>5.2336633829270713</v>
      </c>
      <c r="AD59" s="258">
        <f t="shared" si="17"/>
        <v>9.0669624191051668</v>
      </c>
    </row>
    <row r="60" spans="1:31">
      <c r="A60" s="247">
        <v>2007</v>
      </c>
      <c r="B60" s="213">
        <f t="shared" si="1"/>
        <v>2012</v>
      </c>
      <c r="C60" s="300">
        <f>VLOOKUP($A60,BroodTab!$A$12:$AG$67,3)</f>
        <v>11.156264806643742</v>
      </c>
      <c r="D60" s="300">
        <f>VLOOKUP($A60,BroodTab!$A$12:$AG$67,24)</f>
        <v>7.9554250889126719</v>
      </c>
      <c r="E60" s="213">
        <v>36</v>
      </c>
      <c r="F60" s="213">
        <v>34</v>
      </c>
      <c r="G60" s="300">
        <v>3.4421715125179113</v>
      </c>
      <c r="H60" s="300">
        <v>0.36783194488202903</v>
      </c>
      <c r="I60" s="213">
        <v>0.2826879197678776</v>
      </c>
      <c r="J60" s="213">
        <v>7.5458020939646122</v>
      </c>
      <c r="K60" s="213">
        <v>1.4177267381213463</v>
      </c>
      <c r="L60" s="213">
        <v>4.7435123312674125E-2</v>
      </c>
      <c r="M60" s="124">
        <v>2.1609483905492972</v>
      </c>
      <c r="N60" s="213">
        <f t="shared" si="2"/>
        <v>0.40962299494805965</v>
      </c>
      <c r="O60" s="213">
        <f t="shared" si="3"/>
        <v>0.1677909979902181</v>
      </c>
      <c r="P60" s="384">
        <f t="shared" si="4"/>
        <v>7.5458020939646122</v>
      </c>
      <c r="Q60" s="213">
        <f t="shared" si="19"/>
        <v>5.6291525758755654</v>
      </c>
      <c r="R60" s="213">
        <f t="shared" si="6"/>
        <v>9.462451612053659</v>
      </c>
      <c r="S60" s="350">
        <f t="shared" si="7"/>
        <v>958.21968361605263</v>
      </c>
      <c r="T60" s="213">
        <f t="shared" si="8"/>
        <v>918184.96206924797</v>
      </c>
      <c r="U60" s="350">
        <f t="shared" si="9"/>
        <v>1892.7803163839469</v>
      </c>
      <c r="V60" s="350">
        <f t="shared" si="10"/>
        <v>278.42607266121934</v>
      </c>
      <c r="W60" s="350">
        <f t="shared" si="11"/>
        <v>12867.39166288402</v>
      </c>
      <c r="X60" s="364">
        <f t="shared" si="12"/>
        <v>-0.3360995031974931</v>
      </c>
      <c r="Y60" s="386">
        <f t="shared" si="13"/>
        <v>11.156264806643742</v>
      </c>
      <c r="Z60" s="386">
        <f t="shared" si="14"/>
        <v>7.5626748261628869</v>
      </c>
      <c r="AA60" s="385">
        <f t="shared" si="15"/>
        <v>7.9554250889126719</v>
      </c>
      <c r="AB60" s="387">
        <f t="shared" si="18"/>
        <v>112</v>
      </c>
      <c r="AC60" s="247">
        <f t="shared" si="16"/>
        <v>5.6460253080738401</v>
      </c>
      <c r="AD60" s="258">
        <f t="shared" si="17"/>
        <v>9.4793243442519337</v>
      </c>
    </row>
    <row r="61" spans="1:31">
      <c r="A61" s="247">
        <v>2008</v>
      </c>
      <c r="B61" s="213">
        <f t="shared" si="1"/>
        <v>2013</v>
      </c>
      <c r="C61" s="300">
        <f>VLOOKUP($A61,BroodTab!$A$12:$AG$67,3)</f>
        <v>10.285274533289716</v>
      </c>
      <c r="D61" s="300">
        <f>VLOOKUP($A61,BroodTab!$A$12:$AG$67,24)</f>
        <v>6.7310181004820828</v>
      </c>
      <c r="E61" s="213">
        <v>36</v>
      </c>
      <c r="F61" s="213">
        <v>34</v>
      </c>
      <c r="G61" s="300">
        <v>3.4232225524612656</v>
      </c>
      <c r="H61" s="300">
        <v>0.3720033886194597</v>
      </c>
      <c r="I61" s="213">
        <v>0.28082950601203094</v>
      </c>
      <c r="J61" s="213">
        <v>7.249379531726472</v>
      </c>
      <c r="K61" s="213">
        <v>1.4166912420895506</v>
      </c>
      <c r="L61" s="213">
        <v>4.9076650490549427E-2</v>
      </c>
      <c r="M61" s="124">
        <v>2.1581454023434219</v>
      </c>
      <c r="N61" s="213">
        <f t="shared" si="2"/>
        <v>-0.51836143124438916</v>
      </c>
      <c r="O61" s="213">
        <f t="shared" si="3"/>
        <v>0.26869857340173159</v>
      </c>
      <c r="P61" s="384">
        <f t="shared" si="4"/>
        <v>7.249379531726472</v>
      </c>
      <c r="Q61" s="213">
        <f t="shared" si="19"/>
        <v>5.3327300136374252</v>
      </c>
      <c r="R61" s="213">
        <f t="shared" si="6"/>
        <v>9.1660290498155188</v>
      </c>
      <c r="S61" s="350">
        <f t="shared" si="7"/>
        <v>-569.23143481125453</v>
      </c>
      <c r="T61" s="213">
        <f t="shared" si="8"/>
        <v>324024.42637727951</v>
      </c>
      <c r="U61" s="350">
        <f t="shared" si="9"/>
        <v>1407.2314348112543</v>
      </c>
      <c r="V61" s="350">
        <f t="shared" si="10"/>
        <v>207.00232263004597</v>
      </c>
      <c r="W61" s="350">
        <f t="shared" si="11"/>
        <v>9566.5608286923871</v>
      </c>
      <c r="X61" s="364">
        <f t="shared" si="12"/>
        <v>0.67927378855758314</v>
      </c>
      <c r="Y61" s="386">
        <f t="shared" si="13"/>
        <v>10.285274533289716</v>
      </c>
      <c r="Z61" s="386">
        <f t="shared" si="14"/>
        <v>7.2338921466491701</v>
      </c>
      <c r="AA61" s="385">
        <f t="shared" si="15"/>
        <v>6.7310181004820828</v>
      </c>
      <c r="AB61" s="387">
        <f t="shared" si="18"/>
        <v>113</v>
      </c>
      <c r="AC61" s="247">
        <f t="shared" si="16"/>
        <v>5.3172426285601233</v>
      </c>
      <c r="AD61" s="258">
        <f t="shared" si="17"/>
        <v>9.150541664738217</v>
      </c>
    </row>
    <row r="62" spans="1:31">
      <c r="A62" s="247">
        <v>2009</v>
      </c>
      <c r="B62" s="213">
        <f t="shared" si="1"/>
        <v>2014</v>
      </c>
      <c r="C62" s="300">
        <f>VLOOKUP($A62,BroodTab!$A$12:$AG$67,3)</f>
        <v>10.051303927230347</v>
      </c>
      <c r="D62" s="300">
        <f>VLOOKUP($A62,BroodTab!$A$12:$AG$67,24)</f>
        <v>6.2324480165505225</v>
      </c>
      <c r="E62" s="213">
        <v>36</v>
      </c>
      <c r="F62" s="213">
        <v>34</v>
      </c>
      <c r="G62" s="300">
        <v>3.5745255890342666</v>
      </c>
      <c r="H62" s="300">
        <v>0.35876925155525957</v>
      </c>
      <c r="I62" s="213">
        <v>0.28060882440038759</v>
      </c>
      <c r="J62" s="213">
        <v>7.1806243761611395</v>
      </c>
      <c r="K62" s="213">
        <v>1.4103957094828616</v>
      </c>
      <c r="L62" s="213">
        <v>4.5872788990781323E-2</v>
      </c>
      <c r="M62" s="307">
        <v>2.1406359624677913</v>
      </c>
      <c r="N62" s="390">
        <f t="shared" si="2"/>
        <v>-0.94817635961061697</v>
      </c>
      <c r="O62" s="213">
        <f t="shared" si="3"/>
        <v>0.89903840892444198</v>
      </c>
      <c r="P62" s="384">
        <f t="shared" si="4"/>
        <v>7.1806243761611395</v>
      </c>
      <c r="Q62" s="213">
        <f t="shared" si="19"/>
        <v>5.2639748580720926</v>
      </c>
      <c r="R62" s="213">
        <f t="shared" si="6"/>
        <v>9.0972738942501863</v>
      </c>
      <c r="S62" s="350">
        <f t="shared" si="7"/>
        <v>-804.7282628328918</v>
      </c>
      <c r="T62" s="213">
        <f t="shared" si="8"/>
        <v>647587.57700204384</v>
      </c>
      <c r="U62" s="350">
        <f t="shared" si="9"/>
        <v>1313.7282628328917</v>
      </c>
      <c r="V62" s="350">
        <f t="shared" si="10"/>
        <v>193.24810047866706</v>
      </c>
      <c r="W62" s="350">
        <f t="shared" si="11"/>
        <v>8930.9128746466013</v>
      </c>
      <c r="X62" s="364">
        <f t="shared" si="12"/>
        <v>1.5809985517345619</v>
      </c>
      <c r="Y62" s="386">
        <f t="shared" si="13"/>
        <v>10.051303927230347</v>
      </c>
      <c r="Z62" s="386">
        <f t="shared" si="14"/>
        <v>7.1455725808158785</v>
      </c>
      <c r="AA62" s="385">
        <f t="shared" si="15"/>
        <v>6.2324480165505225</v>
      </c>
      <c r="AB62" s="387">
        <f t="shared" si="18"/>
        <v>114</v>
      </c>
      <c r="AC62" s="247">
        <f t="shared" si="16"/>
        <v>5.2289230627268317</v>
      </c>
      <c r="AD62" s="258">
        <f t="shared" si="17"/>
        <v>9.0622220989049254</v>
      </c>
    </row>
    <row r="63" spans="1:31">
      <c r="A63" s="247"/>
      <c r="C63" s="309"/>
      <c r="D63" s="309"/>
      <c r="E63" s="213"/>
      <c r="F63" s="213"/>
      <c r="G63" s="300"/>
      <c r="H63" s="300"/>
      <c r="I63" s="213"/>
      <c r="J63" s="213"/>
      <c r="K63" s="213"/>
      <c r="L63" s="213"/>
      <c r="P63" s="302"/>
      <c r="S63" s="265"/>
      <c r="U63" s="306"/>
      <c r="V63" s="265"/>
      <c r="W63" s="265"/>
      <c r="X63" s="303"/>
      <c r="Y63" s="304"/>
      <c r="Z63" s="304"/>
      <c r="AA63" s="252"/>
      <c r="AB63" s="305"/>
      <c r="AC63" s="246"/>
      <c r="AD63" s="248"/>
    </row>
    <row r="64" spans="1:31" ht="21">
      <c r="A64" s="247">
        <v>2010</v>
      </c>
      <c r="B64" s="213">
        <f>A64+5</f>
        <v>2015</v>
      </c>
      <c r="C64" s="300">
        <f>VLOOKUP($A64,BroodTab!$A$12:$AG$67,3)</f>
        <v>10.098725334596629</v>
      </c>
      <c r="D64" s="309"/>
      <c r="E64" s="213">
        <v>37</v>
      </c>
      <c r="F64" s="213">
        <v>35</v>
      </c>
      <c r="G64" s="300">
        <v>3.3513917054362268</v>
      </c>
      <c r="H64" s="300">
        <v>0.37748145940555039</v>
      </c>
      <c r="I64" s="213">
        <v>0.27691021408808336</v>
      </c>
      <c r="J64" s="213">
        <v>7.1634732828755681</v>
      </c>
      <c r="K64" s="213">
        <v>1.3989705304192872</v>
      </c>
      <c r="L64" s="213">
        <v>5.0417130827360733E-2</v>
      </c>
      <c r="M64" s="124">
        <v>2.1070792718314846</v>
      </c>
      <c r="P64" s="384">
        <f>J64</f>
        <v>7.1634732828755681</v>
      </c>
      <c r="Q64" s="213">
        <f>$P64-(SQRT($O$66)*$Q$66)</f>
        <v>5.2468237647865212</v>
      </c>
      <c r="R64" s="213">
        <f>$P64+SQRT($O$66)*$Q$66</f>
        <v>9.0801228009646149</v>
      </c>
      <c r="S64" s="265"/>
      <c r="U64" s="477">
        <f>EXP(P64)</f>
        <v>1291.3885100562013</v>
      </c>
      <c r="V64" s="477">
        <f>EXP(Q64)</f>
        <v>189.96194541038136</v>
      </c>
      <c r="W64" s="477">
        <f>EXP(R64)</f>
        <v>8779.044035911611</v>
      </c>
      <c r="X64" s="303"/>
      <c r="Y64" s="386">
        <f>C64</f>
        <v>10.098725334596629</v>
      </c>
      <c r="Z64" s="386">
        <f>(+G$64+H$64*C64)</f>
        <v>7.1634732828755681</v>
      </c>
      <c r="AA64" s="252"/>
      <c r="AB64" s="387">
        <f>B64-1900</f>
        <v>115</v>
      </c>
      <c r="AC64" s="247">
        <f>Z64-SQRT($O$67)*$Q$67</f>
        <v>5.2677121531734192</v>
      </c>
      <c r="AD64" s="258">
        <f>Z64+SQRT($O$67)*$Q$67</f>
        <v>9.059234412577716</v>
      </c>
      <c r="AE64" s="213">
        <f>Z64</f>
        <v>7.1634732828755681</v>
      </c>
    </row>
    <row r="65" spans="1:30">
      <c r="A65" s="260"/>
      <c r="B65" s="224"/>
      <c r="C65" s="315"/>
      <c r="D65" s="224"/>
      <c r="E65" s="224"/>
      <c r="F65" s="224"/>
      <c r="G65" s="224"/>
      <c r="H65" s="317"/>
      <c r="I65" s="224"/>
      <c r="J65" s="224"/>
      <c r="K65" s="224"/>
      <c r="L65" s="224"/>
      <c r="M65" s="224"/>
      <c r="N65" s="224"/>
      <c r="O65" s="224"/>
      <c r="P65" s="224"/>
      <c r="Q65" s="224"/>
      <c r="R65" s="224"/>
      <c r="S65" s="224"/>
      <c r="T65" s="224"/>
      <c r="U65" s="224"/>
      <c r="V65" s="224"/>
      <c r="W65" s="224"/>
      <c r="X65" s="298"/>
      <c r="Y65" s="252"/>
      <c r="Z65" s="298"/>
      <c r="AA65" s="298"/>
      <c r="AB65" s="298"/>
      <c r="AC65" s="224"/>
      <c r="AD65" s="298"/>
    </row>
    <row r="66" spans="1:30">
      <c r="A66" s="246"/>
      <c r="C66" s="309"/>
      <c r="E66" s="308" t="s">
        <v>152</v>
      </c>
      <c r="F66" s="213">
        <f>F62</f>
        <v>34</v>
      </c>
      <c r="H66" s="318"/>
      <c r="M66" s="308" t="s">
        <v>153</v>
      </c>
      <c r="O66" s="213">
        <f>AVERAGEA(O26:O61)</f>
        <v>2.1406359624677913</v>
      </c>
      <c r="P66" s="308" t="s">
        <v>154</v>
      </c>
      <c r="Q66" s="213">
        <f>VLOOKUP(F66,ttab!$A$3:$G$43,4)</f>
        <v>1.31</v>
      </c>
      <c r="X66" s="248"/>
      <c r="Y66" s="253"/>
    </row>
    <row r="67" spans="1:30" ht="21">
      <c r="A67" s="246"/>
      <c r="E67" s="308" t="s">
        <v>152</v>
      </c>
      <c r="F67" s="213">
        <f>F64</f>
        <v>35</v>
      </c>
      <c r="M67" s="308" t="s">
        <v>155</v>
      </c>
      <c r="O67" s="213">
        <f>AVERAGEA(O26:O65)</f>
        <v>2.1070792718314846</v>
      </c>
      <c r="P67" s="308" t="s">
        <v>154</v>
      </c>
      <c r="Q67" s="213">
        <f>VLOOKUP(F67,ttab!$A$3:$G$43,4)</f>
        <v>1.306</v>
      </c>
      <c r="S67" s="308" t="s">
        <v>166</v>
      </c>
      <c r="T67" s="213">
        <f>AVERAGEA(T26:T64)</f>
        <v>84485459.904192641</v>
      </c>
      <c r="W67" s="124" t="s">
        <v>167</v>
      </c>
      <c r="X67" s="478">
        <f>AVERAGEA(X26:X63)</f>
        <v>1.4678074218174819</v>
      </c>
      <c r="Y67" s="246"/>
    </row>
    <row r="68" spans="1:30">
      <c r="A68" s="224"/>
      <c r="B68" s="224"/>
      <c r="C68" s="224"/>
      <c r="D68" s="224"/>
      <c r="E68" s="224"/>
      <c r="F68" s="224"/>
      <c r="G68" s="224"/>
      <c r="H68" s="224"/>
      <c r="I68" s="224"/>
      <c r="J68" s="224"/>
      <c r="K68" s="224"/>
      <c r="L68" s="224"/>
      <c r="M68" s="224"/>
      <c r="N68" s="224"/>
      <c r="O68" s="224"/>
      <c r="P68" s="224"/>
      <c r="Q68" s="224"/>
      <c r="R68" s="224"/>
      <c r="S68" s="224"/>
      <c r="T68" s="224"/>
      <c r="U68" s="224"/>
      <c r="V68" s="224"/>
      <c r="W68" s="224"/>
      <c r="X68" s="298"/>
    </row>
    <row r="70" spans="1:30" ht="15" customHeight="1"/>
    <row r="71" spans="1:30" ht="15" customHeight="1"/>
    <row r="72" spans="1:30" ht="15" customHeight="1"/>
    <row r="73" spans="1:30" ht="15" customHeight="1">
      <c r="J73" s="124" t="s">
        <v>372</v>
      </c>
      <c r="L73" s="213">
        <f>ROUND(L64,5)</f>
        <v>5.042E-2</v>
      </c>
    </row>
    <row r="74" spans="1:30" ht="15" customHeight="1">
      <c r="J74" s="319" t="s">
        <v>168</v>
      </c>
      <c r="L74" s="390">
        <f>ROUND(H64,5)</f>
        <v>0.37747999999999998</v>
      </c>
    </row>
    <row r="75" spans="1:30" ht="15" customHeight="1"/>
    <row r="76" spans="1:30" ht="15" customHeight="1"/>
    <row r="77" spans="1:30" ht="15" customHeight="1"/>
    <row r="78" spans="1:30" ht="15" customHeight="1"/>
    <row r="79" spans="1:30" ht="15" customHeight="1"/>
    <row r="80" spans="1:3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sheetData>
  <sortState ref="A26:AD62">
    <sortCondition ref="B26"/>
  </sortState>
  <phoneticPr fontId="11" type="noConversion"/>
  <pageMargins left="0.5" right="0.5" top="1" bottom="0.55000000000000004" header="0.5" footer="0.5"/>
  <pageSetup orientation="landscape"/>
  <headerFooter alignWithMargins="0">
    <oddFooter>&amp;L&amp;D&amp;C+&amp;R^</oddFooter>
  </headerFooter>
  <rowBreaks count="1" manualBreakCount="1">
    <brk id="90" max="16383" man="1"/>
  </rowBreaks>
  <drawing r:id="rId1"/>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3" enableFormatConditionsCalculation="0"/>
  <dimension ref="A1:AE90"/>
  <sheetViews>
    <sheetView defaultGridColor="0" colorId="22" zoomScale="77" workbookViewId="0">
      <pane ySplit="11" topLeftCell="A12" activePane="bottomLeft" state="frozenSplit"/>
      <selection pane="bottomLeft" activeCell="A12" sqref="A12"/>
    </sheetView>
  </sheetViews>
  <sheetFormatPr baseColWidth="10" defaultColWidth="9.625" defaultRowHeight="15" x14ac:dyDescent="0"/>
  <cols>
    <col min="1" max="2" width="6.625" style="124" customWidth="1"/>
    <col min="3" max="4" width="9.625" style="124"/>
    <col min="5" max="9" width="7.625" style="124" customWidth="1"/>
    <col min="10" max="10" width="9.25" style="124" customWidth="1"/>
    <col min="11" max="11" width="7.625" style="124" customWidth="1"/>
    <col min="12" max="12" width="9.375" style="124" customWidth="1"/>
    <col min="13" max="14" width="9.625" style="124"/>
    <col min="15" max="15" width="16.25" style="124" customWidth="1"/>
    <col min="16" max="16" width="9.625" style="124"/>
    <col min="17" max="17" width="12.625" style="124" customWidth="1"/>
    <col min="18" max="18" width="11.5" style="124" customWidth="1"/>
    <col min="19" max="19" width="9.625" style="124"/>
    <col min="20" max="20" width="14.75" style="124" customWidth="1"/>
    <col min="21" max="21" width="9.625" style="124"/>
    <col min="22" max="22" width="12.5" style="124" customWidth="1"/>
    <col min="23" max="23" width="11.625" style="124" customWidth="1"/>
    <col min="24" max="24" width="12.5" style="124" customWidth="1"/>
    <col min="25" max="16384" width="9.625" style="124"/>
  </cols>
  <sheetData>
    <row r="1" spans="1:30">
      <c r="A1" s="124" t="s">
        <v>30</v>
      </c>
      <c r="B1" s="213" t="str">
        <f ca="1">CELL("filename",B2)</f>
        <v>NWCLM04072996:Users:eric.ward:Documents:NCEAS-covariation:data:salmon data:[2015 Coghill Lake Wild Sockeye forecast-FINAL.xlsm]ln 22 x ln 12</v>
      </c>
      <c r="F1" s="124" t="s">
        <v>179</v>
      </c>
    </row>
    <row r="2" spans="1:30">
      <c r="A2" s="124" t="s">
        <v>31</v>
      </c>
      <c r="F2" s="288" t="s">
        <v>115</v>
      </c>
      <c r="G2" s="288" t="s">
        <v>161</v>
      </c>
    </row>
    <row r="3" spans="1:30">
      <c r="A3" s="124" t="s">
        <v>104</v>
      </c>
      <c r="B3" s="124" t="s">
        <v>105</v>
      </c>
      <c r="F3" s="288" t="s">
        <v>117</v>
      </c>
      <c r="G3" s="288" t="s">
        <v>177</v>
      </c>
    </row>
    <row r="4" spans="1:30">
      <c r="H4" s="124">
        <v>5</v>
      </c>
    </row>
    <row r="8" spans="1:30">
      <c r="Z8" s="124" t="s">
        <v>119</v>
      </c>
    </row>
    <row r="9" spans="1:30">
      <c r="A9" s="256"/>
      <c r="B9" s="256"/>
      <c r="C9" s="233" t="s">
        <v>120</v>
      </c>
      <c r="D9" s="289"/>
      <c r="E9" s="233"/>
      <c r="F9" s="230"/>
      <c r="G9" s="230"/>
      <c r="H9" s="230" t="s">
        <v>121</v>
      </c>
      <c r="I9" s="230"/>
      <c r="J9" s="230"/>
      <c r="K9" s="230"/>
      <c r="L9" s="230"/>
      <c r="M9" s="289"/>
      <c r="N9" s="233" t="s">
        <v>122</v>
      </c>
      <c r="O9" s="230"/>
      <c r="P9" s="230"/>
      <c r="Q9" s="230"/>
      <c r="R9" s="289"/>
      <c r="S9" s="233" t="s">
        <v>123</v>
      </c>
      <c r="T9" s="230"/>
      <c r="U9" s="230"/>
      <c r="V9" s="230"/>
      <c r="W9" s="289"/>
      <c r="X9" s="225" t="s">
        <v>124</v>
      </c>
      <c r="Y9" s="290" t="s">
        <v>125</v>
      </c>
      <c r="Z9" s="290" t="s">
        <v>126</v>
      </c>
      <c r="AA9" s="290" t="s">
        <v>127</v>
      </c>
      <c r="AB9" s="290" t="s">
        <v>128</v>
      </c>
      <c r="AC9" s="291" t="s">
        <v>129</v>
      </c>
      <c r="AD9" s="292"/>
    </row>
    <row r="10" spans="1:30">
      <c r="A10" s="188" t="s">
        <v>37</v>
      </c>
      <c r="B10" s="252" t="s">
        <v>40</v>
      </c>
      <c r="C10" s="293" t="s">
        <v>130</v>
      </c>
      <c r="D10" s="293" t="s">
        <v>131</v>
      </c>
      <c r="E10" s="256"/>
      <c r="F10" s="256"/>
      <c r="G10" s="256"/>
      <c r="H10" s="256"/>
      <c r="I10" s="293" t="s">
        <v>132</v>
      </c>
      <c r="J10" s="293" t="s">
        <v>133</v>
      </c>
      <c r="K10" s="293" t="s">
        <v>132</v>
      </c>
      <c r="L10" s="256"/>
      <c r="M10" s="256"/>
      <c r="N10" s="256"/>
      <c r="O10" s="256"/>
      <c r="P10" s="225" t="s">
        <v>135</v>
      </c>
      <c r="Q10" s="225" t="s">
        <v>4</v>
      </c>
      <c r="R10" s="225" t="s">
        <v>5</v>
      </c>
      <c r="S10" s="256"/>
      <c r="T10" s="256"/>
      <c r="U10" s="225" t="s">
        <v>135</v>
      </c>
      <c r="V10" s="225" t="s">
        <v>4</v>
      </c>
      <c r="W10" s="225" t="s">
        <v>5</v>
      </c>
      <c r="X10" s="188" t="s">
        <v>12</v>
      </c>
      <c r="Y10" s="252"/>
      <c r="Z10" s="225" t="s">
        <v>137</v>
      </c>
      <c r="AA10" s="225" t="s">
        <v>54</v>
      </c>
      <c r="AB10" s="225" t="s">
        <v>40</v>
      </c>
      <c r="AC10" s="290" t="s">
        <v>138</v>
      </c>
      <c r="AD10" s="290" t="s">
        <v>139</v>
      </c>
    </row>
    <row r="11" spans="1:30" ht="17" customHeight="1">
      <c r="A11" s="243" t="s">
        <v>42</v>
      </c>
      <c r="B11" s="294" t="s">
        <v>42</v>
      </c>
      <c r="C11" s="295" t="s">
        <v>125</v>
      </c>
      <c r="D11" s="295" t="s">
        <v>140</v>
      </c>
      <c r="E11" s="295" t="s">
        <v>49</v>
      </c>
      <c r="F11" s="295" t="s">
        <v>141</v>
      </c>
      <c r="G11" s="295" t="s">
        <v>107</v>
      </c>
      <c r="H11" s="295" t="s">
        <v>142</v>
      </c>
      <c r="I11" s="295" t="s">
        <v>142</v>
      </c>
      <c r="J11" s="295" t="s">
        <v>143</v>
      </c>
      <c r="K11" s="295" t="s">
        <v>133</v>
      </c>
      <c r="L11" s="295" t="s">
        <v>144</v>
      </c>
      <c r="M11" s="295" t="s">
        <v>145</v>
      </c>
      <c r="N11" s="295" t="s">
        <v>146</v>
      </c>
      <c r="O11" s="295" t="s">
        <v>147</v>
      </c>
      <c r="P11" s="295" t="s">
        <v>143</v>
      </c>
      <c r="Q11" s="295" t="s">
        <v>148</v>
      </c>
      <c r="R11" s="295" t="s">
        <v>149</v>
      </c>
      <c r="S11" s="295" t="s">
        <v>146</v>
      </c>
      <c r="T11" s="295" t="s">
        <v>147</v>
      </c>
      <c r="U11" s="295" t="s">
        <v>143</v>
      </c>
      <c r="V11" s="295" t="s">
        <v>148</v>
      </c>
      <c r="W11" s="295" t="s">
        <v>149</v>
      </c>
      <c r="X11" s="295" t="s">
        <v>150</v>
      </c>
      <c r="Y11" s="243" t="s">
        <v>180</v>
      </c>
      <c r="Z11" s="243" t="s">
        <v>151</v>
      </c>
      <c r="AA11" s="243" t="s">
        <v>151</v>
      </c>
      <c r="AB11" s="243" t="s">
        <v>42</v>
      </c>
      <c r="AC11" s="290" t="s">
        <v>4</v>
      </c>
      <c r="AD11" s="290" t="s">
        <v>5</v>
      </c>
    </row>
    <row r="12" spans="1:30">
      <c r="A12" s="253"/>
      <c r="B12" s="254"/>
      <c r="C12" s="254"/>
      <c r="D12" s="254"/>
      <c r="E12" s="254"/>
      <c r="F12" s="254"/>
      <c r="G12" s="254"/>
      <c r="H12" s="254"/>
      <c r="I12" s="254"/>
      <c r="J12" s="254"/>
      <c r="K12" s="254"/>
      <c r="L12" s="254"/>
      <c r="M12" s="254"/>
      <c r="N12" s="254"/>
      <c r="O12" s="254"/>
      <c r="P12" s="254"/>
      <c r="Q12" s="254"/>
      <c r="R12" s="254"/>
      <c r="S12" s="254"/>
      <c r="T12" s="254"/>
      <c r="U12" s="254"/>
      <c r="V12" s="254"/>
      <c r="W12" s="254"/>
      <c r="X12" s="255"/>
      <c r="Y12" s="256"/>
      <c r="Z12" s="256"/>
      <c r="AA12" s="256"/>
      <c r="AB12" s="256"/>
      <c r="AC12" s="253"/>
      <c r="AD12" s="255"/>
    </row>
    <row r="13" spans="1:30">
      <c r="A13" s="247">
        <v>1962</v>
      </c>
      <c r="B13" s="213">
        <f t="shared" ref="B13:B23" si="0">A13+5</f>
        <v>1967</v>
      </c>
      <c r="C13" s="300">
        <f>VLOOKUP($A13,BroodTab!$A$12:$AG$67,12)</f>
        <v>9.7877960780399356</v>
      </c>
      <c r="D13" s="300">
        <f>VLOOKUP($A13,BroodTab!$A$12:$AG$67,24)</f>
        <v>7.693937325509272</v>
      </c>
      <c r="X13" s="248"/>
      <c r="Y13" s="252"/>
      <c r="Z13" s="252"/>
      <c r="AA13" s="252"/>
      <c r="AB13" s="252"/>
      <c r="AC13" s="246"/>
      <c r="AD13" s="248"/>
    </row>
    <row r="14" spans="1:30">
      <c r="A14" s="247">
        <v>1963</v>
      </c>
      <c r="B14" s="213">
        <f t="shared" si="0"/>
        <v>1968</v>
      </c>
      <c r="C14" s="300">
        <f>VLOOKUP($A14,BroodTab!$A$12:$AG$67,12)</f>
        <v>8.3873122705617167</v>
      </c>
      <c r="D14" s="300">
        <f>VLOOKUP($A14,BroodTab!$A$12:$AG$67,24)</f>
        <v>5.7620513827801769</v>
      </c>
      <c r="X14" s="248"/>
      <c r="Y14" s="252"/>
      <c r="Z14" s="252"/>
      <c r="AA14" s="252"/>
      <c r="AB14" s="252"/>
      <c r="AC14" s="246"/>
      <c r="AD14" s="248"/>
    </row>
    <row r="15" spans="1:30">
      <c r="A15" s="247">
        <v>1964</v>
      </c>
      <c r="B15" s="213">
        <f t="shared" si="0"/>
        <v>1969</v>
      </c>
      <c r="C15" s="300">
        <f>VLOOKUP($A15,BroodTab!$A$12:$AG$67,12)</f>
        <v>10.390163916069115</v>
      </c>
      <c r="D15" s="300">
        <f>VLOOKUP($A15,BroodTab!$A$12:$AG$67,24)</f>
        <v>8.3318270044360574</v>
      </c>
      <c r="X15" s="248"/>
      <c r="Y15" s="252"/>
      <c r="Z15" s="252"/>
      <c r="AA15" s="252"/>
      <c r="AB15" s="252"/>
      <c r="AC15" s="246"/>
      <c r="AD15" s="248"/>
    </row>
    <row r="16" spans="1:30">
      <c r="A16" s="247">
        <v>1965</v>
      </c>
      <c r="B16" s="213">
        <f t="shared" si="0"/>
        <v>1970</v>
      </c>
      <c r="C16" s="300">
        <f>VLOOKUP($A16,BroodTab!$A$12:$AG$67,12)</f>
        <v>10.13455959017246</v>
      </c>
      <c r="D16" s="300">
        <f>VLOOKUP($A16,BroodTab!$A$12:$AG$67,24)</f>
        <v>7.3987862754199485</v>
      </c>
      <c r="X16" s="248"/>
      <c r="Y16" s="252"/>
      <c r="Z16" s="252"/>
      <c r="AA16" s="252"/>
      <c r="AB16" s="252"/>
      <c r="AC16" s="246"/>
      <c r="AD16" s="248"/>
    </row>
    <row r="17" spans="1:30">
      <c r="A17" s="247">
        <v>1966</v>
      </c>
      <c r="B17" s="213">
        <f t="shared" si="0"/>
        <v>1971</v>
      </c>
      <c r="C17" s="300">
        <f>VLOOKUP($A17,BroodTab!$A$12:$AG$67,12)</f>
        <v>9.201602306032898</v>
      </c>
      <c r="D17" s="300">
        <f>VLOOKUP($A17,BroodTab!$A$12:$AG$67,24)</f>
        <v>5.7137328055093688</v>
      </c>
      <c r="X17" s="248"/>
      <c r="Y17" s="252"/>
      <c r="Z17" s="252"/>
      <c r="AA17" s="252"/>
      <c r="AB17" s="252"/>
      <c r="AC17" s="246"/>
      <c r="AD17" s="248"/>
    </row>
    <row r="18" spans="1:30">
      <c r="A18" s="247">
        <v>1967</v>
      </c>
      <c r="B18" s="213">
        <f t="shared" si="0"/>
        <v>1972</v>
      </c>
      <c r="C18" s="300">
        <f>VLOOKUP($A18,BroodTab!$A$12:$AG$67,12)</f>
        <v>8.2297777500818867</v>
      </c>
      <c r="D18" s="300">
        <f>VLOOKUP($A18,BroodTab!$A$12:$AG$67,24)</f>
        <v>7.2416009919483422</v>
      </c>
      <c r="X18" s="248"/>
      <c r="Y18" s="252"/>
      <c r="Z18" s="252"/>
      <c r="AA18" s="252"/>
      <c r="AB18" s="252"/>
      <c r="AC18" s="246"/>
      <c r="AD18" s="248"/>
    </row>
    <row r="19" spans="1:30">
      <c r="A19" s="247">
        <v>1968</v>
      </c>
      <c r="B19" s="213">
        <f t="shared" si="0"/>
        <v>1973</v>
      </c>
      <c r="C19" s="300">
        <f>VLOOKUP($A19,BroodTab!$A$12:$AG$67,12)</f>
        <v>10.022408488192408</v>
      </c>
      <c r="D19" s="300">
        <f>VLOOKUP($A19,BroodTab!$A$12:$AG$67,24)</f>
        <v>8.0769194366010453</v>
      </c>
      <c r="X19" s="248"/>
      <c r="Y19" s="252"/>
      <c r="Z19" s="252"/>
      <c r="AA19" s="252"/>
      <c r="AB19" s="252"/>
      <c r="AC19" s="246"/>
      <c r="AD19" s="248"/>
    </row>
    <row r="20" spans="1:30">
      <c r="A20" s="247">
        <v>1969</v>
      </c>
      <c r="B20" s="213">
        <f t="shared" si="0"/>
        <v>1974</v>
      </c>
      <c r="C20" s="300">
        <f>VLOOKUP($A20,BroodTab!$A$12:$AG$67,12)</f>
        <v>9.4646873032298213</v>
      </c>
      <c r="D20" s="300">
        <f>VLOOKUP($A20,BroodTab!$A$12:$AG$67,24)</f>
        <v>8.9756301842905071</v>
      </c>
      <c r="X20" s="248"/>
      <c r="Y20" s="252"/>
      <c r="Z20" s="252"/>
      <c r="AA20" s="252"/>
      <c r="AB20" s="252"/>
      <c r="AC20" s="246"/>
      <c r="AD20" s="248"/>
    </row>
    <row r="21" spans="1:30">
      <c r="A21" s="247">
        <v>1970</v>
      </c>
      <c r="B21" s="213">
        <f t="shared" si="0"/>
        <v>1975</v>
      </c>
      <c r="C21" s="300">
        <f>VLOOKUP($A21,BroodTab!$A$12:$AG$67,12)</f>
        <v>10.805273598207402</v>
      </c>
      <c r="D21" s="300">
        <f>VLOOKUP($A21,BroodTab!$A$12:$AG$67,24)</f>
        <v>9.0828478514609063</v>
      </c>
      <c r="X21" s="248"/>
      <c r="Y21" s="252"/>
      <c r="Z21" s="252"/>
      <c r="AA21" s="252"/>
      <c r="AB21" s="252"/>
      <c r="AC21" s="246"/>
      <c r="AD21" s="248"/>
    </row>
    <row r="22" spans="1:30">
      <c r="A22" s="247">
        <v>1971</v>
      </c>
      <c r="B22" s="213">
        <f t="shared" si="0"/>
        <v>1976</v>
      </c>
      <c r="C22" s="300">
        <f>VLOOKUP($A22,BroodTab!$A$12:$AG$67,12)</f>
        <v>8.6312359074568974</v>
      </c>
      <c r="D22" s="300">
        <f>VLOOKUP($A22,BroodTab!$A$12:$AG$67,24)</f>
        <v>7.9309253724833884</v>
      </c>
      <c r="X22" s="248"/>
      <c r="Y22" s="252"/>
      <c r="Z22" s="252"/>
      <c r="AA22" s="252"/>
      <c r="AB22" s="252"/>
      <c r="AC22" s="246"/>
      <c r="AD22" s="248"/>
    </row>
    <row r="23" spans="1:30">
      <c r="A23" s="297">
        <v>1972</v>
      </c>
      <c r="B23" s="261">
        <f t="shared" si="0"/>
        <v>1977</v>
      </c>
      <c r="C23" s="300">
        <f>VLOOKUP($A23,BroodTab!$A$12:$AG$67,12)</f>
        <v>10.290517098488607</v>
      </c>
      <c r="D23" s="300">
        <f>VLOOKUP($A23,BroodTab!$A$12:$AG$67,24)</f>
        <v>8.8085186187828164</v>
      </c>
      <c r="E23" s="224"/>
      <c r="F23" s="224"/>
      <c r="G23" s="224"/>
      <c r="H23" s="224"/>
      <c r="I23" s="224"/>
      <c r="J23" s="224"/>
      <c r="K23" s="224"/>
      <c r="L23" s="224"/>
      <c r="M23" s="224"/>
      <c r="N23" s="224"/>
      <c r="O23" s="224"/>
      <c r="P23" s="224"/>
      <c r="Q23" s="224"/>
      <c r="R23" s="224"/>
      <c r="S23" s="224"/>
      <c r="T23" s="224"/>
      <c r="U23" s="224"/>
      <c r="V23" s="224"/>
      <c r="W23" s="224"/>
      <c r="X23" s="298"/>
      <c r="Y23" s="294"/>
      <c r="Z23" s="294"/>
      <c r="AA23" s="294"/>
      <c r="AB23" s="294"/>
      <c r="AC23" s="260"/>
      <c r="AD23" s="298"/>
    </row>
    <row r="24" spans="1:30">
      <c r="A24" s="247"/>
      <c r="C24" s="300"/>
      <c r="D24" s="300"/>
      <c r="X24" s="248"/>
      <c r="Y24" s="256"/>
      <c r="Z24" s="256"/>
      <c r="AA24" s="256"/>
      <c r="AB24" s="256"/>
      <c r="AC24" s="246"/>
      <c r="AD24" s="248"/>
    </row>
    <row r="25" spans="1:30">
      <c r="A25" s="247"/>
      <c r="C25" s="300"/>
      <c r="D25" s="300"/>
      <c r="X25" s="248"/>
      <c r="Y25" s="252"/>
      <c r="Z25" s="252"/>
      <c r="AA25" s="252"/>
      <c r="AB25" s="252"/>
      <c r="AC25" s="246"/>
      <c r="AD25" s="248"/>
    </row>
    <row r="26" spans="1:30">
      <c r="A26" s="247">
        <v>1973</v>
      </c>
      <c r="B26" s="213">
        <f t="shared" ref="B26:B62" si="1">A26+$H$4</f>
        <v>1978</v>
      </c>
      <c r="C26" s="300">
        <f>VLOOKUP($A26,BroodTab!$A$12:$AG$67,12)</f>
        <v>10.144628180551992</v>
      </c>
      <c r="D26" s="300">
        <f>VLOOKUP($A26,BroodTab!$A$12:$AG$67,24)</f>
        <v>8.111328003286733</v>
      </c>
      <c r="E26" s="213">
        <v>36</v>
      </c>
      <c r="F26" s="213">
        <v>34</v>
      </c>
      <c r="G26" s="300">
        <v>4.8267679329388518</v>
      </c>
      <c r="H26" s="300">
        <v>0.25204801444529096</v>
      </c>
      <c r="I26" s="213">
        <v>0.18890668558239959</v>
      </c>
      <c r="J26" s="213">
        <v>7.3837013231327262</v>
      </c>
      <c r="K26" s="213">
        <v>1.4137918077838305</v>
      </c>
      <c r="L26" s="213">
        <v>4.9754112763013954E-2</v>
      </c>
      <c r="M26" s="124">
        <v>2.098443663548919</v>
      </c>
      <c r="N26" s="213">
        <f t="shared" ref="N26:N62" si="2">D26-J26</f>
        <v>0.72762668015400678</v>
      </c>
      <c r="O26" s="213">
        <f t="shared" ref="O26:O62" si="3">N26^2</f>
        <v>0.5294405856719413</v>
      </c>
      <c r="P26" s="384">
        <f t="shared" ref="P26:P62" si="4">J26</f>
        <v>7.3837013231327262</v>
      </c>
      <c r="Q26" s="213">
        <f t="shared" ref="Q26:Q41" si="5">$P26-SQRT($O$66)*$Q$66</f>
        <v>5.5006319560912349</v>
      </c>
      <c r="R26" s="213">
        <f t="shared" ref="R26:R62" si="6">$P26+SQRT($O$66)*$Q$66</f>
        <v>9.2667706901742175</v>
      </c>
      <c r="S26" s="350">
        <f t="shared" ref="S26:S62" si="7">EXP(D26)-U26</f>
        <v>1722.4638302756673</v>
      </c>
      <c r="T26" s="213">
        <f t="shared" ref="T26:T62" si="8">S26^2</f>
        <v>2966881.6466079229</v>
      </c>
      <c r="U26" s="350">
        <f t="shared" ref="U26:U62" si="9">EXP(P26)</f>
        <v>1609.5361697243318</v>
      </c>
      <c r="V26" s="350">
        <f t="shared" ref="V26:V62" si="10">EXP(Q26)</f>
        <v>244.84661569271026</v>
      </c>
      <c r="W26" s="350">
        <f t="shared" ref="W26:W62" si="11">EXP(R26)</f>
        <v>10580.52885199835</v>
      </c>
      <c r="X26" s="364">
        <f t="shared" ref="X26:X62" si="12">(+U26-EXP(D26))/(EXP(D26))</f>
        <v>-0.51694592745368184</v>
      </c>
      <c r="Y26" s="222">
        <f t="shared" ref="Y26:Y62" si="13">C26</f>
        <v>10.144628180551992</v>
      </c>
      <c r="Z26" s="386">
        <f t="shared" ref="Z26:Z62" si="14">(+G$64+H$64*C26)</f>
        <v>7.4043016661301078</v>
      </c>
      <c r="AA26" s="385">
        <f t="shared" ref="AA26:AA62" si="15">D26</f>
        <v>8.111328003286733</v>
      </c>
      <c r="AB26" s="387">
        <f>'ln 12 x ln 11'!B26-1900</f>
        <v>80</v>
      </c>
      <c r="AC26" s="247">
        <f t="shared" ref="AC26:AC62" si="16">Z26-SQRT($O$66)*$Q$66</f>
        <v>5.5212322990886165</v>
      </c>
      <c r="AD26" s="258">
        <f t="shared" ref="AD26:AD62" si="17">Z26+SQRT($O$66)*$Q$66</f>
        <v>9.2873710331715991</v>
      </c>
    </row>
    <row r="27" spans="1:30">
      <c r="A27" s="247">
        <v>1974</v>
      </c>
      <c r="B27" s="213">
        <f t="shared" si="1"/>
        <v>1979</v>
      </c>
      <c r="C27" s="300">
        <f>VLOOKUP($A27,BroodTab!$A$12:$AG$67,12)</f>
        <v>9.9537528186836788</v>
      </c>
      <c r="D27" s="300">
        <f>VLOOKUP($A27,BroodTab!$A$12:$AG$67,24)</f>
        <v>9.2590352935149411</v>
      </c>
      <c r="E27" s="213">
        <v>36</v>
      </c>
      <c r="F27" s="213">
        <v>34</v>
      </c>
      <c r="G27" s="300">
        <v>4.7858780484583274</v>
      </c>
      <c r="H27" s="300">
        <v>0.25282507589969055</v>
      </c>
      <c r="I27" s="213">
        <v>0.18427976035808583</v>
      </c>
      <c r="J27" s="213">
        <v>7.3024363603287874</v>
      </c>
      <c r="K27" s="213">
        <v>1.3799988992802874</v>
      </c>
      <c r="L27" s="213">
        <v>5.2457180342009795E-2</v>
      </c>
      <c r="M27" s="124">
        <v>2.0068086639252902</v>
      </c>
      <c r="N27" s="213">
        <f t="shared" si="2"/>
        <v>1.9565989331861537</v>
      </c>
      <c r="O27" s="213">
        <f t="shared" si="3"/>
        <v>3.8282793853451951</v>
      </c>
      <c r="P27" s="384">
        <f t="shared" si="4"/>
        <v>7.3024363603287874</v>
      </c>
      <c r="Q27" s="213">
        <f t="shared" si="5"/>
        <v>5.4193669932872961</v>
      </c>
      <c r="R27" s="213">
        <f t="shared" si="6"/>
        <v>9.1855057273702787</v>
      </c>
      <c r="S27" s="350">
        <f t="shared" si="7"/>
        <v>9015.0891314066357</v>
      </c>
      <c r="T27" s="213">
        <f t="shared" si="8"/>
        <v>81271832.047206044</v>
      </c>
      <c r="U27" s="350">
        <f t="shared" si="9"/>
        <v>1483.9108685933634</v>
      </c>
      <c r="V27" s="350">
        <f t="shared" si="10"/>
        <v>225.73618474628219</v>
      </c>
      <c r="W27" s="350">
        <f t="shared" si="11"/>
        <v>9754.7119811759676</v>
      </c>
      <c r="X27" s="364">
        <f t="shared" si="12"/>
        <v>-0.85866169458106845</v>
      </c>
      <c r="Y27" s="222">
        <f t="shared" si="13"/>
        <v>9.9537528186836788</v>
      </c>
      <c r="Z27" s="386">
        <f t="shared" si="14"/>
        <v>7.3555272058123009</v>
      </c>
      <c r="AA27" s="385">
        <f t="shared" si="15"/>
        <v>9.2590352935149411</v>
      </c>
      <c r="AB27" s="387">
        <f t="shared" ref="AB27:AB62" si="18">B27-1900</f>
        <v>79</v>
      </c>
      <c r="AC27" s="247">
        <f t="shared" si="16"/>
        <v>5.4724578387708096</v>
      </c>
      <c r="AD27" s="258">
        <f t="shared" si="17"/>
        <v>9.2385965728537922</v>
      </c>
    </row>
    <row r="28" spans="1:30">
      <c r="A28" s="247">
        <v>1975</v>
      </c>
      <c r="B28" s="213">
        <f t="shared" si="1"/>
        <v>1980</v>
      </c>
      <c r="C28" s="300">
        <f>VLOOKUP($A28,BroodTab!$A$12:$AG$67,12)</f>
        <v>10.554431576877635</v>
      </c>
      <c r="D28" s="300">
        <f>VLOOKUP($A28,BroodTab!$A$12:$AG$67,24)</f>
        <v>8.9507089359291587</v>
      </c>
      <c r="E28" s="213">
        <v>36</v>
      </c>
      <c r="F28" s="213">
        <v>34</v>
      </c>
      <c r="G28" s="300">
        <v>4.9501220587695185</v>
      </c>
      <c r="H28" s="300">
        <v>0.23745982705279384</v>
      </c>
      <c r="I28" s="213">
        <v>0.18728130516194808</v>
      </c>
      <c r="J28" s="213">
        <v>7.4563755556554279</v>
      </c>
      <c r="K28" s="213">
        <v>1.3966296937970863</v>
      </c>
      <c r="L28" s="213">
        <v>4.5148999437831905E-2</v>
      </c>
      <c r="M28" s="124">
        <v>2.0511203769040502</v>
      </c>
      <c r="N28" s="213">
        <f t="shared" si="2"/>
        <v>1.4943333802737309</v>
      </c>
      <c r="O28" s="213">
        <f t="shared" si="3"/>
        <v>2.2330322514003149</v>
      </c>
      <c r="P28" s="384">
        <f t="shared" si="4"/>
        <v>7.4563755556554279</v>
      </c>
      <c r="Q28" s="213">
        <f t="shared" si="5"/>
        <v>5.5733061886139366</v>
      </c>
      <c r="R28" s="213">
        <f t="shared" si="6"/>
        <v>9.3394449226969183</v>
      </c>
      <c r="S28" s="350">
        <f t="shared" si="7"/>
        <v>5982.494942769099</v>
      </c>
      <c r="T28" s="213">
        <f t="shared" si="8"/>
        <v>35790245.740257844</v>
      </c>
      <c r="U28" s="350">
        <f t="shared" si="9"/>
        <v>1730.8632572309052</v>
      </c>
      <c r="V28" s="350">
        <f t="shared" si="10"/>
        <v>263.30319177134891</v>
      </c>
      <c r="W28" s="350">
        <f t="shared" si="11"/>
        <v>11378.090767063653</v>
      </c>
      <c r="X28" s="364">
        <f t="shared" si="12"/>
        <v>-0.7756018568888835</v>
      </c>
      <c r="Y28" s="222">
        <f t="shared" si="13"/>
        <v>10.554431576877635</v>
      </c>
      <c r="Z28" s="386">
        <f t="shared" si="14"/>
        <v>7.5090188978175423</v>
      </c>
      <c r="AA28" s="385">
        <f t="shared" si="15"/>
        <v>8.9507089359291587</v>
      </c>
      <c r="AB28" s="387">
        <f t="shared" si="18"/>
        <v>80</v>
      </c>
      <c r="AC28" s="247">
        <f t="shared" si="16"/>
        <v>5.625949530776051</v>
      </c>
      <c r="AD28" s="258">
        <f t="shared" si="17"/>
        <v>9.3920882648590336</v>
      </c>
    </row>
    <row r="29" spans="1:30">
      <c r="A29" s="247">
        <v>1976</v>
      </c>
      <c r="B29" s="213">
        <f t="shared" si="1"/>
        <v>1981</v>
      </c>
      <c r="C29" s="300">
        <f>VLOOKUP($A29,BroodTab!$A$12:$AG$67,12)</f>
        <v>10.86730537695477</v>
      </c>
      <c r="D29" s="300">
        <f>VLOOKUP($A29,BroodTab!$A$12:$AG$67,24)</f>
        <v>9.4506666431929993</v>
      </c>
      <c r="E29" s="213">
        <v>36</v>
      </c>
      <c r="F29" s="213">
        <v>34</v>
      </c>
      <c r="G29" s="300">
        <v>5.0994384765317999</v>
      </c>
      <c r="H29" s="300">
        <v>0.22109819535008368</v>
      </c>
      <c r="I29" s="213">
        <v>0.18608990789027355</v>
      </c>
      <c r="J29" s="213">
        <v>7.5021800836947605</v>
      </c>
      <c r="K29" s="213">
        <v>1.3810311916053102</v>
      </c>
      <c r="L29" s="213">
        <v>3.9863798732698692E-2</v>
      </c>
      <c r="M29" s="124">
        <v>2.0076869585320307</v>
      </c>
      <c r="N29" s="213">
        <f t="shared" si="2"/>
        <v>1.9484865594982388</v>
      </c>
      <c r="O29" s="213">
        <f t="shared" si="3"/>
        <v>3.7965998725452836</v>
      </c>
      <c r="P29" s="384">
        <f t="shared" si="4"/>
        <v>7.5021800836947605</v>
      </c>
      <c r="Q29" s="213">
        <f t="shared" si="5"/>
        <v>5.6191107166532692</v>
      </c>
      <c r="R29" s="213">
        <f t="shared" si="6"/>
        <v>9.3852494507362518</v>
      </c>
      <c r="S29" s="350">
        <f t="shared" si="7"/>
        <v>10904.651502032453</v>
      </c>
      <c r="T29" s="213">
        <f t="shared" si="8"/>
        <v>118911424.38077864</v>
      </c>
      <c r="U29" s="350">
        <f t="shared" si="9"/>
        <v>1811.9883979675501</v>
      </c>
      <c r="V29" s="350">
        <f t="shared" si="10"/>
        <v>275.64414845849461</v>
      </c>
      <c r="W29" s="350">
        <f t="shared" si="11"/>
        <v>11911.379119529523</v>
      </c>
      <c r="X29" s="364">
        <f t="shared" si="12"/>
        <v>-0.85751044204943239</v>
      </c>
      <c r="Y29" s="222">
        <f t="shared" si="13"/>
        <v>10.86730537695477</v>
      </c>
      <c r="Z29" s="386">
        <f t="shared" si="14"/>
        <v>7.5889676696075412</v>
      </c>
      <c r="AA29" s="385">
        <f t="shared" si="15"/>
        <v>9.4506666431929993</v>
      </c>
      <c r="AB29" s="387">
        <f t="shared" si="18"/>
        <v>81</v>
      </c>
      <c r="AC29" s="247">
        <f t="shared" si="16"/>
        <v>5.7058983025660499</v>
      </c>
      <c r="AD29" s="258">
        <f t="shared" si="17"/>
        <v>9.4720370366490325</v>
      </c>
    </row>
    <row r="30" spans="1:30">
      <c r="A30" s="247">
        <v>1977</v>
      </c>
      <c r="B30" s="213">
        <f t="shared" si="1"/>
        <v>1982</v>
      </c>
      <c r="C30" s="300">
        <f>VLOOKUP($A30,BroodTab!$A$12:$AG$67,12)</f>
        <v>11.828340204117774</v>
      </c>
      <c r="D30" s="300">
        <f>VLOOKUP($A30,BroodTab!$A$12:$AG$67,24)</f>
        <v>7.4802039718325091</v>
      </c>
      <c r="E30" s="213">
        <v>36</v>
      </c>
      <c r="F30" s="213">
        <v>34</v>
      </c>
      <c r="G30" s="300">
        <v>4.6880344722584404</v>
      </c>
      <c r="H30" s="300">
        <v>0.26915789770488013</v>
      </c>
      <c r="I30" s="213">
        <v>0.19628065030799238</v>
      </c>
      <c r="J30" s="213">
        <v>7.8717256549368937</v>
      </c>
      <c r="K30" s="213">
        <v>1.4176945644682879</v>
      </c>
      <c r="L30" s="213">
        <v>5.2408475782305709E-2</v>
      </c>
      <c r="M30" s="124">
        <v>2.1088905134532698</v>
      </c>
      <c r="N30" s="213">
        <f t="shared" si="2"/>
        <v>-0.39152168310438462</v>
      </c>
      <c r="O30" s="213">
        <f t="shared" si="3"/>
        <v>0.15328922834089018</v>
      </c>
      <c r="P30" s="384">
        <f t="shared" si="4"/>
        <v>7.8717256549368937</v>
      </c>
      <c r="Q30" s="213">
        <f t="shared" si="5"/>
        <v>5.9886562878954024</v>
      </c>
      <c r="R30" s="213">
        <f t="shared" si="6"/>
        <v>9.754795021978385</v>
      </c>
      <c r="S30" s="350">
        <f t="shared" si="7"/>
        <v>-849.48420281482026</v>
      </c>
      <c r="T30" s="213">
        <f t="shared" si="8"/>
        <v>721623.4108319307</v>
      </c>
      <c r="U30" s="350">
        <f t="shared" si="9"/>
        <v>2622.0865028148201</v>
      </c>
      <c r="V30" s="350">
        <f t="shared" si="10"/>
        <v>398.8782721035098</v>
      </c>
      <c r="W30" s="350">
        <f t="shared" si="11"/>
        <v>17236.681236072665</v>
      </c>
      <c r="X30" s="364">
        <f t="shared" si="12"/>
        <v>0.47923000145877076</v>
      </c>
      <c r="Y30" s="222">
        <f t="shared" si="13"/>
        <v>11.828340204117774</v>
      </c>
      <c r="Z30" s="386">
        <f t="shared" si="14"/>
        <v>7.8345412972495936</v>
      </c>
      <c r="AA30" s="385">
        <f t="shared" si="15"/>
        <v>7.4802039718325091</v>
      </c>
      <c r="AB30" s="387">
        <f t="shared" si="18"/>
        <v>82</v>
      </c>
      <c r="AC30" s="247">
        <f t="shared" si="16"/>
        <v>5.9514719302081023</v>
      </c>
      <c r="AD30" s="258">
        <f t="shared" si="17"/>
        <v>9.7176106642910849</v>
      </c>
    </row>
    <row r="31" spans="1:30">
      <c r="A31" s="247">
        <v>1978</v>
      </c>
      <c r="B31" s="213">
        <f t="shared" si="1"/>
        <v>1983</v>
      </c>
      <c r="C31" s="300">
        <f>VLOOKUP($A31,BroodTab!$A$12:$AG$67,12)</f>
        <v>9.0823713208076846</v>
      </c>
      <c r="D31" s="300">
        <f>VLOOKUP($A31,BroodTab!$A$12:$AG$67,24)</f>
        <v>7.668093709082406</v>
      </c>
      <c r="E31" s="213">
        <v>36</v>
      </c>
      <c r="F31" s="213">
        <v>34</v>
      </c>
      <c r="G31" s="300">
        <v>4.7192039097789138</v>
      </c>
      <c r="H31" s="300">
        <v>0.26340747750802951</v>
      </c>
      <c r="I31" s="213">
        <v>0.19018382406659534</v>
      </c>
      <c r="J31" s="213">
        <v>7.1115684291841363</v>
      </c>
      <c r="K31" s="213">
        <v>1.4160428399144231</v>
      </c>
      <c r="L31" s="213">
        <v>5.3406445418289455E-2</v>
      </c>
      <c r="M31" s="124">
        <v>2.104545222683524</v>
      </c>
      <c r="N31" s="213">
        <f t="shared" si="2"/>
        <v>0.55652527989826961</v>
      </c>
      <c r="O31" s="213">
        <f t="shared" si="3"/>
        <v>0.30972038716584732</v>
      </c>
      <c r="P31" s="384">
        <f t="shared" si="4"/>
        <v>7.1115684291841363</v>
      </c>
      <c r="Q31" s="213">
        <f t="shared" si="5"/>
        <v>5.228499062142645</v>
      </c>
      <c r="R31" s="213">
        <f t="shared" si="6"/>
        <v>8.9946377962256268</v>
      </c>
      <c r="S31" s="350">
        <f t="shared" si="7"/>
        <v>912.93095870060552</v>
      </c>
      <c r="T31" s="213">
        <f t="shared" si="8"/>
        <v>833442.93535400671</v>
      </c>
      <c r="U31" s="350">
        <f t="shared" si="9"/>
        <v>1226.0690412993954</v>
      </c>
      <c r="V31" s="350">
        <f t="shared" si="10"/>
        <v>186.51264942941816</v>
      </c>
      <c r="W31" s="350">
        <f t="shared" si="11"/>
        <v>8059.7498273257288</v>
      </c>
      <c r="X31" s="364">
        <f t="shared" si="12"/>
        <v>-0.42680269223964706</v>
      </c>
      <c r="Y31" s="222">
        <f t="shared" si="13"/>
        <v>9.0823713208076846</v>
      </c>
      <c r="Z31" s="386">
        <f t="shared" si="14"/>
        <v>7.1328627305556953</v>
      </c>
      <c r="AA31" s="385">
        <f t="shared" si="15"/>
        <v>7.668093709082406</v>
      </c>
      <c r="AB31" s="387">
        <f t="shared" si="18"/>
        <v>83</v>
      </c>
      <c r="AC31" s="247">
        <f t="shared" si="16"/>
        <v>5.249793363514204</v>
      </c>
      <c r="AD31" s="258">
        <f t="shared" si="17"/>
        <v>9.0159320975971866</v>
      </c>
    </row>
    <row r="32" spans="1:30">
      <c r="A32" s="247">
        <v>1979</v>
      </c>
      <c r="B32" s="213">
        <f t="shared" si="1"/>
        <v>1984</v>
      </c>
      <c r="C32" s="300">
        <f>VLOOKUP($A32,BroodTab!$A$12:$AG$67,12)</f>
        <v>9.7664643563694611</v>
      </c>
      <c r="D32" s="300">
        <f>VLOOKUP($A32,BroodTab!$A$12:$AG$67,24)</f>
        <v>8.7563675598029747</v>
      </c>
      <c r="E32" s="213">
        <v>36</v>
      </c>
      <c r="F32" s="213">
        <v>34</v>
      </c>
      <c r="G32" s="300">
        <v>4.7430108140567988</v>
      </c>
      <c r="H32" s="300">
        <v>0.25844441914981126</v>
      </c>
      <c r="I32" s="213">
        <v>0.1865064693715566</v>
      </c>
      <c r="J32" s="213">
        <v>7.2670990217860396</v>
      </c>
      <c r="K32" s="213">
        <v>1.3965966813678909</v>
      </c>
      <c r="L32" s="213">
        <v>5.3457391906359369E-2</v>
      </c>
      <c r="M32" s="124">
        <v>2.0515392997883644</v>
      </c>
      <c r="N32" s="213">
        <f t="shared" si="2"/>
        <v>1.489268538016935</v>
      </c>
      <c r="O32" s="213">
        <f t="shared" si="3"/>
        <v>2.2179207783270991</v>
      </c>
      <c r="P32" s="384">
        <f t="shared" si="4"/>
        <v>7.2670990217860396</v>
      </c>
      <c r="Q32" s="213">
        <f t="shared" si="5"/>
        <v>5.3840296547445483</v>
      </c>
      <c r="R32" s="213">
        <f t="shared" si="6"/>
        <v>9.1501683888275309</v>
      </c>
      <c r="S32" s="350">
        <f t="shared" si="7"/>
        <v>4918.6109096013461</v>
      </c>
      <c r="T32" s="213">
        <f t="shared" si="8"/>
        <v>24192733.28004938</v>
      </c>
      <c r="U32" s="350">
        <f t="shared" si="9"/>
        <v>1432.3890903986535</v>
      </c>
      <c r="V32" s="350">
        <f t="shared" si="10"/>
        <v>217.89856465253442</v>
      </c>
      <c r="W32" s="350">
        <f t="shared" si="11"/>
        <v>9416.0257988152734</v>
      </c>
      <c r="X32" s="364">
        <f t="shared" si="12"/>
        <v>-0.77446243262499559</v>
      </c>
      <c r="Y32" s="222">
        <f t="shared" si="13"/>
        <v>9.7664643563694611</v>
      </c>
      <c r="Z32" s="386">
        <f t="shared" si="14"/>
        <v>7.3076693074239802</v>
      </c>
      <c r="AA32" s="385">
        <f t="shared" si="15"/>
        <v>8.7563675598029747</v>
      </c>
      <c r="AB32" s="387">
        <f t="shared" si="18"/>
        <v>84</v>
      </c>
      <c r="AC32" s="247">
        <f t="shared" si="16"/>
        <v>5.4245999403824889</v>
      </c>
      <c r="AD32" s="258">
        <f t="shared" si="17"/>
        <v>9.1907386744654715</v>
      </c>
    </row>
    <row r="33" spans="1:30">
      <c r="A33" s="247">
        <v>1980</v>
      </c>
      <c r="B33" s="213">
        <f t="shared" si="1"/>
        <v>1985</v>
      </c>
      <c r="C33" s="300">
        <f>VLOOKUP($A33,BroodTab!$A$12:$AG$67,12)</f>
        <v>10.5395351410555</v>
      </c>
      <c r="D33" s="300">
        <f>VLOOKUP($A33,BroodTab!$A$12:$AG$67,24)</f>
        <v>10.850724531471959</v>
      </c>
      <c r="E33" s="213">
        <v>36</v>
      </c>
      <c r="F33" s="213">
        <v>34</v>
      </c>
      <c r="G33" s="300">
        <v>5.1232541826618867</v>
      </c>
      <c r="H33" s="300">
        <v>0.2145328989078279</v>
      </c>
      <c r="I33" s="213">
        <v>0.17340515234163234</v>
      </c>
      <c r="J33" s="213">
        <v>7.3843312096134461</v>
      </c>
      <c r="K33" s="213">
        <v>1.29338859214851</v>
      </c>
      <c r="L33" s="213">
        <v>4.3078559832895512E-2</v>
      </c>
      <c r="M33" s="124">
        <v>1.7793723894395217</v>
      </c>
      <c r="N33" s="213">
        <f t="shared" si="2"/>
        <v>3.4663933218585132</v>
      </c>
      <c r="O33" s="213">
        <f t="shared" si="3"/>
        <v>12.015882661825298</v>
      </c>
      <c r="P33" s="384">
        <f t="shared" si="4"/>
        <v>7.3843312096134461</v>
      </c>
      <c r="Q33" s="213">
        <f t="shared" si="5"/>
        <v>5.5012618425719548</v>
      </c>
      <c r="R33" s="213">
        <f t="shared" si="6"/>
        <v>9.2674005766549374</v>
      </c>
      <c r="S33" s="350">
        <f t="shared" si="7"/>
        <v>49960.952685837714</v>
      </c>
      <c r="T33" s="213">
        <f t="shared" si="8"/>
        <v>2496096793.2765145</v>
      </c>
      <c r="U33" s="350">
        <f t="shared" si="9"/>
        <v>1610.5503141622755</v>
      </c>
      <c r="V33" s="350">
        <f t="shared" si="10"/>
        <v>245.00088984828679</v>
      </c>
      <c r="W33" s="350">
        <f t="shared" si="11"/>
        <v>10587.195483471189</v>
      </c>
      <c r="X33" s="364">
        <f t="shared" si="12"/>
        <v>-0.96877053759394449</v>
      </c>
      <c r="Y33" s="222">
        <f t="shared" si="13"/>
        <v>10.5395351410555</v>
      </c>
      <c r="Z33" s="386">
        <f t="shared" si="14"/>
        <v>7.5052124053987628</v>
      </c>
      <c r="AA33" s="385">
        <f t="shared" si="15"/>
        <v>10.850724531471959</v>
      </c>
      <c r="AB33" s="387">
        <f t="shared" si="18"/>
        <v>85</v>
      </c>
      <c r="AC33" s="247">
        <f t="shared" si="16"/>
        <v>5.6221430383572715</v>
      </c>
      <c r="AD33" s="258">
        <f t="shared" si="17"/>
        <v>9.3882817724402532</v>
      </c>
    </row>
    <row r="34" spans="1:30">
      <c r="A34" s="247">
        <v>1981</v>
      </c>
      <c r="B34" s="213">
        <f t="shared" si="1"/>
        <v>1986</v>
      </c>
      <c r="C34" s="300">
        <f>VLOOKUP($A34,BroodTab!$A$12:$AG$67,12)</f>
        <v>11.434726857564771</v>
      </c>
      <c r="D34" s="300">
        <f>VLOOKUP($A34,BroodTab!$A$12:$AG$67,24)</f>
        <v>9.5880886668722418</v>
      </c>
      <c r="E34" s="213">
        <v>36</v>
      </c>
      <c r="F34" s="213">
        <v>34</v>
      </c>
      <c r="G34" s="300">
        <v>5.3054894215896109</v>
      </c>
      <c r="H34" s="300">
        <v>0.20010916136074733</v>
      </c>
      <c r="I34" s="213">
        <v>0.18855148540469474</v>
      </c>
      <c r="J34" s="213">
        <v>7.5936830234461112</v>
      </c>
      <c r="K34" s="213">
        <v>1.3802814733245685</v>
      </c>
      <c r="L34" s="213">
        <v>3.2065718961263208E-2</v>
      </c>
      <c r="M34" s="124">
        <v>2.0026554188450691</v>
      </c>
      <c r="N34" s="213">
        <f t="shared" si="2"/>
        <v>1.9944056434261306</v>
      </c>
      <c r="O34" s="213">
        <f t="shared" si="3"/>
        <v>3.977653870529998</v>
      </c>
      <c r="P34" s="384">
        <f t="shared" si="4"/>
        <v>7.5936830234461112</v>
      </c>
      <c r="Q34" s="213">
        <f t="shared" si="5"/>
        <v>5.7106136564046199</v>
      </c>
      <c r="R34" s="213">
        <f t="shared" si="6"/>
        <v>9.4767523904876025</v>
      </c>
      <c r="S34" s="350">
        <f t="shared" si="7"/>
        <v>12604.343477134626</v>
      </c>
      <c r="T34" s="213">
        <f t="shared" si="8"/>
        <v>158869474.48958617</v>
      </c>
      <c r="U34" s="350">
        <f t="shared" si="9"/>
        <v>1985.6131228653624</v>
      </c>
      <c r="V34" s="350">
        <f t="shared" si="10"/>
        <v>302.05637024726508</v>
      </c>
      <c r="W34" s="350">
        <f t="shared" si="11"/>
        <v>13052.727444442415</v>
      </c>
      <c r="X34" s="364">
        <f t="shared" si="12"/>
        <v>-0.86390548119482657</v>
      </c>
      <c r="Y34" s="222">
        <f t="shared" si="13"/>
        <v>11.434726857564771</v>
      </c>
      <c r="Z34" s="386">
        <f t="shared" si="14"/>
        <v>7.7339611156897901</v>
      </c>
      <c r="AA34" s="385">
        <f t="shared" si="15"/>
        <v>9.5880886668722418</v>
      </c>
      <c r="AB34" s="387">
        <f t="shared" si="18"/>
        <v>86</v>
      </c>
      <c r="AC34" s="247">
        <f t="shared" si="16"/>
        <v>5.8508917486482988</v>
      </c>
      <c r="AD34" s="258">
        <f t="shared" si="17"/>
        <v>9.6170304827312805</v>
      </c>
    </row>
    <row r="35" spans="1:30">
      <c r="A35" s="247">
        <v>1982</v>
      </c>
      <c r="B35" s="213">
        <f t="shared" si="1"/>
        <v>1987</v>
      </c>
      <c r="C35" s="300">
        <f>VLOOKUP($A35,BroodTab!$A$12:$AG$67,12)</f>
        <v>10.978560542529122</v>
      </c>
      <c r="D35" s="300">
        <f>VLOOKUP($A35,BroodTab!$A$12:$AG$67,24)</f>
        <v>8.6706007380455503</v>
      </c>
      <c r="E35" s="213">
        <v>36</v>
      </c>
      <c r="F35" s="213">
        <v>34</v>
      </c>
      <c r="G35" s="300">
        <v>4.9970272820486716</v>
      </c>
      <c r="H35" s="300">
        <v>0.23377016878547413</v>
      </c>
      <c r="I35" s="213">
        <v>0.19000222503130884</v>
      </c>
      <c r="J35" s="213">
        <v>7.5634872330972511</v>
      </c>
      <c r="K35" s="213">
        <v>1.4069980793661214</v>
      </c>
      <c r="L35" s="213">
        <v>4.2624960599195835E-2</v>
      </c>
      <c r="M35" s="124">
        <v>2.0790978993724876</v>
      </c>
      <c r="N35" s="213">
        <f t="shared" si="2"/>
        <v>1.1071135049482992</v>
      </c>
      <c r="O35" s="213">
        <f t="shared" si="3"/>
        <v>1.2257003128389077</v>
      </c>
      <c r="P35" s="384">
        <f t="shared" si="4"/>
        <v>7.5634872330972511</v>
      </c>
      <c r="Q35" s="213">
        <f t="shared" si="5"/>
        <v>5.6804178660557598</v>
      </c>
      <c r="R35" s="213">
        <f t="shared" si="6"/>
        <v>9.4465566001387415</v>
      </c>
      <c r="S35" s="350">
        <f t="shared" si="7"/>
        <v>3902.4478508058955</v>
      </c>
      <c r="T35" s="213">
        <f t="shared" si="8"/>
        <v>15229099.228259552</v>
      </c>
      <c r="U35" s="350">
        <f t="shared" si="9"/>
        <v>1926.5521491941072</v>
      </c>
      <c r="V35" s="350">
        <f t="shared" si="10"/>
        <v>293.07186912518108</v>
      </c>
      <c r="W35" s="350">
        <f t="shared" si="11"/>
        <v>12664.481223133282</v>
      </c>
      <c r="X35" s="364">
        <f t="shared" si="12"/>
        <v>-0.66948839437397389</v>
      </c>
      <c r="Y35" s="222">
        <f t="shared" si="13"/>
        <v>10.978560542529122</v>
      </c>
      <c r="Z35" s="386">
        <f t="shared" si="14"/>
        <v>7.6173967481713891</v>
      </c>
      <c r="AA35" s="385">
        <f t="shared" si="15"/>
        <v>8.6706007380455503</v>
      </c>
      <c r="AB35" s="387">
        <f t="shared" si="18"/>
        <v>87</v>
      </c>
      <c r="AC35" s="247">
        <f t="shared" si="16"/>
        <v>5.7343273811298978</v>
      </c>
      <c r="AD35" s="258">
        <f t="shared" si="17"/>
        <v>9.5004661152128804</v>
      </c>
    </row>
    <row r="36" spans="1:30">
      <c r="A36" s="247">
        <v>1983</v>
      </c>
      <c r="B36" s="213">
        <f t="shared" si="1"/>
        <v>1988</v>
      </c>
      <c r="C36" s="300">
        <f>VLOOKUP($A36,BroodTab!$A$12:$AG$67,12)</f>
        <v>9.3720339609741696</v>
      </c>
      <c r="D36" s="300">
        <f>VLOOKUP($A36,BroodTab!$A$12:$AG$67,24)</f>
        <v>6.1047932324149849</v>
      </c>
      <c r="E36" s="213">
        <v>36</v>
      </c>
      <c r="F36" s="213">
        <v>34</v>
      </c>
      <c r="G36" s="300">
        <v>4.9438298333853909</v>
      </c>
      <c r="H36" s="300">
        <v>0.24530053229099935</v>
      </c>
      <c r="I36" s="213">
        <v>0.18819050678407703</v>
      </c>
      <c r="J36" s="213">
        <v>7.2427947526616778</v>
      </c>
      <c r="K36" s="213">
        <v>1.4060763282834443</v>
      </c>
      <c r="L36" s="213">
        <v>4.7593223160770866E-2</v>
      </c>
      <c r="M36" s="124">
        <v>2.0771716714978226</v>
      </c>
      <c r="N36" s="213">
        <f t="shared" si="2"/>
        <v>-1.1380015202466929</v>
      </c>
      <c r="O36" s="213">
        <f t="shared" si="3"/>
        <v>1.2950474600837842</v>
      </c>
      <c r="P36" s="384">
        <f t="shared" si="4"/>
        <v>7.2427947526616778</v>
      </c>
      <c r="Q36" s="213">
        <f t="shared" si="5"/>
        <v>5.3597253856201865</v>
      </c>
      <c r="R36" s="213">
        <f t="shared" si="6"/>
        <v>9.1258641197031682</v>
      </c>
      <c r="S36" s="350">
        <f t="shared" si="7"/>
        <v>-949.99556816238021</v>
      </c>
      <c r="T36" s="213">
        <f t="shared" si="8"/>
        <v>902491.57952816354</v>
      </c>
      <c r="U36" s="350">
        <f t="shared" si="9"/>
        <v>1397.9955681623801</v>
      </c>
      <c r="V36" s="350">
        <f t="shared" si="10"/>
        <v>212.66653714069179</v>
      </c>
      <c r="W36" s="350">
        <f t="shared" si="11"/>
        <v>9189.9347912394223</v>
      </c>
      <c r="X36" s="364">
        <f t="shared" si="12"/>
        <v>2.1205258217910279</v>
      </c>
      <c r="Y36" s="222">
        <f t="shared" si="13"/>
        <v>9.3720339609741696</v>
      </c>
      <c r="Z36" s="386">
        <f t="shared" si="14"/>
        <v>7.2068803450349179</v>
      </c>
      <c r="AA36" s="385">
        <f t="shared" si="15"/>
        <v>6.1047932324149849</v>
      </c>
      <c r="AB36" s="387">
        <f t="shared" si="18"/>
        <v>88</v>
      </c>
      <c r="AC36" s="247">
        <f t="shared" si="16"/>
        <v>5.3238109779934266</v>
      </c>
      <c r="AD36" s="258">
        <f t="shared" si="17"/>
        <v>9.0899497120764092</v>
      </c>
    </row>
    <row r="37" spans="1:30">
      <c r="A37" s="247">
        <v>1984</v>
      </c>
      <c r="B37" s="213">
        <f t="shared" si="1"/>
        <v>1989</v>
      </c>
      <c r="C37" s="300">
        <f>VLOOKUP($A37,BroodTab!$A$12:$AG$67,12)</f>
        <v>11.078675005430311</v>
      </c>
      <c r="D37" s="300">
        <f>VLOOKUP($A37,BroodTab!$A$12:$AG$67,24)</f>
        <v>7.6553906448261522</v>
      </c>
      <c r="E37" s="213">
        <v>36</v>
      </c>
      <c r="F37" s="213">
        <v>34</v>
      </c>
      <c r="G37" s="300">
        <v>4.8144610970973138</v>
      </c>
      <c r="H37" s="300">
        <v>0.25524947402925852</v>
      </c>
      <c r="I37" s="213">
        <v>0.19205644568945093</v>
      </c>
      <c r="J37" s="213">
        <v>7.642287065174493</v>
      </c>
      <c r="K37" s="213">
        <v>1.4191312168918873</v>
      </c>
      <c r="L37" s="213">
        <v>4.9385283737334251E-2</v>
      </c>
      <c r="M37" s="124">
        <v>2.1131404324587351</v>
      </c>
      <c r="N37" s="213">
        <f t="shared" si="2"/>
        <v>1.3103579651659203E-2</v>
      </c>
      <c r="O37" s="213">
        <f t="shared" si="3"/>
        <v>1.7170379968737713E-4</v>
      </c>
      <c r="P37" s="384">
        <f t="shared" si="4"/>
        <v>7.642287065174493</v>
      </c>
      <c r="Q37" s="213">
        <f t="shared" si="5"/>
        <v>5.7592176981330017</v>
      </c>
      <c r="R37" s="213">
        <f t="shared" si="6"/>
        <v>9.5253564322159843</v>
      </c>
      <c r="S37" s="350">
        <f t="shared" si="7"/>
        <v>27.494230401099685</v>
      </c>
      <c r="T37" s="213">
        <f t="shared" si="8"/>
        <v>755.9327053487541</v>
      </c>
      <c r="U37" s="350">
        <f t="shared" si="9"/>
        <v>2084.5057695989003</v>
      </c>
      <c r="V37" s="350">
        <f t="shared" si="10"/>
        <v>317.10016381031909</v>
      </c>
      <c r="W37" s="350">
        <f t="shared" si="11"/>
        <v>13702.813178268381</v>
      </c>
      <c r="X37" s="364">
        <f t="shared" si="12"/>
        <v>-1.30181015156722E-2</v>
      </c>
      <c r="Y37" s="222">
        <f t="shared" si="13"/>
        <v>11.078675005430311</v>
      </c>
      <c r="Z37" s="386">
        <f t="shared" si="14"/>
        <v>7.6429790383644072</v>
      </c>
      <c r="AA37" s="385">
        <f t="shared" si="15"/>
        <v>7.6553906448261522</v>
      </c>
      <c r="AB37" s="387">
        <f t="shared" si="18"/>
        <v>89</v>
      </c>
      <c r="AC37" s="247">
        <f t="shared" si="16"/>
        <v>5.7599096713229159</v>
      </c>
      <c r="AD37" s="258">
        <f t="shared" si="17"/>
        <v>9.5260484054058985</v>
      </c>
    </row>
    <row r="38" spans="1:30">
      <c r="A38" s="247">
        <v>1985</v>
      </c>
      <c r="B38" s="213">
        <f t="shared" si="1"/>
        <v>1990</v>
      </c>
      <c r="C38" s="300">
        <f>VLOOKUP($A38,BroodTab!$A$12:$AG$67,12)</f>
        <v>7.4277388405328937</v>
      </c>
      <c r="D38" s="300">
        <f>VLOOKUP($A38,BroodTab!$A$12:$AG$67,24)</f>
        <v>7.0646462009142681</v>
      </c>
      <c r="E38" s="213">
        <v>36</v>
      </c>
      <c r="F38" s="213">
        <v>34</v>
      </c>
      <c r="G38" s="300">
        <v>4.6244510256232134</v>
      </c>
      <c r="H38" s="300">
        <v>0.27340409845581154</v>
      </c>
      <c r="I38" s="213">
        <v>0.20063553663414416</v>
      </c>
      <c r="J38" s="213">
        <v>6.6552252668843241</v>
      </c>
      <c r="K38" s="213">
        <v>1.4176276895820648</v>
      </c>
      <c r="L38" s="213">
        <v>5.1787063348761368E-2</v>
      </c>
      <c r="M38" s="124">
        <v>2.1084892892882863</v>
      </c>
      <c r="N38" s="213">
        <f t="shared" si="2"/>
        <v>0.40942093402994395</v>
      </c>
      <c r="O38" s="213">
        <f t="shared" si="3"/>
        <v>0.16762550122195172</v>
      </c>
      <c r="P38" s="384">
        <f t="shared" si="4"/>
        <v>6.6552252668843241</v>
      </c>
      <c r="Q38" s="213">
        <f t="shared" si="5"/>
        <v>4.7721558998428328</v>
      </c>
      <c r="R38" s="213">
        <f t="shared" si="6"/>
        <v>8.5382946339258154</v>
      </c>
      <c r="S38" s="350">
        <f t="shared" si="7"/>
        <v>393.03510189546864</v>
      </c>
      <c r="T38" s="213">
        <f t="shared" si="8"/>
        <v>154476.59132198142</v>
      </c>
      <c r="U38" s="350">
        <f t="shared" si="9"/>
        <v>776.83289810453084</v>
      </c>
      <c r="V38" s="350">
        <f t="shared" si="10"/>
        <v>118.17373827158613</v>
      </c>
      <c r="W38" s="350">
        <f t="shared" si="11"/>
        <v>5106.6282610997296</v>
      </c>
      <c r="X38" s="364">
        <f t="shared" si="12"/>
        <v>-0.33596534129959005</v>
      </c>
      <c r="Y38" s="222">
        <f t="shared" si="13"/>
        <v>7.4277388405328937</v>
      </c>
      <c r="Z38" s="386">
        <f t="shared" si="14"/>
        <v>6.710053807184047</v>
      </c>
      <c r="AA38" s="385">
        <f t="shared" si="15"/>
        <v>7.0646462009142681</v>
      </c>
      <c r="AB38" s="387">
        <f t="shared" si="18"/>
        <v>90</v>
      </c>
      <c r="AC38" s="247">
        <f t="shared" si="16"/>
        <v>4.8269844401425557</v>
      </c>
      <c r="AD38" s="258">
        <f t="shared" si="17"/>
        <v>8.5931231742255374</v>
      </c>
    </row>
    <row r="39" spans="1:30">
      <c r="A39" s="247">
        <v>1986</v>
      </c>
      <c r="B39" s="213">
        <f t="shared" si="1"/>
        <v>1991</v>
      </c>
      <c r="C39" s="300">
        <f>VLOOKUP($A39,BroodTab!$A$12:$AG$67,12)</f>
        <v>8.3828870987891442</v>
      </c>
      <c r="D39" s="300">
        <f>VLOOKUP($A39,BroodTab!$A$12:$AG$67,24)</f>
        <v>4.4141677474214127</v>
      </c>
      <c r="E39" s="213">
        <v>36</v>
      </c>
      <c r="F39" s="213">
        <v>34</v>
      </c>
      <c r="G39" s="300">
        <v>5.6013124570121056</v>
      </c>
      <c r="H39" s="300">
        <v>0.18306214765644022</v>
      </c>
      <c r="I39" s="213">
        <v>0.1834627364930492</v>
      </c>
      <c r="J39" s="213">
        <v>7.1359017728779115</v>
      </c>
      <c r="K39" s="213">
        <v>1.3455899135137874</v>
      </c>
      <c r="L39" s="213">
        <v>2.8450339894677625E-2</v>
      </c>
      <c r="M39" s="124">
        <v>1.9073718557390333</v>
      </c>
      <c r="N39" s="213">
        <f t="shared" si="2"/>
        <v>-2.7217340254564988</v>
      </c>
      <c r="O39" s="213">
        <f t="shared" si="3"/>
        <v>7.4078361053276369</v>
      </c>
      <c r="P39" s="384">
        <f t="shared" si="4"/>
        <v>7.1359017728779115</v>
      </c>
      <c r="Q39" s="213">
        <f t="shared" si="5"/>
        <v>5.2528324058364202</v>
      </c>
      <c r="R39" s="213">
        <f t="shared" si="6"/>
        <v>9.0189711399194028</v>
      </c>
      <c r="S39" s="350">
        <f t="shared" si="7"/>
        <v>-1173.6562903864105</v>
      </c>
      <c r="T39" s="213">
        <f t="shared" si="8"/>
        <v>1377469.0879635904</v>
      </c>
      <c r="U39" s="350">
        <f t="shared" si="9"/>
        <v>1256.2693477438354</v>
      </c>
      <c r="V39" s="350">
        <f t="shared" si="10"/>
        <v>191.10679460297479</v>
      </c>
      <c r="W39" s="350">
        <f t="shared" si="11"/>
        <v>8258.2760982385025</v>
      </c>
      <c r="X39" s="364">
        <f t="shared" si="12"/>
        <v>14.206668145794364</v>
      </c>
      <c r="Y39" s="258">
        <f t="shared" si="13"/>
        <v>8.3828870987891442</v>
      </c>
      <c r="Z39" s="386">
        <f t="shared" si="14"/>
        <v>6.9541232374339366</v>
      </c>
      <c r="AA39" s="385">
        <f t="shared" si="15"/>
        <v>4.4141677474214127</v>
      </c>
      <c r="AB39" s="387">
        <f t="shared" si="18"/>
        <v>91</v>
      </c>
      <c r="AC39" s="247">
        <f t="shared" si="16"/>
        <v>5.0710538703924453</v>
      </c>
      <c r="AD39" s="258">
        <f t="shared" si="17"/>
        <v>8.8371926044754279</v>
      </c>
    </row>
    <row r="40" spans="1:30">
      <c r="A40" s="247">
        <v>1987</v>
      </c>
      <c r="B40" s="213">
        <f t="shared" si="1"/>
        <v>1992</v>
      </c>
      <c r="C40" s="300">
        <f>VLOOKUP($A40,BroodTab!$A$12:$AG$67,12)</f>
        <v>7.6818337364590459</v>
      </c>
      <c r="D40" s="300">
        <f>VLOOKUP($A40,BroodTab!$A$12:$AG$67,24)</f>
        <v>7.2573919120190178</v>
      </c>
      <c r="E40" s="213">
        <v>36</v>
      </c>
      <c r="F40" s="213">
        <v>34</v>
      </c>
      <c r="G40" s="300">
        <v>4.5872151051702037</v>
      </c>
      <c r="H40" s="300">
        <v>0.27680664127704896</v>
      </c>
      <c r="I40" s="213">
        <v>0.19807261808906168</v>
      </c>
      <c r="J40" s="213">
        <v>6.7135977006081555</v>
      </c>
      <c r="K40" s="213">
        <v>1.4164118638031966</v>
      </c>
      <c r="L40" s="213">
        <v>5.4321141829997935E-2</v>
      </c>
      <c r="M40" s="124">
        <v>2.1049312511521197</v>
      </c>
      <c r="N40" s="213">
        <f t="shared" si="2"/>
        <v>0.54379421141086226</v>
      </c>
      <c r="O40" s="213">
        <f t="shared" si="3"/>
        <v>0.29571214436396154</v>
      </c>
      <c r="P40" s="384">
        <f t="shared" si="4"/>
        <v>6.7135977006081555</v>
      </c>
      <c r="Q40" s="213">
        <f t="shared" si="5"/>
        <v>4.8305283335666642</v>
      </c>
      <c r="R40" s="213">
        <f t="shared" si="6"/>
        <v>8.5966670676496459</v>
      </c>
      <c r="S40" s="350">
        <f t="shared" si="7"/>
        <v>595.02387617912996</v>
      </c>
      <c r="T40" s="213">
        <f t="shared" si="8"/>
        <v>354053.41322323657</v>
      </c>
      <c r="U40" s="350">
        <f t="shared" si="9"/>
        <v>823.52812382086972</v>
      </c>
      <c r="V40" s="350">
        <f t="shared" si="10"/>
        <v>125.27713128673717</v>
      </c>
      <c r="W40" s="350">
        <f t="shared" si="11"/>
        <v>5413.5863725331055</v>
      </c>
      <c r="X40" s="364">
        <f t="shared" si="12"/>
        <v>-0.41945862836126563</v>
      </c>
      <c r="Y40" s="258">
        <f t="shared" si="13"/>
        <v>7.6818337364590459</v>
      </c>
      <c r="Z40" s="386">
        <f t="shared" si="14"/>
        <v>6.7749827812381067</v>
      </c>
      <c r="AA40" s="385">
        <f t="shared" si="15"/>
        <v>7.2573919120190178</v>
      </c>
      <c r="AB40" s="387">
        <f t="shared" si="18"/>
        <v>92</v>
      </c>
      <c r="AC40" s="247">
        <f t="shared" si="16"/>
        <v>4.8919134141966154</v>
      </c>
      <c r="AD40" s="258">
        <f t="shared" si="17"/>
        <v>8.658052148279598</v>
      </c>
    </row>
    <row r="41" spans="1:30">
      <c r="A41" s="247">
        <v>1988</v>
      </c>
      <c r="B41" s="213">
        <f t="shared" si="1"/>
        <v>1993</v>
      </c>
      <c r="C41" s="300">
        <f>VLOOKUP($A41,BroodTab!$A$12:$AG$67,12)</f>
        <v>8.841176768351712</v>
      </c>
      <c r="D41" s="300">
        <f>VLOOKUP($A41,BroodTab!$A$12:$AG$67,24)</f>
        <v>7.1276936993473985</v>
      </c>
      <c r="E41" s="213">
        <v>36</v>
      </c>
      <c r="F41" s="213">
        <v>34</v>
      </c>
      <c r="G41" s="300">
        <v>4.7996520638004387</v>
      </c>
      <c r="H41" s="300">
        <v>0.25662280984334263</v>
      </c>
      <c r="I41" s="213">
        <v>0.19137833112218072</v>
      </c>
      <c r="J41" s="213">
        <v>7.068499688416539</v>
      </c>
      <c r="K41" s="213">
        <v>1.419098266924786</v>
      </c>
      <c r="L41" s="213">
        <v>5.0227950031822975E-2</v>
      </c>
      <c r="M41" s="124">
        <v>2.1130481537643835</v>
      </c>
      <c r="N41" s="213">
        <f t="shared" si="2"/>
        <v>5.919401093085952E-2</v>
      </c>
      <c r="O41" s="213">
        <f t="shared" si="3"/>
        <v>3.5039309300827163E-3</v>
      </c>
      <c r="P41" s="384">
        <f t="shared" si="4"/>
        <v>7.068499688416539</v>
      </c>
      <c r="Q41" s="213">
        <f t="shared" si="5"/>
        <v>5.1854303213750477</v>
      </c>
      <c r="R41" s="213">
        <f t="shared" si="6"/>
        <v>8.9515690554580303</v>
      </c>
      <c r="S41" s="350">
        <f t="shared" si="7"/>
        <v>71.615231215925178</v>
      </c>
      <c r="T41" s="213">
        <f t="shared" si="8"/>
        <v>5128.7413421104238</v>
      </c>
      <c r="U41" s="350">
        <f t="shared" si="9"/>
        <v>1174.3847687840748</v>
      </c>
      <c r="V41" s="350">
        <f t="shared" si="10"/>
        <v>178.65031029846008</v>
      </c>
      <c r="W41" s="350">
        <f t="shared" si="11"/>
        <v>7719.995464032022</v>
      </c>
      <c r="X41" s="364">
        <f t="shared" si="12"/>
        <v>-5.7476108520004156E-2</v>
      </c>
      <c r="Y41" s="385">
        <f t="shared" si="13"/>
        <v>8.841176768351712</v>
      </c>
      <c r="Z41" s="386">
        <f t="shared" si="14"/>
        <v>7.0712301866145291</v>
      </c>
      <c r="AA41" s="385">
        <f t="shared" si="15"/>
        <v>7.1276936993473985</v>
      </c>
      <c r="AB41" s="387">
        <f t="shared" si="18"/>
        <v>93</v>
      </c>
      <c r="AC41" s="247">
        <f t="shared" si="16"/>
        <v>5.1881608195730378</v>
      </c>
      <c r="AD41" s="258">
        <f t="shared" si="17"/>
        <v>8.9542995536560195</v>
      </c>
    </row>
    <row r="42" spans="1:30">
      <c r="A42" s="247">
        <v>1989</v>
      </c>
      <c r="B42" s="213">
        <f t="shared" si="1"/>
        <v>1994</v>
      </c>
      <c r="C42" s="300">
        <f>VLOOKUP($A42,BroodTab!$A$12:$AG$67,12)</f>
        <v>7.8617270778239803</v>
      </c>
      <c r="D42" s="300">
        <f>VLOOKUP($A42,BroodTab!$A$12:$AG$67,24)</f>
        <v>6.0063531596017325</v>
      </c>
      <c r="E42" s="213">
        <v>36</v>
      </c>
      <c r="F42" s="213">
        <v>34</v>
      </c>
      <c r="G42" s="300">
        <v>5.1573389574832884</v>
      </c>
      <c r="H42" s="300">
        <v>0.22304296657972081</v>
      </c>
      <c r="I42" s="213">
        <v>0.19589762096087551</v>
      </c>
      <c r="J42" s="213">
        <v>6.9108418873612685</v>
      </c>
      <c r="K42" s="213">
        <v>1.411477157373199</v>
      </c>
      <c r="L42" s="213">
        <v>3.672730607687956E-2</v>
      </c>
      <c r="M42" s="124">
        <v>2.0904200965319042</v>
      </c>
      <c r="N42" s="213">
        <f t="shared" si="2"/>
        <v>-0.90448872775953593</v>
      </c>
      <c r="O42" s="213">
        <f t="shared" si="3"/>
        <v>0.81809985864406387</v>
      </c>
      <c r="P42" s="384">
        <f t="shared" si="4"/>
        <v>6.9108418873612685</v>
      </c>
      <c r="Q42" s="213">
        <f t="shared" ref="Q42:Q62" si="19">$P42-(SQRT($O$66)*$Q$66)</f>
        <v>5.0277725203197772</v>
      </c>
      <c r="R42" s="213">
        <f t="shared" si="6"/>
        <v>8.7939112544027598</v>
      </c>
      <c r="S42" s="350">
        <f t="shared" si="7"/>
        <v>-597.09137685965629</v>
      </c>
      <c r="T42" s="213">
        <f t="shared" si="8"/>
        <v>356518.11232016009</v>
      </c>
      <c r="U42" s="350">
        <f t="shared" si="9"/>
        <v>1003.0913768596563</v>
      </c>
      <c r="V42" s="350">
        <f t="shared" si="10"/>
        <v>152.59273663709766</v>
      </c>
      <c r="W42" s="350">
        <f t="shared" si="11"/>
        <v>6593.9725081618344</v>
      </c>
      <c r="X42" s="364">
        <f t="shared" si="12"/>
        <v>1.4706684159104837</v>
      </c>
      <c r="Y42" s="386">
        <f t="shared" si="13"/>
        <v>7.8617270778239803</v>
      </c>
      <c r="Z42" s="386">
        <f t="shared" si="14"/>
        <v>6.8209510013056871</v>
      </c>
      <c r="AA42" s="385">
        <f t="shared" si="15"/>
        <v>6.0063531596017325</v>
      </c>
      <c r="AB42" s="387">
        <f t="shared" si="18"/>
        <v>94</v>
      </c>
      <c r="AC42" s="247">
        <f t="shared" si="16"/>
        <v>4.9378816342641958</v>
      </c>
      <c r="AD42" s="258">
        <f t="shared" si="17"/>
        <v>8.7040203683471784</v>
      </c>
    </row>
    <row r="43" spans="1:30">
      <c r="A43" s="247">
        <v>1990</v>
      </c>
      <c r="B43" s="213">
        <f t="shared" si="1"/>
        <v>1995</v>
      </c>
      <c r="C43" s="300">
        <f>VLOOKUP($A43,BroodTab!$A$12:$AG$67,12)</f>
        <v>8.165932137321585</v>
      </c>
      <c r="D43" s="300">
        <f>VLOOKUP($A43,BroodTab!$A$12:$AG$67,24)</f>
        <v>6.9255951971104679</v>
      </c>
      <c r="E43" s="213">
        <v>36</v>
      </c>
      <c r="F43" s="213">
        <v>34</v>
      </c>
      <c r="G43" s="300">
        <v>4.8024493378550339</v>
      </c>
      <c r="H43" s="300">
        <v>0.25642158995917469</v>
      </c>
      <c r="I43" s="213">
        <v>0.19478638868118964</v>
      </c>
      <c r="J43" s="213">
        <v>6.8963706400057561</v>
      </c>
      <c r="K43" s="213">
        <v>1.4191247525611819</v>
      </c>
      <c r="L43" s="213">
        <v>4.8497885769012858E-2</v>
      </c>
      <c r="M43" s="124">
        <v>2.1131213805016618</v>
      </c>
      <c r="N43" s="213">
        <f t="shared" si="2"/>
        <v>2.9224557104711835E-2</v>
      </c>
      <c r="O43" s="213">
        <f t="shared" si="3"/>
        <v>8.5407473796656299E-4</v>
      </c>
      <c r="P43" s="384">
        <f t="shared" si="4"/>
        <v>6.8963706400057561</v>
      </c>
      <c r="Q43" s="213">
        <f t="shared" si="19"/>
        <v>5.0133012729642648</v>
      </c>
      <c r="R43" s="213">
        <f t="shared" si="6"/>
        <v>8.7794400070472474</v>
      </c>
      <c r="S43" s="350">
        <f t="shared" si="7"/>
        <v>29.320079202897318</v>
      </c>
      <c r="T43" s="213">
        <f t="shared" si="8"/>
        <v>859.66704446417179</v>
      </c>
      <c r="U43" s="350">
        <f t="shared" si="9"/>
        <v>988.67992079710257</v>
      </c>
      <c r="V43" s="350">
        <f t="shared" si="10"/>
        <v>150.40043036247394</v>
      </c>
      <c r="W43" s="350">
        <f t="shared" si="11"/>
        <v>6499.2366273923626</v>
      </c>
      <c r="X43" s="364">
        <f t="shared" si="12"/>
        <v>-2.8801649511686955E-2</v>
      </c>
      <c r="Y43" s="386">
        <f t="shared" si="13"/>
        <v>8.165932137321585</v>
      </c>
      <c r="Z43" s="386">
        <f t="shared" si="14"/>
        <v>6.8986846462230336</v>
      </c>
      <c r="AA43" s="385">
        <f t="shared" si="15"/>
        <v>6.9255951971104679</v>
      </c>
      <c r="AB43" s="387">
        <f t="shared" si="18"/>
        <v>95</v>
      </c>
      <c r="AC43" s="247">
        <f t="shared" si="16"/>
        <v>5.0156152791815423</v>
      </c>
      <c r="AD43" s="258">
        <f t="shared" si="17"/>
        <v>8.7817540132645249</v>
      </c>
    </row>
    <row r="44" spans="1:30">
      <c r="A44" s="247">
        <v>1991</v>
      </c>
      <c r="B44" s="213">
        <f t="shared" si="1"/>
        <v>1996</v>
      </c>
      <c r="C44" s="300">
        <f>VLOOKUP($A44,BroodTab!$A$12:$AG$67,12)</f>
        <v>10.560359677231361</v>
      </c>
      <c r="D44" s="300">
        <f>VLOOKUP($A44,BroodTab!$A$12:$AG$67,24)</f>
        <v>6.8480052745763631</v>
      </c>
      <c r="E44" s="213">
        <v>36</v>
      </c>
      <c r="F44" s="213">
        <v>34</v>
      </c>
      <c r="G44" s="300">
        <v>4.7478588789718756</v>
      </c>
      <c r="H44" s="300">
        <v>0.26390858531797123</v>
      </c>
      <c r="I44" s="213">
        <v>0.18967966820144103</v>
      </c>
      <c r="J44" s="213">
        <v>7.5348284618389521</v>
      </c>
      <c r="K44" s="213">
        <v>1.4144096535312776</v>
      </c>
      <c r="L44" s="213">
        <v>5.3868872848795123E-2</v>
      </c>
      <c r="M44" s="124">
        <v>2.1000420031267129</v>
      </c>
      <c r="N44" s="213">
        <f t="shared" si="2"/>
        <v>-0.68682318726258895</v>
      </c>
      <c r="O44" s="213">
        <f t="shared" si="3"/>
        <v>0.47172609056154136</v>
      </c>
      <c r="P44" s="384">
        <f t="shared" si="4"/>
        <v>7.5348284618389521</v>
      </c>
      <c r="Q44" s="213">
        <f t="shared" si="19"/>
        <v>5.6517590947974607</v>
      </c>
      <c r="R44" s="213">
        <f t="shared" si="6"/>
        <v>9.4178978288804434</v>
      </c>
      <c r="S44" s="350">
        <f t="shared" si="7"/>
        <v>-930.12319064147164</v>
      </c>
      <c r="T44" s="213">
        <f t="shared" si="8"/>
        <v>865129.14976907137</v>
      </c>
      <c r="U44" s="350">
        <f t="shared" si="9"/>
        <v>1872.1231906414716</v>
      </c>
      <c r="V44" s="350">
        <f t="shared" si="10"/>
        <v>284.79200157826278</v>
      </c>
      <c r="W44" s="350">
        <f t="shared" si="11"/>
        <v>12306.684252066147</v>
      </c>
      <c r="X44" s="364">
        <f t="shared" si="12"/>
        <v>0.9873919221247045</v>
      </c>
      <c r="Y44" s="386">
        <f t="shared" si="13"/>
        <v>10.560359677231361</v>
      </c>
      <c r="Z44" s="386">
        <f t="shared" si="14"/>
        <v>7.5105337077575598</v>
      </c>
      <c r="AA44" s="385">
        <f t="shared" si="15"/>
        <v>6.8480052745763631</v>
      </c>
      <c r="AB44" s="387">
        <f t="shared" si="18"/>
        <v>96</v>
      </c>
      <c r="AC44" s="247">
        <f t="shared" si="16"/>
        <v>5.6274643407160685</v>
      </c>
      <c r="AD44" s="258">
        <f t="shared" si="17"/>
        <v>9.3936030747990511</v>
      </c>
    </row>
    <row r="45" spans="1:30">
      <c r="A45" s="247">
        <v>1992</v>
      </c>
      <c r="B45" s="213">
        <f t="shared" si="1"/>
        <v>1997</v>
      </c>
      <c r="C45" s="300">
        <f>VLOOKUP($A45,BroodTab!$A$12:$AG$67,12)</f>
        <v>9.6051488998958181</v>
      </c>
      <c r="D45" s="300">
        <f>VLOOKUP($A45,BroodTab!$A$12:$AG$67,24)</f>
        <v>5.7745515455444085</v>
      </c>
      <c r="E45" s="213">
        <v>36</v>
      </c>
      <c r="F45" s="213">
        <v>34</v>
      </c>
      <c r="G45" s="300">
        <v>4.9268242782349727</v>
      </c>
      <c r="H45" s="300">
        <v>0.24810993178318072</v>
      </c>
      <c r="I45" s="213">
        <v>0.18642409966972842</v>
      </c>
      <c r="J45" s="213">
        <v>7.3099571165554176</v>
      </c>
      <c r="K45" s="213">
        <v>1.3951937669666372</v>
      </c>
      <c r="L45" s="213">
        <v>4.9516490827663892E-2</v>
      </c>
      <c r="M45" s="124">
        <v>2.0476604667248259</v>
      </c>
      <c r="N45" s="213">
        <f t="shared" si="2"/>
        <v>-1.5354055710110091</v>
      </c>
      <c r="O45" s="213">
        <f t="shared" si="3"/>
        <v>2.3574702674916428</v>
      </c>
      <c r="P45" s="384">
        <f t="shared" si="4"/>
        <v>7.3099571165554176</v>
      </c>
      <c r="Q45" s="213">
        <f t="shared" si="19"/>
        <v>5.4268877495139263</v>
      </c>
      <c r="R45" s="213">
        <f t="shared" si="6"/>
        <v>9.193026483596908</v>
      </c>
      <c r="S45" s="350">
        <f t="shared" si="7"/>
        <v>-1173.1130722181063</v>
      </c>
      <c r="T45" s="213">
        <f t="shared" si="8"/>
        <v>1376194.2802090037</v>
      </c>
      <c r="U45" s="350">
        <f t="shared" si="9"/>
        <v>1495.1130722181063</v>
      </c>
      <c r="V45" s="350">
        <f t="shared" si="10"/>
        <v>227.44029161720056</v>
      </c>
      <c r="W45" s="350">
        <f t="shared" si="11"/>
        <v>9828.3513568464368</v>
      </c>
      <c r="X45" s="364">
        <f t="shared" si="12"/>
        <v>3.643208298813994</v>
      </c>
      <c r="Y45" s="386">
        <f t="shared" si="13"/>
        <v>9.6051488998958181</v>
      </c>
      <c r="Z45" s="386">
        <f t="shared" si="14"/>
        <v>7.2664483019814305</v>
      </c>
      <c r="AA45" s="385">
        <f t="shared" si="15"/>
        <v>5.7745515455444085</v>
      </c>
      <c r="AB45" s="387">
        <f t="shared" si="18"/>
        <v>97</v>
      </c>
      <c r="AC45" s="247">
        <f t="shared" si="16"/>
        <v>5.3833789349399392</v>
      </c>
      <c r="AD45" s="258">
        <f t="shared" si="17"/>
        <v>9.1495176690229219</v>
      </c>
    </row>
    <row r="46" spans="1:30">
      <c r="A46" s="247">
        <v>1993</v>
      </c>
      <c r="B46" s="213">
        <f t="shared" si="1"/>
        <v>1998</v>
      </c>
      <c r="C46" s="300">
        <f>VLOOKUP($A46,BroodTab!$A$12:$AG$67,12)</f>
        <v>9.043929525845293</v>
      </c>
      <c r="D46" s="300">
        <f>VLOOKUP($A46,BroodTab!$A$12:$AG$67,24)</f>
        <v>5.4380793089231956</v>
      </c>
      <c r="E46" s="213">
        <v>36</v>
      </c>
      <c r="F46" s="213">
        <v>34</v>
      </c>
      <c r="G46" s="300">
        <v>5.1165124779830151</v>
      </c>
      <c r="H46" s="300">
        <v>0.22950162622831674</v>
      </c>
      <c r="I46" s="213">
        <v>0.18654828367197374</v>
      </c>
      <c r="J46" s="213">
        <v>7.1921090116587996</v>
      </c>
      <c r="K46" s="213">
        <v>1.3881687901541571</v>
      </c>
      <c r="L46" s="213">
        <v>4.2618215611325727E-2</v>
      </c>
      <c r="M46" s="124">
        <v>2.0276839986561459</v>
      </c>
      <c r="N46" s="213">
        <f t="shared" si="2"/>
        <v>-1.754029702735604</v>
      </c>
      <c r="O46" s="213">
        <f t="shared" si="3"/>
        <v>3.0766201980787513</v>
      </c>
      <c r="P46" s="384">
        <f t="shared" si="4"/>
        <v>7.1921090116587996</v>
      </c>
      <c r="Q46" s="213">
        <f t="shared" si="19"/>
        <v>5.3090396446173083</v>
      </c>
      <c r="R46" s="213">
        <f t="shared" si="6"/>
        <v>9.07517837870029</v>
      </c>
      <c r="S46" s="350">
        <f t="shared" si="7"/>
        <v>-1098.9029240102423</v>
      </c>
      <c r="T46" s="213">
        <f t="shared" si="8"/>
        <v>1207587.6363982602</v>
      </c>
      <c r="U46" s="350">
        <f t="shared" si="9"/>
        <v>1328.9029240102423</v>
      </c>
      <c r="V46" s="350">
        <f t="shared" si="10"/>
        <v>202.15599353929568</v>
      </c>
      <c r="W46" s="350">
        <f t="shared" si="11"/>
        <v>8735.7438704862998</v>
      </c>
      <c r="X46" s="364">
        <f t="shared" si="12"/>
        <v>4.7778388000445302</v>
      </c>
      <c r="Y46" s="386">
        <f t="shared" si="13"/>
        <v>9.043929525845293</v>
      </c>
      <c r="Z46" s="386">
        <f t="shared" si="14"/>
        <v>7.1230396827585052</v>
      </c>
      <c r="AA46" s="385">
        <f t="shared" si="15"/>
        <v>5.4380793089231956</v>
      </c>
      <c r="AB46" s="387">
        <f t="shared" si="18"/>
        <v>98</v>
      </c>
      <c r="AC46" s="247">
        <f t="shared" si="16"/>
        <v>5.2399703157170139</v>
      </c>
      <c r="AD46" s="258">
        <f t="shared" si="17"/>
        <v>9.0061090497999956</v>
      </c>
    </row>
    <row r="47" spans="1:30">
      <c r="A47" s="247">
        <v>1994</v>
      </c>
      <c r="B47" s="213">
        <f t="shared" si="1"/>
        <v>1999</v>
      </c>
      <c r="C47" s="300">
        <f>VLOOKUP($A47,BroodTab!$A$12:$AG$67,12)</f>
        <v>7.7463006622314392</v>
      </c>
      <c r="D47" s="300">
        <f>VLOOKUP($A47,BroodTab!$A$12:$AG$67,24)</f>
        <v>8.2937996088468182</v>
      </c>
      <c r="E47" s="213">
        <v>36</v>
      </c>
      <c r="F47" s="213">
        <v>34</v>
      </c>
      <c r="G47" s="300">
        <v>4.134896301761021</v>
      </c>
      <c r="H47" s="300">
        <v>0.31948501521932832</v>
      </c>
      <c r="I47" s="213">
        <v>0.19420895848149011</v>
      </c>
      <c r="J47" s="213">
        <v>6.609723286727526</v>
      </c>
      <c r="K47" s="213">
        <v>1.392668168879541</v>
      </c>
      <c r="L47" s="213">
        <v>7.3726370005471401E-2</v>
      </c>
      <c r="M47" s="124">
        <v>2.0343662107290843</v>
      </c>
      <c r="N47" s="213">
        <f t="shared" si="2"/>
        <v>1.6840763221192923</v>
      </c>
      <c r="O47" s="213">
        <f t="shared" si="3"/>
        <v>2.8361130587228423</v>
      </c>
      <c r="P47" s="384">
        <f t="shared" si="4"/>
        <v>6.609723286727526</v>
      </c>
      <c r="Q47" s="213">
        <f t="shared" si="19"/>
        <v>4.7266539196860347</v>
      </c>
      <c r="R47" s="213">
        <f t="shared" si="6"/>
        <v>8.4927926537690173</v>
      </c>
      <c r="S47" s="350">
        <f t="shared" si="7"/>
        <v>3256.7224077658143</v>
      </c>
      <c r="T47" s="213">
        <f t="shared" si="8"/>
        <v>10606240.841243964</v>
      </c>
      <c r="U47" s="350">
        <f t="shared" si="9"/>
        <v>742.27759223418525</v>
      </c>
      <c r="V47" s="350">
        <f t="shared" si="10"/>
        <v>112.9170998339239</v>
      </c>
      <c r="W47" s="350">
        <f t="shared" si="11"/>
        <v>4879.4737443960512</v>
      </c>
      <c r="X47" s="364">
        <f t="shared" si="12"/>
        <v>-0.81438419799095141</v>
      </c>
      <c r="Y47" s="386">
        <f t="shared" si="13"/>
        <v>7.7463006622314392</v>
      </c>
      <c r="Z47" s="386">
        <f t="shared" si="14"/>
        <v>6.7914560414961063</v>
      </c>
      <c r="AA47" s="385">
        <f t="shared" si="15"/>
        <v>8.2937996088468182</v>
      </c>
      <c r="AB47" s="387">
        <f t="shared" si="18"/>
        <v>99</v>
      </c>
      <c r="AC47" s="247">
        <f t="shared" si="16"/>
        <v>4.908386674454615</v>
      </c>
      <c r="AD47" s="258">
        <f t="shared" si="17"/>
        <v>8.6745254085375976</v>
      </c>
    </row>
    <row r="48" spans="1:30">
      <c r="A48" s="247">
        <v>1995</v>
      </c>
      <c r="B48" s="213">
        <f t="shared" si="1"/>
        <v>2000</v>
      </c>
      <c r="C48" s="300">
        <f>VLOOKUP($A48,BroodTab!$A$12:$AG$67,12)</f>
        <v>11.804452635548273</v>
      </c>
      <c r="D48" s="300">
        <f>VLOOKUP($A48,BroodTab!$A$12:$AG$67,24)</f>
        <v>7.7735944673601942</v>
      </c>
      <c r="E48" s="213">
        <v>36</v>
      </c>
      <c r="F48" s="213">
        <v>34</v>
      </c>
      <c r="G48" s="300">
        <v>4.7931368981446454</v>
      </c>
      <c r="H48" s="300">
        <v>0.25761001130859273</v>
      </c>
      <c r="I48" s="213">
        <v>0.19629587892779526</v>
      </c>
      <c r="J48" s="213">
        <v>7.8340820750799836</v>
      </c>
      <c r="K48" s="213">
        <v>1.4190985258943838</v>
      </c>
      <c r="L48" s="213">
        <v>4.8212979408854328E-2</v>
      </c>
      <c r="M48" s="124">
        <v>2.1130448884070288</v>
      </c>
      <c r="N48" s="213">
        <f t="shared" si="2"/>
        <v>-6.0487607719789338E-2</v>
      </c>
      <c r="O48" s="213">
        <f t="shared" si="3"/>
        <v>3.6587506876631188E-3</v>
      </c>
      <c r="P48" s="384">
        <f t="shared" si="4"/>
        <v>7.8340820750799836</v>
      </c>
      <c r="Q48" s="213">
        <f t="shared" si="19"/>
        <v>5.9510127080384922</v>
      </c>
      <c r="R48" s="213">
        <f t="shared" si="6"/>
        <v>9.7171514421214749</v>
      </c>
      <c r="S48" s="350">
        <f t="shared" si="7"/>
        <v>-148.21648604047687</v>
      </c>
      <c r="T48" s="213">
        <f t="shared" si="8"/>
        <v>21968.126734186873</v>
      </c>
      <c r="U48" s="350">
        <f t="shared" si="9"/>
        <v>2525.2164860404778</v>
      </c>
      <c r="V48" s="350">
        <f t="shared" si="10"/>
        <v>384.14216600323118</v>
      </c>
      <c r="W48" s="350">
        <f t="shared" si="11"/>
        <v>16599.891565449707</v>
      </c>
      <c r="X48" s="364">
        <f t="shared" si="12"/>
        <v>6.2354432494941867E-2</v>
      </c>
      <c r="Y48" s="386">
        <f t="shared" si="13"/>
        <v>11.804452635548273</v>
      </c>
      <c r="Z48" s="386">
        <f t="shared" si="14"/>
        <v>7.8284372969539149</v>
      </c>
      <c r="AA48" s="385">
        <f t="shared" si="15"/>
        <v>7.7735944673601942</v>
      </c>
      <c r="AB48" s="387">
        <f t="shared" si="18"/>
        <v>100</v>
      </c>
      <c r="AC48" s="247">
        <f t="shared" si="16"/>
        <v>5.9453679299124236</v>
      </c>
      <c r="AD48" s="258">
        <f t="shared" si="17"/>
        <v>9.7115066639954062</v>
      </c>
    </row>
    <row r="49" spans="1:31">
      <c r="A49" s="247">
        <v>1996</v>
      </c>
      <c r="B49" s="213">
        <f t="shared" si="1"/>
        <v>2001</v>
      </c>
      <c r="C49" s="300">
        <f>VLOOKUP($A49,BroodTab!$A$12:$AG$67,12)</f>
        <v>10.013865460005738</v>
      </c>
      <c r="D49" s="300">
        <f>VLOOKUP($A49,BroodTab!$A$12:$AG$67,24)</f>
        <v>7.4366172652342266</v>
      </c>
      <c r="E49" s="213">
        <v>36</v>
      </c>
      <c r="F49" s="213">
        <v>34</v>
      </c>
      <c r="G49" s="300">
        <v>4.8118523427290576</v>
      </c>
      <c r="H49" s="300">
        <v>0.25536454381683577</v>
      </c>
      <c r="I49" s="213">
        <v>0.18952188695165301</v>
      </c>
      <c r="J49" s="213">
        <v>7.3690385277665911</v>
      </c>
      <c r="K49" s="213">
        <v>1.4190868717851632</v>
      </c>
      <c r="L49" s="213">
        <v>5.0691030318276889E-2</v>
      </c>
      <c r="M49" s="124">
        <v>2.1130196401026087</v>
      </c>
      <c r="N49" s="213">
        <f t="shared" si="2"/>
        <v>6.7578737467635541E-2</v>
      </c>
      <c r="O49" s="213">
        <f t="shared" si="3"/>
        <v>4.5668857577196081E-3</v>
      </c>
      <c r="P49" s="384">
        <f t="shared" si="4"/>
        <v>7.3690385277665911</v>
      </c>
      <c r="Q49" s="213">
        <f t="shared" si="19"/>
        <v>5.4859691607250998</v>
      </c>
      <c r="R49" s="213">
        <f t="shared" si="6"/>
        <v>9.2521078948080824</v>
      </c>
      <c r="S49" s="350">
        <f t="shared" si="7"/>
        <v>110.89194916265842</v>
      </c>
      <c r="T49" s="213">
        <f t="shared" si="8"/>
        <v>12297.02438909362</v>
      </c>
      <c r="U49" s="350">
        <f t="shared" si="9"/>
        <v>1586.108050837342</v>
      </c>
      <c r="V49" s="350">
        <f t="shared" si="10"/>
        <v>241.28267240928074</v>
      </c>
      <c r="W49" s="350">
        <f t="shared" si="11"/>
        <v>10426.520577754785</v>
      </c>
      <c r="X49" s="364">
        <f t="shared" si="12"/>
        <v>-6.5345874580234761E-2</v>
      </c>
      <c r="Y49" s="386">
        <f t="shared" si="13"/>
        <v>10.013865460005738</v>
      </c>
      <c r="Z49" s="386">
        <f t="shared" si="14"/>
        <v>7.3708878139602714</v>
      </c>
      <c r="AA49" s="385">
        <f t="shared" si="15"/>
        <v>7.4366172652342266</v>
      </c>
      <c r="AB49" s="387">
        <f t="shared" si="18"/>
        <v>101</v>
      </c>
      <c r="AC49" s="247">
        <f t="shared" si="16"/>
        <v>5.4878184469187801</v>
      </c>
      <c r="AD49" s="258">
        <f t="shared" si="17"/>
        <v>9.2539571810017627</v>
      </c>
    </row>
    <row r="50" spans="1:31">
      <c r="A50" s="247">
        <v>1997</v>
      </c>
      <c r="B50" s="213">
        <f t="shared" si="1"/>
        <v>2002</v>
      </c>
      <c r="C50" s="300">
        <f>VLOOKUP($A50,BroodTab!$A$12:$AG$67,12)</f>
        <v>9.4387500329628917</v>
      </c>
      <c r="D50" s="300">
        <f>VLOOKUP($A50,BroodTab!$A$12:$AG$67,24)</f>
        <v>5.7620513827801769</v>
      </c>
      <c r="E50" s="213">
        <v>36</v>
      </c>
      <c r="F50" s="213">
        <v>34</v>
      </c>
      <c r="G50" s="300">
        <v>4.9689385034847273</v>
      </c>
      <c r="H50" s="300">
        <v>0.24377009937077049</v>
      </c>
      <c r="I50" s="213">
        <v>0.18674798285460131</v>
      </c>
      <c r="J50" s="213">
        <v>7.2698235369559541</v>
      </c>
      <c r="K50" s="213">
        <v>1.39610509935913</v>
      </c>
      <c r="L50" s="213">
        <v>4.7723593424351021E-2</v>
      </c>
      <c r="M50" s="124">
        <v>2.0499972832322166</v>
      </c>
      <c r="N50" s="213">
        <f t="shared" si="2"/>
        <v>-1.5077721541757771</v>
      </c>
      <c r="O50" s="213">
        <f t="shared" si="3"/>
        <v>2.2733768689078633</v>
      </c>
      <c r="P50" s="384">
        <f t="shared" si="4"/>
        <v>7.2698235369559541</v>
      </c>
      <c r="Q50" s="213">
        <f t="shared" si="19"/>
        <v>5.3867541699144628</v>
      </c>
      <c r="R50" s="213">
        <f t="shared" si="6"/>
        <v>9.1528929039974454</v>
      </c>
      <c r="S50" s="350">
        <f t="shared" si="7"/>
        <v>-1118.2969773359382</v>
      </c>
      <c r="T50" s="213">
        <f t="shared" si="8"/>
        <v>1250588.1295186959</v>
      </c>
      <c r="U50" s="350">
        <f t="shared" si="9"/>
        <v>1436.2969773359382</v>
      </c>
      <c r="V50" s="350">
        <f t="shared" si="10"/>
        <v>218.49304206105876</v>
      </c>
      <c r="W50" s="350">
        <f t="shared" si="11"/>
        <v>9441.7148832037092</v>
      </c>
      <c r="X50" s="364">
        <f t="shared" si="12"/>
        <v>3.5166571614337681</v>
      </c>
      <c r="Y50" s="386">
        <f t="shared" si="13"/>
        <v>9.4387500329628917</v>
      </c>
      <c r="Z50" s="386">
        <f t="shared" si="14"/>
        <v>7.2239283305576318</v>
      </c>
      <c r="AA50" s="385">
        <f t="shared" si="15"/>
        <v>5.7620513827801769</v>
      </c>
      <c r="AB50" s="387">
        <f t="shared" si="18"/>
        <v>102</v>
      </c>
      <c r="AC50" s="247">
        <f t="shared" si="16"/>
        <v>5.3408589635161405</v>
      </c>
      <c r="AD50" s="258">
        <f t="shared" si="17"/>
        <v>9.1069976975991231</v>
      </c>
    </row>
    <row r="51" spans="1:31">
      <c r="A51" s="247">
        <v>1998</v>
      </c>
      <c r="B51" s="213">
        <f t="shared" si="1"/>
        <v>2003</v>
      </c>
      <c r="C51" s="300">
        <f>VLOOKUP($A51,BroodTab!$A$12:$AG$67,12)</f>
        <v>9.9528965727936711</v>
      </c>
      <c r="D51" s="300">
        <f>VLOOKUP($A51,BroodTab!$A$12:$AG$67,24)</f>
        <v>5.8493247799468593</v>
      </c>
      <c r="E51" s="213">
        <v>36</v>
      </c>
      <c r="F51" s="213">
        <v>34</v>
      </c>
      <c r="G51" s="300">
        <v>4.8329728151359426</v>
      </c>
      <c r="H51" s="300">
        <v>0.25764713798729533</v>
      </c>
      <c r="I51" s="213">
        <v>0.18625148595247348</v>
      </c>
      <c r="J51" s="213">
        <v>7.3973081317997922</v>
      </c>
      <c r="K51" s="213">
        <v>1.3947660674228313</v>
      </c>
      <c r="L51" s="213">
        <v>5.3283434660187264E-2</v>
      </c>
      <c r="M51" s="124">
        <v>2.0465845552894271</v>
      </c>
      <c r="N51" s="213">
        <f t="shared" si="2"/>
        <v>-1.5479833518529329</v>
      </c>
      <c r="O51" s="213">
        <f t="shared" si="3"/>
        <v>2.3962524576138411</v>
      </c>
      <c r="P51" s="384">
        <f t="shared" si="4"/>
        <v>7.3973081317997922</v>
      </c>
      <c r="Q51" s="213">
        <f t="shared" si="19"/>
        <v>5.5142387647583009</v>
      </c>
      <c r="R51" s="213">
        <f t="shared" si="6"/>
        <v>9.2803774988412826</v>
      </c>
      <c r="S51" s="350">
        <f t="shared" si="7"/>
        <v>-1284.5864975157549</v>
      </c>
      <c r="T51" s="213">
        <f t="shared" si="8"/>
        <v>1650162.4695997946</v>
      </c>
      <c r="U51" s="350">
        <f t="shared" si="9"/>
        <v>1631.5864975157549</v>
      </c>
      <c r="V51" s="350">
        <f t="shared" si="10"/>
        <v>248.20096599325029</v>
      </c>
      <c r="W51" s="350">
        <f t="shared" si="11"/>
        <v>10725.480008599645</v>
      </c>
      <c r="X51" s="364">
        <f t="shared" si="12"/>
        <v>3.7019783790079388</v>
      </c>
      <c r="Y51" s="386">
        <f t="shared" si="13"/>
        <v>9.9528965727936711</v>
      </c>
      <c r="Z51" s="386">
        <f t="shared" si="14"/>
        <v>7.355308408945195</v>
      </c>
      <c r="AA51" s="385">
        <f t="shared" si="15"/>
        <v>5.8493247799468593</v>
      </c>
      <c r="AB51" s="387">
        <f t="shared" si="18"/>
        <v>103</v>
      </c>
      <c r="AC51" s="247">
        <f t="shared" si="16"/>
        <v>5.4722390419037037</v>
      </c>
      <c r="AD51" s="258">
        <f t="shared" si="17"/>
        <v>9.2383777759866863</v>
      </c>
    </row>
    <row r="52" spans="1:31">
      <c r="A52" s="247">
        <v>1999</v>
      </c>
      <c r="B52" s="213">
        <f t="shared" si="1"/>
        <v>2004</v>
      </c>
      <c r="C52" s="300">
        <f>VLOOKUP($A52,BroodTab!$A$12:$AG$67,12)</f>
        <v>11.511614606170127</v>
      </c>
      <c r="D52" s="300">
        <f>VLOOKUP($A52,BroodTab!$A$12:$AG$67,24)</f>
        <v>7.1981835771019433</v>
      </c>
      <c r="E52" s="213">
        <v>36</v>
      </c>
      <c r="F52" s="213">
        <v>34</v>
      </c>
      <c r="G52" s="300">
        <v>4.6553957034437516</v>
      </c>
      <c r="H52" s="300">
        <v>0.27303395305796402</v>
      </c>
      <c r="I52" s="213">
        <v>0.193843221272435</v>
      </c>
      <c r="J52" s="213">
        <v>7.7984573454461792</v>
      </c>
      <c r="K52" s="213">
        <v>1.4156737299251152</v>
      </c>
      <c r="L52" s="213">
        <v>5.5134465424476933E-2</v>
      </c>
      <c r="M52" s="124">
        <v>2.1031386484515262</v>
      </c>
      <c r="N52" s="213">
        <f t="shared" si="2"/>
        <v>-0.60027376834423585</v>
      </c>
      <c r="O52" s="213">
        <f t="shared" si="3"/>
        <v>0.36032859696218933</v>
      </c>
      <c r="P52" s="384">
        <f t="shared" si="4"/>
        <v>7.7984573454461792</v>
      </c>
      <c r="Q52" s="213">
        <f t="shared" si="19"/>
        <v>5.9153879784046879</v>
      </c>
      <c r="R52" s="213">
        <f t="shared" si="6"/>
        <v>9.6815267124876705</v>
      </c>
      <c r="S52" s="350">
        <f t="shared" si="7"/>
        <v>-1099.8398744285485</v>
      </c>
      <c r="T52" s="213">
        <f t="shared" si="8"/>
        <v>1209647.7493830053</v>
      </c>
      <c r="U52" s="350">
        <f t="shared" si="9"/>
        <v>2436.8398744285487</v>
      </c>
      <c r="V52" s="350">
        <f t="shared" si="10"/>
        <v>370.69809766441523</v>
      </c>
      <c r="W52" s="350">
        <f t="shared" si="11"/>
        <v>16018.934575112535</v>
      </c>
      <c r="X52" s="364">
        <f t="shared" si="12"/>
        <v>0.82261770712681248</v>
      </c>
      <c r="Y52" s="386">
        <f t="shared" si="13"/>
        <v>11.511614606170127</v>
      </c>
      <c r="Z52" s="386">
        <f t="shared" si="14"/>
        <v>7.7536082739535406</v>
      </c>
      <c r="AA52" s="385">
        <f t="shared" si="15"/>
        <v>7.1981835771019433</v>
      </c>
      <c r="AB52" s="387">
        <f t="shared" si="18"/>
        <v>104</v>
      </c>
      <c r="AC52" s="247">
        <f t="shared" si="16"/>
        <v>5.8705389069120493</v>
      </c>
      <c r="AD52" s="258">
        <f t="shared" si="17"/>
        <v>9.6366776409950319</v>
      </c>
    </row>
    <row r="53" spans="1:31">
      <c r="A53" s="247">
        <v>2000</v>
      </c>
      <c r="B53" s="213">
        <f t="shared" si="1"/>
        <v>2005</v>
      </c>
      <c r="C53" s="300">
        <f>VLOOKUP($A53,BroodTab!$A$12:$AG$67,12)</f>
        <v>10.932696171065359</v>
      </c>
      <c r="D53" s="300">
        <f>VLOOKUP($A53,BroodTab!$A$12:$AG$67,24)</f>
        <v>5.1298987149230735</v>
      </c>
      <c r="E53" s="213">
        <v>36</v>
      </c>
      <c r="F53" s="213">
        <v>34</v>
      </c>
      <c r="G53" s="300">
        <v>4.3989757418889166</v>
      </c>
      <c r="H53" s="300">
        <v>0.30446343465127423</v>
      </c>
      <c r="I53" s="213">
        <v>0.18225025798940458</v>
      </c>
      <c r="J53" s="213">
        <v>7.7275819681303108</v>
      </c>
      <c r="K53" s="213">
        <v>1.3508451689479999</v>
      </c>
      <c r="L53" s="213">
        <v>7.585677065647374E-2</v>
      </c>
      <c r="M53" s="124">
        <v>1.925706980516277</v>
      </c>
      <c r="N53" s="213">
        <f t="shared" si="2"/>
        <v>-2.5976832532072374</v>
      </c>
      <c r="O53" s="213">
        <f t="shared" si="3"/>
        <v>6.7479582839933361</v>
      </c>
      <c r="P53" s="384">
        <f t="shared" si="4"/>
        <v>7.7275819681303108</v>
      </c>
      <c r="Q53" s="213">
        <f t="shared" si="19"/>
        <v>5.8445126010888195</v>
      </c>
      <c r="R53" s="213">
        <f t="shared" si="6"/>
        <v>9.6106513351718021</v>
      </c>
      <c r="S53" s="350">
        <f t="shared" si="7"/>
        <v>-2101.1063693686278</v>
      </c>
      <c r="T53" s="213">
        <f t="shared" si="8"/>
        <v>4414647.9754014164</v>
      </c>
      <c r="U53" s="350">
        <f t="shared" si="9"/>
        <v>2270.1063693686278</v>
      </c>
      <c r="V53" s="350">
        <f t="shared" si="10"/>
        <v>345.33418525013445</v>
      </c>
      <c r="W53" s="350">
        <f t="shared" si="11"/>
        <v>14922.886723523434</v>
      </c>
      <c r="X53" s="364">
        <f t="shared" si="12"/>
        <v>12.432582067269987</v>
      </c>
      <c r="Y53" s="386">
        <f t="shared" si="13"/>
        <v>10.932696171065359</v>
      </c>
      <c r="Z53" s="386">
        <f t="shared" si="14"/>
        <v>7.6056770063248553</v>
      </c>
      <c r="AA53" s="385">
        <f t="shared" si="15"/>
        <v>5.1298987149230735</v>
      </c>
      <c r="AB53" s="387">
        <f t="shared" si="18"/>
        <v>105</v>
      </c>
      <c r="AC53" s="247">
        <f t="shared" si="16"/>
        <v>5.722607639283364</v>
      </c>
      <c r="AD53" s="258">
        <f t="shared" si="17"/>
        <v>9.4887463733663466</v>
      </c>
    </row>
    <row r="54" spans="1:31">
      <c r="A54" s="247">
        <v>2001</v>
      </c>
      <c r="B54" s="213">
        <f t="shared" si="1"/>
        <v>2006</v>
      </c>
      <c r="C54" s="300">
        <f>VLOOKUP($A54,BroodTab!$A$12:$AG$67,12)</f>
        <v>8.7975484884815582</v>
      </c>
      <c r="D54" s="300">
        <f>VLOOKUP($A54,BroodTab!$A$12:$AG$67,24)</f>
        <v>6.5666724298032406</v>
      </c>
      <c r="E54" s="213">
        <v>36</v>
      </c>
      <c r="F54" s="213">
        <v>34</v>
      </c>
      <c r="G54" s="300">
        <v>4.9244664760577708</v>
      </c>
      <c r="H54" s="300">
        <v>0.24556490202995879</v>
      </c>
      <c r="I54" s="213">
        <v>0.19119022750272122</v>
      </c>
      <c r="J54" s="213">
        <v>7.0848356087355562</v>
      </c>
      <c r="K54" s="213">
        <v>1.4164810583722114</v>
      </c>
      <c r="L54" s="213">
        <v>4.6274901539999427E-2</v>
      </c>
      <c r="M54" s="124">
        <v>2.1056920523320946</v>
      </c>
      <c r="N54" s="213">
        <f t="shared" si="2"/>
        <v>-0.51816317893231556</v>
      </c>
      <c r="O54" s="213">
        <f t="shared" si="3"/>
        <v>0.26849308000124289</v>
      </c>
      <c r="P54" s="384">
        <f t="shared" si="4"/>
        <v>7.0848356087355562</v>
      </c>
      <c r="Q54" s="213">
        <f t="shared" si="19"/>
        <v>5.2017662416940649</v>
      </c>
      <c r="R54" s="213">
        <f t="shared" si="6"/>
        <v>8.9679049757770475</v>
      </c>
      <c r="S54" s="350">
        <f t="shared" si="7"/>
        <v>-482.72698106979919</v>
      </c>
      <c r="T54" s="213">
        <f t="shared" si="8"/>
        <v>233025.33825276227</v>
      </c>
      <c r="U54" s="350">
        <f t="shared" si="9"/>
        <v>1193.726981069799</v>
      </c>
      <c r="V54" s="350">
        <f t="shared" si="10"/>
        <v>181.59269538259312</v>
      </c>
      <c r="W54" s="350">
        <f t="shared" si="11"/>
        <v>7847.1444147670845</v>
      </c>
      <c r="X54" s="364">
        <f t="shared" si="12"/>
        <v>0.67894090164528742</v>
      </c>
      <c r="Y54" s="386">
        <f t="shared" si="13"/>
        <v>8.7975484884815582</v>
      </c>
      <c r="Z54" s="386">
        <f t="shared" si="14"/>
        <v>7.0600818341795559</v>
      </c>
      <c r="AA54" s="385">
        <f t="shared" si="15"/>
        <v>6.5666724298032406</v>
      </c>
      <c r="AB54" s="387">
        <f t="shared" si="18"/>
        <v>106</v>
      </c>
      <c r="AC54" s="247">
        <f t="shared" si="16"/>
        <v>5.1770124671380646</v>
      </c>
      <c r="AD54" s="258">
        <f t="shared" si="17"/>
        <v>8.9431512012210472</v>
      </c>
    </row>
    <row r="55" spans="1:31">
      <c r="A55" s="247">
        <v>2002</v>
      </c>
      <c r="B55" s="213">
        <f t="shared" si="1"/>
        <v>2007</v>
      </c>
      <c r="C55" s="300">
        <f>VLOOKUP($A55,BroodTab!$A$12:$AG$67,12)</f>
        <v>10.213322429629041</v>
      </c>
      <c r="D55" s="300">
        <f>VLOOKUP($A55,BroodTab!$A$12:$AG$67,24)</f>
        <v>6.953684210870537</v>
      </c>
      <c r="E55" s="213">
        <v>36</v>
      </c>
      <c r="F55" s="213">
        <v>34</v>
      </c>
      <c r="G55" s="300">
        <v>4.7964485079510393</v>
      </c>
      <c r="H55" s="300">
        <v>0.25842869404388819</v>
      </c>
      <c r="I55" s="213">
        <v>0.18937981077822569</v>
      </c>
      <c r="J55" s="213">
        <v>7.4358640852892233</v>
      </c>
      <c r="K55" s="213">
        <v>1.4167916946427743</v>
      </c>
      <c r="L55" s="213">
        <v>5.192515662165554E-2</v>
      </c>
      <c r="M55" s="124">
        <v>2.1066921333271056</v>
      </c>
      <c r="N55" s="213">
        <f t="shared" si="2"/>
        <v>-0.48217987441868626</v>
      </c>
      <c r="O55" s="213">
        <f t="shared" si="3"/>
        <v>0.23249743129442005</v>
      </c>
      <c r="P55" s="384">
        <f t="shared" si="4"/>
        <v>7.4358640852892233</v>
      </c>
      <c r="Q55" s="213">
        <f t="shared" si="19"/>
        <v>5.552794718247732</v>
      </c>
      <c r="R55" s="213">
        <f t="shared" si="6"/>
        <v>9.3189334523307146</v>
      </c>
      <c r="S55" s="350">
        <f t="shared" si="7"/>
        <v>-648.72233484961293</v>
      </c>
      <c r="T55" s="213">
        <f t="shared" si="8"/>
        <v>420840.6677327333</v>
      </c>
      <c r="U55" s="350">
        <f t="shared" si="9"/>
        <v>1695.7223348496132</v>
      </c>
      <c r="V55" s="350">
        <f t="shared" si="10"/>
        <v>257.95746790429649</v>
      </c>
      <c r="W55" s="350">
        <f t="shared" si="11"/>
        <v>11147.086611869827</v>
      </c>
      <c r="X55" s="364">
        <f t="shared" si="12"/>
        <v>0.61960108390602942</v>
      </c>
      <c r="Y55" s="386">
        <f t="shared" si="13"/>
        <v>10.213322429629041</v>
      </c>
      <c r="Z55" s="386">
        <f t="shared" si="14"/>
        <v>7.4218551360639662</v>
      </c>
      <c r="AA55" s="385">
        <f t="shared" si="15"/>
        <v>6.953684210870537</v>
      </c>
      <c r="AB55" s="387">
        <f t="shared" si="18"/>
        <v>107</v>
      </c>
      <c r="AC55" s="247">
        <f t="shared" si="16"/>
        <v>5.5387857690224749</v>
      </c>
      <c r="AD55" s="258">
        <f t="shared" si="17"/>
        <v>9.3049245031054575</v>
      </c>
    </row>
    <row r="56" spans="1:31">
      <c r="A56" s="247">
        <v>2003</v>
      </c>
      <c r="B56" s="213">
        <f t="shared" si="1"/>
        <v>2008</v>
      </c>
      <c r="C56" s="300">
        <f>VLOOKUP($A56,BroodTab!$A$12:$AG$67,12)</f>
        <v>10.284045024938107</v>
      </c>
      <c r="D56" s="300">
        <f>VLOOKUP($A56,BroodTab!$A$12:$AG$67,24)</f>
        <v>8.0687161927147812</v>
      </c>
      <c r="E56" s="213">
        <v>36</v>
      </c>
      <c r="F56" s="213">
        <v>34</v>
      </c>
      <c r="G56" s="300">
        <v>4.8410751815690656</v>
      </c>
      <c r="H56" s="300">
        <v>0.25081662711745822</v>
      </c>
      <c r="I56" s="213">
        <v>0.18921888101664369</v>
      </c>
      <c r="J56" s="213">
        <v>7.4204846678481182</v>
      </c>
      <c r="K56" s="213">
        <v>1.4149027982282187</v>
      </c>
      <c r="L56" s="213">
        <v>4.913851701352101E-2</v>
      </c>
      <c r="M56" s="124">
        <v>2.1014777851944944</v>
      </c>
      <c r="N56" s="213">
        <f t="shared" si="2"/>
        <v>0.64823152486666302</v>
      </c>
      <c r="O56" s="213">
        <f t="shared" si="3"/>
        <v>0.42020410983095918</v>
      </c>
      <c r="P56" s="384">
        <f t="shared" si="4"/>
        <v>7.4204846678481182</v>
      </c>
      <c r="Q56" s="213">
        <f t="shared" si="19"/>
        <v>5.5374153008066269</v>
      </c>
      <c r="R56" s="213">
        <f t="shared" si="6"/>
        <v>9.3035540348896095</v>
      </c>
      <c r="S56" s="350">
        <f t="shared" si="7"/>
        <v>1523.1573693145108</v>
      </c>
      <c r="T56" s="213">
        <f t="shared" si="8"/>
        <v>2320008.3716971008</v>
      </c>
      <c r="U56" s="350">
        <f t="shared" si="9"/>
        <v>1669.8426306854869</v>
      </c>
      <c r="V56" s="350">
        <f t="shared" si="10"/>
        <v>254.02058341613977</v>
      </c>
      <c r="W56" s="350">
        <f t="shared" si="11"/>
        <v>10976.962471921721</v>
      </c>
      <c r="X56" s="364">
        <f t="shared" si="12"/>
        <v>-0.4770301814326689</v>
      </c>
      <c r="Y56" s="386">
        <f t="shared" si="13"/>
        <v>10.284045024938107</v>
      </c>
      <c r="Z56" s="386">
        <f t="shared" si="14"/>
        <v>7.4399269101510495</v>
      </c>
      <c r="AA56" s="385">
        <f t="shared" si="15"/>
        <v>8.0687161927147812</v>
      </c>
      <c r="AB56" s="387">
        <f t="shared" si="18"/>
        <v>108</v>
      </c>
      <c r="AC56" s="247">
        <f t="shared" si="16"/>
        <v>5.5568575431095582</v>
      </c>
      <c r="AD56" s="258">
        <f t="shared" si="17"/>
        <v>9.3229962771925408</v>
      </c>
    </row>
    <row r="57" spans="1:31">
      <c r="A57" s="247">
        <v>2004</v>
      </c>
      <c r="B57" s="213">
        <f t="shared" si="1"/>
        <v>2009</v>
      </c>
      <c r="C57" s="300">
        <f>VLOOKUP($A57,BroodTab!$A$12:$AG$67,12)</f>
        <v>10.736070535336799</v>
      </c>
      <c r="D57" s="300">
        <f>VLOOKUP($A57,BroodTab!$A$12:$AG$67,24)</f>
        <v>6.2422232654551655</v>
      </c>
      <c r="E57" s="213">
        <v>36</v>
      </c>
      <c r="F57" s="213">
        <v>34</v>
      </c>
      <c r="G57" s="300">
        <v>4.641848932070026</v>
      </c>
      <c r="H57" s="300">
        <v>0.27650717403910152</v>
      </c>
      <c r="I57" s="213">
        <v>0.18827221045822523</v>
      </c>
      <c r="J57" s="213">
        <v>7.6104494560804685</v>
      </c>
      <c r="K57" s="213">
        <v>1.4003899709872789</v>
      </c>
      <c r="L57" s="213">
        <v>5.9655234660804114E-2</v>
      </c>
      <c r="M57" s="124">
        <v>2.0611499125362456</v>
      </c>
      <c r="N57" s="213">
        <f t="shared" si="2"/>
        <v>-1.368226190625303</v>
      </c>
      <c r="O57" s="213">
        <f t="shared" si="3"/>
        <v>1.8720429087130281</v>
      </c>
      <c r="P57" s="384">
        <f t="shared" si="4"/>
        <v>7.6104494560804685</v>
      </c>
      <c r="Q57" s="213">
        <f t="shared" si="19"/>
        <v>5.7273800890389772</v>
      </c>
      <c r="R57" s="213">
        <f t="shared" si="6"/>
        <v>9.4935188231219598</v>
      </c>
      <c r="S57" s="350">
        <f t="shared" si="7"/>
        <v>-1505.1854289674077</v>
      </c>
      <c r="T57" s="213">
        <f t="shared" si="8"/>
        <v>2265583.1755757993</v>
      </c>
      <c r="U57" s="350">
        <f t="shared" si="9"/>
        <v>2019.1854289674079</v>
      </c>
      <c r="V57" s="350">
        <f t="shared" si="10"/>
        <v>307.16347233338564</v>
      </c>
      <c r="W57" s="350">
        <f t="shared" si="11"/>
        <v>13273.420063858139</v>
      </c>
      <c r="X57" s="364">
        <f t="shared" si="12"/>
        <v>2.9283763209482627</v>
      </c>
      <c r="Y57" s="386">
        <f t="shared" si="13"/>
        <v>10.736070535336799</v>
      </c>
      <c r="Z57" s="386">
        <f t="shared" si="14"/>
        <v>7.555433176144601</v>
      </c>
      <c r="AA57" s="385">
        <f t="shared" si="15"/>
        <v>6.2422232654551655</v>
      </c>
      <c r="AB57" s="387">
        <f t="shared" si="18"/>
        <v>109</v>
      </c>
      <c r="AC57" s="247">
        <f t="shared" si="16"/>
        <v>5.6723638091031097</v>
      </c>
      <c r="AD57" s="258">
        <f t="shared" si="17"/>
        <v>9.4385025431860914</v>
      </c>
    </row>
    <row r="58" spans="1:31">
      <c r="A58" s="247">
        <v>2005</v>
      </c>
      <c r="B58" s="213">
        <f t="shared" si="1"/>
        <v>2010</v>
      </c>
      <c r="C58" s="300">
        <f>VLOOKUP($A58,BroodTab!$A$12:$AG$67,12)</f>
        <v>7.9409397623277913</v>
      </c>
      <c r="D58" s="300">
        <f>VLOOKUP($A58,BroodTab!$A$12:$AG$67,24)</f>
        <v>9.5116294478341814</v>
      </c>
      <c r="E58" s="213">
        <v>36</v>
      </c>
      <c r="F58" s="213">
        <v>34</v>
      </c>
      <c r="G58" s="300">
        <v>3.7281474000116304</v>
      </c>
      <c r="H58" s="300">
        <v>0.35721402406892327</v>
      </c>
      <c r="I58" s="213">
        <v>0.18472570328656804</v>
      </c>
      <c r="J58" s="213">
        <v>6.5647624474016597</v>
      </c>
      <c r="K58" s="213">
        <v>1.335097213373079</v>
      </c>
      <c r="L58" s="213">
        <v>9.9084862549553232E-2</v>
      </c>
      <c r="M58" s="124">
        <v>1.8719307249504991</v>
      </c>
      <c r="N58" s="213">
        <f t="shared" si="2"/>
        <v>2.9468670004325217</v>
      </c>
      <c r="O58" s="213">
        <f t="shared" si="3"/>
        <v>8.6840251182381678</v>
      </c>
      <c r="P58" s="384">
        <f t="shared" si="4"/>
        <v>6.5647624474016597</v>
      </c>
      <c r="Q58" s="213">
        <f t="shared" si="19"/>
        <v>4.6816930803601684</v>
      </c>
      <c r="R58" s="213">
        <f t="shared" si="6"/>
        <v>8.4478318144431501</v>
      </c>
      <c r="S58" s="350">
        <f t="shared" si="7"/>
        <v>12806.35670143716</v>
      </c>
      <c r="T58" s="213">
        <f t="shared" si="8"/>
        <v>164002771.96444446</v>
      </c>
      <c r="U58" s="350">
        <f t="shared" si="9"/>
        <v>709.64329856285133</v>
      </c>
      <c r="V58" s="350">
        <f t="shared" si="10"/>
        <v>107.9526905144883</v>
      </c>
      <c r="W58" s="350">
        <f t="shared" si="11"/>
        <v>4664.9472912171323</v>
      </c>
      <c r="X58" s="364">
        <f t="shared" si="12"/>
        <v>-0.94749605663192882</v>
      </c>
      <c r="Y58" s="386">
        <f t="shared" si="13"/>
        <v>7.9409397623277913</v>
      </c>
      <c r="Z58" s="386">
        <f t="shared" si="14"/>
        <v>6.841192251403033</v>
      </c>
      <c r="AA58" s="385">
        <f t="shared" si="15"/>
        <v>9.5116294478341814</v>
      </c>
      <c r="AB58" s="387">
        <f t="shared" si="18"/>
        <v>110</v>
      </c>
      <c r="AC58" s="247">
        <f t="shared" si="16"/>
        <v>4.9581228843615417</v>
      </c>
      <c r="AD58" s="258">
        <f t="shared" si="17"/>
        <v>8.7242616184445243</v>
      </c>
    </row>
    <row r="59" spans="1:31">
      <c r="A59" s="247">
        <v>2006</v>
      </c>
      <c r="B59" s="213">
        <f t="shared" si="1"/>
        <v>2011</v>
      </c>
      <c r="C59" s="300">
        <f>VLOOKUP($A59,BroodTab!$A$12:$AG$67,12)</f>
        <v>10.52741862240739</v>
      </c>
      <c r="D59" s="300">
        <f>VLOOKUP($A59,BroodTab!$A$12:$AG$67,24)</f>
        <v>6.313548046277095</v>
      </c>
      <c r="E59" s="213">
        <v>36</v>
      </c>
      <c r="F59" s="213">
        <v>34</v>
      </c>
      <c r="G59" s="300">
        <v>4.7041343651695131</v>
      </c>
      <c r="H59" s="300">
        <v>0.26982544262817026</v>
      </c>
      <c r="I59" s="213">
        <v>0.18819208325836034</v>
      </c>
      <c r="J59" s="213">
        <v>7.5446997546926298</v>
      </c>
      <c r="K59" s="213">
        <v>1.4038873635843407</v>
      </c>
      <c r="L59" s="213">
        <v>5.7014979623120375E-2</v>
      </c>
      <c r="M59" s="124">
        <v>2.0710506380640497</v>
      </c>
      <c r="N59" s="213">
        <f t="shared" si="2"/>
        <v>-1.2311517084155348</v>
      </c>
      <c r="O59" s="213">
        <f t="shared" si="3"/>
        <v>1.5157345291344899</v>
      </c>
      <c r="P59" s="384">
        <f t="shared" si="4"/>
        <v>7.5446997546926298</v>
      </c>
      <c r="Q59" s="213">
        <f t="shared" si="19"/>
        <v>5.6616303876511385</v>
      </c>
      <c r="R59" s="213">
        <f t="shared" si="6"/>
        <v>9.4277691217341211</v>
      </c>
      <c r="S59" s="350">
        <f t="shared" si="7"/>
        <v>-1338.6949798932831</v>
      </c>
      <c r="T59" s="213">
        <f t="shared" si="8"/>
        <v>1792104.2491914774</v>
      </c>
      <c r="U59" s="350">
        <f t="shared" si="9"/>
        <v>1890.6949798932828</v>
      </c>
      <c r="V59" s="350">
        <f t="shared" si="10"/>
        <v>287.61718800848945</v>
      </c>
      <c r="W59" s="350">
        <f t="shared" si="11"/>
        <v>12428.768710749468</v>
      </c>
      <c r="X59" s="364">
        <f t="shared" si="12"/>
        <v>2.4251720650240647</v>
      </c>
      <c r="Y59" s="386">
        <f t="shared" si="13"/>
        <v>10.52741862240739</v>
      </c>
      <c r="Z59" s="386">
        <f t="shared" si="14"/>
        <v>7.5021162663674721</v>
      </c>
      <c r="AA59" s="385">
        <f t="shared" si="15"/>
        <v>6.313548046277095</v>
      </c>
      <c r="AB59" s="387">
        <f t="shared" si="18"/>
        <v>111</v>
      </c>
      <c r="AC59" s="247">
        <f t="shared" si="16"/>
        <v>5.6190468993259808</v>
      </c>
      <c r="AD59" s="258">
        <f t="shared" si="17"/>
        <v>9.3851856334089625</v>
      </c>
    </row>
    <row r="60" spans="1:31">
      <c r="A60" s="247">
        <v>2007</v>
      </c>
      <c r="B60" s="213">
        <f t="shared" si="1"/>
        <v>2012</v>
      </c>
      <c r="C60" s="300">
        <f>VLOOKUP($A60,BroodTab!$A$12:$AG$67,12)</f>
        <v>11.560514908563141</v>
      </c>
      <c r="D60" s="300">
        <f>VLOOKUP($A60,BroodTab!$A$12:$AG$67,24)</f>
        <v>7.9554250889126719</v>
      </c>
      <c r="E60" s="213">
        <v>36</v>
      </c>
      <c r="F60" s="213">
        <v>34</v>
      </c>
      <c r="G60" s="300">
        <v>4.8673693475878927</v>
      </c>
      <c r="H60" s="300">
        <v>0.24936650460229842</v>
      </c>
      <c r="I60" s="213">
        <v>0.19456628349083405</v>
      </c>
      <c r="J60" s="213">
        <v>7.7501745417390424</v>
      </c>
      <c r="K60" s="213">
        <v>1.4187301727218842</v>
      </c>
      <c r="L60" s="213">
        <v>4.6086238805589957E-2</v>
      </c>
      <c r="M60" s="124">
        <v>2.1119839650646433</v>
      </c>
      <c r="N60" s="213">
        <f t="shared" si="2"/>
        <v>0.20525054717362945</v>
      </c>
      <c r="O60" s="213">
        <f t="shared" si="3"/>
        <v>4.212778711507429E-2</v>
      </c>
      <c r="P60" s="384">
        <f t="shared" si="4"/>
        <v>7.7501745417390424</v>
      </c>
      <c r="Q60" s="213">
        <f t="shared" si="19"/>
        <v>5.8671051746975511</v>
      </c>
      <c r="R60" s="213">
        <f t="shared" si="6"/>
        <v>9.6332439087805337</v>
      </c>
      <c r="S60" s="350">
        <f t="shared" si="7"/>
        <v>529.02233873718478</v>
      </c>
      <c r="T60" s="213">
        <f t="shared" si="8"/>
        <v>279864.6348829607</v>
      </c>
      <c r="U60" s="350">
        <f t="shared" si="9"/>
        <v>2321.9776612628148</v>
      </c>
      <c r="V60" s="350">
        <f t="shared" si="10"/>
        <v>353.2249742307111</v>
      </c>
      <c r="W60" s="350">
        <f t="shared" si="11"/>
        <v>15263.870486920854</v>
      </c>
      <c r="X60" s="364">
        <f t="shared" si="12"/>
        <v>-0.18555676560406345</v>
      </c>
      <c r="Y60" s="386">
        <f t="shared" si="13"/>
        <v>11.560514908563141</v>
      </c>
      <c r="Z60" s="386">
        <f t="shared" si="14"/>
        <v>7.7661037884885289</v>
      </c>
      <c r="AA60" s="385">
        <f t="shared" si="15"/>
        <v>7.9554250889126719</v>
      </c>
      <c r="AB60" s="387">
        <f t="shared" si="18"/>
        <v>112</v>
      </c>
      <c r="AC60" s="247">
        <f t="shared" si="16"/>
        <v>5.8830344214470376</v>
      </c>
      <c r="AD60" s="258">
        <f t="shared" si="17"/>
        <v>9.6491731555300202</v>
      </c>
    </row>
    <row r="61" spans="1:31">
      <c r="A61" s="247">
        <v>2008</v>
      </c>
      <c r="B61" s="213">
        <f t="shared" si="1"/>
        <v>2013</v>
      </c>
      <c r="C61" s="300">
        <f>VLOOKUP($A61,BroodTab!$A$12:$AG$67,12)</f>
        <v>10.315100391230526</v>
      </c>
      <c r="D61" s="300">
        <f>VLOOKUP($A61,BroodTab!$A$12:$AG$67,24)</f>
        <v>6.7310181004820828</v>
      </c>
      <c r="E61" s="213">
        <v>36</v>
      </c>
      <c r="F61" s="213">
        <v>34</v>
      </c>
      <c r="G61" s="300">
        <v>4.7748807774830517</v>
      </c>
      <c r="H61" s="300">
        <v>0.2613163138930491</v>
      </c>
      <c r="I61" s="213">
        <v>0.18909436431745552</v>
      </c>
      <c r="J61" s="213">
        <v>7.4703847891561619</v>
      </c>
      <c r="K61" s="213">
        <v>1.4136299512839348</v>
      </c>
      <c r="L61" s="213">
        <v>5.3181860731869694E-2</v>
      </c>
      <c r="M61" s="124">
        <v>2.0979694426396618</v>
      </c>
      <c r="N61" s="213">
        <f t="shared" si="2"/>
        <v>-0.73936668867407906</v>
      </c>
      <c r="O61" s="213">
        <f t="shared" si="3"/>
        <v>0.54666310032087251</v>
      </c>
      <c r="P61" s="384">
        <f t="shared" si="4"/>
        <v>7.4703847891561619</v>
      </c>
      <c r="Q61" s="213">
        <f t="shared" si="19"/>
        <v>5.5873154221146706</v>
      </c>
      <c r="R61" s="213">
        <f t="shared" si="6"/>
        <v>9.3534541561976532</v>
      </c>
      <c r="S61" s="350">
        <f t="shared" si="7"/>
        <v>-917.28196911364535</v>
      </c>
      <c r="T61" s="213">
        <f t="shared" si="8"/>
        <v>841406.21086100664</v>
      </c>
      <c r="U61" s="350">
        <f t="shared" si="9"/>
        <v>1755.2819691136451</v>
      </c>
      <c r="V61" s="350">
        <f t="shared" si="10"/>
        <v>267.01782650682571</v>
      </c>
      <c r="W61" s="350">
        <f t="shared" si="11"/>
        <v>11538.610853821463</v>
      </c>
      <c r="X61" s="364">
        <f t="shared" si="12"/>
        <v>1.0946085550282167</v>
      </c>
      <c r="Y61" s="386">
        <f t="shared" si="13"/>
        <v>10.315100391230526</v>
      </c>
      <c r="Z61" s="386">
        <f t="shared" si="14"/>
        <v>7.447862500769233</v>
      </c>
      <c r="AA61" s="385">
        <f t="shared" si="15"/>
        <v>6.7310181004820828</v>
      </c>
      <c r="AB61" s="387">
        <f t="shared" si="18"/>
        <v>113</v>
      </c>
      <c r="AC61" s="247">
        <f t="shared" si="16"/>
        <v>5.5647931337277416</v>
      </c>
      <c r="AD61" s="258">
        <f t="shared" si="17"/>
        <v>9.3309318678107243</v>
      </c>
    </row>
    <row r="62" spans="1:31">
      <c r="A62" s="247">
        <v>2009</v>
      </c>
      <c r="B62" s="213">
        <f t="shared" si="1"/>
        <v>2014</v>
      </c>
      <c r="C62" s="300">
        <f>VLOOKUP($A62,BroodTab!$A$12:$AG$67,12)</f>
        <v>10.472487740353191</v>
      </c>
      <c r="D62" s="300">
        <f>VLOOKUP($A62,BroodTab!$A$12:$AG$67,24)</f>
        <v>6.2324480165505225</v>
      </c>
      <c r="E62" s="213">
        <v>36</v>
      </c>
      <c r="F62" s="213">
        <v>34</v>
      </c>
      <c r="G62" s="300">
        <v>4.7107548165201463</v>
      </c>
      <c r="H62" s="300">
        <v>0.26934070005473748</v>
      </c>
      <c r="I62" s="213">
        <v>0.18783759142942391</v>
      </c>
      <c r="J62" s="213">
        <v>7.53142199582153</v>
      </c>
      <c r="K62" s="213">
        <v>1.402129322369194</v>
      </c>
      <c r="L62" s="213">
        <v>5.7024370453958778E-2</v>
      </c>
      <c r="M62" s="307">
        <v>2.0662802451808178</v>
      </c>
      <c r="N62" s="390">
        <f t="shared" si="2"/>
        <v>-1.2989739792710076</v>
      </c>
      <c r="O62" s="213">
        <f t="shared" si="3"/>
        <v>1.687333398823156</v>
      </c>
      <c r="P62" s="384">
        <f t="shared" si="4"/>
        <v>7.53142199582153</v>
      </c>
      <c r="Q62" s="213">
        <f t="shared" si="19"/>
        <v>5.6483526287800387</v>
      </c>
      <c r="R62" s="213">
        <f t="shared" si="6"/>
        <v>9.4144913628630214</v>
      </c>
      <c r="S62" s="350">
        <f t="shared" si="7"/>
        <v>-1356.7567163576582</v>
      </c>
      <c r="T62" s="213">
        <f t="shared" si="8"/>
        <v>1840788.787381615</v>
      </c>
      <c r="U62" s="350">
        <f t="shared" si="9"/>
        <v>1865.7567163576582</v>
      </c>
      <c r="V62" s="350">
        <f t="shared" si="10"/>
        <v>283.82351779292895</v>
      </c>
      <c r="W62" s="350">
        <f t="shared" si="11"/>
        <v>12264.833272813577</v>
      </c>
      <c r="X62" s="364">
        <f t="shared" si="12"/>
        <v>2.6655338238853803</v>
      </c>
      <c r="Y62" s="386">
        <f t="shared" si="13"/>
        <v>10.472487740353191</v>
      </c>
      <c r="Z62" s="386">
        <f t="shared" si="14"/>
        <v>7.4880797553125618</v>
      </c>
      <c r="AA62" s="385">
        <f t="shared" si="15"/>
        <v>6.2324480165505225</v>
      </c>
      <c r="AB62" s="387">
        <f t="shared" si="18"/>
        <v>114</v>
      </c>
      <c r="AC62" s="247">
        <f t="shared" si="16"/>
        <v>5.6050103882710705</v>
      </c>
      <c r="AD62" s="258">
        <f t="shared" si="17"/>
        <v>9.3711491223540531</v>
      </c>
    </row>
    <row r="63" spans="1:31">
      <c r="A63" s="247"/>
      <c r="C63" s="309"/>
      <c r="D63" s="309"/>
      <c r="E63" s="213"/>
      <c r="F63" s="213"/>
      <c r="G63" s="300"/>
      <c r="H63" s="300"/>
      <c r="I63" s="213"/>
      <c r="J63" s="213"/>
      <c r="K63" s="213"/>
      <c r="L63" s="213"/>
      <c r="P63" s="302"/>
      <c r="S63" s="265"/>
      <c r="U63" s="306"/>
      <c r="V63" s="265"/>
      <c r="W63" s="265"/>
      <c r="X63" s="303"/>
      <c r="Y63" s="304"/>
      <c r="Z63" s="304"/>
      <c r="AA63" s="252"/>
      <c r="AB63" s="305"/>
      <c r="AC63" s="246"/>
      <c r="AD63" s="248"/>
    </row>
    <row r="64" spans="1:31" ht="21">
      <c r="A64" s="247">
        <v>2010</v>
      </c>
      <c r="B64" s="213">
        <f>A64+5</f>
        <v>2015</v>
      </c>
      <c r="C64" s="300">
        <f>VLOOKUP($A64,BroodTab!$A$12:$AG$67,12)</f>
        <v>9.9515631757676921</v>
      </c>
      <c r="D64" s="309"/>
      <c r="E64" s="213">
        <v>37</v>
      </c>
      <c r="F64" s="213">
        <v>35</v>
      </c>
      <c r="G64" s="300">
        <v>4.8120406231747914</v>
      </c>
      <c r="H64" s="300">
        <v>0.25553041440443064</v>
      </c>
      <c r="I64" s="213">
        <v>0.1867684321173993</v>
      </c>
      <c r="J64" s="213">
        <v>7.3549676854505819</v>
      </c>
      <c r="K64" s="213">
        <v>1.3987126591692758</v>
      </c>
      <c r="L64" s="213">
        <v>5.0767170442592859E-2</v>
      </c>
      <c r="M64" s="124">
        <v>2.0560422441986135</v>
      </c>
      <c r="P64" s="384">
        <f>J64</f>
        <v>7.3549676854505819</v>
      </c>
      <c r="Q64" s="213">
        <f>$P64-(SQRT($O$66)*$Q$66)</f>
        <v>5.4718983184090906</v>
      </c>
      <c r="R64" s="213">
        <f>$P64+SQRT($O$66)*$Q$66</f>
        <v>9.2380370524920732</v>
      </c>
      <c r="S64" s="265"/>
      <c r="U64" s="477">
        <f>EXP(P64)</f>
        <v>1563.9464563526451</v>
      </c>
      <c r="V64" s="477">
        <f>EXP(Q64)</f>
        <v>237.91139594466944</v>
      </c>
      <c r="W64" s="477">
        <f>EXP(R64)</f>
        <v>10280.837992757777</v>
      </c>
      <c r="X64" s="303"/>
      <c r="Y64" s="386">
        <f>C64</f>
        <v>9.9515631757676921</v>
      </c>
      <c r="Z64" s="386">
        <f>(+G$64+H$64*C64)</f>
        <v>7.3549676854505819</v>
      </c>
      <c r="AA64" s="252"/>
      <c r="AB64" s="387">
        <f>B64-1900</f>
        <v>115</v>
      </c>
      <c r="AC64" s="247">
        <f>Z64-SQRT($O$67)*$Q$67</f>
        <v>5.4823065657532819</v>
      </c>
      <c r="AD64" s="258">
        <f>Z64+SQRT($O$67)*$Q$67</f>
        <v>9.2276288051478819</v>
      </c>
      <c r="AE64" s="213">
        <f>Z64</f>
        <v>7.3549676854505819</v>
      </c>
    </row>
    <row r="65" spans="1:30">
      <c r="A65" s="260"/>
      <c r="B65" s="224"/>
      <c r="C65" s="315"/>
      <c r="D65" s="224"/>
      <c r="E65" s="224"/>
      <c r="F65" s="224"/>
      <c r="G65" s="224"/>
      <c r="H65" s="317"/>
      <c r="I65" s="224"/>
      <c r="J65" s="224"/>
      <c r="K65" s="224"/>
      <c r="L65" s="224"/>
      <c r="M65" s="224"/>
      <c r="N65" s="224"/>
      <c r="O65" s="224"/>
      <c r="P65" s="224"/>
      <c r="Q65" s="224"/>
      <c r="R65" s="224"/>
      <c r="S65" s="224"/>
      <c r="T65" s="224"/>
      <c r="U65" s="224"/>
      <c r="V65" s="224"/>
      <c r="W65" s="224"/>
      <c r="X65" s="298"/>
      <c r="Y65" s="252"/>
      <c r="Z65" s="298"/>
      <c r="AA65" s="298"/>
      <c r="AB65" s="298"/>
      <c r="AC65" s="224"/>
      <c r="AD65" s="298"/>
    </row>
    <row r="66" spans="1:30">
      <c r="A66" s="246"/>
      <c r="C66" s="309"/>
      <c r="E66" s="308" t="s">
        <v>152</v>
      </c>
      <c r="F66" s="213">
        <f>F62</f>
        <v>34</v>
      </c>
      <c r="H66" s="318"/>
      <c r="M66" s="308" t="s">
        <v>153</v>
      </c>
      <c r="O66" s="213">
        <f>AVERAGEA(O26:O61)</f>
        <v>2.0662841565701537</v>
      </c>
      <c r="P66" s="308" t="s">
        <v>154</v>
      </c>
      <c r="Q66" s="213">
        <f>VLOOKUP(F66,ttab!$A$3:$G$43,4)</f>
        <v>1.31</v>
      </c>
      <c r="X66" s="248"/>
      <c r="Y66" s="253"/>
    </row>
    <row r="67" spans="1:30" ht="21">
      <c r="A67" s="246"/>
      <c r="E67" s="308" t="s">
        <v>152</v>
      </c>
      <c r="F67" s="213">
        <f>F64</f>
        <v>35</v>
      </c>
      <c r="M67" s="308" t="s">
        <v>155</v>
      </c>
      <c r="O67" s="213">
        <f>AVERAGEA(O26:O65)</f>
        <v>2.0560422441986135</v>
      </c>
      <c r="P67" s="308" t="s">
        <v>154</v>
      </c>
      <c r="Q67" s="213">
        <f>VLOOKUP(F67,ttab!$A$3:$G$43,4)</f>
        <v>1.306</v>
      </c>
      <c r="S67" s="308" t="s">
        <v>166</v>
      </c>
      <c r="T67" s="213">
        <f>AVERAGEA(T26:T64)</f>
        <v>84720166.49577193</v>
      </c>
      <c r="W67" s="124" t="s">
        <v>167</v>
      </c>
      <c r="X67" s="478">
        <f>AVERAGEA(X26:X63)</f>
        <v>1.3128992307908123</v>
      </c>
      <c r="Y67" s="246"/>
    </row>
    <row r="68" spans="1:30">
      <c r="A68" s="224"/>
      <c r="B68" s="224"/>
      <c r="C68" s="224"/>
      <c r="D68" s="224"/>
      <c r="E68" s="224"/>
      <c r="F68" s="224"/>
      <c r="G68" s="224"/>
      <c r="H68" s="224"/>
      <c r="I68" s="224"/>
      <c r="J68" s="224"/>
      <c r="K68" s="224"/>
      <c r="L68" s="224"/>
      <c r="M68" s="224"/>
      <c r="N68" s="224"/>
      <c r="O68" s="224"/>
      <c r="P68" s="224"/>
      <c r="Q68" s="224"/>
      <c r="R68" s="224"/>
      <c r="S68" s="224"/>
      <c r="T68" s="224"/>
      <c r="U68" s="224"/>
      <c r="V68" s="224"/>
      <c r="W68" s="224"/>
      <c r="X68" s="298"/>
    </row>
    <row r="70" spans="1:30" ht="15" customHeight="1"/>
    <row r="71" spans="1:30" ht="15" customHeight="1"/>
    <row r="72" spans="1:30" ht="15" customHeight="1"/>
    <row r="73" spans="1:30" ht="15" customHeight="1">
      <c r="K73" s="124" t="s">
        <v>373</v>
      </c>
      <c r="L73" s="384">
        <f>ROUND(L64,5)</f>
        <v>5.0770000000000003E-2</v>
      </c>
    </row>
    <row r="74" spans="1:30" ht="15" customHeight="1">
      <c r="K74" s="124" t="s">
        <v>351</v>
      </c>
      <c r="L74" s="384">
        <f>ROUND(H64,5)</f>
        <v>0.25552999999999998</v>
      </c>
    </row>
    <row r="75" spans="1:30" ht="15" customHeight="1"/>
    <row r="76" spans="1:30" ht="15" customHeight="1"/>
    <row r="77" spans="1:30" ht="15" customHeight="1"/>
    <row r="78" spans="1:30" ht="15" customHeight="1"/>
    <row r="79" spans="1:30" ht="15" customHeight="1"/>
    <row r="80" spans="1:3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sheetData>
  <sortState ref="A26:AD62">
    <sortCondition ref="B26"/>
  </sortState>
  <phoneticPr fontId="11" type="noConversion"/>
  <pageMargins left="0.5" right="0.5" top="1" bottom="0.55000000000000004" header="0.5" footer="0.5"/>
  <pageSetup orientation="landscape"/>
  <headerFooter alignWithMargins="0">
    <oddFooter>&amp;L&amp;D&amp;C+&amp;R^</oddFooter>
  </headerFooter>
  <rowBreaks count="1" manualBreakCount="1">
    <brk id="90" max="16383" man="1"/>
  </rowBreaks>
  <drawing r:id="rId1"/>
  <legacy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transitionEntry="1" codeName="Sheet14" enableFormatConditionsCalculation="0"/>
  <dimension ref="A1:AE90"/>
  <sheetViews>
    <sheetView defaultGridColor="0" colorId="22" zoomScale="77" workbookViewId="0">
      <pane ySplit="11" topLeftCell="A12" activePane="bottomLeft" state="frozenSplit"/>
      <selection pane="bottomLeft" activeCell="A12" sqref="A12"/>
    </sheetView>
  </sheetViews>
  <sheetFormatPr baseColWidth="10" defaultColWidth="9.625" defaultRowHeight="15" x14ac:dyDescent="0"/>
  <cols>
    <col min="1" max="2" width="6.625" style="124" customWidth="1"/>
    <col min="3" max="4" width="9.625" style="124"/>
    <col min="5" max="6" width="6.625" style="124" customWidth="1"/>
    <col min="7" max="12" width="7.625" style="124" customWidth="1"/>
    <col min="13" max="14" width="9.625" style="124"/>
    <col min="15" max="15" width="16.125" style="124" customWidth="1"/>
    <col min="16" max="16" width="9.625" style="124"/>
    <col min="17" max="17" width="11.75" style="124" customWidth="1"/>
    <col min="18" max="18" width="12.5" style="124" customWidth="1"/>
    <col min="19" max="19" width="9.625" style="124"/>
    <col min="20" max="20" width="15.625" style="124" customWidth="1"/>
    <col min="21" max="21" width="9.625" style="124"/>
    <col min="22" max="22" width="12.5" style="124" customWidth="1"/>
    <col min="23" max="23" width="12.375" style="124" customWidth="1"/>
    <col min="24" max="24" width="12.875" style="124" customWidth="1"/>
    <col min="25" max="16384" width="9.625" style="124"/>
  </cols>
  <sheetData>
    <row r="1" spans="1:30">
      <c r="A1" s="124" t="s">
        <v>30</v>
      </c>
      <c r="B1" s="213" t="str">
        <f ca="1">CELL("filename",B2)</f>
        <v>NWCLM04072996:Users:eric.ward:Documents:NCEAS-covariation:data:salmon data:[2015 Coghill Lake Wild Sockeye forecast-FINAL.xlsm]ln 23 x ln 22</v>
      </c>
      <c r="F1" s="124" t="s">
        <v>181</v>
      </c>
    </row>
    <row r="2" spans="1:30">
      <c r="A2" s="124" t="s">
        <v>31</v>
      </c>
      <c r="F2" s="288" t="s">
        <v>115</v>
      </c>
      <c r="G2" s="288" t="s">
        <v>177</v>
      </c>
    </row>
    <row r="3" spans="1:30">
      <c r="A3" s="124" t="s">
        <v>104</v>
      </c>
      <c r="B3" s="124" t="s">
        <v>105</v>
      </c>
      <c r="F3" s="288" t="s">
        <v>117</v>
      </c>
      <c r="G3" s="288" t="s">
        <v>182</v>
      </c>
    </row>
    <row r="4" spans="1:30">
      <c r="H4" s="124">
        <v>6</v>
      </c>
    </row>
    <row r="8" spans="1:30">
      <c r="Z8" s="124" t="s">
        <v>119</v>
      </c>
    </row>
    <row r="9" spans="1:30">
      <c r="A9" s="256"/>
      <c r="B9" s="256"/>
      <c r="C9" s="233" t="s">
        <v>120</v>
      </c>
      <c r="D9" s="289"/>
      <c r="E9" s="233"/>
      <c r="F9" s="230"/>
      <c r="G9" s="230"/>
      <c r="H9" s="230" t="s">
        <v>121</v>
      </c>
      <c r="I9" s="230"/>
      <c r="J9" s="230"/>
      <c r="K9" s="230"/>
      <c r="L9" s="230"/>
      <c r="M9" s="289"/>
      <c r="N9" s="233" t="s">
        <v>122</v>
      </c>
      <c r="O9" s="230"/>
      <c r="P9" s="230"/>
      <c r="Q9" s="230"/>
      <c r="R9" s="289"/>
      <c r="S9" s="233" t="s">
        <v>123</v>
      </c>
      <c r="T9" s="230"/>
      <c r="U9" s="230"/>
      <c r="V9" s="230"/>
      <c r="W9" s="289"/>
      <c r="X9" s="225" t="s">
        <v>124</v>
      </c>
      <c r="Y9" s="290" t="s">
        <v>125</v>
      </c>
      <c r="Z9" s="290" t="s">
        <v>126</v>
      </c>
      <c r="AA9" s="290" t="s">
        <v>127</v>
      </c>
      <c r="AB9" s="290" t="s">
        <v>128</v>
      </c>
      <c r="AC9" s="291" t="s">
        <v>129</v>
      </c>
      <c r="AD9" s="292"/>
    </row>
    <row r="10" spans="1:30">
      <c r="A10" s="188" t="s">
        <v>37</v>
      </c>
      <c r="B10" s="252" t="s">
        <v>40</v>
      </c>
      <c r="C10" s="293" t="s">
        <v>130</v>
      </c>
      <c r="D10" s="293" t="s">
        <v>131</v>
      </c>
      <c r="E10" s="256"/>
      <c r="F10" s="256"/>
      <c r="G10" s="256"/>
      <c r="H10" s="256"/>
      <c r="I10" s="293" t="s">
        <v>132</v>
      </c>
      <c r="J10" s="293" t="s">
        <v>133</v>
      </c>
      <c r="K10" s="293" t="s">
        <v>132</v>
      </c>
      <c r="L10" s="256"/>
      <c r="M10" s="256"/>
      <c r="N10" s="256"/>
      <c r="O10" s="256"/>
      <c r="P10" s="225" t="s">
        <v>135</v>
      </c>
      <c r="Q10" s="225" t="s">
        <v>4</v>
      </c>
      <c r="R10" s="225" t="s">
        <v>5</v>
      </c>
      <c r="S10" s="256"/>
      <c r="T10" s="256"/>
      <c r="U10" s="225" t="s">
        <v>135</v>
      </c>
      <c r="V10" s="225" t="s">
        <v>4</v>
      </c>
      <c r="W10" s="225" t="s">
        <v>5</v>
      </c>
      <c r="X10" s="188" t="s">
        <v>12</v>
      </c>
      <c r="Y10" s="252"/>
      <c r="Z10" s="225" t="s">
        <v>137</v>
      </c>
      <c r="AA10" s="225" t="s">
        <v>54</v>
      </c>
      <c r="AB10" s="225" t="s">
        <v>40</v>
      </c>
      <c r="AC10" s="290" t="s">
        <v>138</v>
      </c>
      <c r="AD10" s="290" t="s">
        <v>139</v>
      </c>
    </row>
    <row r="11" spans="1:30" ht="17" customHeight="1">
      <c r="A11" s="243" t="s">
        <v>42</v>
      </c>
      <c r="B11" s="294" t="s">
        <v>42</v>
      </c>
      <c r="C11" s="295" t="s">
        <v>125</v>
      </c>
      <c r="D11" s="295" t="s">
        <v>140</v>
      </c>
      <c r="E11" s="295" t="s">
        <v>49</v>
      </c>
      <c r="F11" s="295" t="s">
        <v>141</v>
      </c>
      <c r="G11" s="295" t="s">
        <v>107</v>
      </c>
      <c r="H11" s="295" t="s">
        <v>142</v>
      </c>
      <c r="I11" s="295" t="s">
        <v>142</v>
      </c>
      <c r="J11" s="295" t="s">
        <v>143</v>
      </c>
      <c r="K11" s="295" t="s">
        <v>133</v>
      </c>
      <c r="L11" s="295" t="s">
        <v>144</v>
      </c>
      <c r="M11" s="295" t="s">
        <v>145</v>
      </c>
      <c r="N11" s="295" t="s">
        <v>146</v>
      </c>
      <c r="O11" s="295" t="s">
        <v>147</v>
      </c>
      <c r="P11" s="295" t="s">
        <v>143</v>
      </c>
      <c r="Q11" s="295" t="s">
        <v>148</v>
      </c>
      <c r="R11" s="295" t="s">
        <v>149</v>
      </c>
      <c r="S11" s="295" t="s">
        <v>146</v>
      </c>
      <c r="T11" s="295" t="s">
        <v>147</v>
      </c>
      <c r="U11" s="295" t="s">
        <v>143</v>
      </c>
      <c r="V11" s="295" t="s">
        <v>148</v>
      </c>
      <c r="W11" s="295" t="s">
        <v>149</v>
      </c>
      <c r="X11" s="295" t="s">
        <v>150</v>
      </c>
      <c r="Y11" s="243" t="s">
        <v>180</v>
      </c>
      <c r="Z11" s="243" t="s">
        <v>151</v>
      </c>
      <c r="AA11" s="243" t="s">
        <v>151</v>
      </c>
      <c r="AB11" s="243" t="s">
        <v>42</v>
      </c>
      <c r="AC11" s="290" t="s">
        <v>4</v>
      </c>
      <c r="AD11" s="290" t="s">
        <v>5</v>
      </c>
    </row>
    <row r="12" spans="1:30">
      <c r="A12" s="253"/>
      <c r="B12" s="254"/>
      <c r="C12" s="254"/>
      <c r="D12" s="254"/>
      <c r="E12" s="254"/>
      <c r="F12" s="254"/>
      <c r="G12" s="254"/>
      <c r="H12" s="254"/>
      <c r="I12" s="254"/>
      <c r="J12" s="254"/>
      <c r="K12" s="254"/>
      <c r="L12" s="254"/>
      <c r="M12" s="254"/>
      <c r="N12" s="254"/>
      <c r="O12" s="254"/>
      <c r="P12" s="254"/>
      <c r="Q12" s="254"/>
      <c r="R12" s="254"/>
      <c r="S12" s="254"/>
      <c r="T12" s="254"/>
      <c r="U12" s="254"/>
      <c r="V12" s="254"/>
      <c r="W12" s="254"/>
      <c r="X12" s="255"/>
      <c r="Y12" s="256"/>
      <c r="Z12" s="256"/>
      <c r="AA12" s="256"/>
      <c r="AB12" s="256"/>
      <c r="AC12" s="253"/>
      <c r="AD12" s="255"/>
    </row>
    <row r="13" spans="1:30">
      <c r="A13" s="246"/>
      <c r="C13" s="309"/>
      <c r="D13" s="309"/>
      <c r="X13" s="248"/>
      <c r="Y13" s="252"/>
      <c r="Z13" s="252"/>
      <c r="AA13" s="252"/>
      <c r="AB13" s="252"/>
      <c r="AC13" s="246"/>
      <c r="AD13" s="248"/>
    </row>
    <row r="14" spans="1:30">
      <c r="A14" s="247">
        <v>1962</v>
      </c>
      <c r="B14" s="213">
        <f t="shared" ref="B14:B23" si="0">A14+6</f>
        <v>1968</v>
      </c>
      <c r="C14" s="300">
        <f>VLOOKUP($A14,BroodTab!$A$12:$AG$67,24)</f>
        <v>7.693937325509272</v>
      </c>
      <c r="D14" s="300">
        <f>VLOOKUP($A14,BroodTab!$A$12:$AG$67,30)</f>
        <v>6.1923624894748723</v>
      </c>
      <c r="X14" s="248"/>
      <c r="Y14" s="252"/>
      <c r="Z14" s="252"/>
      <c r="AA14" s="252"/>
      <c r="AB14" s="252"/>
      <c r="AC14" s="246"/>
      <c r="AD14" s="248"/>
    </row>
    <row r="15" spans="1:30">
      <c r="A15" s="247">
        <v>1963</v>
      </c>
      <c r="B15" s="213">
        <f t="shared" si="0"/>
        <v>1969</v>
      </c>
      <c r="C15" s="300">
        <f>VLOOKUP($A15,BroodTab!$A$12:$AG$67,24)</f>
        <v>5.7620513827801769</v>
      </c>
      <c r="D15" s="300">
        <f>VLOOKUP($A15,BroodTab!$A$12:$AG$67,30)</f>
        <v>8.5801679905776265</v>
      </c>
      <c r="X15" s="248"/>
      <c r="Y15" s="252"/>
      <c r="Z15" s="252"/>
      <c r="AA15" s="252"/>
      <c r="AB15" s="252"/>
      <c r="AC15" s="246"/>
      <c r="AD15" s="248"/>
    </row>
    <row r="16" spans="1:30">
      <c r="A16" s="247">
        <v>1964</v>
      </c>
      <c r="B16" s="213">
        <f t="shared" si="0"/>
        <v>1970</v>
      </c>
      <c r="C16" s="300">
        <f>VLOOKUP($A16,BroodTab!$A$12:$AG$67,24)</f>
        <v>8.3318270044360574</v>
      </c>
      <c r="D16" s="300">
        <f>VLOOKUP($A16,BroodTab!$A$12:$AG$67,30)</f>
        <v>7.6473088323562379</v>
      </c>
      <c r="X16" s="248"/>
      <c r="Y16" s="252"/>
      <c r="Z16" s="252"/>
      <c r="AA16" s="252"/>
      <c r="AB16" s="252"/>
      <c r="AC16" s="246"/>
      <c r="AD16" s="248"/>
    </row>
    <row r="17" spans="1:30">
      <c r="A17" s="247">
        <v>1965</v>
      </c>
      <c r="B17" s="213">
        <f t="shared" si="0"/>
        <v>1971</v>
      </c>
      <c r="C17" s="300">
        <f>VLOOKUP($A17,BroodTab!$A$12:$AG$67,24)</f>
        <v>7.3987862754199485</v>
      </c>
      <c r="D17" s="300">
        <f>VLOOKUP($A17,BroodTab!$A$12:$AG$67,30)</f>
        <v>7.4348478752119993</v>
      </c>
      <c r="X17" s="248"/>
      <c r="Y17" s="252"/>
      <c r="Z17" s="252"/>
      <c r="AA17" s="252"/>
      <c r="AB17" s="252"/>
      <c r="AC17" s="246"/>
      <c r="AD17" s="248"/>
    </row>
    <row r="18" spans="1:30">
      <c r="A18" s="247">
        <v>1966</v>
      </c>
      <c r="B18" s="213">
        <f t="shared" si="0"/>
        <v>1972</v>
      </c>
      <c r="C18" s="300">
        <f>VLOOKUP($A18,BroodTab!$A$12:$AG$67,24)</f>
        <v>5.7137328055093688</v>
      </c>
      <c r="D18" s="300">
        <f>VLOOKUP($A18,BroodTab!$A$12:$AG$67,30)</f>
        <v>9.9479478652768325</v>
      </c>
      <c r="X18" s="248"/>
      <c r="Y18" s="252"/>
      <c r="Z18" s="252"/>
      <c r="AA18" s="252"/>
      <c r="AB18" s="252"/>
      <c r="AC18" s="246"/>
      <c r="AD18" s="248"/>
    </row>
    <row r="19" spans="1:30">
      <c r="A19" s="247">
        <v>1967</v>
      </c>
      <c r="B19" s="213">
        <f t="shared" si="0"/>
        <v>1973</v>
      </c>
      <c r="C19" s="300">
        <f>VLOOKUP($A19,BroodTab!$A$12:$AG$67,24)</f>
        <v>7.2416009919483422</v>
      </c>
      <c r="D19" s="300">
        <f>VLOOKUP($A19,BroodTab!$A$12:$AG$67,30)</f>
        <v>8.9930286638009562</v>
      </c>
      <c r="X19" s="248"/>
      <c r="Y19" s="252"/>
      <c r="Z19" s="252"/>
      <c r="AA19" s="252"/>
      <c r="AB19" s="252"/>
      <c r="AC19" s="246"/>
      <c r="AD19" s="248"/>
    </row>
    <row r="20" spans="1:30">
      <c r="A20" s="247">
        <v>1968</v>
      </c>
      <c r="B20" s="213">
        <f t="shared" si="0"/>
        <v>1974</v>
      </c>
      <c r="C20" s="300">
        <f>VLOOKUP($A20,BroodTab!$A$12:$AG$67,24)</f>
        <v>8.0769194366010453</v>
      </c>
      <c r="D20" s="300">
        <f>VLOOKUP($A20,BroodTab!$A$12:$AG$67,30)</f>
        <v>8.2005627970085637</v>
      </c>
      <c r="X20" s="248"/>
      <c r="Y20" s="252"/>
      <c r="Z20" s="252"/>
      <c r="AA20" s="252"/>
      <c r="AB20" s="252"/>
      <c r="AC20" s="246"/>
      <c r="AD20" s="248"/>
    </row>
    <row r="21" spans="1:30">
      <c r="A21" s="247">
        <v>1969</v>
      </c>
      <c r="B21" s="213">
        <f t="shared" si="0"/>
        <v>1975</v>
      </c>
      <c r="C21" s="300">
        <f>VLOOKUP($A21,BroodTab!$A$12:$AG$67,24)</f>
        <v>8.9756301842905071</v>
      </c>
      <c r="D21" s="300">
        <f>VLOOKUP($A21,BroodTab!$A$12:$AG$67,30)</f>
        <v>9.223552703448318</v>
      </c>
      <c r="X21" s="248"/>
      <c r="Y21" s="252"/>
      <c r="Z21" s="252"/>
      <c r="AA21" s="252"/>
      <c r="AB21" s="252"/>
      <c r="AC21" s="246"/>
      <c r="AD21" s="248"/>
    </row>
    <row r="22" spans="1:30">
      <c r="A22" s="247">
        <v>1970</v>
      </c>
      <c r="B22" s="213">
        <f t="shared" si="0"/>
        <v>1976</v>
      </c>
      <c r="C22" s="300">
        <f>VLOOKUP($A22,BroodTab!$A$12:$AG$67,24)</f>
        <v>9.0828478514609063</v>
      </c>
      <c r="D22" s="300">
        <f>VLOOKUP($A22,BroodTab!$A$12:$AG$67,30)</f>
        <v>8.4379335104306055</v>
      </c>
      <c r="X22" s="248"/>
      <c r="Y22" s="252"/>
      <c r="Z22" s="252"/>
      <c r="AA22" s="252"/>
      <c r="AB22" s="252"/>
      <c r="AC22" s="246"/>
      <c r="AD22" s="248"/>
    </row>
    <row r="23" spans="1:30">
      <c r="A23" s="297">
        <v>1971</v>
      </c>
      <c r="B23" s="261">
        <f t="shared" si="0"/>
        <v>1977</v>
      </c>
      <c r="C23" s="300">
        <f>VLOOKUP($A23,BroodTab!$A$12:$AG$67,24)</f>
        <v>7.9309253724833884</v>
      </c>
      <c r="D23" s="300">
        <f>VLOOKUP($A23,BroodTab!$A$12:$AG$67,30)</f>
        <v>8.6413558340366592</v>
      </c>
      <c r="E23" s="224"/>
      <c r="F23" s="224"/>
      <c r="G23" s="224"/>
      <c r="H23" s="224"/>
      <c r="I23" s="224"/>
      <c r="J23" s="224"/>
      <c r="K23" s="224"/>
      <c r="L23" s="224"/>
      <c r="M23" s="224"/>
      <c r="N23" s="224"/>
      <c r="O23" s="224"/>
      <c r="P23" s="224"/>
      <c r="Q23" s="224"/>
      <c r="R23" s="224"/>
      <c r="S23" s="224"/>
      <c r="T23" s="224"/>
      <c r="U23" s="224"/>
      <c r="V23" s="224"/>
      <c r="W23" s="224"/>
      <c r="X23" s="298"/>
      <c r="Y23" s="294"/>
      <c r="Z23" s="294"/>
      <c r="AA23" s="294"/>
      <c r="AB23" s="294"/>
      <c r="AC23" s="260"/>
      <c r="AD23" s="298"/>
    </row>
    <row r="24" spans="1:30">
      <c r="A24" s="247"/>
      <c r="C24" s="300"/>
      <c r="D24" s="300"/>
      <c r="X24" s="248"/>
      <c r="Y24" s="256"/>
      <c r="Z24" s="256"/>
      <c r="AA24" s="256"/>
      <c r="AB24" s="256"/>
      <c r="AC24" s="246"/>
      <c r="AD24" s="248"/>
    </row>
    <row r="25" spans="1:30">
      <c r="A25" s="247"/>
      <c r="C25" s="300"/>
      <c r="D25" s="300"/>
      <c r="G25" s="309"/>
      <c r="H25" s="309"/>
      <c r="P25" s="302"/>
      <c r="S25" s="265"/>
      <c r="U25" s="265"/>
      <c r="V25" s="265"/>
      <c r="W25" s="265"/>
      <c r="X25" s="303"/>
      <c r="Y25" s="252"/>
      <c r="Z25" s="304"/>
      <c r="AA25" s="252"/>
      <c r="AB25" s="305"/>
      <c r="AC25" s="246"/>
      <c r="AD25" s="248"/>
    </row>
    <row r="26" spans="1:30">
      <c r="A26" s="247">
        <v>1972</v>
      </c>
      <c r="B26" s="213">
        <f t="shared" ref="B26:B62" si="1">A26+$H$4</f>
        <v>1978</v>
      </c>
      <c r="C26" s="300">
        <f>VLOOKUP($A26,BroodTab!$A$12:$AG$67,24)</f>
        <v>8.8085186187828164</v>
      </c>
      <c r="D26" s="300">
        <f>VLOOKUP($A26,BroodTab!$A$12:$AG$67,30)</f>
        <v>9.8171668460696004</v>
      </c>
      <c r="E26" s="213">
        <v>36</v>
      </c>
      <c r="F26" s="213">
        <v>34</v>
      </c>
      <c r="G26" s="300">
        <v>3.3506080457316916</v>
      </c>
      <c r="H26" s="300">
        <v>0.57763552989267708</v>
      </c>
      <c r="I26" s="213">
        <v>0.14812619137027361</v>
      </c>
      <c r="J26" s="213">
        <v>8.4387213656618165</v>
      </c>
      <c r="K26" s="213">
        <v>1.2471226077078919</v>
      </c>
      <c r="L26" s="213">
        <v>0.30904166121146021</v>
      </c>
      <c r="M26" s="124">
        <v>1.6779816273682213</v>
      </c>
      <c r="N26" s="213">
        <f t="shared" ref="N26:N62" si="2">D26-J26</f>
        <v>1.3784454804077839</v>
      </c>
      <c r="O26" s="213">
        <f t="shared" ref="O26:O62" si="3">N26^2</f>
        <v>1.9001119424566462</v>
      </c>
      <c r="P26" s="384">
        <f t="shared" ref="P26:P62" si="4">J26</f>
        <v>8.4387213656618165</v>
      </c>
      <c r="Q26" s="213">
        <f t="shared" ref="Q26:Q41" si="5">$P26-SQRT($O$66)*$Q$66</f>
        <v>6.8991485598601834</v>
      </c>
      <c r="R26" s="213">
        <f t="shared" ref="R26:R62" si="6">$P26+SQRT($O$66)*$Q$66</f>
        <v>9.9782941714634497</v>
      </c>
      <c r="S26" s="350">
        <f t="shared" ref="S26:S62" si="7">EXP(D26)-U26</f>
        <v>13723.359462767188</v>
      </c>
      <c r="T26" s="213">
        <f t="shared" ref="T26:T62" si="8">S26^2</f>
        <v>188330594.94432172</v>
      </c>
      <c r="U26" s="350">
        <f t="shared" ref="U26:U62" si="9">EXP(P26)</f>
        <v>4622.6405372328045</v>
      </c>
      <c r="V26" s="350">
        <f t="shared" ref="V26:V62" si="10">EXP(Q26)</f>
        <v>991.43021265530797</v>
      </c>
      <c r="W26" s="350">
        <f t="shared" ref="W26:W62" si="11">EXP(R26)</f>
        <v>21553.514572888362</v>
      </c>
      <c r="X26" s="364">
        <f t="shared" ref="X26:X62" si="12">(+U26-EXP(D26))/(EXP(D26))</f>
        <v>-0.74803005901925179</v>
      </c>
      <c r="Y26" s="222">
        <f t="shared" ref="Y26:Y62" si="13">C26</f>
        <v>8.8085186187828164</v>
      </c>
      <c r="Z26" s="386">
        <f t="shared" ref="Z26:Z62" si="14">(+M$70+N$70*C26)</f>
        <v>0</v>
      </c>
      <c r="AA26" s="385">
        <f t="shared" ref="AA26:AA62" si="15">D26</f>
        <v>9.8171668460696004</v>
      </c>
      <c r="AB26" s="387">
        <f>'ln 12 x ln 11'!B26-1900</f>
        <v>80</v>
      </c>
      <c r="AC26" s="247">
        <f t="shared" ref="AC26:AC62" si="16">Z26-SQRT($O$66)*$Q$66</f>
        <v>-1.5395728058016334</v>
      </c>
      <c r="AD26" s="258">
        <f t="shared" ref="AD26:AD62" si="17">Z26+SQRT($O$66)*$Q$66</f>
        <v>1.5395728058016334</v>
      </c>
    </row>
    <row r="27" spans="1:30">
      <c r="A27" s="247">
        <v>1973</v>
      </c>
      <c r="B27" s="213">
        <f t="shared" si="1"/>
        <v>1979</v>
      </c>
      <c r="C27" s="300">
        <f>VLOOKUP($A27,BroodTab!$A$12:$AG$67,24)</f>
        <v>8.111328003286733</v>
      </c>
      <c r="D27" s="300">
        <f>VLOOKUP($A27,BroodTab!$A$12:$AG$67,30)</f>
        <v>7.498315870766981</v>
      </c>
      <c r="E27" s="213">
        <v>36</v>
      </c>
      <c r="F27" s="213">
        <v>34</v>
      </c>
      <c r="G27" s="300">
        <v>3.1639500750389038</v>
      </c>
      <c r="H27" s="300">
        <v>0.61011491503484094</v>
      </c>
      <c r="I27" s="213">
        <v>0.14854409877623023</v>
      </c>
      <c r="J27" s="213">
        <v>8.1127922705839151</v>
      </c>
      <c r="K27" s="213">
        <v>1.2639032961411718</v>
      </c>
      <c r="L27" s="213">
        <v>0.33162831465387199</v>
      </c>
      <c r="M27" s="124">
        <v>1.7202741467161282</v>
      </c>
      <c r="N27" s="213">
        <f t="shared" si="2"/>
        <v>-0.61447639981693403</v>
      </c>
      <c r="O27" s="213">
        <f t="shared" si="3"/>
        <v>0.37758124593198056</v>
      </c>
      <c r="P27" s="384">
        <f t="shared" si="4"/>
        <v>8.1127922705839151</v>
      </c>
      <c r="Q27" s="213">
        <f t="shared" si="5"/>
        <v>6.5732194647822819</v>
      </c>
      <c r="R27" s="213">
        <f t="shared" si="6"/>
        <v>9.6523650763855482</v>
      </c>
      <c r="S27" s="350">
        <f t="shared" si="7"/>
        <v>-1531.8825124134632</v>
      </c>
      <c r="T27" s="213">
        <f t="shared" si="8"/>
        <v>2346664.0318381842</v>
      </c>
      <c r="U27" s="350">
        <f t="shared" si="9"/>
        <v>3336.8825124134628</v>
      </c>
      <c r="V27" s="350">
        <f t="shared" si="10"/>
        <v>715.67021321287018</v>
      </c>
      <c r="W27" s="350">
        <f t="shared" si="11"/>
        <v>15558.541764178237</v>
      </c>
      <c r="X27" s="364">
        <f t="shared" si="12"/>
        <v>0.8486883725282347</v>
      </c>
      <c r="Y27" s="222">
        <f t="shared" si="13"/>
        <v>8.111328003286733</v>
      </c>
      <c r="Z27" s="386">
        <f t="shared" si="14"/>
        <v>0</v>
      </c>
      <c r="AA27" s="385">
        <f t="shared" si="15"/>
        <v>7.498315870766981</v>
      </c>
      <c r="AB27" s="387">
        <f t="shared" ref="AB27:AB62" si="18">B27-1900</f>
        <v>79</v>
      </c>
      <c r="AC27" s="247">
        <f t="shared" si="16"/>
        <v>-1.5395728058016334</v>
      </c>
      <c r="AD27" s="258">
        <f t="shared" si="17"/>
        <v>1.5395728058016334</v>
      </c>
    </row>
    <row r="28" spans="1:30">
      <c r="A28" s="247">
        <v>1974</v>
      </c>
      <c r="B28" s="213">
        <f t="shared" si="1"/>
        <v>1980</v>
      </c>
      <c r="C28" s="300">
        <f>VLOOKUP($A28,BroodTab!$A$12:$AG$67,24)</f>
        <v>9.2590352935149411</v>
      </c>
      <c r="D28" s="300">
        <f>VLOOKUP($A28,BroodTab!$A$12:$AG$67,30)</f>
        <v>7.859298321845718</v>
      </c>
      <c r="E28" s="213">
        <v>36</v>
      </c>
      <c r="F28" s="213">
        <v>34</v>
      </c>
      <c r="G28" s="300">
        <v>3.0301088521008452</v>
      </c>
      <c r="H28" s="300">
        <v>0.62959654584507596</v>
      </c>
      <c r="I28" s="213">
        <v>0.15095563299249229</v>
      </c>
      <c r="J28" s="213">
        <v>8.8595654907555002</v>
      </c>
      <c r="K28" s="213">
        <v>1.2573526113695852</v>
      </c>
      <c r="L28" s="213">
        <v>0.33845786968375602</v>
      </c>
      <c r="M28" s="124">
        <v>1.7029698921809393</v>
      </c>
      <c r="N28" s="213">
        <f t="shared" si="2"/>
        <v>-1.0002671689097822</v>
      </c>
      <c r="O28" s="213">
        <f t="shared" si="3"/>
        <v>1.0005344091987907</v>
      </c>
      <c r="P28" s="384">
        <f t="shared" si="4"/>
        <v>8.8595654907555002</v>
      </c>
      <c r="Q28" s="213">
        <f t="shared" si="5"/>
        <v>7.319992684953867</v>
      </c>
      <c r="R28" s="213">
        <f t="shared" si="6"/>
        <v>10.399138296557133</v>
      </c>
      <c r="S28" s="350">
        <f t="shared" si="7"/>
        <v>-4451.7199165869488</v>
      </c>
      <c r="T28" s="213">
        <f t="shared" si="8"/>
        <v>19817810.215736911</v>
      </c>
      <c r="U28" s="350">
        <f t="shared" si="9"/>
        <v>7041.4225165869484</v>
      </c>
      <c r="V28" s="350">
        <f t="shared" si="10"/>
        <v>1510.1929225919589</v>
      </c>
      <c r="W28" s="350">
        <f t="shared" si="11"/>
        <v>32831.322618040234</v>
      </c>
      <c r="X28" s="364">
        <f t="shared" si="12"/>
        <v>1.719008165874703</v>
      </c>
      <c r="Y28" s="222">
        <f t="shared" si="13"/>
        <v>9.2590352935149411</v>
      </c>
      <c r="Z28" s="386">
        <f t="shared" si="14"/>
        <v>0</v>
      </c>
      <c r="AA28" s="385">
        <f t="shared" si="15"/>
        <v>7.859298321845718</v>
      </c>
      <c r="AB28" s="387">
        <f t="shared" si="18"/>
        <v>80</v>
      </c>
      <c r="AC28" s="247">
        <f t="shared" si="16"/>
        <v>-1.5395728058016334</v>
      </c>
      <c r="AD28" s="258">
        <f t="shared" si="17"/>
        <v>1.5395728058016334</v>
      </c>
    </row>
    <row r="29" spans="1:30">
      <c r="A29" s="247">
        <v>1975</v>
      </c>
      <c r="B29" s="213">
        <f t="shared" si="1"/>
        <v>1981</v>
      </c>
      <c r="C29" s="300">
        <f>VLOOKUP($A29,BroodTab!$A$12:$AG$67,24)</f>
        <v>8.9507089359291587</v>
      </c>
      <c r="D29" s="300">
        <f>VLOOKUP($A29,BroodTab!$A$12:$AG$67,30)</f>
        <v>9.0823392932224056</v>
      </c>
      <c r="E29" s="213">
        <v>36</v>
      </c>
      <c r="F29" s="213">
        <v>34</v>
      </c>
      <c r="G29" s="300">
        <v>3.2581871328260021</v>
      </c>
      <c r="H29" s="300">
        <v>0.59327094385697954</v>
      </c>
      <c r="I29" s="213">
        <v>0.15073899278095707</v>
      </c>
      <c r="J29" s="213">
        <v>8.5683826714337954</v>
      </c>
      <c r="K29" s="213">
        <v>1.2652573304829038</v>
      </c>
      <c r="L29" s="213">
        <v>0.31299426741238157</v>
      </c>
      <c r="M29" s="124">
        <v>1.7234249755175624</v>
      </c>
      <c r="N29" s="213">
        <f t="shared" si="2"/>
        <v>0.51395662178861024</v>
      </c>
      <c r="O29" s="213">
        <f t="shared" si="3"/>
        <v>0.26415140908036056</v>
      </c>
      <c r="P29" s="384">
        <f t="shared" si="4"/>
        <v>8.5683826714337954</v>
      </c>
      <c r="Q29" s="213">
        <f t="shared" si="5"/>
        <v>7.0288098656321623</v>
      </c>
      <c r="R29" s="213">
        <f t="shared" si="6"/>
        <v>10.107955477235429</v>
      </c>
      <c r="S29" s="350">
        <f t="shared" si="7"/>
        <v>3535.9127683235092</v>
      </c>
      <c r="T29" s="213">
        <f t="shared" si="8"/>
        <v>12502679.105193222</v>
      </c>
      <c r="U29" s="350">
        <f t="shared" si="9"/>
        <v>5262.6115316764881</v>
      </c>
      <c r="V29" s="350">
        <f t="shared" si="10"/>
        <v>1128.6865219019589</v>
      </c>
      <c r="W29" s="350">
        <f t="shared" si="11"/>
        <v>24537.442058460256</v>
      </c>
      <c r="X29" s="364">
        <f t="shared" si="12"/>
        <v>-0.40187566093594929</v>
      </c>
      <c r="Y29" s="222">
        <f t="shared" si="13"/>
        <v>8.9507089359291587</v>
      </c>
      <c r="Z29" s="386">
        <f t="shared" si="14"/>
        <v>0</v>
      </c>
      <c r="AA29" s="385">
        <f t="shared" si="15"/>
        <v>9.0823392932224056</v>
      </c>
      <c r="AB29" s="387">
        <f t="shared" si="18"/>
        <v>81</v>
      </c>
      <c r="AC29" s="247">
        <f t="shared" si="16"/>
        <v>-1.5395728058016334</v>
      </c>
      <c r="AD29" s="258">
        <f t="shared" si="17"/>
        <v>1.5395728058016334</v>
      </c>
    </row>
    <row r="30" spans="1:30">
      <c r="A30" s="247">
        <v>1976</v>
      </c>
      <c r="B30" s="213">
        <f t="shared" si="1"/>
        <v>1982</v>
      </c>
      <c r="C30" s="300">
        <f>VLOOKUP($A30,BroodTab!$A$12:$AG$67,24)</f>
        <v>9.4506666431929993</v>
      </c>
      <c r="D30" s="300">
        <f>VLOOKUP($A30,BroodTab!$A$12:$AG$67,30)</f>
        <v>9.0332573938375234</v>
      </c>
      <c r="E30" s="213">
        <v>36</v>
      </c>
      <c r="F30" s="213">
        <v>34</v>
      </c>
      <c r="G30" s="300">
        <v>3.2174772767475996</v>
      </c>
      <c r="H30" s="300">
        <v>0.60011754950784579</v>
      </c>
      <c r="I30" s="213">
        <v>0.15307383941646224</v>
      </c>
      <c r="J30" s="213">
        <v>8.8889881838761209</v>
      </c>
      <c r="K30" s="213">
        <v>1.2679196797791501</v>
      </c>
      <c r="L30" s="213">
        <v>0.31132110370387689</v>
      </c>
      <c r="M30" s="124">
        <v>1.7301843589658255</v>
      </c>
      <c r="N30" s="213">
        <f t="shared" si="2"/>
        <v>0.14426920996140247</v>
      </c>
      <c r="O30" s="213">
        <f t="shared" si="3"/>
        <v>2.081360494288723E-2</v>
      </c>
      <c r="P30" s="384">
        <f t="shared" si="4"/>
        <v>8.8889881838761209</v>
      </c>
      <c r="Q30" s="213">
        <f t="shared" si="5"/>
        <v>7.3494153780744877</v>
      </c>
      <c r="R30" s="213">
        <f t="shared" si="6"/>
        <v>10.428560989677754</v>
      </c>
      <c r="S30" s="350">
        <f t="shared" si="7"/>
        <v>1125.4245946218207</v>
      </c>
      <c r="T30" s="213">
        <f t="shared" si="8"/>
        <v>1266580.5181796895</v>
      </c>
      <c r="U30" s="350">
        <f t="shared" si="9"/>
        <v>7251.6781053781842</v>
      </c>
      <c r="V30" s="350">
        <f t="shared" si="10"/>
        <v>1555.287007115357</v>
      </c>
      <c r="W30" s="350">
        <f t="shared" si="11"/>
        <v>33811.659908067966</v>
      </c>
      <c r="X30" s="364">
        <f t="shared" si="12"/>
        <v>-0.13434532617366862</v>
      </c>
      <c r="Y30" s="222">
        <f t="shared" si="13"/>
        <v>9.4506666431929993</v>
      </c>
      <c r="Z30" s="386">
        <f t="shared" si="14"/>
        <v>0</v>
      </c>
      <c r="AA30" s="385">
        <f t="shared" si="15"/>
        <v>9.0332573938375234</v>
      </c>
      <c r="AB30" s="387">
        <f t="shared" si="18"/>
        <v>82</v>
      </c>
      <c r="AC30" s="247">
        <f t="shared" si="16"/>
        <v>-1.5395728058016334</v>
      </c>
      <c r="AD30" s="258">
        <f t="shared" si="17"/>
        <v>1.5395728058016334</v>
      </c>
    </row>
    <row r="31" spans="1:30">
      <c r="A31" s="247">
        <v>1977</v>
      </c>
      <c r="B31" s="213">
        <f t="shared" si="1"/>
        <v>1983</v>
      </c>
      <c r="C31" s="300">
        <f>VLOOKUP($A31,BroodTab!$A$12:$AG$67,24)</f>
        <v>7.4802039718325091</v>
      </c>
      <c r="D31" s="300">
        <f>VLOOKUP($A31,BroodTab!$A$12:$AG$67,30)</f>
        <v>7.5786568505947622</v>
      </c>
      <c r="E31" s="213">
        <v>36</v>
      </c>
      <c r="F31" s="213">
        <v>34</v>
      </c>
      <c r="G31" s="300">
        <v>3.1940410102732857</v>
      </c>
      <c r="H31" s="300">
        <v>0.60430413468946897</v>
      </c>
      <c r="I31" s="213">
        <v>0.14849912126050857</v>
      </c>
      <c r="J31" s="213">
        <v>7.7143591987722591</v>
      </c>
      <c r="K31" s="213">
        <v>1.2679329114168223</v>
      </c>
      <c r="L31" s="213">
        <v>0.32753318303358764</v>
      </c>
      <c r="M31" s="124">
        <v>1.7302509833447699</v>
      </c>
      <c r="N31" s="213">
        <f t="shared" si="2"/>
        <v>-0.13570234817749682</v>
      </c>
      <c r="O31" s="213">
        <f t="shared" si="3"/>
        <v>1.8415127300886576E-2</v>
      </c>
      <c r="P31" s="384">
        <f t="shared" si="4"/>
        <v>7.7143591987722591</v>
      </c>
      <c r="Q31" s="213">
        <f t="shared" si="5"/>
        <v>6.1747863929706259</v>
      </c>
      <c r="R31" s="213">
        <f t="shared" si="6"/>
        <v>9.2539320045738922</v>
      </c>
      <c r="S31" s="350">
        <f t="shared" si="7"/>
        <v>-284.28685915423762</v>
      </c>
      <c r="T31" s="213">
        <f t="shared" si="8"/>
        <v>80819.018287781335</v>
      </c>
      <c r="U31" s="350">
        <f t="shared" si="9"/>
        <v>2240.2868591542369</v>
      </c>
      <c r="V31" s="350">
        <f t="shared" si="10"/>
        <v>480.48037897183332</v>
      </c>
      <c r="W31" s="350">
        <f t="shared" si="11"/>
        <v>10445.557052795639</v>
      </c>
      <c r="X31" s="364">
        <f t="shared" si="12"/>
        <v>0.14534093003795384</v>
      </c>
      <c r="Y31" s="222">
        <f t="shared" si="13"/>
        <v>7.4802039718325091</v>
      </c>
      <c r="Z31" s="386">
        <f t="shared" si="14"/>
        <v>0</v>
      </c>
      <c r="AA31" s="385">
        <f t="shared" si="15"/>
        <v>7.5786568505947622</v>
      </c>
      <c r="AB31" s="387">
        <f t="shared" si="18"/>
        <v>83</v>
      </c>
      <c r="AC31" s="247">
        <f t="shared" si="16"/>
        <v>-1.5395728058016334</v>
      </c>
      <c r="AD31" s="258">
        <f t="shared" si="17"/>
        <v>1.5395728058016334</v>
      </c>
    </row>
    <row r="32" spans="1:30">
      <c r="A32" s="247">
        <v>1978</v>
      </c>
      <c r="B32" s="213">
        <f t="shared" si="1"/>
        <v>1984</v>
      </c>
      <c r="C32" s="300">
        <f>VLOOKUP($A32,BroodTab!$A$12:$AG$67,24)</f>
        <v>7.668093709082406</v>
      </c>
      <c r="D32" s="300">
        <f>VLOOKUP($A32,BroodTab!$A$12:$AG$67,30)</f>
        <v>8.9066644097700518</v>
      </c>
      <c r="E32" s="213">
        <v>36</v>
      </c>
      <c r="F32" s="213">
        <v>34</v>
      </c>
      <c r="G32" s="300">
        <v>3.1910282443240874</v>
      </c>
      <c r="H32" s="300">
        <v>0.60015136047180018</v>
      </c>
      <c r="I32" s="213">
        <v>0.14694285031038498</v>
      </c>
      <c r="J32" s="213">
        <v>7.7930451160551453</v>
      </c>
      <c r="K32" s="213">
        <v>1.2540838169005613</v>
      </c>
      <c r="L32" s="213">
        <v>0.32913846776516359</v>
      </c>
      <c r="M32" s="124">
        <v>1.6963139610105147</v>
      </c>
      <c r="N32" s="213">
        <f t="shared" si="2"/>
        <v>1.1136192937149065</v>
      </c>
      <c r="O32" s="213">
        <f t="shared" si="3"/>
        <v>1.2401479313340873</v>
      </c>
      <c r="P32" s="384">
        <f t="shared" si="4"/>
        <v>7.7930451160551453</v>
      </c>
      <c r="Q32" s="213">
        <f t="shared" si="5"/>
        <v>6.2534723102535121</v>
      </c>
      <c r="R32" s="213">
        <f t="shared" si="6"/>
        <v>9.3326179218567784</v>
      </c>
      <c r="S32" s="350">
        <f t="shared" si="7"/>
        <v>4957.3132360285981</v>
      </c>
      <c r="T32" s="213">
        <f t="shared" si="8"/>
        <v>24574954.52010433</v>
      </c>
      <c r="U32" s="350">
        <f t="shared" si="9"/>
        <v>2423.6867639713987</v>
      </c>
      <c r="V32" s="350">
        <f t="shared" si="10"/>
        <v>519.81465235288397</v>
      </c>
      <c r="W32" s="350">
        <f t="shared" si="11"/>
        <v>11300.677084150992</v>
      </c>
      <c r="X32" s="364">
        <f t="shared" si="12"/>
        <v>-0.67163165370933486</v>
      </c>
      <c r="Y32" s="222">
        <f t="shared" si="13"/>
        <v>7.668093709082406</v>
      </c>
      <c r="Z32" s="386">
        <f t="shared" si="14"/>
        <v>0</v>
      </c>
      <c r="AA32" s="385">
        <f t="shared" si="15"/>
        <v>8.9066644097700518</v>
      </c>
      <c r="AB32" s="387">
        <f t="shared" si="18"/>
        <v>84</v>
      </c>
      <c r="AC32" s="247">
        <f t="shared" si="16"/>
        <v>-1.5395728058016334</v>
      </c>
      <c r="AD32" s="258">
        <f t="shared" si="17"/>
        <v>1.5395728058016334</v>
      </c>
    </row>
    <row r="33" spans="1:30">
      <c r="A33" s="247">
        <v>1979</v>
      </c>
      <c r="B33" s="213">
        <f t="shared" si="1"/>
        <v>1985</v>
      </c>
      <c r="C33" s="300">
        <f>VLOOKUP($A33,BroodTab!$A$12:$AG$67,24)</f>
        <v>8.7563675598029747</v>
      </c>
      <c r="D33" s="300">
        <f>VLOOKUP($A33,BroodTab!$A$12:$AG$67,30)</f>
        <v>9.9546290454024113</v>
      </c>
      <c r="E33" s="213">
        <v>36</v>
      </c>
      <c r="F33" s="213">
        <v>34</v>
      </c>
      <c r="G33" s="300">
        <v>3.3626334533761275</v>
      </c>
      <c r="H33" s="300">
        <v>0.57537154685211855</v>
      </c>
      <c r="I33" s="213">
        <v>0.1472832739356037</v>
      </c>
      <c r="J33" s="213">
        <v>8.4007982010656761</v>
      </c>
      <c r="K33" s="213">
        <v>1.2413163786925043</v>
      </c>
      <c r="L33" s="213">
        <v>0.30980222958295422</v>
      </c>
      <c r="M33" s="124">
        <v>1.663696117636122</v>
      </c>
      <c r="N33" s="213">
        <f t="shared" si="2"/>
        <v>1.5538308443367352</v>
      </c>
      <c r="O33" s="213">
        <f t="shared" si="3"/>
        <v>2.4143902928122114</v>
      </c>
      <c r="P33" s="384">
        <f t="shared" si="4"/>
        <v>8.4007982010656761</v>
      </c>
      <c r="Q33" s="213">
        <f t="shared" si="5"/>
        <v>6.861225395264043</v>
      </c>
      <c r="R33" s="213">
        <f t="shared" si="6"/>
        <v>9.9403710068673092</v>
      </c>
      <c r="S33" s="350">
        <f t="shared" si="7"/>
        <v>16598.81818183744</v>
      </c>
      <c r="T33" s="213">
        <f t="shared" si="8"/>
        <v>275520765.03369719</v>
      </c>
      <c r="U33" s="350">
        <f t="shared" si="9"/>
        <v>4450.6178181625774</v>
      </c>
      <c r="V33" s="350">
        <f t="shared" si="10"/>
        <v>954.53603505796593</v>
      </c>
      <c r="W33" s="350">
        <f t="shared" si="11"/>
        <v>20751.441785163555</v>
      </c>
      <c r="X33" s="364">
        <f t="shared" si="12"/>
        <v>-0.78856355970000469</v>
      </c>
      <c r="Y33" s="222">
        <f t="shared" si="13"/>
        <v>8.7563675598029747</v>
      </c>
      <c r="Z33" s="386">
        <f t="shared" si="14"/>
        <v>0</v>
      </c>
      <c r="AA33" s="385">
        <f t="shared" si="15"/>
        <v>9.9546290454024113</v>
      </c>
      <c r="AB33" s="387">
        <f t="shared" si="18"/>
        <v>85</v>
      </c>
      <c r="AC33" s="247">
        <f t="shared" si="16"/>
        <v>-1.5395728058016334</v>
      </c>
      <c r="AD33" s="258">
        <f t="shared" si="17"/>
        <v>1.5395728058016334</v>
      </c>
    </row>
    <row r="34" spans="1:30">
      <c r="A34" s="247">
        <v>1980</v>
      </c>
      <c r="B34" s="213">
        <f t="shared" si="1"/>
        <v>1986</v>
      </c>
      <c r="C34" s="300">
        <f>VLOOKUP($A34,BroodTab!$A$12:$AG$67,24)</f>
        <v>10.850724531471959</v>
      </c>
      <c r="D34" s="300">
        <f>VLOOKUP($A34,BroodTab!$A$12:$AG$67,30)</f>
        <v>10.599686122867453</v>
      </c>
      <c r="E34" s="213">
        <v>36</v>
      </c>
      <c r="F34" s="213">
        <v>34</v>
      </c>
      <c r="G34" s="300">
        <v>3.5312661191164185</v>
      </c>
      <c r="H34" s="300">
        <v>0.55442961471975505</v>
      </c>
      <c r="I34" s="213">
        <v>0.16141739315637307</v>
      </c>
      <c r="J34" s="213">
        <v>9.5472291405306109</v>
      </c>
      <c r="K34" s="213">
        <v>1.2576912160948526</v>
      </c>
      <c r="L34" s="213">
        <v>0.2576023641614501</v>
      </c>
      <c r="M34" s="124">
        <v>1.6999940230011954</v>
      </c>
      <c r="N34" s="213">
        <f t="shared" si="2"/>
        <v>1.0524569823368424</v>
      </c>
      <c r="O34" s="213">
        <f t="shared" si="3"/>
        <v>1.1076656996695726</v>
      </c>
      <c r="P34" s="384">
        <f t="shared" si="4"/>
        <v>9.5472291405306109</v>
      </c>
      <c r="Q34" s="213">
        <f t="shared" si="5"/>
        <v>8.0076563347289778</v>
      </c>
      <c r="R34" s="213">
        <f t="shared" si="6"/>
        <v>11.086801946332244</v>
      </c>
      <c r="S34" s="350">
        <f t="shared" si="7"/>
        <v>26116.40933827441</v>
      </c>
      <c r="T34" s="213">
        <f t="shared" si="8"/>
        <v>682066836.72430682</v>
      </c>
      <c r="U34" s="350">
        <f t="shared" si="9"/>
        <v>14005.832661725615</v>
      </c>
      <c r="V34" s="350">
        <f t="shared" si="10"/>
        <v>3003.8687936876827</v>
      </c>
      <c r="W34" s="350">
        <f t="shared" si="11"/>
        <v>65303.567506169667</v>
      </c>
      <c r="X34" s="364">
        <f t="shared" si="12"/>
        <v>-0.65092098637644413</v>
      </c>
      <c r="Y34" s="222">
        <f t="shared" si="13"/>
        <v>10.850724531471959</v>
      </c>
      <c r="Z34" s="386">
        <f t="shared" si="14"/>
        <v>0</v>
      </c>
      <c r="AA34" s="385">
        <f t="shared" si="15"/>
        <v>10.599686122867453</v>
      </c>
      <c r="AB34" s="387">
        <f t="shared" si="18"/>
        <v>86</v>
      </c>
      <c r="AC34" s="247">
        <f t="shared" si="16"/>
        <v>-1.5395728058016334</v>
      </c>
      <c r="AD34" s="258">
        <f t="shared" si="17"/>
        <v>1.5395728058016334</v>
      </c>
    </row>
    <row r="35" spans="1:30">
      <c r="A35" s="247">
        <v>1981</v>
      </c>
      <c r="B35" s="213">
        <f t="shared" si="1"/>
        <v>1987</v>
      </c>
      <c r="C35" s="300">
        <f>VLOOKUP($A35,BroodTab!$A$12:$AG$67,24)</f>
        <v>9.5880886668722418</v>
      </c>
      <c r="D35" s="300">
        <f>VLOOKUP($A35,BroodTab!$A$12:$AG$67,30)</f>
        <v>10.398701952787901</v>
      </c>
      <c r="E35" s="213">
        <v>36</v>
      </c>
      <c r="F35" s="213">
        <v>34</v>
      </c>
      <c r="G35" s="300">
        <v>3.4948019540411197</v>
      </c>
      <c r="H35" s="300">
        <v>0.55750685666675459</v>
      </c>
      <c r="I35" s="213">
        <v>0.15063947803360761</v>
      </c>
      <c r="J35" s="213">
        <v>8.8402271281511968</v>
      </c>
      <c r="K35" s="213">
        <v>1.2423136331553519</v>
      </c>
      <c r="L35" s="213">
        <v>0.28716566624944051</v>
      </c>
      <c r="M35" s="124">
        <v>1.6632946319079502</v>
      </c>
      <c r="N35" s="213">
        <f t="shared" si="2"/>
        <v>1.5584748246367042</v>
      </c>
      <c r="O35" s="213">
        <f t="shared" si="3"/>
        <v>2.4288437790264057</v>
      </c>
      <c r="P35" s="384">
        <f t="shared" si="4"/>
        <v>8.8402271281511968</v>
      </c>
      <c r="Q35" s="213">
        <f t="shared" si="5"/>
        <v>7.3006543223495637</v>
      </c>
      <c r="R35" s="213">
        <f t="shared" si="6"/>
        <v>10.37979993395283</v>
      </c>
      <c r="S35" s="350">
        <f t="shared" si="7"/>
        <v>25910.438863314193</v>
      </c>
      <c r="T35" s="213">
        <f t="shared" si="8"/>
        <v>671350842.08954251</v>
      </c>
      <c r="U35" s="350">
        <f t="shared" si="9"/>
        <v>6906.5611366858211</v>
      </c>
      <c r="V35" s="350">
        <f t="shared" si="10"/>
        <v>1481.2688378664784</v>
      </c>
      <c r="W35" s="350">
        <f t="shared" si="11"/>
        <v>32202.518216398661</v>
      </c>
      <c r="X35" s="364">
        <f t="shared" si="12"/>
        <v>-0.78954318991114913</v>
      </c>
      <c r="Y35" s="222">
        <f t="shared" si="13"/>
        <v>9.5880886668722418</v>
      </c>
      <c r="Z35" s="386">
        <f t="shared" si="14"/>
        <v>0</v>
      </c>
      <c r="AA35" s="385">
        <f t="shared" si="15"/>
        <v>10.398701952787901</v>
      </c>
      <c r="AB35" s="387">
        <f t="shared" si="18"/>
        <v>87</v>
      </c>
      <c r="AC35" s="247">
        <f t="shared" si="16"/>
        <v>-1.5395728058016334</v>
      </c>
      <c r="AD35" s="258">
        <f t="shared" si="17"/>
        <v>1.5395728058016334</v>
      </c>
    </row>
    <row r="36" spans="1:30">
      <c r="A36" s="247">
        <v>1982</v>
      </c>
      <c r="B36" s="213">
        <f t="shared" si="1"/>
        <v>1988</v>
      </c>
      <c r="C36" s="300">
        <f>VLOOKUP($A36,BroodTab!$A$12:$AG$67,24)</f>
        <v>8.6706007380455503</v>
      </c>
      <c r="D36" s="300">
        <f>VLOOKUP($A36,BroodTab!$A$12:$AG$67,30)</f>
        <v>6.3733197895770122</v>
      </c>
      <c r="E36" s="213">
        <v>36</v>
      </c>
      <c r="F36" s="213">
        <v>34</v>
      </c>
      <c r="G36" s="300">
        <v>2.9719431526445197</v>
      </c>
      <c r="H36" s="300">
        <v>0.64169282660080018</v>
      </c>
      <c r="I36" s="213">
        <v>0.14398357936446127</v>
      </c>
      <c r="J36" s="213">
        <v>8.5358054485679524</v>
      </c>
      <c r="K36" s="213">
        <v>1.2154746370127143</v>
      </c>
      <c r="L36" s="213">
        <v>0.36876012068758396</v>
      </c>
      <c r="M36" s="124">
        <v>1.6008640639547538</v>
      </c>
      <c r="N36" s="213">
        <f t="shared" si="2"/>
        <v>-2.1624856589909403</v>
      </c>
      <c r="O36" s="213">
        <f t="shared" si="3"/>
        <v>4.6763442253414809</v>
      </c>
      <c r="P36" s="384">
        <f t="shared" si="4"/>
        <v>8.5358054485679524</v>
      </c>
      <c r="Q36" s="213">
        <f t="shared" si="5"/>
        <v>6.9962326427663193</v>
      </c>
      <c r="R36" s="213">
        <f t="shared" si="6"/>
        <v>10.075378254369586</v>
      </c>
      <c r="S36" s="350">
        <f t="shared" si="7"/>
        <v>-4507.9327241316905</v>
      </c>
      <c r="T36" s="213">
        <f t="shared" si="8"/>
        <v>20321457.445297364</v>
      </c>
      <c r="U36" s="350">
        <f t="shared" si="9"/>
        <v>5093.9327241316905</v>
      </c>
      <c r="V36" s="350">
        <f t="shared" si="10"/>
        <v>1092.5095220492533</v>
      </c>
      <c r="W36" s="350">
        <f t="shared" si="11"/>
        <v>23750.960585961733</v>
      </c>
      <c r="X36" s="364">
        <f t="shared" si="12"/>
        <v>7.6927179592690997</v>
      </c>
      <c r="Y36" s="222">
        <f t="shared" si="13"/>
        <v>8.6706007380455503</v>
      </c>
      <c r="Z36" s="386">
        <f t="shared" si="14"/>
        <v>0</v>
      </c>
      <c r="AA36" s="385">
        <f t="shared" si="15"/>
        <v>6.3733197895770122</v>
      </c>
      <c r="AB36" s="387">
        <f t="shared" si="18"/>
        <v>88</v>
      </c>
      <c r="AC36" s="247">
        <f t="shared" si="16"/>
        <v>-1.5395728058016334</v>
      </c>
      <c r="AD36" s="258">
        <f t="shared" si="17"/>
        <v>1.5395728058016334</v>
      </c>
    </row>
    <row r="37" spans="1:30">
      <c r="A37" s="247">
        <v>1983</v>
      </c>
      <c r="B37" s="213">
        <f t="shared" si="1"/>
        <v>1989</v>
      </c>
      <c r="C37" s="300">
        <f>VLOOKUP($A37,BroodTab!$A$12:$AG$67,24)</f>
        <v>6.1047932324149849</v>
      </c>
      <c r="D37" s="300">
        <f>VLOOKUP($A37,BroodTab!$A$12:$AG$67,30)</f>
        <v>8.883640232503673</v>
      </c>
      <c r="E37" s="213">
        <v>36</v>
      </c>
      <c r="F37" s="213">
        <v>34</v>
      </c>
      <c r="G37" s="300">
        <v>2.8556705524360435</v>
      </c>
      <c r="H37" s="300">
        <v>0.64180120172575694</v>
      </c>
      <c r="I37" s="213">
        <v>0.14439161940718145</v>
      </c>
      <c r="J37" s="213">
        <v>6.7737341852872497</v>
      </c>
      <c r="K37" s="213">
        <v>1.2181233807816851</v>
      </c>
      <c r="L37" s="213">
        <v>0.36752213001314127</v>
      </c>
      <c r="M37" s="124">
        <v>1.6071040833231161</v>
      </c>
      <c r="N37" s="213">
        <f t="shared" si="2"/>
        <v>2.1099060472164233</v>
      </c>
      <c r="O37" s="213">
        <f t="shared" si="3"/>
        <v>4.451703528080432</v>
      </c>
      <c r="P37" s="384">
        <f t="shared" si="4"/>
        <v>6.7737341852872497</v>
      </c>
      <c r="Q37" s="213">
        <f t="shared" si="5"/>
        <v>5.2341613794856165</v>
      </c>
      <c r="R37" s="213">
        <f t="shared" si="6"/>
        <v>8.3133069910888828</v>
      </c>
      <c r="S37" s="350">
        <f t="shared" si="7"/>
        <v>6338.4283835380729</v>
      </c>
      <c r="T37" s="213">
        <f t="shared" si="8"/>
        <v>40175674.373241067</v>
      </c>
      <c r="U37" s="350">
        <f t="shared" si="9"/>
        <v>874.57161646193015</v>
      </c>
      <c r="V37" s="350">
        <f t="shared" si="10"/>
        <v>187.57173885949516</v>
      </c>
      <c r="W37" s="350">
        <f t="shared" si="11"/>
        <v>4077.775879093283</v>
      </c>
      <c r="X37" s="364">
        <f t="shared" si="12"/>
        <v>-0.87875064238708867</v>
      </c>
      <c r="Y37" s="222">
        <f t="shared" si="13"/>
        <v>6.1047932324149849</v>
      </c>
      <c r="Z37" s="386">
        <f t="shared" si="14"/>
        <v>0</v>
      </c>
      <c r="AA37" s="385">
        <f t="shared" si="15"/>
        <v>8.883640232503673</v>
      </c>
      <c r="AB37" s="387">
        <f t="shared" si="18"/>
        <v>89</v>
      </c>
      <c r="AC37" s="247">
        <f t="shared" si="16"/>
        <v>-1.5395728058016334</v>
      </c>
      <c r="AD37" s="258">
        <f t="shared" si="17"/>
        <v>1.5395728058016334</v>
      </c>
    </row>
    <row r="38" spans="1:30">
      <c r="A38" s="247">
        <v>1984</v>
      </c>
      <c r="B38" s="213">
        <f t="shared" si="1"/>
        <v>1990</v>
      </c>
      <c r="C38" s="300">
        <f>VLOOKUP($A38,BroodTab!$A$12:$AG$67,24)</f>
        <v>7.6553906448261522</v>
      </c>
      <c r="D38" s="300">
        <f>VLOOKUP($A38,BroodTab!$A$12:$AG$67,30)</f>
        <v>7.0105789796439932</v>
      </c>
      <c r="E38" s="213">
        <v>36</v>
      </c>
      <c r="F38" s="213">
        <v>34</v>
      </c>
      <c r="G38" s="300">
        <v>3.1927557438808609</v>
      </c>
      <c r="H38" s="300">
        <v>0.60700822751178896</v>
      </c>
      <c r="I38" s="213">
        <v>0.14767243883231215</v>
      </c>
      <c r="J38" s="213">
        <v>7.8396408501071146</v>
      </c>
      <c r="K38" s="213">
        <v>1.2603684132283433</v>
      </c>
      <c r="L38" s="213">
        <v>0.33197432575082203</v>
      </c>
      <c r="M38" s="124">
        <v>1.7116696372960221</v>
      </c>
      <c r="N38" s="213">
        <f t="shared" si="2"/>
        <v>-0.82906187046312141</v>
      </c>
      <c r="O38" s="213">
        <f t="shared" si="3"/>
        <v>0.6873435850558095</v>
      </c>
      <c r="P38" s="384">
        <f t="shared" si="4"/>
        <v>7.8396408501071146</v>
      </c>
      <c r="Q38" s="213">
        <f t="shared" si="5"/>
        <v>6.3000680443054815</v>
      </c>
      <c r="R38" s="213">
        <f t="shared" si="6"/>
        <v>9.3792136559087478</v>
      </c>
      <c r="S38" s="350">
        <f t="shared" si="7"/>
        <v>-1430.9966833420315</v>
      </c>
      <c r="T38" s="213">
        <f t="shared" si="8"/>
        <v>2047751.5077358943</v>
      </c>
      <c r="U38" s="350">
        <f t="shared" si="9"/>
        <v>2539.292683342032</v>
      </c>
      <c r="V38" s="350">
        <f t="shared" si="10"/>
        <v>544.60896640405838</v>
      </c>
      <c r="W38" s="350">
        <f t="shared" si="11"/>
        <v>11839.701013828788</v>
      </c>
      <c r="X38" s="364">
        <f t="shared" si="12"/>
        <v>1.2911683190610006</v>
      </c>
      <c r="Y38" s="222">
        <f t="shared" si="13"/>
        <v>7.6553906448261522</v>
      </c>
      <c r="Z38" s="386">
        <f t="shared" si="14"/>
        <v>0</v>
      </c>
      <c r="AA38" s="385">
        <f t="shared" si="15"/>
        <v>7.0105789796439932</v>
      </c>
      <c r="AB38" s="387">
        <f t="shared" si="18"/>
        <v>90</v>
      </c>
      <c r="AC38" s="247">
        <f t="shared" si="16"/>
        <v>-1.5395728058016334</v>
      </c>
      <c r="AD38" s="258">
        <f t="shared" si="17"/>
        <v>1.5395728058016334</v>
      </c>
    </row>
    <row r="39" spans="1:30">
      <c r="A39" s="247">
        <v>1985</v>
      </c>
      <c r="B39" s="213">
        <f t="shared" si="1"/>
        <v>1991</v>
      </c>
      <c r="C39" s="300">
        <f>VLOOKUP($A39,BroodTab!$A$12:$AG$67,24)</f>
        <v>7.0646462009142681</v>
      </c>
      <c r="D39" s="300">
        <f>VLOOKUP($A39,BroodTab!$A$12:$AG$67,30)</f>
        <v>6.6387912989457467</v>
      </c>
      <c r="E39" s="213">
        <v>36</v>
      </c>
      <c r="F39" s="213">
        <v>34</v>
      </c>
      <c r="G39" s="300">
        <v>3.2434838162572985</v>
      </c>
      <c r="H39" s="300">
        <v>0.60021621830042737</v>
      </c>
      <c r="I39" s="213">
        <v>0.14769347143033232</v>
      </c>
      <c r="J39" s="213">
        <v>7.4837990426005421</v>
      </c>
      <c r="K39" s="213">
        <v>1.2600717122833047</v>
      </c>
      <c r="L39" s="213">
        <v>0.32693982847883846</v>
      </c>
      <c r="M39" s="124">
        <v>1.7109281233576676</v>
      </c>
      <c r="N39" s="213">
        <f t="shared" si="2"/>
        <v>-0.84500774365479536</v>
      </c>
      <c r="O39" s="213">
        <f t="shared" si="3"/>
        <v>0.71403808683656833</v>
      </c>
      <c r="P39" s="384">
        <f t="shared" si="4"/>
        <v>7.4837990426005421</v>
      </c>
      <c r="Q39" s="213">
        <f t="shared" si="5"/>
        <v>5.9442262367989089</v>
      </c>
      <c r="R39" s="213">
        <f t="shared" si="6"/>
        <v>9.0233718484021761</v>
      </c>
      <c r="S39" s="350">
        <f t="shared" si="7"/>
        <v>-1014.8156189246522</v>
      </c>
      <c r="T39" s="213">
        <f t="shared" si="8"/>
        <v>1029850.7404134249</v>
      </c>
      <c r="U39" s="350">
        <f t="shared" si="9"/>
        <v>1778.9863994808322</v>
      </c>
      <c r="V39" s="350">
        <f t="shared" si="10"/>
        <v>381.54402232711544</v>
      </c>
      <c r="W39" s="350">
        <f t="shared" si="11"/>
        <v>8294.6984472068434</v>
      </c>
      <c r="X39" s="364">
        <f t="shared" si="12"/>
        <v>1.3279958416966</v>
      </c>
      <c r="Y39" s="258">
        <f t="shared" si="13"/>
        <v>7.0646462009142681</v>
      </c>
      <c r="Z39" s="386">
        <f t="shared" si="14"/>
        <v>0</v>
      </c>
      <c r="AA39" s="385">
        <f t="shared" si="15"/>
        <v>6.6387912989457467</v>
      </c>
      <c r="AB39" s="387">
        <f t="shared" si="18"/>
        <v>91</v>
      </c>
      <c r="AC39" s="247">
        <f t="shared" si="16"/>
        <v>-1.5395728058016334</v>
      </c>
      <c r="AD39" s="258">
        <f t="shared" si="17"/>
        <v>1.5395728058016334</v>
      </c>
    </row>
    <row r="40" spans="1:30">
      <c r="A40" s="247">
        <v>1986</v>
      </c>
      <c r="B40" s="213">
        <f t="shared" si="1"/>
        <v>1992</v>
      </c>
      <c r="C40" s="300">
        <f>VLOOKUP($A40,BroodTab!$A$12:$AG$67,24)</f>
        <v>4.4141677474214127</v>
      </c>
      <c r="D40" s="300">
        <f>VLOOKUP($A40,BroodTab!$A$12:$AG$67,30)</f>
        <v>8.5493949058535179</v>
      </c>
      <c r="E40" s="213">
        <v>36</v>
      </c>
      <c r="F40" s="213">
        <v>34</v>
      </c>
      <c r="G40" s="300">
        <v>2.1442802395255853</v>
      </c>
      <c r="H40" s="300">
        <v>0.73401484472475109</v>
      </c>
      <c r="I40" s="213">
        <v>0.14597631250640092</v>
      </c>
      <c r="J40" s="213">
        <v>5.3843448932381177</v>
      </c>
      <c r="K40" s="213">
        <v>1.1651895322836689</v>
      </c>
      <c r="L40" s="213">
        <v>0.42648894906278229</v>
      </c>
      <c r="M40" s="124">
        <v>1.4524974707043294</v>
      </c>
      <c r="N40" s="213">
        <f t="shared" si="2"/>
        <v>3.1650500126154002</v>
      </c>
      <c r="O40" s="213">
        <f t="shared" si="3"/>
        <v>10.017541582356746</v>
      </c>
      <c r="P40" s="384">
        <f t="shared" si="4"/>
        <v>5.3843448932381177</v>
      </c>
      <c r="Q40" s="213">
        <f t="shared" si="5"/>
        <v>3.8447720874364846</v>
      </c>
      <c r="R40" s="213">
        <f t="shared" si="6"/>
        <v>6.9239176990397509</v>
      </c>
      <c r="S40" s="350">
        <f t="shared" si="7"/>
        <v>4945.6617345041896</v>
      </c>
      <c r="T40" s="213">
        <f t="shared" si="8"/>
        <v>24459569.992138989</v>
      </c>
      <c r="U40" s="350">
        <f t="shared" si="9"/>
        <v>217.96726549581268</v>
      </c>
      <c r="V40" s="350">
        <f t="shared" si="10"/>
        <v>46.748028673622649</v>
      </c>
      <c r="W40" s="350">
        <f t="shared" si="11"/>
        <v>1016.2937384893243</v>
      </c>
      <c r="X40" s="364">
        <f t="shared" si="12"/>
        <v>-0.95778796937273902</v>
      </c>
      <c r="Y40" s="258">
        <f t="shared" si="13"/>
        <v>4.4141677474214127</v>
      </c>
      <c r="Z40" s="386">
        <f t="shared" si="14"/>
        <v>0</v>
      </c>
      <c r="AA40" s="385">
        <f t="shared" si="15"/>
        <v>8.5493949058535179</v>
      </c>
      <c r="AB40" s="387">
        <f t="shared" si="18"/>
        <v>92</v>
      </c>
      <c r="AC40" s="247">
        <f t="shared" si="16"/>
        <v>-1.5395728058016334</v>
      </c>
      <c r="AD40" s="258">
        <f t="shared" si="17"/>
        <v>1.5395728058016334</v>
      </c>
    </row>
    <row r="41" spans="1:30">
      <c r="A41" s="247">
        <v>1987</v>
      </c>
      <c r="B41" s="213">
        <f t="shared" si="1"/>
        <v>1993</v>
      </c>
      <c r="C41" s="300">
        <f>VLOOKUP($A41,BroodTab!$A$12:$AG$67,24)</f>
        <v>7.2573919120190178</v>
      </c>
      <c r="D41" s="300">
        <f>VLOOKUP($A41,BroodTab!$A$12:$AG$67,30)</f>
        <v>7.9189924881652454</v>
      </c>
      <c r="E41" s="213">
        <v>36</v>
      </c>
      <c r="F41" s="213">
        <v>34</v>
      </c>
      <c r="G41" s="300">
        <v>3.1765788589793731</v>
      </c>
      <c r="H41" s="300">
        <v>0.6048801846273566</v>
      </c>
      <c r="I41" s="213">
        <v>0.14837619006844685</v>
      </c>
      <c r="J41" s="213">
        <v>7.5664314186345214</v>
      </c>
      <c r="K41" s="213">
        <v>1.2667378780803624</v>
      </c>
      <c r="L41" s="213">
        <v>0.32831819505852006</v>
      </c>
      <c r="M41" s="124">
        <v>1.7273097561101101</v>
      </c>
      <c r="N41" s="213">
        <f t="shared" si="2"/>
        <v>0.35256106953072397</v>
      </c>
      <c r="O41" s="213">
        <f t="shared" si="3"/>
        <v>0.12429930774864797</v>
      </c>
      <c r="P41" s="384">
        <f t="shared" si="4"/>
        <v>7.5664314186345214</v>
      </c>
      <c r="Q41" s="213">
        <f t="shared" si="5"/>
        <v>6.0268586128328883</v>
      </c>
      <c r="R41" s="213">
        <f t="shared" si="6"/>
        <v>9.1060042244361554</v>
      </c>
      <c r="S41" s="350">
        <f t="shared" si="7"/>
        <v>816.76736573375183</v>
      </c>
      <c r="T41" s="213">
        <f t="shared" si="8"/>
        <v>667108.92972765234</v>
      </c>
      <c r="U41" s="350">
        <f t="shared" si="9"/>
        <v>1932.2326342662473</v>
      </c>
      <c r="V41" s="350">
        <f t="shared" si="10"/>
        <v>414.41115658040508</v>
      </c>
      <c r="W41" s="350">
        <f t="shared" si="11"/>
        <v>9009.2240366581373</v>
      </c>
      <c r="X41" s="364">
        <f t="shared" si="12"/>
        <v>-0.29711435639641764</v>
      </c>
      <c r="Y41" s="385">
        <f t="shared" si="13"/>
        <v>7.2573919120190178</v>
      </c>
      <c r="Z41" s="386">
        <f t="shared" si="14"/>
        <v>0</v>
      </c>
      <c r="AA41" s="385">
        <f t="shared" si="15"/>
        <v>7.9189924881652454</v>
      </c>
      <c r="AB41" s="387">
        <f t="shared" si="18"/>
        <v>93</v>
      </c>
      <c r="AC41" s="247">
        <f t="shared" si="16"/>
        <v>-1.5395728058016334</v>
      </c>
      <c r="AD41" s="258">
        <f t="shared" si="17"/>
        <v>1.5395728058016334</v>
      </c>
    </row>
    <row r="42" spans="1:30">
      <c r="A42" s="247">
        <v>1988</v>
      </c>
      <c r="B42" s="213">
        <f t="shared" si="1"/>
        <v>1994</v>
      </c>
      <c r="C42" s="300">
        <f>VLOOKUP($A42,BroodTab!$A$12:$AG$67,24)</f>
        <v>7.1276936993473985</v>
      </c>
      <c r="D42" s="300">
        <f>VLOOKUP($A42,BroodTab!$A$12:$AG$67,30)</f>
        <v>6.3935907539506314</v>
      </c>
      <c r="E42" s="213">
        <v>36</v>
      </c>
      <c r="F42" s="213">
        <v>34</v>
      </c>
      <c r="G42" s="300">
        <v>3.254144382391928</v>
      </c>
      <c r="H42" s="300">
        <v>0.59983873930703679</v>
      </c>
      <c r="I42" s="213">
        <v>0.14688406023515291</v>
      </c>
      <c r="J42" s="213">
        <v>7.529611185175181</v>
      </c>
      <c r="K42" s="213">
        <v>1.2535109408202827</v>
      </c>
      <c r="L42" s="213">
        <v>0.32908509158367549</v>
      </c>
      <c r="M42" s="124">
        <v>1.6949141140986945</v>
      </c>
      <c r="N42" s="213">
        <f t="shared" si="2"/>
        <v>-1.1360204312245497</v>
      </c>
      <c r="O42" s="213">
        <f t="shared" si="3"/>
        <v>1.2905424201596118</v>
      </c>
      <c r="P42" s="384">
        <f t="shared" si="4"/>
        <v>7.529611185175181</v>
      </c>
      <c r="Q42" s="213">
        <f t="shared" ref="Q42:Q62" si="19">$P42-(SQRT($O$66)*$Q$66)</f>
        <v>5.9900383793735479</v>
      </c>
      <c r="R42" s="213">
        <f t="shared" si="6"/>
        <v>9.0691839909768142</v>
      </c>
      <c r="S42" s="350">
        <f t="shared" si="7"/>
        <v>-1264.3812413275998</v>
      </c>
      <c r="T42" s="213">
        <f t="shared" si="8"/>
        <v>1598659.9234211221</v>
      </c>
      <c r="U42" s="350">
        <f t="shared" si="9"/>
        <v>1862.3812413275996</v>
      </c>
      <c r="V42" s="350">
        <f t="shared" si="10"/>
        <v>399.42993950379264</v>
      </c>
      <c r="W42" s="350">
        <f t="shared" si="11"/>
        <v>8683.5350709007053</v>
      </c>
      <c r="X42" s="364">
        <f t="shared" si="12"/>
        <v>2.1143499018856193</v>
      </c>
      <c r="Y42" s="386">
        <f t="shared" si="13"/>
        <v>7.1276936993473985</v>
      </c>
      <c r="Z42" s="386">
        <f t="shared" si="14"/>
        <v>0</v>
      </c>
      <c r="AA42" s="385">
        <f t="shared" si="15"/>
        <v>6.3935907539506314</v>
      </c>
      <c r="AB42" s="387">
        <f t="shared" si="18"/>
        <v>94</v>
      </c>
      <c r="AC42" s="247">
        <f t="shared" si="16"/>
        <v>-1.5395728058016334</v>
      </c>
      <c r="AD42" s="258">
        <f t="shared" si="17"/>
        <v>1.5395728058016334</v>
      </c>
    </row>
    <row r="43" spans="1:30">
      <c r="A43" s="247">
        <v>1989</v>
      </c>
      <c r="B43" s="213">
        <f t="shared" si="1"/>
        <v>1995</v>
      </c>
      <c r="C43" s="300">
        <f>VLOOKUP($A43,BroodTab!$A$12:$AG$67,24)</f>
        <v>6.0063531596017325</v>
      </c>
      <c r="D43" s="300">
        <f>VLOOKUP($A43,BroodTab!$A$12:$AG$67,30)</f>
        <v>7.4587626923809598</v>
      </c>
      <c r="E43" s="213">
        <v>36</v>
      </c>
      <c r="F43" s="213">
        <v>34</v>
      </c>
      <c r="G43" s="300">
        <v>3.0772673039299923</v>
      </c>
      <c r="H43" s="300">
        <v>0.61711461324977657</v>
      </c>
      <c r="I43" s="213">
        <v>0.15001506924007721</v>
      </c>
      <c r="J43" s="213">
        <v>6.7838756110591891</v>
      </c>
      <c r="K43" s="213">
        <v>1.2631334945523773</v>
      </c>
      <c r="L43" s="213">
        <v>0.33231737333461581</v>
      </c>
      <c r="M43" s="124">
        <v>1.7181104987549327</v>
      </c>
      <c r="N43" s="213">
        <f t="shared" si="2"/>
        <v>0.67488708132177067</v>
      </c>
      <c r="O43" s="213">
        <f t="shared" si="3"/>
        <v>0.45547257253501827</v>
      </c>
      <c r="P43" s="384">
        <f t="shared" si="4"/>
        <v>6.7838756110591891</v>
      </c>
      <c r="Q43" s="213">
        <f t="shared" si="19"/>
        <v>5.244302805257556</v>
      </c>
      <c r="R43" s="213">
        <f t="shared" si="6"/>
        <v>8.3234484168608223</v>
      </c>
      <c r="S43" s="350">
        <f t="shared" si="7"/>
        <v>851.51385379032808</v>
      </c>
      <c r="T43" s="213">
        <f t="shared" si="8"/>
        <v>725075.84319685621</v>
      </c>
      <c r="U43" s="350">
        <f t="shared" si="9"/>
        <v>883.48614620967237</v>
      </c>
      <c r="V43" s="350">
        <f t="shared" si="10"/>
        <v>189.48366215362537</v>
      </c>
      <c r="W43" s="350">
        <f t="shared" si="11"/>
        <v>4119.3407477610563</v>
      </c>
      <c r="X43" s="364">
        <f t="shared" si="12"/>
        <v>-0.49078608287626968</v>
      </c>
      <c r="Y43" s="386">
        <f t="shared" si="13"/>
        <v>6.0063531596017325</v>
      </c>
      <c r="Z43" s="386">
        <f t="shared" si="14"/>
        <v>0</v>
      </c>
      <c r="AA43" s="385">
        <f t="shared" si="15"/>
        <v>7.4587626923809598</v>
      </c>
      <c r="AB43" s="387">
        <f t="shared" si="18"/>
        <v>95</v>
      </c>
      <c r="AC43" s="247">
        <f t="shared" si="16"/>
        <v>-1.5395728058016334</v>
      </c>
      <c r="AD43" s="258">
        <f t="shared" si="17"/>
        <v>1.5395728058016334</v>
      </c>
    </row>
    <row r="44" spans="1:30">
      <c r="A44" s="247">
        <v>1990</v>
      </c>
      <c r="B44" s="213">
        <f t="shared" si="1"/>
        <v>1996</v>
      </c>
      <c r="C44" s="300">
        <f>VLOOKUP($A44,BroodTab!$A$12:$AG$67,24)</f>
        <v>6.9255951971104679</v>
      </c>
      <c r="D44" s="300">
        <f>VLOOKUP($A44,BroodTab!$A$12:$AG$67,30)</f>
        <v>7.4576092897156059</v>
      </c>
      <c r="E44" s="213">
        <v>36</v>
      </c>
      <c r="F44" s="213">
        <v>34</v>
      </c>
      <c r="G44" s="300">
        <v>3.1849998912005697</v>
      </c>
      <c r="H44" s="300">
        <v>0.60472115915058955</v>
      </c>
      <c r="I44" s="213">
        <v>0.14874966689093647</v>
      </c>
      <c r="J44" s="213">
        <v>7.373053846604968</v>
      </c>
      <c r="K44" s="213">
        <v>1.268060279830475</v>
      </c>
      <c r="L44" s="213">
        <v>0.32709462429711927</v>
      </c>
      <c r="M44" s="124">
        <v>1.7305639140209157</v>
      </c>
      <c r="N44" s="213">
        <f t="shared" si="2"/>
        <v>8.4555443110637896E-2</v>
      </c>
      <c r="O44" s="213">
        <f t="shared" si="3"/>
        <v>7.1496229596363214E-3</v>
      </c>
      <c r="P44" s="384">
        <f t="shared" si="4"/>
        <v>7.373053846604968</v>
      </c>
      <c r="Q44" s="213">
        <f t="shared" si="19"/>
        <v>5.8334810408033348</v>
      </c>
      <c r="R44" s="213">
        <f t="shared" si="6"/>
        <v>8.9126266524066011</v>
      </c>
      <c r="S44" s="350">
        <f t="shared" si="7"/>
        <v>140.51041625578455</v>
      </c>
      <c r="T44" s="213">
        <f t="shared" si="8"/>
        <v>19743.177076373842</v>
      </c>
      <c r="U44" s="350">
        <f t="shared" si="9"/>
        <v>1592.489583744215</v>
      </c>
      <c r="V44" s="350">
        <f t="shared" si="10"/>
        <v>341.5455460891219</v>
      </c>
      <c r="W44" s="350">
        <f t="shared" si="11"/>
        <v>7425.1387651592468</v>
      </c>
      <c r="X44" s="364">
        <f t="shared" si="12"/>
        <v>-8.1079293857925325E-2</v>
      </c>
      <c r="Y44" s="386">
        <f t="shared" si="13"/>
        <v>6.9255951971104679</v>
      </c>
      <c r="Z44" s="386">
        <f t="shared" si="14"/>
        <v>0</v>
      </c>
      <c r="AA44" s="385">
        <f t="shared" si="15"/>
        <v>7.4576092897156059</v>
      </c>
      <c r="AB44" s="387">
        <f t="shared" si="18"/>
        <v>96</v>
      </c>
      <c r="AC44" s="247">
        <f t="shared" si="16"/>
        <v>-1.5395728058016334</v>
      </c>
      <c r="AD44" s="258">
        <f t="shared" si="17"/>
        <v>1.5395728058016334</v>
      </c>
    </row>
    <row r="45" spans="1:30">
      <c r="A45" s="247">
        <v>1991</v>
      </c>
      <c r="B45" s="213">
        <f t="shared" si="1"/>
        <v>1997</v>
      </c>
      <c r="C45" s="300">
        <f>VLOOKUP($A45,BroodTab!$A$12:$AG$67,24)</f>
        <v>6.8480052745763631</v>
      </c>
      <c r="D45" s="300">
        <f>VLOOKUP($A45,BroodTab!$A$12:$AG$67,30)</f>
        <v>6.4661447242376191</v>
      </c>
      <c r="E45" s="213">
        <v>36</v>
      </c>
      <c r="F45" s="213">
        <v>34</v>
      </c>
      <c r="G45" s="300">
        <v>3.2658776095184709</v>
      </c>
      <c r="H45" s="300">
        <v>0.59735803699612866</v>
      </c>
      <c r="I45" s="213">
        <v>0.147794688401366</v>
      </c>
      <c r="J45" s="213">
        <v>7.3565885976785426</v>
      </c>
      <c r="K45" s="213">
        <v>1.2592021829569271</v>
      </c>
      <c r="L45" s="213">
        <v>0.32454214861790848</v>
      </c>
      <c r="M45" s="124">
        <v>1.7087377843323373</v>
      </c>
      <c r="N45" s="213">
        <f t="shared" si="2"/>
        <v>-0.89044387344092346</v>
      </c>
      <c r="O45" s="213">
        <f t="shared" si="3"/>
        <v>0.79289029174847536</v>
      </c>
      <c r="P45" s="384">
        <f t="shared" si="4"/>
        <v>7.3565885976785426</v>
      </c>
      <c r="Q45" s="213">
        <f t="shared" si="19"/>
        <v>5.8170157918769094</v>
      </c>
      <c r="R45" s="213">
        <f t="shared" si="6"/>
        <v>8.8961614034801766</v>
      </c>
      <c r="S45" s="350">
        <f t="shared" si="7"/>
        <v>-923.48353192054537</v>
      </c>
      <c r="T45" s="213">
        <f t="shared" si="8"/>
        <v>852821.833728445</v>
      </c>
      <c r="U45" s="350">
        <f t="shared" si="9"/>
        <v>1566.4835319205451</v>
      </c>
      <c r="V45" s="350">
        <f t="shared" si="10"/>
        <v>335.96795785092843</v>
      </c>
      <c r="W45" s="350">
        <f t="shared" si="11"/>
        <v>7303.882999661143</v>
      </c>
      <c r="X45" s="364">
        <f t="shared" si="12"/>
        <v>1.4362107805918285</v>
      </c>
      <c r="Y45" s="386">
        <f t="shared" si="13"/>
        <v>6.8480052745763631</v>
      </c>
      <c r="Z45" s="386">
        <f t="shared" si="14"/>
        <v>0</v>
      </c>
      <c r="AA45" s="385">
        <f t="shared" si="15"/>
        <v>6.4661447242376191</v>
      </c>
      <c r="AB45" s="387">
        <f t="shared" si="18"/>
        <v>97</v>
      </c>
      <c r="AC45" s="247">
        <f t="shared" si="16"/>
        <v>-1.5395728058016334</v>
      </c>
      <c r="AD45" s="258">
        <f t="shared" si="17"/>
        <v>1.5395728058016334</v>
      </c>
    </row>
    <row r="46" spans="1:30">
      <c r="A46" s="247">
        <v>1992</v>
      </c>
      <c r="B46" s="213">
        <f t="shared" si="1"/>
        <v>1998</v>
      </c>
      <c r="C46" s="300">
        <f>VLOOKUP($A46,BroodTab!$A$12:$AG$67,24)</f>
        <v>5.7745515455444085</v>
      </c>
      <c r="D46" s="300">
        <f>VLOOKUP($A46,BroodTab!$A$12:$AG$67,30)</f>
        <v>7.305188215393037</v>
      </c>
      <c r="E46" s="213">
        <v>36</v>
      </c>
      <c r="F46" s="213">
        <v>34</v>
      </c>
      <c r="G46" s="300">
        <v>3.0628233935404348</v>
      </c>
      <c r="H46" s="300">
        <v>0.61909247273534118</v>
      </c>
      <c r="I46" s="213">
        <v>0.15080381702319404</v>
      </c>
      <c r="J46" s="213">
        <v>6.6378047888092091</v>
      </c>
      <c r="K46" s="213">
        <v>1.2632943790431335</v>
      </c>
      <c r="L46" s="213">
        <v>0.33141088254966222</v>
      </c>
      <c r="M46" s="124">
        <v>1.718390274712051</v>
      </c>
      <c r="N46" s="213">
        <f t="shared" si="2"/>
        <v>0.66738342658382788</v>
      </c>
      <c r="O46" s="213">
        <f t="shared" si="3"/>
        <v>0.44540063807877156</v>
      </c>
      <c r="P46" s="384">
        <f t="shared" si="4"/>
        <v>6.6378047888092091</v>
      </c>
      <c r="Q46" s="213">
        <f t="shared" si="19"/>
        <v>5.098231983007576</v>
      </c>
      <c r="R46" s="213">
        <f t="shared" si="6"/>
        <v>8.1773775946108422</v>
      </c>
      <c r="S46" s="350">
        <f t="shared" si="7"/>
        <v>724.58270994076952</v>
      </c>
      <c r="T46" s="213">
        <f t="shared" si="8"/>
        <v>525020.10354510939</v>
      </c>
      <c r="U46" s="350">
        <f t="shared" si="9"/>
        <v>763.41729005923025</v>
      </c>
      <c r="V46" s="350">
        <f t="shared" si="10"/>
        <v>163.73216998638631</v>
      </c>
      <c r="W46" s="350">
        <f t="shared" si="11"/>
        <v>3559.5079379320323</v>
      </c>
      <c r="X46" s="364">
        <f t="shared" si="12"/>
        <v>-0.48695074592793658</v>
      </c>
      <c r="Y46" s="386">
        <f t="shared" si="13"/>
        <v>5.7745515455444085</v>
      </c>
      <c r="Z46" s="386">
        <f t="shared" si="14"/>
        <v>0</v>
      </c>
      <c r="AA46" s="385">
        <f t="shared" si="15"/>
        <v>7.305188215393037</v>
      </c>
      <c r="AB46" s="387">
        <f t="shared" si="18"/>
        <v>98</v>
      </c>
      <c r="AC46" s="247">
        <f t="shared" si="16"/>
        <v>-1.5395728058016334</v>
      </c>
      <c r="AD46" s="258">
        <f t="shared" si="17"/>
        <v>1.5395728058016334</v>
      </c>
    </row>
    <row r="47" spans="1:30">
      <c r="A47" s="247">
        <v>1993</v>
      </c>
      <c r="B47" s="213">
        <f t="shared" si="1"/>
        <v>1999</v>
      </c>
      <c r="C47" s="300">
        <f>VLOOKUP($A47,BroodTab!$A$12:$AG$67,24)</f>
        <v>5.4380793089231956</v>
      </c>
      <c r="D47" s="300">
        <f>VLOOKUP($A47,BroodTab!$A$12:$AG$67,30)</f>
        <v>5.7589017738772803</v>
      </c>
      <c r="E47" s="213">
        <v>36</v>
      </c>
      <c r="F47" s="213">
        <v>34</v>
      </c>
      <c r="G47" s="300">
        <v>3.3684608803522931</v>
      </c>
      <c r="H47" s="300">
        <v>0.58310425677812538</v>
      </c>
      <c r="I47" s="213">
        <v>0.15195774777580867</v>
      </c>
      <c r="J47" s="213">
        <v>6.5394280740824549</v>
      </c>
      <c r="K47" s="213">
        <v>1.2616251188265331</v>
      </c>
      <c r="L47" s="213">
        <v>0.30220209549570454</v>
      </c>
      <c r="M47" s="124">
        <v>1.7138397006222399</v>
      </c>
      <c r="N47" s="213">
        <f t="shared" si="2"/>
        <v>-0.78052630020517455</v>
      </c>
      <c r="O47" s="213">
        <f t="shared" si="3"/>
        <v>0.60922130531197827</v>
      </c>
      <c r="P47" s="384">
        <f t="shared" si="4"/>
        <v>6.5394280740824549</v>
      </c>
      <c r="Q47" s="213">
        <f t="shared" si="19"/>
        <v>4.9998552682808217</v>
      </c>
      <c r="R47" s="213">
        <f t="shared" si="6"/>
        <v>8.079000879884088</v>
      </c>
      <c r="S47" s="350">
        <f t="shared" si="7"/>
        <v>-374.89075460177401</v>
      </c>
      <c r="T47" s="213">
        <f t="shared" si="8"/>
        <v>140543.07788588753</v>
      </c>
      <c r="U47" s="350">
        <f t="shared" si="9"/>
        <v>691.89075460177389</v>
      </c>
      <c r="V47" s="350">
        <f t="shared" si="10"/>
        <v>148.39168056526131</v>
      </c>
      <c r="W47" s="350">
        <f t="shared" si="11"/>
        <v>3226.0084559988431</v>
      </c>
      <c r="X47" s="364">
        <f t="shared" si="12"/>
        <v>1.1826206769772054</v>
      </c>
      <c r="Y47" s="386">
        <f t="shared" si="13"/>
        <v>5.4380793089231956</v>
      </c>
      <c r="Z47" s="386">
        <f t="shared" si="14"/>
        <v>0</v>
      </c>
      <c r="AA47" s="385">
        <f t="shared" si="15"/>
        <v>5.7589017738772803</v>
      </c>
      <c r="AB47" s="387">
        <f t="shared" si="18"/>
        <v>99</v>
      </c>
      <c r="AC47" s="247">
        <f t="shared" si="16"/>
        <v>-1.5395728058016334</v>
      </c>
      <c r="AD47" s="258">
        <f t="shared" si="17"/>
        <v>1.5395728058016334</v>
      </c>
    </row>
    <row r="48" spans="1:30">
      <c r="A48" s="247">
        <v>1994</v>
      </c>
      <c r="B48" s="213">
        <f t="shared" si="1"/>
        <v>2000</v>
      </c>
      <c r="C48" s="300">
        <f>VLOOKUP($A48,BroodTab!$A$12:$AG$67,24)</f>
        <v>8.2937996088468182</v>
      </c>
      <c r="D48" s="300">
        <f>VLOOKUP($A48,BroodTab!$A$12:$AG$67,30)</f>
        <v>9.3911608026438707</v>
      </c>
      <c r="E48" s="213">
        <v>36</v>
      </c>
      <c r="F48" s="213">
        <v>34</v>
      </c>
      <c r="G48" s="300">
        <v>3.2695199594160549</v>
      </c>
      <c r="H48" s="300">
        <v>0.58910642174173178</v>
      </c>
      <c r="I48" s="213">
        <v>0.14733071037860768</v>
      </c>
      <c r="J48" s="213">
        <v>8.1554505696267796</v>
      </c>
      <c r="K48" s="213">
        <v>1.2509874900009634</v>
      </c>
      <c r="L48" s="213">
        <v>0.31984017126457531</v>
      </c>
      <c r="M48" s="124">
        <v>1.6883464096591512</v>
      </c>
      <c r="N48" s="213">
        <f t="shared" si="2"/>
        <v>1.235710233017091</v>
      </c>
      <c r="O48" s="213">
        <f t="shared" si="3"/>
        <v>1.5269797799831535</v>
      </c>
      <c r="P48" s="384">
        <f t="shared" si="4"/>
        <v>8.1554505696267796</v>
      </c>
      <c r="Q48" s="213">
        <f t="shared" si="19"/>
        <v>6.6158777638251465</v>
      </c>
      <c r="R48" s="213">
        <f t="shared" si="6"/>
        <v>9.6950233754284127</v>
      </c>
      <c r="S48" s="350">
        <f t="shared" si="7"/>
        <v>8499.6920059213935</v>
      </c>
      <c r="T48" s="213">
        <f t="shared" si="8"/>
        <v>72244764.195524037</v>
      </c>
      <c r="U48" s="350">
        <f t="shared" si="9"/>
        <v>3482.307994078612</v>
      </c>
      <c r="V48" s="350">
        <f t="shared" si="10"/>
        <v>746.86000940219014</v>
      </c>
      <c r="W48" s="350">
        <f t="shared" si="11"/>
        <v>16236.602325689131</v>
      </c>
      <c r="X48" s="364">
        <f t="shared" si="12"/>
        <v>-0.70937172474723664</v>
      </c>
      <c r="Y48" s="386">
        <f t="shared" si="13"/>
        <v>8.2937996088468182</v>
      </c>
      <c r="Z48" s="386">
        <f t="shared" si="14"/>
        <v>0</v>
      </c>
      <c r="AA48" s="385">
        <f t="shared" si="15"/>
        <v>9.3911608026438707</v>
      </c>
      <c r="AB48" s="387">
        <f t="shared" si="18"/>
        <v>100</v>
      </c>
      <c r="AC48" s="247">
        <f t="shared" si="16"/>
        <v>-1.5395728058016334</v>
      </c>
      <c r="AD48" s="258">
        <f t="shared" si="17"/>
        <v>1.5395728058016334</v>
      </c>
    </row>
    <row r="49" spans="1:31">
      <c r="A49" s="247">
        <v>1995</v>
      </c>
      <c r="B49" s="213">
        <f t="shared" si="1"/>
        <v>2001</v>
      </c>
      <c r="C49" s="300">
        <f>VLOOKUP($A49,BroodTab!$A$12:$AG$67,24)</f>
        <v>7.7735944673601942</v>
      </c>
      <c r="D49" s="300">
        <f>VLOOKUP($A49,BroodTab!$A$12:$AG$67,30)</f>
        <v>8.0359263698917918</v>
      </c>
      <c r="E49" s="213">
        <v>36</v>
      </c>
      <c r="F49" s="213">
        <v>34</v>
      </c>
      <c r="G49" s="300">
        <v>3.1929867015896027</v>
      </c>
      <c r="H49" s="300">
        <v>0.6033950599930924</v>
      </c>
      <c r="I49" s="213">
        <v>0.14862909431671911</v>
      </c>
      <c r="J49" s="213">
        <v>7.8835352015843787</v>
      </c>
      <c r="K49" s="213">
        <v>1.2678791379958265</v>
      </c>
      <c r="L49" s="213">
        <v>0.3264854862105433</v>
      </c>
      <c r="M49" s="124">
        <v>1.7301174294315138</v>
      </c>
      <c r="N49" s="213">
        <f t="shared" si="2"/>
        <v>0.15239116830741306</v>
      </c>
      <c r="O49" s="213">
        <f t="shared" si="3"/>
        <v>2.3223068178098296E-2</v>
      </c>
      <c r="P49" s="384">
        <f t="shared" si="4"/>
        <v>7.8835352015843787</v>
      </c>
      <c r="Q49" s="213">
        <f t="shared" si="19"/>
        <v>6.3439623957827456</v>
      </c>
      <c r="R49" s="213">
        <f t="shared" si="6"/>
        <v>9.4231080073860127</v>
      </c>
      <c r="S49" s="350">
        <f t="shared" si="7"/>
        <v>436.76427725254143</v>
      </c>
      <c r="T49" s="213">
        <f t="shared" si="8"/>
        <v>190763.03388393487</v>
      </c>
      <c r="U49" s="350">
        <f t="shared" si="9"/>
        <v>2653.2357227474604</v>
      </c>
      <c r="V49" s="350">
        <f t="shared" si="10"/>
        <v>569.04663809374154</v>
      </c>
      <c r="W49" s="350">
        <f t="shared" si="11"/>
        <v>12370.971602688867</v>
      </c>
      <c r="X49" s="364">
        <f t="shared" si="12"/>
        <v>-0.14134766254127545</v>
      </c>
      <c r="Y49" s="386">
        <f t="shared" si="13"/>
        <v>7.7735944673601942</v>
      </c>
      <c r="Z49" s="386">
        <f t="shared" si="14"/>
        <v>0</v>
      </c>
      <c r="AA49" s="385">
        <f t="shared" si="15"/>
        <v>8.0359263698917918</v>
      </c>
      <c r="AB49" s="387">
        <f t="shared" si="18"/>
        <v>101</v>
      </c>
      <c r="AC49" s="247">
        <f t="shared" si="16"/>
        <v>-1.5395728058016334</v>
      </c>
      <c r="AD49" s="258">
        <f t="shared" si="17"/>
        <v>1.5395728058016334</v>
      </c>
    </row>
    <row r="50" spans="1:31">
      <c r="A50" s="247">
        <v>1996</v>
      </c>
      <c r="B50" s="213">
        <f t="shared" si="1"/>
        <v>2002</v>
      </c>
      <c r="C50" s="300">
        <f>VLOOKUP($A50,BroodTab!$A$12:$AG$67,24)</f>
        <v>7.4366172652342266</v>
      </c>
      <c r="D50" s="300">
        <f>VLOOKUP($A50,BroodTab!$A$12:$AG$67,30)</f>
        <v>6.3681871863504922</v>
      </c>
      <c r="E50" s="213">
        <v>36</v>
      </c>
      <c r="F50" s="213">
        <v>34</v>
      </c>
      <c r="G50" s="300">
        <v>3.2236677096984412</v>
      </c>
      <c r="H50" s="300">
        <v>0.60474519305000829</v>
      </c>
      <c r="I50" s="213">
        <v>0.14608058109760585</v>
      </c>
      <c r="J50" s="213">
        <v>7.7209262534015384</v>
      </c>
      <c r="K50" s="213">
        <v>1.2473233215379722</v>
      </c>
      <c r="L50" s="213">
        <v>0.33513225135597774</v>
      </c>
      <c r="M50" s="124">
        <v>1.679931876227402</v>
      </c>
      <c r="N50" s="213">
        <f t="shared" si="2"/>
        <v>-1.3527390670510462</v>
      </c>
      <c r="O50" s="213">
        <f t="shared" si="3"/>
        <v>1.8299029835261349</v>
      </c>
      <c r="P50" s="384">
        <f t="shared" si="4"/>
        <v>7.7209262534015384</v>
      </c>
      <c r="Q50" s="213">
        <f t="shared" si="19"/>
        <v>6.1813534475999052</v>
      </c>
      <c r="R50" s="213">
        <f t="shared" si="6"/>
        <v>9.2604990592031715</v>
      </c>
      <c r="S50" s="350">
        <f t="shared" si="7"/>
        <v>-1672.0473588003333</v>
      </c>
      <c r="T50" s="213">
        <f t="shared" si="8"/>
        <v>2795742.3700711704</v>
      </c>
      <c r="U50" s="350">
        <f t="shared" si="9"/>
        <v>2255.0473588003333</v>
      </c>
      <c r="V50" s="350">
        <f t="shared" si="10"/>
        <v>483.64610323379128</v>
      </c>
      <c r="W50" s="350">
        <f t="shared" si="11"/>
        <v>10514.379329081847</v>
      </c>
      <c r="X50" s="364">
        <f t="shared" si="12"/>
        <v>2.8680057612355636</v>
      </c>
      <c r="Y50" s="386">
        <f t="shared" si="13"/>
        <v>7.4366172652342266</v>
      </c>
      <c r="Z50" s="386">
        <f t="shared" si="14"/>
        <v>0</v>
      </c>
      <c r="AA50" s="385">
        <f t="shared" si="15"/>
        <v>6.3681871863504922</v>
      </c>
      <c r="AB50" s="387">
        <f t="shared" si="18"/>
        <v>102</v>
      </c>
      <c r="AC50" s="247">
        <f t="shared" si="16"/>
        <v>-1.5395728058016334</v>
      </c>
      <c r="AD50" s="258">
        <f t="shared" si="17"/>
        <v>1.5395728058016334</v>
      </c>
    </row>
    <row r="51" spans="1:31">
      <c r="A51" s="247">
        <v>1997</v>
      </c>
      <c r="B51" s="213">
        <f t="shared" si="1"/>
        <v>2003</v>
      </c>
      <c r="C51" s="300">
        <f>VLOOKUP($A51,BroodTab!$A$12:$AG$67,24)</f>
        <v>5.7620513827801769</v>
      </c>
      <c r="D51" s="300">
        <f>VLOOKUP($A51,BroodTab!$A$12:$AG$67,30)</f>
        <v>7.3733743099100488</v>
      </c>
      <c r="E51" s="213">
        <v>36</v>
      </c>
      <c r="F51" s="213">
        <v>34</v>
      </c>
      <c r="G51" s="300">
        <v>3.04620468314452</v>
      </c>
      <c r="H51" s="300">
        <v>0.6210398250993846</v>
      </c>
      <c r="I51" s="213">
        <v>0.15069948554583881</v>
      </c>
      <c r="J51" s="213">
        <v>6.6246680661199884</v>
      </c>
      <c r="K51" s="213">
        <v>1.2620419816016872</v>
      </c>
      <c r="L51" s="213">
        <v>0.33311152429324742</v>
      </c>
      <c r="M51" s="124">
        <v>1.7151913746728435</v>
      </c>
      <c r="N51" s="213">
        <f t="shared" si="2"/>
        <v>0.74870624379006046</v>
      </c>
      <c r="O51" s="213">
        <f t="shared" si="3"/>
        <v>0.5605610394902214</v>
      </c>
      <c r="P51" s="384">
        <f t="shared" si="4"/>
        <v>6.6246680661199884</v>
      </c>
      <c r="Q51" s="213">
        <f t="shared" si="19"/>
        <v>5.0850952603183552</v>
      </c>
      <c r="R51" s="213">
        <f t="shared" si="6"/>
        <v>8.1642408719216224</v>
      </c>
      <c r="S51" s="350">
        <f t="shared" si="7"/>
        <v>839.54592589208426</v>
      </c>
      <c r="T51" s="213">
        <f t="shared" si="8"/>
        <v>704837.36168199708</v>
      </c>
      <c r="U51" s="350">
        <f t="shared" si="9"/>
        <v>753.4540741079162</v>
      </c>
      <c r="V51" s="350">
        <f t="shared" si="10"/>
        <v>161.59533212720569</v>
      </c>
      <c r="W51" s="350">
        <f t="shared" si="11"/>
        <v>3513.0534670576831</v>
      </c>
      <c r="X51" s="364">
        <f t="shared" si="12"/>
        <v>-0.52702192460268926</v>
      </c>
      <c r="Y51" s="386">
        <f t="shared" si="13"/>
        <v>5.7620513827801769</v>
      </c>
      <c r="Z51" s="386">
        <f t="shared" si="14"/>
        <v>0</v>
      </c>
      <c r="AA51" s="385">
        <f t="shared" si="15"/>
        <v>7.3733743099100488</v>
      </c>
      <c r="AB51" s="387">
        <f t="shared" si="18"/>
        <v>103</v>
      </c>
      <c r="AC51" s="247">
        <f t="shared" si="16"/>
        <v>-1.5395728058016334</v>
      </c>
      <c r="AD51" s="258">
        <f t="shared" si="17"/>
        <v>1.5395728058016334</v>
      </c>
    </row>
    <row r="52" spans="1:31">
      <c r="A52" s="247">
        <v>1998</v>
      </c>
      <c r="B52" s="213">
        <f t="shared" si="1"/>
        <v>2004</v>
      </c>
      <c r="C52" s="300">
        <f>VLOOKUP($A52,BroodTab!$A$12:$AG$67,24)</f>
        <v>5.8493247799468593</v>
      </c>
      <c r="D52" s="300">
        <f>VLOOKUP($A52,BroodTab!$A$12:$AG$67,30)</f>
        <v>5.2522734280466299</v>
      </c>
      <c r="E52" s="213">
        <v>36</v>
      </c>
      <c r="F52" s="213">
        <v>34</v>
      </c>
      <c r="G52" s="300">
        <v>3.4815054793309237</v>
      </c>
      <c r="H52" s="300">
        <v>0.57071118500488482</v>
      </c>
      <c r="I52" s="213">
        <v>0.14789355331273454</v>
      </c>
      <c r="J52" s="213">
        <v>6.8197805559728328</v>
      </c>
      <c r="K52" s="213">
        <v>1.2410748623881156</v>
      </c>
      <c r="L52" s="213">
        <v>0.30458056500749464</v>
      </c>
      <c r="M52" s="124">
        <v>1.6625103314336984</v>
      </c>
      <c r="N52" s="213">
        <f t="shared" si="2"/>
        <v>-1.5675071279262029</v>
      </c>
      <c r="O52" s="213">
        <f t="shared" si="3"/>
        <v>2.4570785960994534</v>
      </c>
      <c r="P52" s="384">
        <f t="shared" si="4"/>
        <v>6.8197805559728328</v>
      </c>
      <c r="Q52" s="213">
        <f t="shared" si="19"/>
        <v>5.2802077501711997</v>
      </c>
      <c r="R52" s="213">
        <f t="shared" si="6"/>
        <v>8.3593533617744669</v>
      </c>
      <c r="S52" s="350">
        <f t="shared" si="7"/>
        <v>-724.78402469504044</v>
      </c>
      <c r="T52" s="213">
        <f t="shared" si="8"/>
        <v>525311.88245314104</v>
      </c>
      <c r="U52" s="350">
        <f t="shared" si="9"/>
        <v>915.78402469504044</v>
      </c>
      <c r="V52" s="350">
        <f t="shared" si="10"/>
        <v>196.41067546498965</v>
      </c>
      <c r="W52" s="350">
        <f t="shared" si="11"/>
        <v>4269.932771735409</v>
      </c>
      <c r="X52" s="364">
        <f t="shared" si="12"/>
        <v>3.7946807575656569</v>
      </c>
      <c r="Y52" s="386">
        <f t="shared" si="13"/>
        <v>5.8493247799468593</v>
      </c>
      <c r="Z52" s="386">
        <f t="shared" si="14"/>
        <v>0</v>
      </c>
      <c r="AA52" s="385">
        <f t="shared" si="15"/>
        <v>5.2522734280466299</v>
      </c>
      <c r="AB52" s="387">
        <f t="shared" si="18"/>
        <v>104</v>
      </c>
      <c r="AC52" s="247">
        <f t="shared" si="16"/>
        <v>-1.5395728058016334</v>
      </c>
      <c r="AD52" s="258">
        <f t="shared" si="17"/>
        <v>1.5395728058016334</v>
      </c>
    </row>
    <row r="53" spans="1:31">
      <c r="A53" s="247">
        <v>1999</v>
      </c>
      <c r="B53" s="213">
        <f t="shared" si="1"/>
        <v>2005</v>
      </c>
      <c r="C53" s="300">
        <f>VLOOKUP($A53,BroodTab!$A$12:$AG$67,24)</f>
        <v>7.1981835771019433</v>
      </c>
      <c r="D53" s="300">
        <f>VLOOKUP($A53,BroodTab!$A$12:$AG$67,30)</f>
        <v>6.4019171967271857</v>
      </c>
      <c r="E53" s="213">
        <v>36</v>
      </c>
      <c r="F53" s="213">
        <v>34</v>
      </c>
      <c r="G53" s="300">
        <v>3.2476781519333358</v>
      </c>
      <c r="H53" s="300">
        <v>0.60083851893735274</v>
      </c>
      <c r="I53" s="213">
        <v>0.1467408545457326</v>
      </c>
      <c r="J53" s="213">
        <v>7.5726241114384436</v>
      </c>
      <c r="K53" s="213">
        <v>1.2525907448003539</v>
      </c>
      <c r="L53" s="213">
        <v>0.33025225367395328</v>
      </c>
      <c r="M53" s="124">
        <v>1.6926915513211067</v>
      </c>
      <c r="N53" s="213">
        <f t="shared" si="2"/>
        <v>-1.1707069147112579</v>
      </c>
      <c r="O53" s="213">
        <f t="shared" si="3"/>
        <v>1.3705546801527524</v>
      </c>
      <c r="P53" s="384">
        <f t="shared" si="4"/>
        <v>7.5726241114384436</v>
      </c>
      <c r="Q53" s="213">
        <f t="shared" si="19"/>
        <v>6.0330513056368105</v>
      </c>
      <c r="R53" s="213">
        <f t="shared" si="6"/>
        <v>9.1121969172400767</v>
      </c>
      <c r="S53" s="350">
        <f t="shared" si="7"/>
        <v>-1341.2354840180867</v>
      </c>
      <c r="T53" s="213">
        <f t="shared" si="8"/>
        <v>1798912.6235892314</v>
      </c>
      <c r="U53" s="350">
        <f t="shared" si="9"/>
        <v>1944.2354840180869</v>
      </c>
      <c r="V53" s="350">
        <f t="shared" si="10"/>
        <v>416.98544021463715</v>
      </c>
      <c r="W53" s="350">
        <f t="shared" si="11"/>
        <v>9065.1885000332841</v>
      </c>
      <c r="X53" s="364">
        <f t="shared" si="12"/>
        <v>2.2242711177746042</v>
      </c>
      <c r="Y53" s="386">
        <f t="shared" si="13"/>
        <v>7.1981835771019433</v>
      </c>
      <c r="Z53" s="386">
        <f t="shared" si="14"/>
        <v>0</v>
      </c>
      <c r="AA53" s="385">
        <f t="shared" si="15"/>
        <v>6.4019171967271857</v>
      </c>
      <c r="AB53" s="387">
        <f t="shared" si="18"/>
        <v>105</v>
      </c>
      <c r="AC53" s="247">
        <f t="shared" si="16"/>
        <v>-1.5395728058016334</v>
      </c>
      <c r="AD53" s="258">
        <f t="shared" si="17"/>
        <v>1.5395728058016334</v>
      </c>
    </row>
    <row r="54" spans="1:31">
      <c r="A54" s="247">
        <v>2000</v>
      </c>
      <c r="B54" s="213">
        <f t="shared" si="1"/>
        <v>2006</v>
      </c>
      <c r="C54" s="300">
        <f>VLOOKUP($A54,BroodTab!$A$12:$AG$67,24)</f>
        <v>5.1298987149230735</v>
      </c>
      <c r="D54" s="300">
        <f>VLOOKUP($A54,BroodTab!$A$12:$AG$67,30)</f>
        <v>6.045005314036012</v>
      </c>
      <c r="E54" s="213">
        <v>36</v>
      </c>
      <c r="F54" s="213">
        <v>34</v>
      </c>
      <c r="G54" s="300">
        <v>3.261726611633061</v>
      </c>
      <c r="H54" s="300">
        <v>0.59566296622508985</v>
      </c>
      <c r="I54" s="213">
        <v>0.15415909498024077</v>
      </c>
      <c r="J54" s="213">
        <v>6.3174172965984159</v>
      </c>
      <c r="K54" s="213">
        <v>1.2673642723093992</v>
      </c>
      <c r="L54" s="213">
        <v>0.30513128473299339</v>
      </c>
      <c r="M54" s="124">
        <v>1.7287011733185835</v>
      </c>
      <c r="N54" s="213">
        <f t="shared" si="2"/>
        <v>-0.27241198256240384</v>
      </c>
      <c r="O54" s="213">
        <f t="shared" si="3"/>
        <v>7.4208288243579418E-2</v>
      </c>
      <c r="P54" s="384">
        <f t="shared" si="4"/>
        <v>6.3174172965984159</v>
      </c>
      <c r="Q54" s="213">
        <f t="shared" si="19"/>
        <v>4.7778444907967828</v>
      </c>
      <c r="R54" s="213">
        <f t="shared" si="6"/>
        <v>7.856990102400049</v>
      </c>
      <c r="S54" s="350">
        <f t="shared" si="7"/>
        <v>-132.13996353486664</v>
      </c>
      <c r="T54" s="213">
        <f t="shared" si="8"/>
        <v>17460.969962995885</v>
      </c>
      <c r="U54" s="350">
        <f t="shared" si="9"/>
        <v>554.13996353486675</v>
      </c>
      <c r="V54" s="350">
        <f t="shared" si="10"/>
        <v>118.84789601595389</v>
      </c>
      <c r="W54" s="350">
        <f t="shared" si="11"/>
        <v>2583.7318916037257</v>
      </c>
      <c r="X54" s="364">
        <f t="shared" si="12"/>
        <v>0.31312787567503936</v>
      </c>
      <c r="Y54" s="386">
        <f t="shared" si="13"/>
        <v>5.1298987149230735</v>
      </c>
      <c r="Z54" s="386">
        <f t="shared" si="14"/>
        <v>0</v>
      </c>
      <c r="AA54" s="385">
        <f t="shared" si="15"/>
        <v>6.045005314036012</v>
      </c>
      <c r="AB54" s="387">
        <f t="shared" si="18"/>
        <v>106</v>
      </c>
      <c r="AC54" s="247">
        <f t="shared" si="16"/>
        <v>-1.5395728058016334</v>
      </c>
      <c r="AD54" s="258">
        <f t="shared" si="17"/>
        <v>1.5395728058016334</v>
      </c>
    </row>
    <row r="55" spans="1:31">
      <c r="A55" s="247">
        <v>2001</v>
      </c>
      <c r="B55" s="213">
        <f t="shared" si="1"/>
        <v>2007</v>
      </c>
      <c r="C55" s="300">
        <f>VLOOKUP($A55,BroodTab!$A$12:$AG$67,24)</f>
        <v>6.5666724298032406</v>
      </c>
      <c r="D55" s="300">
        <f>VLOOKUP($A55,BroodTab!$A$12:$AG$67,30)</f>
        <v>8.2195954541770799</v>
      </c>
      <c r="E55" s="213">
        <v>36</v>
      </c>
      <c r="F55" s="213">
        <v>34</v>
      </c>
      <c r="G55" s="300">
        <v>3.0678369380839374</v>
      </c>
      <c r="H55" s="300">
        <v>0.61683207883500779</v>
      </c>
      <c r="I55" s="213">
        <v>0.14765628557460961</v>
      </c>
      <c r="J55" s="213">
        <v>7.1183711439880017</v>
      </c>
      <c r="K55" s="213">
        <v>1.2545203796591879</v>
      </c>
      <c r="L55" s="213">
        <v>0.33918209035254099</v>
      </c>
      <c r="M55" s="124">
        <v>1.6970765429544774</v>
      </c>
      <c r="N55" s="213">
        <f t="shared" si="2"/>
        <v>1.1012243101890782</v>
      </c>
      <c r="O55" s="213">
        <f t="shared" si="3"/>
        <v>1.2126949813514112</v>
      </c>
      <c r="P55" s="384">
        <f t="shared" si="4"/>
        <v>7.1183711439880017</v>
      </c>
      <c r="Q55" s="213">
        <f t="shared" si="19"/>
        <v>5.5787983381863686</v>
      </c>
      <c r="R55" s="213">
        <f t="shared" si="6"/>
        <v>8.6579439497896349</v>
      </c>
      <c r="S55" s="350">
        <f t="shared" si="7"/>
        <v>2478.561926888895</v>
      </c>
      <c r="T55" s="213">
        <f t="shared" si="8"/>
        <v>6143269.2254231917</v>
      </c>
      <c r="U55" s="350">
        <f t="shared" si="9"/>
        <v>1234.4380731111044</v>
      </c>
      <c r="V55" s="350">
        <f t="shared" si="10"/>
        <v>264.75327066356215</v>
      </c>
      <c r="W55" s="350">
        <f t="shared" si="11"/>
        <v>5755.6885039682402</v>
      </c>
      <c r="X55" s="364">
        <f t="shared" si="12"/>
        <v>-0.66753620438699035</v>
      </c>
      <c r="Y55" s="386">
        <f t="shared" si="13"/>
        <v>6.5666724298032406</v>
      </c>
      <c r="Z55" s="386">
        <f t="shared" si="14"/>
        <v>0</v>
      </c>
      <c r="AA55" s="385">
        <f t="shared" si="15"/>
        <v>8.2195954541770799</v>
      </c>
      <c r="AB55" s="387">
        <f t="shared" si="18"/>
        <v>107</v>
      </c>
      <c r="AC55" s="247">
        <f t="shared" si="16"/>
        <v>-1.5395728058016334</v>
      </c>
      <c r="AD55" s="258">
        <f t="shared" si="17"/>
        <v>1.5395728058016334</v>
      </c>
    </row>
    <row r="56" spans="1:31">
      <c r="A56" s="247">
        <v>2002</v>
      </c>
      <c r="B56" s="213">
        <f t="shared" si="1"/>
        <v>2008</v>
      </c>
      <c r="C56" s="300">
        <f>VLOOKUP($A56,BroodTab!$A$12:$AG$67,24)</f>
        <v>6.953684210870537</v>
      </c>
      <c r="D56" s="300">
        <f>VLOOKUP($A56,BroodTab!$A$12:$AG$67,30)</f>
        <v>8.0026941622839374</v>
      </c>
      <c r="E56" s="213">
        <v>36</v>
      </c>
      <c r="F56" s="213">
        <v>34</v>
      </c>
      <c r="G56" s="300">
        <v>3.1455596637670977</v>
      </c>
      <c r="H56" s="300">
        <v>0.60806049766615089</v>
      </c>
      <c r="I56" s="213">
        <v>0.14820882896571136</v>
      </c>
      <c r="J56" s="213">
        <v>7.3738203456422919</v>
      </c>
      <c r="K56" s="213">
        <v>1.2636834633681173</v>
      </c>
      <c r="L56" s="213">
        <v>0.33113494733504245</v>
      </c>
      <c r="M56" s="124">
        <v>1.7197768958459769</v>
      </c>
      <c r="N56" s="213">
        <f t="shared" si="2"/>
        <v>0.62887381664164543</v>
      </c>
      <c r="O56" s="213">
        <f t="shared" si="3"/>
        <v>0.3954822772574299</v>
      </c>
      <c r="P56" s="384">
        <f t="shared" si="4"/>
        <v>7.3738203456422919</v>
      </c>
      <c r="Q56" s="213">
        <f t="shared" si="19"/>
        <v>5.8342475398406588</v>
      </c>
      <c r="R56" s="213">
        <f t="shared" si="6"/>
        <v>8.9133931514439251</v>
      </c>
      <c r="S56" s="350">
        <f t="shared" si="7"/>
        <v>1395.2893065929904</v>
      </c>
      <c r="T56" s="213">
        <f t="shared" si="8"/>
        <v>1946832.2490927482</v>
      </c>
      <c r="U56" s="350">
        <f t="shared" si="9"/>
        <v>1593.7106934070082</v>
      </c>
      <c r="V56" s="350">
        <f t="shared" si="10"/>
        <v>341.80744077959321</v>
      </c>
      <c r="W56" s="350">
        <f t="shared" si="11"/>
        <v>7430.8323086437822</v>
      </c>
      <c r="X56" s="364">
        <f t="shared" si="12"/>
        <v>-0.46680806510304151</v>
      </c>
      <c r="Y56" s="386">
        <f t="shared" si="13"/>
        <v>6.953684210870537</v>
      </c>
      <c r="Z56" s="386">
        <f t="shared" si="14"/>
        <v>0</v>
      </c>
      <c r="AA56" s="385">
        <f t="shared" si="15"/>
        <v>8.0026941622839374</v>
      </c>
      <c r="AB56" s="387">
        <f t="shared" si="18"/>
        <v>108</v>
      </c>
      <c r="AC56" s="247">
        <f t="shared" si="16"/>
        <v>-1.5395728058016334</v>
      </c>
      <c r="AD56" s="258">
        <f t="shared" si="17"/>
        <v>1.5395728058016334</v>
      </c>
    </row>
    <row r="57" spans="1:31">
      <c r="A57" s="247">
        <v>2003</v>
      </c>
      <c r="B57" s="213">
        <f t="shared" si="1"/>
        <v>2009</v>
      </c>
      <c r="C57" s="300">
        <f>VLOOKUP($A57,BroodTab!$A$12:$AG$67,24)</f>
        <v>8.0687161927147812</v>
      </c>
      <c r="D57" s="300">
        <f>VLOOKUP($A57,BroodTab!$A$12:$AG$67,30)</f>
        <v>7.4742048064961244</v>
      </c>
      <c r="E57" s="213">
        <v>36</v>
      </c>
      <c r="F57" s="213">
        <v>34</v>
      </c>
      <c r="G57" s="300">
        <v>3.1666982730458875</v>
      </c>
      <c r="H57" s="300">
        <v>0.60973578267848805</v>
      </c>
      <c r="I57" s="213">
        <v>0.14848576149109816</v>
      </c>
      <c r="J57" s="213">
        <v>8.0864832560214239</v>
      </c>
      <c r="K57" s="213">
        <v>1.2639301152542539</v>
      </c>
      <c r="L57" s="213">
        <v>0.33152689482339004</v>
      </c>
      <c r="M57" s="124">
        <v>1.7203490452210968</v>
      </c>
      <c r="N57" s="213">
        <f t="shared" si="2"/>
        <v>-0.61227844952529953</v>
      </c>
      <c r="O57" s="213">
        <f t="shared" si="3"/>
        <v>0.37488489975310474</v>
      </c>
      <c r="P57" s="384">
        <f t="shared" si="4"/>
        <v>8.0864832560214239</v>
      </c>
      <c r="Q57" s="213">
        <f t="shared" si="19"/>
        <v>6.5469104502197908</v>
      </c>
      <c r="R57" s="213">
        <f t="shared" si="6"/>
        <v>9.6260560618230571</v>
      </c>
      <c r="S57" s="350">
        <f t="shared" si="7"/>
        <v>-1488.23719592259</v>
      </c>
      <c r="T57" s="213">
        <f t="shared" si="8"/>
        <v>2214849.9513275335</v>
      </c>
      <c r="U57" s="350">
        <f t="shared" si="9"/>
        <v>3250.2371959225893</v>
      </c>
      <c r="V57" s="350">
        <f t="shared" si="10"/>
        <v>697.08715795208707</v>
      </c>
      <c r="W57" s="350">
        <f t="shared" si="11"/>
        <v>15154.549483875062</v>
      </c>
      <c r="X57" s="364">
        <f t="shared" si="12"/>
        <v>0.84462950960419447</v>
      </c>
      <c r="Y57" s="386">
        <f t="shared" si="13"/>
        <v>8.0687161927147812</v>
      </c>
      <c r="Z57" s="386">
        <f t="shared" si="14"/>
        <v>0</v>
      </c>
      <c r="AA57" s="385">
        <f t="shared" si="15"/>
        <v>7.4742048064961244</v>
      </c>
      <c r="AB57" s="387">
        <f t="shared" si="18"/>
        <v>109</v>
      </c>
      <c r="AC57" s="247">
        <f t="shared" si="16"/>
        <v>-1.5395728058016334</v>
      </c>
      <c r="AD57" s="258">
        <f t="shared" si="17"/>
        <v>1.5395728058016334</v>
      </c>
    </row>
    <row r="58" spans="1:31">
      <c r="A58" s="247">
        <v>2004</v>
      </c>
      <c r="B58" s="213">
        <f t="shared" si="1"/>
        <v>2010</v>
      </c>
      <c r="C58" s="300">
        <f>VLOOKUP($A58,BroodTab!$A$12:$AG$67,24)</f>
        <v>6.2422232654551655</v>
      </c>
      <c r="D58" s="300">
        <f>VLOOKUP($A58,BroodTab!$A$12:$AG$67,30)</f>
        <v>5.2729995585637468</v>
      </c>
      <c r="E58" s="213">
        <v>36</v>
      </c>
      <c r="F58" s="213">
        <v>34</v>
      </c>
      <c r="G58" s="300">
        <v>3.4484096812654306</v>
      </c>
      <c r="H58" s="300">
        <v>0.57592099727851043</v>
      </c>
      <c r="I58" s="213">
        <v>0.14579444316477302</v>
      </c>
      <c r="J58" s="213">
        <v>7.0434371295414895</v>
      </c>
      <c r="K58" s="213">
        <v>1.2329612039381372</v>
      </c>
      <c r="L58" s="213">
        <v>0.3145753478036033</v>
      </c>
      <c r="M58" s="124">
        <v>1.6436944815273062</v>
      </c>
      <c r="N58" s="213">
        <f t="shared" si="2"/>
        <v>-1.7704375709777427</v>
      </c>
      <c r="O58" s="213">
        <f t="shared" si="3"/>
        <v>3.1344491927295697</v>
      </c>
      <c r="P58" s="384">
        <f t="shared" si="4"/>
        <v>7.0434371295414895</v>
      </c>
      <c r="Q58" s="213">
        <f t="shared" si="19"/>
        <v>5.5038643237398563</v>
      </c>
      <c r="R58" s="213">
        <f t="shared" si="6"/>
        <v>8.5830099353431226</v>
      </c>
      <c r="S58" s="350">
        <f t="shared" si="7"/>
        <v>-950.31745351753193</v>
      </c>
      <c r="T58" s="213">
        <f t="shared" si="8"/>
        <v>903103.26246004645</v>
      </c>
      <c r="U58" s="350">
        <f t="shared" si="9"/>
        <v>1145.3174535175319</v>
      </c>
      <c r="V58" s="350">
        <f t="shared" si="10"/>
        <v>245.63933045472203</v>
      </c>
      <c r="W58" s="350">
        <f t="shared" si="11"/>
        <v>5340.1548803426467</v>
      </c>
      <c r="X58" s="364">
        <f t="shared" si="12"/>
        <v>4.8734228385514458</v>
      </c>
      <c r="Y58" s="386">
        <f t="shared" si="13"/>
        <v>6.2422232654551655</v>
      </c>
      <c r="Z58" s="386">
        <f t="shared" si="14"/>
        <v>0</v>
      </c>
      <c r="AA58" s="385">
        <f t="shared" si="15"/>
        <v>5.2729995585637468</v>
      </c>
      <c r="AB58" s="387">
        <f t="shared" si="18"/>
        <v>110</v>
      </c>
      <c r="AC58" s="247">
        <f t="shared" si="16"/>
        <v>-1.5395728058016334</v>
      </c>
      <c r="AD58" s="258">
        <f t="shared" si="17"/>
        <v>1.5395728058016334</v>
      </c>
    </row>
    <row r="59" spans="1:31">
      <c r="A59" s="247">
        <v>2005</v>
      </c>
      <c r="B59" s="213">
        <f t="shared" si="1"/>
        <v>2011</v>
      </c>
      <c r="C59" s="300">
        <f>VLOOKUP($A59,BroodTab!$A$12:$AG$67,24)</f>
        <v>9.5116294478341814</v>
      </c>
      <c r="D59" s="300">
        <f>VLOOKUP($A59,BroodTab!$A$12:$AG$67,30)</f>
        <v>8.7451252594622435</v>
      </c>
      <c r="E59" s="213">
        <v>36</v>
      </c>
      <c r="F59" s="213">
        <v>34</v>
      </c>
      <c r="G59" s="300">
        <v>3.151882684291766</v>
      </c>
      <c r="H59" s="300">
        <v>0.61027356809348288</v>
      </c>
      <c r="I59" s="213">
        <v>0.15333436644116358</v>
      </c>
      <c r="J59" s="213">
        <v>8.9565787258045759</v>
      </c>
      <c r="K59" s="213">
        <v>1.2676676608257191</v>
      </c>
      <c r="L59" s="213">
        <v>0.3178244715524004</v>
      </c>
      <c r="M59" s="124">
        <v>1.7295204988690112</v>
      </c>
      <c r="N59" s="213">
        <f t="shared" si="2"/>
        <v>-0.21145346634233242</v>
      </c>
      <c r="O59" s="213">
        <f t="shared" si="3"/>
        <v>4.471256842818791E-2</v>
      </c>
      <c r="P59" s="384">
        <f t="shared" si="4"/>
        <v>8.9565787258045759</v>
      </c>
      <c r="Q59" s="213">
        <f t="shared" si="19"/>
        <v>7.4170059200029428</v>
      </c>
      <c r="R59" s="213">
        <f t="shared" si="6"/>
        <v>10.496151531606209</v>
      </c>
      <c r="S59" s="350">
        <f t="shared" si="7"/>
        <v>-1478.7671319341198</v>
      </c>
      <c r="T59" s="213">
        <f t="shared" si="8"/>
        <v>2186752.2304886626</v>
      </c>
      <c r="U59" s="350">
        <f t="shared" si="9"/>
        <v>7758.7671319341143</v>
      </c>
      <c r="V59" s="350">
        <f t="shared" si="10"/>
        <v>1664.0437614820876</v>
      </c>
      <c r="W59" s="350">
        <f t="shared" si="11"/>
        <v>36176.012194514115</v>
      </c>
      <c r="X59" s="364">
        <f t="shared" si="12"/>
        <v>0.23547247323791737</v>
      </c>
      <c r="Y59" s="386">
        <f t="shared" si="13"/>
        <v>9.5116294478341814</v>
      </c>
      <c r="Z59" s="386">
        <f t="shared" si="14"/>
        <v>0</v>
      </c>
      <c r="AA59" s="385">
        <f t="shared" si="15"/>
        <v>8.7451252594622435</v>
      </c>
      <c r="AB59" s="387">
        <f t="shared" si="18"/>
        <v>111</v>
      </c>
      <c r="AC59" s="247">
        <f t="shared" si="16"/>
        <v>-1.5395728058016334</v>
      </c>
      <c r="AD59" s="258">
        <f t="shared" si="17"/>
        <v>1.5395728058016334</v>
      </c>
    </row>
    <row r="60" spans="1:31">
      <c r="A60" s="247">
        <v>2006</v>
      </c>
      <c r="B60" s="213">
        <f t="shared" si="1"/>
        <v>2012</v>
      </c>
      <c r="C60" s="300">
        <f>VLOOKUP($A60,BroodTab!$A$12:$AG$67,24)</f>
        <v>6.313548046277095</v>
      </c>
      <c r="D60" s="300">
        <f>VLOOKUP($A60,BroodTab!$A$12:$AG$67,30)</f>
        <v>8.2432825230483751</v>
      </c>
      <c r="E60" s="213">
        <v>36</v>
      </c>
      <c r="F60" s="213">
        <v>34</v>
      </c>
      <c r="G60" s="300">
        <v>3.0129971980200807</v>
      </c>
      <c r="H60" s="300">
        <v>0.62353554032440162</v>
      </c>
      <c r="I60" s="213">
        <v>0.14757259247351084</v>
      </c>
      <c r="J60" s="213">
        <v>6.9497187904195394</v>
      </c>
      <c r="K60" s="213">
        <v>1.2494401350794413</v>
      </c>
      <c r="L60" s="213">
        <v>0.34430013269885557</v>
      </c>
      <c r="M60" s="124">
        <v>1.6842817610372205</v>
      </c>
      <c r="N60" s="213">
        <f t="shared" si="2"/>
        <v>1.2935637326288356</v>
      </c>
      <c r="O60" s="213">
        <f t="shared" si="3"/>
        <v>1.6733071303726457</v>
      </c>
      <c r="P60" s="384">
        <f t="shared" si="4"/>
        <v>6.9497187904195394</v>
      </c>
      <c r="Q60" s="213">
        <f t="shared" si="19"/>
        <v>5.4101459846179063</v>
      </c>
      <c r="R60" s="213">
        <f t="shared" si="6"/>
        <v>8.4892915962211735</v>
      </c>
      <c r="S60" s="350">
        <f t="shared" si="7"/>
        <v>2759.1435742754552</v>
      </c>
      <c r="T60" s="213">
        <f t="shared" si="8"/>
        <v>7612873.263465534</v>
      </c>
      <c r="U60" s="350">
        <f t="shared" si="9"/>
        <v>1042.8564257245471</v>
      </c>
      <c r="V60" s="350">
        <f t="shared" si="10"/>
        <v>223.66423683550457</v>
      </c>
      <c r="W60" s="350">
        <f t="shared" si="11"/>
        <v>4862.4202959851127</v>
      </c>
      <c r="X60" s="364">
        <f t="shared" si="12"/>
        <v>-0.72570846246066634</v>
      </c>
      <c r="Y60" s="386">
        <f t="shared" si="13"/>
        <v>6.313548046277095</v>
      </c>
      <c r="Z60" s="386">
        <f t="shared" si="14"/>
        <v>0</v>
      </c>
      <c r="AA60" s="385">
        <f t="shared" si="15"/>
        <v>8.2432825230483751</v>
      </c>
      <c r="AB60" s="387">
        <f t="shared" si="18"/>
        <v>112</v>
      </c>
      <c r="AC60" s="247">
        <f t="shared" si="16"/>
        <v>-1.5395728058016334</v>
      </c>
      <c r="AD60" s="258">
        <f t="shared" si="17"/>
        <v>1.5395728058016334</v>
      </c>
    </row>
    <row r="61" spans="1:31">
      <c r="A61" s="247">
        <v>2007</v>
      </c>
      <c r="B61" s="213">
        <f t="shared" si="1"/>
        <v>2013</v>
      </c>
      <c r="C61" s="300">
        <f>VLOOKUP($A61,BroodTab!$A$12:$AG$67,24)</f>
        <v>7.9554250889126719</v>
      </c>
      <c r="D61" s="300">
        <f>VLOOKUP($A61,BroodTab!$A$12:$AG$67,30)</f>
        <v>8.0235523924043477</v>
      </c>
      <c r="E61" s="213">
        <v>36</v>
      </c>
      <c r="F61" s="213">
        <v>34</v>
      </c>
      <c r="G61" s="300">
        <v>3.1921722799260817</v>
      </c>
      <c r="H61" s="300">
        <v>0.60396417643138622</v>
      </c>
      <c r="I61" s="213">
        <v>0.14883443682260963</v>
      </c>
      <c r="J61" s="213">
        <v>7.9969640419128112</v>
      </c>
      <c r="K61" s="213">
        <v>1.2681327474188624</v>
      </c>
      <c r="L61" s="213">
        <v>0.32629294338563181</v>
      </c>
      <c r="M61" s="124">
        <v>1.7307428774258535</v>
      </c>
      <c r="N61" s="213">
        <f t="shared" si="2"/>
        <v>2.6588350491536517E-2</v>
      </c>
      <c r="O61" s="213">
        <f t="shared" si="3"/>
        <v>7.0694038186079014E-4</v>
      </c>
      <c r="P61" s="384">
        <f t="shared" si="4"/>
        <v>7.9969640419128112</v>
      </c>
      <c r="Q61" s="213">
        <f t="shared" si="19"/>
        <v>6.457391236111178</v>
      </c>
      <c r="R61" s="213">
        <f t="shared" si="6"/>
        <v>9.5365368477144443</v>
      </c>
      <c r="S61" s="350">
        <f t="shared" si="7"/>
        <v>80.078352551775879</v>
      </c>
      <c r="T61" s="213">
        <f t="shared" si="8"/>
        <v>6412.5425474065105</v>
      </c>
      <c r="U61" s="350">
        <f t="shared" si="9"/>
        <v>2971.9216474482246</v>
      </c>
      <c r="V61" s="350">
        <f t="shared" si="10"/>
        <v>637.39606988526657</v>
      </c>
      <c r="W61" s="350">
        <f t="shared" si="11"/>
        <v>13856.875961223321</v>
      </c>
      <c r="X61" s="364">
        <f t="shared" si="12"/>
        <v>-2.6237992317095633E-2</v>
      </c>
      <c r="Y61" s="386">
        <f t="shared" si="13"/>
        <v>7.9554250889126719</v>
      </c>
      <c r="Z61" s="386">
        <f t="shared" si="14"/>
        <v>0</v>
      </c>
      <c r="AA61" s="385">
        <f t="shared" si="15"/>
        <v>8.0235523924043477</v>
      </c>
      <c r="AB61" s="387">
        <f t="shared" si="18"/>
        <v>113</v>
      </c>
      <c r="AC61" s="247">
        <f t="shared" si="16"/>
        <v>-1.5395728058016334</v>
      </c>
      <c r="AD61" s="258">
        <f t="shared" si="17"/>
        <v>1.5395728058016334</v>
      </c>
    </row>
    <row r="62" spans="1:31">
      <c r="A62" s="247">
        <v>2008</v>
      </c>
      <c r="B62" s="213">
        <f t="shared" si="1"/>
        <v>2014</v>
      </c>
      <c r="C62" s="300">
        <f>VLOOKUP($A62,BroodTab!$A$12:$AG$67,24)</f>
        <v>6.7310181004820828</v>
      </c>
      <c r="D62" s="300">
        <f>VLOOKUP($A62,BroodTab!$A$12:$AG$67,30)</f>
        <v>3.8286413964890951</v>
      </c>
      <c r="E62" s="213">
        <v>36</v>
      </c>
      <c r="F62" s="213">
        <v>34</v>
      </c>
      <c r="G62" s="300">
        <v>3.5302445107638514</v>
      </c>
      <c r="H62" s="300">
        <v>0.57135555764991974</v>
      </c>
      <c r="I62" s="213">
        <v>0.13137913127898865</v>
      </c>
      <c r="J62" s="213">
        <v>7.3760491111164956</v>
      </c>
      <c r="K62" s="213">
        <v>1.1182002221441754</v>
      </c>
      <c r="L62" s="213">
        <v>0.35743564174509335</v>
      </c>
      <c r="M62" s="307">
        <v>1.3812041398309616</v>
      </c>
      <c r="N62" s="390">
        <f t="shared" si="2"/>
        <v>-3.5474077146274006</v>
      </c>
      <c r="O62" s="213">
        <f t="shared" si="3"/>
        <v>12.584101493797997</v>
      </c>
      <c r="P62" s="384">
        <f t="shared" si="4"/>
        <v>7.3760491111164956</v>
      </c>
      <c r="Q62" s="213">
        <f t="shared" si="19"/>
        <v>5.8364763053148625</v>
      </c>
      <c r="R62" s="213">
        <f t="shared" si="6"/>
        <v>8.9156219169181288</v>
      </c>
      <c r="S62" s="350">
        <f t="shared" si="7"/>
        <v>-1551.2666620143809</v>
      </c>
      <c r="T62" s="213">
        <f t="shared" si="8"/>
        <v>2406428.2566772397</v>
      </c>
      <c r="U62" s="350">
        <f t="shared" si="9"/>
        <v>1597.2666620143809</v>
      </c>
      <c r="V62" s="350">
        <f t="shared" si="10"/>
        <v>342.57009897985932</v>
      </c>
      <c r="W62" s="350">
        <f t="shared" si="11"/>
        <v>7447.4123607984802</v>
      </c>
      <c r="X62" s="364">
        <f t="shared" si="12"/>
        <v>33.723188304660454</v>
      </c>
      <c r="Y62" s="386">
        <f t="shared" si="13"/>
        <v>6.7310181004820828</v>
      </c>
      <c r="Z62" s="386">
        <f t="shared" si="14"/>
        <v>0</v>
      </c>
      <c r="AA62" s="385">
        <f t="shared" si="15"/>
        <v>3.8286413964890951</v>
      </c>
      <c r="AB62" s="387">
        <f t="shared" si="18"/>
        <v>114</v>
      </c>
      <c r="AC62" s="247">
        <f t="shared" si="16"/>
        <v>-1.5395728058016334</v>
      </c>
      <c r="AD62" s="258">
        <f t="shared" si="17"/>
        <v>1.5395728058016334</v>
      </c>
    </row>
    <row r="63" spans="1:31">
      <c r="A63" s="247"/>
      <c r="C63" s="309"/>
      <c r="D63" s="309"/>
      <c r="E63" s="213"/>
      <c r="F63" s="213"/>
      <c r="G63" s="300"/>
      <c r="H63" s="300"/>
      <c r="I63" s="213"/>
      <c r="J63" s="213"/>
      <c r="K63" s="213"/>
      <c r="L63" s="213"/>
      <c r="P63" s="302"/>
      <c r="S63" s="265"/>
      <c r="U63" s="306"/>
      <c r="V63" s="265"/>
      <c r="W63" s="265"/>
      <c r="X63" s="303"/>
      <c r="Y63" s="304"/>
      <c r="Z63" s="304"/>
      <c r="AA63" s="252"/>
      <c r="AB63" s="305"/>
      <c r="AC63" s="246"/>
      <c r="AD63" s="248"/>
    </row>
    <row r="64" spans="1:31" ht="21">
      <c r="A64" s="247">
        <v>2009</v>
      </c>
      <c r="B64" s="213">
        <f>A64+6</f>
        <v>2015</v>
      </c>
      <c r="C64" s="300">
        <f>VLOOKUP($A64,BroodTab!$A$12:$AG$67,24)</f>
        <v>6.2324480165505225</v>
      </c>
      <c r="D64" s="309"/>
      <c r="E64" s="124">
        <v>37</v>
      </c>
      <c r="F64" s="124">
        <v>35</v>
      </c>
      <c r="G64" s="124">
        <v>3.1914053215889391</v>
      </c>
      <c r="H64" s="124">
        <v>0.60416478348363034</v>
      </c>
      <c r="I64" s="124">
        <v>0.14638053283112185</v>
      </c>
      <c r="J64" s="124">
        <v>6.9568309280811667</v>
      </c>
      <c r="K64" s="124">
        <v>1.2498931098571813</v>
      </c>
      <c r="L64" s="124">
        <v>0.32737683321182531</v>
      </c>
      <c r="M64" s="124">
        <v>1.6839851493976381</v>
      </c>
      <c r="P64" s="384">
        <f>J64</f>
        <v>6.9568309280811667</v>
      </c>
      <c r="Q64" s="213">
        <f>$P64-(SQRT($O$67)*$Q$67)</f>
        <v>5.26205492687098</v>
      </c>
      <c r="R64" s="213">
        <f>$P64+SQRT($O$67)*$Q$67</f>
        <v>8.6516069292913542</v>
      </c>
      <c r="S64" s="265"/>
      <c r="U64" s="477">
        <f>EXP(P64)</f>
        <v>1050.2998019685133</v>
      </c>
      <c r="V64" s="477">
        <f>EXP(Q64)</f>
        <v>192.87743336254383</v>
      </c>
      <c r="W64" s="477">
        <f>EXP(R64)</f>
        <v>5719.3299121810242</v>
      </c>
      <c r="X64" s="303"/>
      <c r="Y64" s="386">
        <f>C64</f>
        <v>6.2324480165505225</v>
      </c>
      <c r="Z64" s="386">
        <f>(+M$70+N$70*C64)</f>
        <v>0</v>
      </c>
      <c r="AA64" s="252"/>
      <c r="AB64" s="387">
        <f>B64-1900</f>
        <v>115</v>
      </c>
      <c r="AC64" s="247">
        <f>Z64-SQRT($O$67)*$Q$67</f>
        <v>-1.6947760012101867</v>
      </c>
      <c r="AD64" s="258">
        <f>Z64+SQRT($O$67)*$Q$67</f>
        <v>1.6947760012101867</v>
      </c>
      <c r="AE64" s="213">
        <f>Z64</f>
        <v>0</v>
      </c>
    </row>
    <row r="65" spans="1:30">
      <c r="A65" s="260"/>
      <c r="B65" s="224"/>
      <c r="C65" s="315"/>
      <c r="D65" s="224"/>
      <c r="E65" s="224"/>
      <c r="F65" s="224"/>
      <c r="G65" s="224"/>
      <c r="H65" s="317"/>
      <c r="I65" s="224"/>
      <c r="J65" s="224"/>
      <c r="K65" s="224"/>
      <c r="L65" s="224"/>
      <c r="M65" s="224"/>
      <c r="N65" s="224"/>
      <c r="O65" s="224"/>
      <c r="P65" s="224"/>
      <c r="Q65" s="224"/>
      <c r="R65" s="224"/>
      <c r="S65" s="224"/>
      <c r="T65" s="224"/>
      <c r="U65" s="224"/>
      <c r="V65" s="224"/>
      <c r="W65" s="224"/>
      <c r="X65" s="298"/>
      <c r="Y65" s="252"/>
      <c r="Z65" s="298"/>
      <c r="AA65" s="298"/>
      <c r="AB65" s="298"/>
      <c r="AC65" s="224"/>
      <c r="AD65" s="298"/>
    </row>
    <row r="66" spans="1:30">
      <c r="A66" s="246"/>
      <c r="C66" s="309"/>
      <c r="E66" s="308" t="s">
        <v>152</v>
      </c>
      <c r="F66" s="213">
        <f>F62</f>
        <v>34</v>
      </c>
      <c r="H66" s="318"/>
      <c r="M66" s="308" t="s">
        <v>153</v>
      </c>
      <c r="O66" s="213">
        <f>AVERAGEA(O26:O61)</f>
        <v>1.3812041398309616</v>
      </c>
      <c r="P66" s="308" t="s">
        <v>154</v>
      </c>
      <c r="Q66" s="213">
        <f>VLOOKUP(F66,ttab!$A$3:$G$43,4)</f>
        <v>1.31</v>
      </c>
      <c r="X66" s="248"/>
      <c r="Y66" s="253"/>
    </row>
    <row r="67" spans="1:30" ht="21">
      <c r="A67" s="246"/>
      <c r="E67" s="308" t="s">
        <v>152</v>
      </c>
      <c r="F67" s="213">
        <f>F64</f>
        <v>35</v>
      </c>
      <c r="M67" s="308" t="s">
        <v>155</v>
      </c>
      <c r="O67" s="213">
        <f>AVERAGEA(O26:O65)</f>
        <v>1.6839851493976381</v>
      </c>
      <c r="P67" s="308" t="s">
        <v>154</v>
      </c>
      <c r="Q67" s="213">
        <f>VLOOKUP(F67,ttab!$A$3:$G$43,4)</f>
        <v>1.306</v>
      </c>
      <c r="S67" s="308" t="s">
        <v>166</v>
      </c>
      <c r="T67" s="213">
        <f>AVERAGEA(T26:T64)</f>
        <v>56003246.934250429</v>
      </c>
      <c r="W67" s="124" t="s">
        <v>167</v>
      </c>
      <c r="X67" s="478">
        <f>AVERAGEA(X26:X64)</f>
        <v>1.513337514146593</v>
      </c>
      <c r="Y67" s="246"/>
    </row>
    <row r="68" spans="1:30">
      <c r="A68" s="224"/>
      <c r="B68" s="224"/>
      <c r="C68" s="224"/>
      <c r="D68" s="224"/>
      <c r="E68" s="224"/>
      <c r="F68" s="224"/>
      <c r="G68" s="224"/>
      <c r="H68" s="224"/>
      <c r="I68" s="224"/>
      <c r="J68" s="224"/>
      <c r="K68" s="224"/>
      <c r="L68" s="224"/>
      <c r="M68" s="224"/>
      <c r="N68" s="224"/>
      <c r="O68" s="224"/>
      <c r="P68" s="224"/>
      <c r="Q68" s="224"/>
      <c r="R68" s="224"/>
      <c r="S68" s="224"/>
      <c r="T68" s="224"/>
      <c r="U68" s="224"/>
      <c r="V68" s="224"/>
      <c r="W68" s="224"/>
      <c r="X68" s="298"/>
    </row>
    <row r="70" spans="1:30" ht="15" customHeight="1">
      <c r="K70" s="213"/>
      <c r="L70" s="213"/>
      <c r="M70" s="300"/>
      <c r="N70" s="300"/>
      <c r="O70" s="213"/>
      <c r="P70" s="213"/>
      <c r="Q70" s="213"/>
    </row>
    <row r="71" spans="1:30" ht="15" customHeight="1">
      <c r="R71" s="213"/>
    </row>
    <row r="72" spans="1:30" ht="15" customHeight="1"/>
    <row r="73" spans="1:30" ht="15" customHeight="1">
      <c r="K73" s="124" t="s">
        <v>374</v>
      </c>
      <c r="L73" s="218">
        <f>ROUND(R64,5)</f>
        <v>8.6516099999999998</v>
      </c>
    </row>
    <row r="74" spans="1:30" ht="15" customHeight="1">
      <c r="K74" s="124" t="s">
        <v>352</v>
      </c>
      <c r="L74" s="393">
        <f>ROUND(H64,5)</f>
        <v>0.60416000000000003</v>
      </c>
    </row>
    <row r="75" spans="1:30" ht="15" customHeight="1"/>
    <row r="76" spans="1:30" ht="15" customHeight="1"/>
    <row r="77" spans="1:30" ht="15" customHeight="1"/>
    <row r="78" spans="1:30" ht="15" customHeight="1"/>
    <row r="79" spans="1:30" ht="15" customHeight="1"/>
    <row r="80" spans="1:3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sheetData>
  <sortState ref="A26:AD62">
    <sortCondition ref="B26"/>
  </sortState>
  <phoneticPr fontId="11" type="noConversion"/>
  <pageMargins left="0.5" right="0.5" top="1" bottom="0.55000000000000004" header="0.5" footer="0.5"/>
  <pageSetup orientation="landscape"/>
  <headerFooter alignWithMargins="0">
    <oddFooter>&amp;L&amp;D&amp;C+&amp;R^</oddFooter>
  </headerFooter>
  <rowBreaks count="1" manualBreakCount="1">
    <brk id="90" max="16383" man="1"/>
  </rowBreaks>
  <drawing r:id="rId1"/>
  <legacy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dimension ref="A1:I21"/>
  <sheetViews>
    <sheetView workbookViewId="0"/>
  </sheetViews>
  <sheetFormatPr baseColWidth="10" defaultColWidth="8.625" defaultRowHeight="16" x14ac:dyDescent="0"/>
  <cols>
    <col min="1" max="1" width="17.625" customWidth="1"/>
    <col min="2" max="2" width="13.625" customWidth="1"/>
    <col min="3" max="3" width="15" customWidth="1"/>
  </cols>
  <sheetData>
    <row r="1" spans="1:9" ht="17">
      <c r="A1" s="112" t="s">
        <v>49</v>
      </c>
      <c r="B1" s="112" t="s">
        <v>321</v>
      </c>
      <c r="C1" s="120" t="s">
        <v>320</v>
      </c>
      <c r="D1" s="121" t="s">
        <v>322</v>
      </c>
      <c r="E1" s="122" t="s">
        <v>323</v>
      </c>
      <c r="F1" s="120" t="s">
        <v>324</v>
      </c>
      <c r="G1" s="112" t="s">
        <v>325</v>
      </c>
      <c r="H1" s="112" t="s">
        <v>326</v>
      </c>
      <c r="I1" s="123" t="s">
        <v>12</v>
      </c>
    </row>
    <row r="2" spans="1:9">
      <c r="A2" s="383">
        <f>B11</f>
        <v>37</v>
      </c>
      <c r="B2" s="383">
        <f>B16</f>
        <v>35</v>
      </c>
      <c r="C2" s="383">
        <f>B20</f>
        <v>0.2423269421692682</v>
      </c>
      <c r="D2" s="383">
        <f>B21</f>
        <v>-1.7058311179765862E-5</v>
      </c>
      <c r="E2" s="383">
        <f>C21</f>
        <v>4.165584689743729E-6</v>
      </c>
      <c r="G2" s="383">
        <f>B10</f>
        <v>1.2262309656792043</v>
      </c>
      <c r="H2" s="383">
        <f>B8</f>
        <v>0.32392625728456714</v>
      </c>
    </row>
    <row r="4" spans="1:9">
      <c r="A4" t="s">
        <v>436</v>
      </c>
    </row>
    <row r="5" spans="1:9" ht="17" thickBot="1"/>
    <row r="6" spans="1:9">
      <c r="A6" s="119" t="s">
        <v>437</v>
      </c>
      <c r="B6" s="119"/>
    </row>
    <row r="7" spans="1:9">
      <c r="A7" s="116" t="s">
        <v>438</v>
      </c>
      <c r="B7" s="116">
        <v>0.569145198771427</v>
      </c>
    </row>
    <row r="8" spans="1:9">
      <c r="A8" s="116" t="s">
        <v>439</v>
      </c>
      <c r="B8" s="116">
        <v>0.32392625728456714</v>
      </c>
    </row>
    <row r="9" spans="1:9">
      <c r="A9" s="116" t="s">
        <v>440</v>
      </c>
      <c r="B9" s="116">
        <v>0.30460986463555478</v>
      </c>
    </row>
    <row r="10" spans="1:9">
      <c r="A10" s="116" t="s">
        <v>441</v>
      </c>
      <c r="B10" s="116">
        <v>1.2262309656792043</v>
      </c>
    </row>
    <row r="11" spans="1:9" ht="17" thickBot="1">
      <c r="A11" s="117" t="s">
        <v>442</v>
      </c>
      <c r="B11" s="117">
        <v>37</v>
      </c>
    </row>
    <row r="13" spans="1:9" ht="17" thickBot="1">
      <c r="A13" t="s">
        <v>443</v>
      </c>
    </row>
    <row r="14" spans="1:9">
      <c r="A14" s="118"/>
      <c r="B14" s="118" t="s">
        <v>446</v>
      </c>
      <c r="C14" s="118" t="s">
        <v>447</v>
      </c>
      <c r="D14" s="118" t="s">
        <v>448</v>
      </c>
      <c r="E14" s="118" t="s">
        <v>449</v>
      </c>
      <c r="F14" s="118" t="s">
        <v>450</v>
      </c>
    </row>
    <row r="15" spans="1:9">
      <c r="A15" s="116" t="s">
        <v>444</v>
      </c>
      <c r="B15" s="116">
        <v>1</v>
      </c>
      <c r="C15" s="116">
        <v>25.215331748726598</v>
      </c>
      <c r="D15" s="116">
        <v>25.215331748726598</v>
      </c>
      <c r="E15" s="116">
        <v>16.76950055688215</v>
      </c>
      <c r="F15" s="116">
        <v>2.3692652806855155E-4</v>
      </c>
    </row>
    <row r="16" spans="1:9">
      <c r="A16" s="116" t="s">
        <v>445</v>
      </c>
      <c r="B16" s="116">
        <v>35</v>
      </c>
      <c r="C16" s="116">
        <v>52.627483341669389</v>
      </c>
      <c r="D16" s="116">
        <v>1.5036423811905539</v>
      </c>
      <c r="E16" s="116"/>
      <c r="F16" s="116"/>
    </row>
    <row r="17" spans="1:7" ht="17" thickBot="1">
      <c r="A17" s="117" t="s">
        <v>28</v>
      </c>
      <c r="B17" s="117">
        <v>36</v>
      </c>
      <c r="C17" s="117">
        <v>77.842815090395987</v>
      </c>
      <c r="D17" s="117"/>
      <c r="E17" s="117"/>
      <c r="F17" s="117"/>
    </row>
    <row r="18" spans="1:7" ht="17" thickBot="1"/>
    <row r="19" spans="1:7">
      <c r="A19" s="118"/>
      <c r="B19" s="118" t="s">
        <v>451</v>
      </c>
      <c r="C19" s="118" t="s">
        <v>441</v>
      </c>
      <c r="D19" s="118" t="s">
        <v>452</v>
      </c>
      <c r="E19" s="118" t="s">
        <v>453</v>
      </c>
      <c r="F19" s="118" t="s">
        <v>454</v>
      </c>
      <c r="G19" s="118" t="s">
        <v>455</v>
      </c>
    </row>
    <row r="20" spans="1:7">
      <c r="A20" s="116" t="s">
        <v>320</v>
      </c>
      <c r="B20" s="116">
        <v>0.2423269421692682</v>
      </c>
      <c r="C20" s="116">
        <v>0.29900142425137205</v>
      </c>
      <c r="D20" s="116">
        <v>0.81045414006303418</v>
      </c>
      <c r="E20" s="116">
        <v>0.42315587964358103</v>
      </c>
      <c r="F20" s="116">
        <v>-0.36467821976158676</v>
      </c>
      <c r="G20" s="116">
        <v>0.84933210410012316</v>
      </c>
    </row>
    <row r="21" spans="1:7" ht="17" thickBot="1">
      <c r="A21" s="117" t="s">
        <v>456</v>
      </c>
      <c r="B21" s="117">
        <v>-1.7058311179765862E-5</v>
      </c>
      <c r="C21" s="117">
        <v>4.165584689743729E-6</v>
      </c>
      <c r="D21" s="117">
        <v>-4.0950580651417043</v>
      </c>
      <c r="E21" s="117">
        <v>2.3692652806855363E-4</v>
      </c>
      <c r="F21" s="117">
        <v>-2.5514897684212856E-5</v>
      </c>
      <c r="G21" s="117">
        <v>-8.6017246753188689E-6</v>
      </c>
    </row>
  </sheetData>
  <phoneticPr fontId="11" type="noConversion"/>
  <pageMargins left="0.75" right="0.75" top="1" bottom="1" header="0.5" footer="0.5"/>
  <pageSetup orientation="landscape"/>
  <headerFooter alignWithMargins="0"/>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15" enableFormatConditionsCalculation="0"/>
  <dimension ref="A1:BF157"/>
  <sheetViews>
    <sheetView defaultGridColor="0" colorId="22" zoomScale="77" workbookViewId="0"/>
  </sheetViews>
  <sheetFormatPr baseColWidth="10" defaultColWidth="9.625" defaultRowHeight="16" x14ac:dyDescent="0"/>
  <cols>
    <col min="2" max="2" width="11.625" customWidth="1"/>
    <col min="4" max="4" width="20.625" customWidth="1"/>
    <col min="5" max="5" width="12.625" customWidth="1"/>
    <col min="7" max="7" width="11.625" customWidth="1"/>
    <col min="49" max="49" width="12.625" customWidth="1"/>
    <col min="50" max="51" width="6.625" customWidth="1"/>
    <col min="52" max="52" width="17.625" customWidth="1"/>
    <col min="53" max="53" width="20.625" customWidth="1"/>
    <col min="54" max="54" width="16.625" customWidth="1"/>
  </cols>
  <sheetData>
    <row r="1" spans="1:58">
      <c r="A1" s="58" t="s">
        <v>183</v>
      </c>
      <c r="B1" s="58"/>
      <c r="C1" s="58"/>
      <c r="D1" s="59"/>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row>
    <row r="2" spans="1:58">
      <c r="A2" s="58"/>
      <c r="B2" s="58"/>
      <c r="C2" s="58"/>
      <c r="D2" s="58"/>
      <c r="E2" s="58"/>
      <c r="F2" s="58"/>
      <c r="G2" s="58"/>
      <c r="H2" s="58"/>
      <c r="I2" s="58"/>
      <c r="J2" s="58"/>
      <c r="K2" s="58"/>
      <c r="L2" s="58"/>
      <c r="M2" s="58"/>
      <c r="N2" s="58"/>
      <c r="O2" s="58"/>
      <c r="P2" s="58"/>
      <c r="Q2" s="58"/>
      <c r="R2" s="60" t="s">
        <v>184</v>
      </c>
      <c r="S2" s="61"/>
      <c r="T2" s="61"/>
      <c r="U2" s="61"/>
      <c r="V2" s="61"/>
      <c r="W2" s="62"/>
      <c r="X2" s="60" t="s">
        <v>185</v>
      </c>
      <c r="Y2" s="61"/>
      <c r="Z2" s="62"/>
      <c r="AA2" s="60" t="s">
        <v>186</v>
      </c>
      <c r="AB2" s="61"/>
      <c r="AC2" s="62"/>
      <c r="AD2" s="60" t="s">
        <v>187</v>
      </c>
      <c r="AE2" s="61"/>
      <c r="AF2" s="62"/>
      <c r="AH2" t="s">
        <v>188</v>
      </c>
    </row>
    <row r="3" spans="1:58">
      <c r="A3" s="58"/>
      <c r="B3" s="60" t="s">
        <v>189</v>
      </c>
      <c r="C3" s="61"/>
      <c r="D3" s="61"/>
      <c r="E3" s="61"/>
      <c r="F3" s="61"/>
      <c r="G3" s="61"/>
      <c r="H3" s="62"/>
      <c r="I3" s="60" t="s">
        <v>190</v>
      </c>
      <c r="J3" s="61"/>
      <c r="K3" s="61"/>
      <c r="L3" s="61"/>
      <c r="M3" s="61"/>
      <c r="N3" s="61"/>
      <c r="O3" s="61"/>
      <c r="P3" s="61"/>
      <c r="Q3" s="62"/>
      <c r="R3" s="60" t="s">
        <v>191</v>
      </c>
      <c r="S3" s="61"/>
      <c r="T3" s="62"/>
      <c r="U3" s="61" t="s">
        <v>192</v>
      </c>
      <c r="V3" s="61"/>
      <c r="W3" s="62"/>
      <c r="X3" s="63" t="s">
        <v>193</v>
      </c>
      <c r="Y3" s="63" t="s">
        <v>194</v>
      </c>
      <c r="Z3" s="63" t="s">
        <v>195</v>
      </c>
      <c r="AA3" s="63" t="s">
        <v>193</v>
      </c>
      <c r="AB3" s="63" t="s">
        <v>194</v>
      </c>
      <c r="AC3" s="63" t="s">
        <v>195</v>
      </c>
      <c r="AD3" s="63" t="s">
        <v>193</v>
      </c>
      <c r="AE3" s="63" t="s">
        <v>194</v>
      </c>
      <c r="AF3" s="63" t="s">
        <v>195</v>
      </c>
      <c r="AG3" s="4"/>
      <c r="AH3" s="4"/>
      <c r="AI3" s="4"/>
      <c r="AJ3" s="4"/>
      <c r="AK3" s="7" t="s">
        <v>196</v>
      </c>
      <c r="AL3" s="8"/>
      <c r="AM3" s="8"/>
      <c r="AN3" s="64"/>
      <c r="AO3" s="10"/>
      <c r="AP3" s="11"/>
      <c r="AQ3" s="11"/>
      <c r="AR3" s="12"/>
    </row>
    <row r="4" spans="1:58">
      <c r="A4" s="63" t="s">
        <v>136</v>
      </c>
      <c r="B4" s="63" t="s">
        <v>197</v>
      </c>
      <c r="C4" s="63" t="s">
        <v>198</v>
      </c>
      <c r="D4" s="65" t="s">
        <v>199</v>
      </c>
      <c r="E4" s="65" t="s">
        <v>200</v>
      </c>
      <c r="F4" s="113" t="s">
        <v>201</v>
      </c>
      <c r="G4" s="63" t="s">
        <v>202</v>
      </c>
      <c r="H4" s="63" t="s">
        <v>203</v>
      </c>
      <c r="I4" s="63">
        <v>1989</v>
      </c>
      <c r="J4" s="63">
        <v>1990</v>
      </c>
      <c r="K4" s="63">
        <v>1991</v>
      </c>
      <c r="L4" s="63">
        <v>1992</v>
      </c>
      <c r="M4" s="63">
        <v>1993</v>
      </c>
      <c r="N4" s="63">
        <v>1994</v>
      </c>
      <c r="O4" s="63">
        <v>1995</v>
      </c>
      <c r="P4" s="63">
        <v>1996</v>
      </c>
      <c r="Q4" s="63">
        <v>1997</v>
      </c>
      <c r="R4" s="66"/>
      <c r="S4" s="66"/>
      <c r="T4" s="67"/>
      <c r="U4" s="66"/>
      <c r="V4" s="66"/>
      <c r="W4" s="67"/>
      <c r="X4" s="68"/>
      <c r="Y4" s="66"/>
      <c r="Z4" s="67"/>
      <c r="AA4" s="68"/>
      <c r="AB4" s="66"/>
      <c r="AC4" s="67"/>
      <c r="AD4" s="68"/>
      <c r="AE4" s="66"/>
      <c r="AF4" s="67"/>
      <c r="AG4" s="4"/>
      <c r="AH4" s="69" t="s">
        <v>136</v>
      </c>
      <c r="AI4" s="69" t="s">
        <v>201</v>
      </c>
      <c r="AJ4" s="69" t="s">
        <v>203</v>
      </c>
      <c r="AK4" s="69" t="s">
        <v>193</v>
      </c>
      <c r="AL4" s="69" t="s">
        <v>194</v>
      </c>
      <c r="AM4" s="69" t="s">
        <v>204</v>
      </c>
      <c r="AN4" s="69" t="s">
        <v>195</v>
      </c>
      <c r="AO4" s="70" t="s">
        <v>205</v>
      </c>
      <c r="AP4" s="4"/>
      <c r="AQ4" s="4"/>
      <c r="AR4" s="71"/>
      <c r="BA4" t="s">
        <v>206</v>
      </c>
      <c r="BB4" t="s">
        <v>207</v>
      </c>
      <c r="BC4" t="s">
        <v>208</v>
      </c>
      <c r="BD4" t="s">
        <v>209</v>
      </c>
      <c r="BE4" t="s">
        <v>210</v>
      </c>
      <c r="BF4" t="s">
        <v>211</v>
      </c>
    </row>
    <row r="5" spans="1:58">
      <c r="A5" s="72">
        <v>1986</v>
      </c>
      <c r="B5" s="72" t="s">
        <v>77</v>
      </c>
      <c r="C5" s="72">
        <v>1988</v>
      </c>
      <c r="D5" s="72" t="s">
        <v>212</v>
      </c>
      <c r="E5" s="72" t="s">
        <v>213</v>
      </c>
      <c r="F5" s="72">
        <v>9</v>
      </c>
      <c r="G5" s="72">
        <v>311763</v>
      </c>
      <c r="H5" s="72">
        <v>77082</v>
      </c>
      <c r="I5" s="72">
        <v>104</v>
      </c>
      <c r="J5" s="72">
        <v>843</v>
      </c>
      <c r="K5" s="72">
        <v>325</v>
      </c>
      <c r="L5" s="72"/>
      <c r="M5" s="72"/>
      <c r="N5" s="72"/>
      <c r="O5" s="72"/>
      <c r="P5" s="72"/>
      <c r="Q5" s="72"/>
      <c r="R5" s="423">
        <f t="shared" ref="R5:T8" si="0">I5/$H5</f>
        <v>1.3492125269193845E-3</v>
      </c>
      <c r="S5" s="423">
        <f t="shared" si="0"/>
        <v>1.0936405386471549E-2</v>
      </c>
      <c r="T5" s="394">
        <f t="shared" si="0"/>
        <v>4.2162891466230763E-3</v>
      </c>
      <c r="U5" s="423">
        <f>I5/$H5</f>
        <v>1.3492125269193845E-3</v>
      </c>
      <c r="V5" s="423">
        <f>(+I5+J5)/$H5</f>
        <v>1.2285617913390934E-2</v>
      </c>
      <c r="W5" s="394">
        <f>(+I5+J5+K5)/$H5</f>
        <v>1.6501907060014011E-2</v>
      </c>
      <c r="X5" s="395">
        <f t="shared" ref="X5:X29" si="1">(+U5-AVERAGEA(U$5:U$24))^2</f>
        <v>7.2030861932246334E-5</v>
      </c>
      <c r="Y5" s="396">
        <f t="shared" ref="Y5:Y29" si="2">(+V5-AVERAGEA(V$5:V$24))^2</f>
        <v>7.282623091252818E-3</v>
      </c>
      <c r="Z5" s="397">
        <f t="shared" ref="Z5:Z29" si="3">(+W5-AVERAGEA(W$5:W$24))^2</f>
        <v>1.0956841366402913E-2</v>
      </c>
      <c r="AA5" s="434">
        <f t="shared" ref="AA5:AC8" si="4">I5/SUM($I5:$K5)</f>
        <v>8.1761006289308172E-2</v>
      </c>
      <c r="AB5" s="405">
        <f t="shared" si="4"/>
        <v>0.66273584905660377</v>
      </c>
      <c r="AC5" s="402">
        <f t="shared" si="4"/>
        <v>0.25550314465408808</v>
      </c>
      <c r="AD5" s="395">
        <f t="shared" ref="AD5:AD29" si="5">(+AA5-AVERAGEA(AA$5:AA$24))^2</f>
        <v>1.8564059414772366E-4</v>
      </c>
      <c r="AE5" s="396">
        <f t="shared" ref="AE5:AE29" si="6">(+AB5-AVERAGEA(AB$5:AB$24))^2</f>
        <v>4.6961373893819071E-4</v>
      </c>
      <c r="AF5" s="397">
        <f t="shared" ref="AF5:AF29" si="7">(+AC5-AVERAGEA(AC$5:AC$24))^2</f>
        <v>1.2457774012768958E-3</v>
      </c>
      <c r="AG5" s="4"/>
      <c r="AH5" s="407">
        <f t="shared" ref="AH5:AH24" si="8">A5</f>
        <v>1986</v>
      </c>
      <c r="AI5" s="408">
        <f t="shared" ref="AI5:AI24" si="9">F5</f>
        <v>9</v>
      </c>
      <c r="AJ5" s="409">
        <f t="shared" ref="AJ5:AL8" si="10">H5</f>
        <v>77082</v>
      </c>
      <c r="AK5" s="410">
        <f t="shared" si="10"/>
        <v>104</v>
      </c>
      <c r="AL5" s="410">
        <f t="shared" si="10"/>
        <v>843</v>
      </c>
      <c r="AM5" s="408">
        <f t="shared" ref="AM5:AM28" si="11">SUM(AK5:AL5)</f>
        <v>947</v>
      </c>
      <c r="AN5" s="409">
        <f>K5</f>
        <v>325</v>
      </c>
      <c r="AO5" s="70"/>
      <c r="AP5" s="4" t="s">
        <v>106</v>
      </c>
      <c r="AQ5" s="4"/>
      <c r="AR5" s="71"/>
      <c r="AS5" s="4"/>
      <c r="AT5" s="4"/>
      <c r="AU5" s="4"/>
      <c r="AV5" s="4"/>
      <c r="AW5" s="4">
        <v>1</v>
      </c>
      <c r="AX5" s="415">
        <f t="shared" ref="AX5:AX12" si="12">AM5</f>
        <v>947</v>
      </c>
      <c r="AY5" s="383">
        <f t="shared" ref="AY5:AY12" si="13">AJ5</f>
        <v>77082</v>
      </c>
      <c r="BA5">
        <v>311763</v>
      </c>
      <c r="BB5">
        <v>86</v>
      </c>
      <c r="BC5">
        <v>1988</v>
      </c>
      <c r="BD5" t="s">
        <v>214</v>
      </c>
      <c r="BE5" t="s">
        <v>215</v>
      </c>
      <c r="BF5" t="s">
        <v>216</v>
      </c>
    </row>
    <row r="6" spans="1:58">
      <c r="A6" s="76">
        <v>1986</v>
      </c>
      <c r="B6" s="76" t="s">
        <v>77</v>
      </c>
      <c r="C6" s="76">
        <v>1988</v>
      </c>
      <c r="D6" s="76" t="s">
        <v>217</v>
      </c>
      <c r="E6" s="76" t="s">
        <v>213</v>
      </c>
      <c r="F6" s="76">
        <v>11.35</v>
      </c>
      <c r="G6" s="76">
        <v>311801</v>
      </c>
      <c r="H6" s="76">
        <v>101773</v>
      </c>
      <c r="I6" s="76">
        <v>1198</v>
      </c>
      <c r="J6" s="76">
        <v>2219</v>
      </c>
      <c r="K6" s="76">
        <v>1186</v>
      </c>
      <c r="L6" s="76"/>
      <c r="M6" s="76"/>
      <c r="N6" s="76"/>
      <c r="O6" s="76"/>
      <c r="P6" s="76"/>
      <c r="Q6" s="76"/>
      <c r="R6" s="423">
        <f t="shared" si="0"/>
        <v>1.1771294940701366E-2</v>
      </c>
      <c r="S6" s="423">
        <f t="shared" si="0"/>
        <v>2.1803425269963546E-2</v>
      </c>
      <c r="T6" s="394">
        <f t="shared" si="0"/>
        <v>1.1653385475519046E-2</v>
      </c>
      <c r="U6" s="423">
        <f>I6/$H6</f>
        <v>1.1771294940701366E-2</v>
      </c>
      <c r="V6" s="423">
        <f>(+I6+J6)/$H6</f>
        <v>3.3574720210664911E-2</v>
      </c>
      <c r="W6" s="394">
        <f>(+I6+J6+K6)/$H6</f>
        <v>4.5228105686183961E-2</v>
      </c>
      <c r="X6" s="395">
        <f t="shared" si="1"/>
        <v>3.7441579625331656E-6</v>
      </c>
      <c r="Y6" s="396">
        <f t="shared" si="2"/>
        <v>4.1022979583798377E-3</v>
      </c>
      <c r="Z6" s="397">
        <f t="shared" si="3"/>
        <v>5.7682100845449441E-3</v>
      </c>
      <c r="AA6" s="434">
        <f t="shared" si="4"/>
        <v>0.26026504453617205</v>
      </c>
      <c r="AB6" s="405">
        <f t="shared" si="4"/>
        <v>0.48207690636541384</v>
      </c>
      <c r="AC6" s="402">
        <f t="shared" si="4"/>
        <v>0.25765804909841405</v>
      </c>
      <c r="AD6" s="395">
        <f t="shared" si="5"/>
        <v>2.7185097626560815E-2</v>
      </c>
      <c r="AE6" s="396">
        <f t="shared" si="6"/>
        <v>4.0937232964552504E-2</v>
      </c>
      <c r="AF6" s="397">
        <f t="shared" si="7"/>
        <v>1.4025381842832979E-3</v>
      </c>
      <c r="AG6" s="4"/>
      <c r="AH6" s="411">
        <f t="shared" si="8"/>
        <v>1986</v>
      </c>
      <c r="AI6" s="412">
        <f t="shared" si="9"/>
        <v>11.35</v>
      </c>
      <c r="AJ6" s="413">
        <f t="shared" si="10"/>
        <v>101773</v>
      </c>
      <c r="AK6" s="414">
        <f t="shared" si="10"/>
        <v>1198</v>
      </c>
      <c r="AL6" s="414">
        <f t="shared" si="10"/>
        <v>2219</v>
      </c>
      <c r="AM6" s="412">
        <f t="shared" si="11"/>
        <v>3417</v>
      </c>
      <c r="AN6" s="413">
        <f>K6</f>
        <v>1186</v>
      </c>
      <c r="AO6" s="70" t="s">
        <v>107</v>
      </c>
      <c r="AP6" s="4"/>
      <c r="AQ6" s="4"/>
      <c r="AR6" s="71">
        <v>29365.220447517804</v>
      </c>
      <c r="AS6" s="4"/>
      <c r="AT6" s="4"/>
      <c r="AU6" s="4"/>
      <c r="AV6" s="4"/>
      <c r="AW6" s="4">
        <v>2</v>
      </c>
      <c r="AX6" s="415">
        <f t="shared" si="12"/>
        <v>3417</v>
      </c>
      <c r="AY6" s="383">
        <f t="shared" si="13"/>
        <v>101773</v>
      </c>
      <c r="BA6">
        <v>311801</v>
      </c>
      <c r="BB6">
        <v>86</v>
      </c>
      <c r="BC6">
        <v>1988</v>
      </c>
      <c r="BD6" t="s">
        <v>214</v>
      </c>
      <c r="BE6" t="s">
        <v>215</v>
      </c>
      <c r="BF6" t="s">
        <v>216</v>
      </c>
    </row>
    <row r="7" spans="1:58">
      <c r="A7" s="76">
        <v>1986</v>
      </c>
      <c r="B7" s="76" t="s">
        <v>77</v>
      </c>
      <c r="C7" s="76">
        <v>1988</v>
      </c>
      <c r="D7" s="76" t="s">
        <v>218</v>
      </c>
      <c r="E7" s="76" t="s">
        <v>213</v>
      </c>
      <c r="F7" s="76">
        <v>10.66</v>
      </c>
      <c r="G7" s="76">
        <v>311802</v>
      </c>
      <c r="H7" s="76">
        <v>110900</v>
      </c>
      <c r="I7" s="76">
        <v>150</v>
      </c>
      <c r="J7" s="76">
        <v>955</v>
      </c>
      <c r="K7" s="76">
        <v>995</v>
      </c>
      <c r="L7" s="76"/>
      <c r="M7" s="76"/>
      <c r="N7" s="76"/>
      <c r="O7" s="76"/>
      <c r="P7" s="76"/>
      <c r="Q7" s="76"/>
      <c r="R7" s="423">
        <f t="shared" si="0"/>
        <v>1.3525698827772769E-3</v>
      </c>
      <c r="S7" s="423">
        <f t="shared" si="0"/>
        <v>8.6113615870153284E-3</v>
      </c>
      <c r="T7" s="394">
        <f t="shared" si="0"/>
        <v>8.9720468890892701E-3</v>
      </c>
      <c r="U7" s="423">
        <f>I7/$H7</f>
        <v>1.3525698827772769E-3</v>
      </c>
      <c r="V7" s="423">
        <f>(+I7+J7)/$H7</f>
        <v>9.9639314697926064E-3</v>
      </c>
      <c r="W7" s="394">
        <f>(+I7+J7+K7)/$H7</f>
        <v>1.8935978358881875E-2</v>
      </c>
      <c r="X7" s="395">
        <f t="shared" si="1"/>
        <v>7.197388477605297E-5</v>
      </c>
      <c r="Y7" s="396">
        <f t="shared" si="2"/>
        <v>7.6842708035679448E-3</v>
      </c>
      <c r="Z7" s="397">
        <f t="shared" si="3"/>
        <v>1.0453193574636817E-2</v>
      </c>
      <c r="AA7" s="434">
        <f t="shared" si="4"/>
        <v>7.1428571428571425E-2</v>
      </c>
      <c r="AB7" s="405">
        <f t="shared" si="4"/>
        <v>0.45476190476190476</v>
      </c>
      <c r="AC7" s="402">
        <f t="shared" si="4"/>
        <v>0.47380952380952379</v>
      </c>
      <c r="AD7" s="395">
        <f t="shared" si="5"/>
        <v>5.7395863085753327E-4</v>
      </c>
      <c r="AE7" s="396">
        <f t="shared" si="6"/>
        <v>5.2736604374273799E-2</v>
      </c>
      <c r="AF7" s="397">
        <f t="shared" si="7"/>
        <v>6.4313949618848731E-2</v>
      </c>
      <c r="AG7" s="4"/>
      <c r="AH7" s="411">
        <f t="shared" si="8"/>
        <v>1986</v>
      </c>
      <c r="AI7" s="412">
        <f t="shared" si="9"/>
        <v>10.66</v>
      </c>
      <c r="AJ7" s="413">
        <f t="shared" si="10"/>
        <v>110900</v>
      </c>
      <c r="AK7" s="414">
        <f t="shared" si="10"/>
        <v>150</v>
      </c>
      <c r="AL7" s="414">
        <f t="shared" si="10"/>
        <v>955</v>
      </c>
      <c r="AM7" s="412">
        <f t="shared" si="11"/>
        <v>1105</v>
      </c>
      <c r="AN7" s="413">
        <f>K7</f>
        <v>995</v>
      </c>
      <c r="AO7" s="70" t="s">
        <v>108</v>
      </c>
      <c r="AP7" s="4"/>
      <c r="AQ7" s="4"/>
      <c r="AR7" s="71">
        <v>38480.357491204311</v>
      </c>
      <c r="AS7" s="4"/>
      <c r="AT7" s="4"/>
      <c r="AU7" s="4"/>
      <c r="AV7" s="4"/>
      <c r="AW7" s="4">
        <v>3</v>
      </c>
      <c r="AX7" s="415">
        <f t="shared" si="12"/>
        <v>1105</v>
      </c>
      <c r="AY7" s="383">
        <f t="shared" si="13"/>
        <v>110900</v>
      </c>
      <c r="BA7">
        <v>311802</v>
      </c>
      <c r="BB7">
        <v>86</v>
      </c>
      <c r="BC7">
        <v>1988</v>
      </c>
      <c r="BD7" t="s">
        <v>214</v>
      </c>
      <c r="BE7" t="s">
        <v>215</v>
      </c>
      <c r="BF7" t="s">
        <v>216</v>
      </c>
    </row>
    <row r="8" spans="1:58">
      <c r="A8" s="77">
        <v>1986</v>
      </c>
      <c r="B8" s="77" t="s">
        <v>77</v>
      </c>
      <c r="C8" s="77">
        <v>1988</v>
      </c>
      <c r="D8" s="77" t="s">
        <v>219</v>
      </c>
      <c r="E8" s="77" t="s">
        <v>213</v>
      </c>
      <c r="F8" s="77">
        <v>12.93</v>
      </c>
      <c r="G8" s="77">
        <v>311803</v>
      </c>
      <c r="H8" s="77">
        <v>40270</v>
      </c>
      <c r="I8" s="77">
        <v>1139</v>
      </c>
      <c r="J8" s="77">
        <v>834</v>
      </c>
      <c r="K8" s="77">
        <v>433</v>
      </c>
      <c r="L8" s="77"/>
      <c r="M8" s="77"/>
      <c r="N8" s="77"/>
      <c r="O8" s="77"/>
      <c r="P8" s="77"/>
      <c r="Q8" s="77"/>
      <c r="R8" s="424">
        <f t="shared" si="0"/>
        <v>2.8284082443506331E-2</v>
      </c>
      <c r="S8" s="424">
        <f t="shared" si="0"/>
        <v>2.0710206108765832E-2</v>
      </c>
      <c r="T8" s="398">
        <f t="shared" si="0"/>
        <v>1.0752421157188975E-2</v>
      </c>
      <c r="U8" s="424">
        <f>I8/$H8</f>
        <v>2.8284082443506331E-2</v>
      </c>
      <c r="V8" s="424">
        <f>(+I8+J8)/$H8</f>
        <v>4.8994288552272162E-2</v>
      </c>
      <c r="W8" s="398">
        <f>(+I8+J8+K8)/$H8</f>
        <v>5.9746709709461138E-2</v>
      </c>
      <c r="X8" s="395">
        <f t="shared" si="1"/>
        <v>3.4032022462828642E-4</v>
      </c>
      <c r="Y8" s="396">
        <f t="shared" si="2"/>
        <v>2.3648395094510843E-3</v>
      </c>
      <c r="Z8" s="397">
        <f t="shared" si="3"/>
        <v>3.7736607786441148E-3</v>
      </c>
      <c r="AA8" s="435">
        <f t="shared" si="4"/>
        <v>0.47339983374896094</v>
      </c>
      <c r="AB8" s="406">
        <f t="shared" si="4"/>
        <v>0.34663341645885287</v>
      </c>
      <c r="AC8" s="403">
        <f t="shared" si="4"/>
        <v>0.17996674979218621</v>
      </c>
      <c r="AD8" s="395">
        <f t="shared" si="5"/>
        <v>0.14289445460666586</v>
      </c>
      <c r="AE8" s="396">
        <f t="shared" si="6"/>
        <v>0.11409060338519646</v>
      </c>
      <c r="AF8" s="397">
        <f t="shared" si="7"/>
        <v>1.61932382634766E-3</v>
      </c>
      <c r="AG8" s="4"/>
      <c r="AH8" s="411">
        <f t="shared" si="8"/>
        <v>1986</v>
      </c>
      <c r="AI8" s="412">
        <f t="shared" si="9"/>
        <v>12.93</v>
      </c>
      <c r="AJ8" s="413">
        <f t="shared" si="10"/>
        <v>40270</v>
      </c>
      <c r="AK8" s="414">
        <f t="shared" si="10"/>
        <v>1139</v>
      </c>
      <c r="AL8" s="414">
        <f t="shared" si="10"/>
        <v>834</v>
      </c>
      <c r="AM8" s="412">
        <f t="shared" si="11"/>
        <v>1973</v>
      </c>
      <c r="AN8" s="413">
        <f>K8</f>
        <v>433</v>
      </c>
      <c r="AO8" s="70" t="s">
        <v>109</v>
      </c>
      <c r="AP8" s="4"/>
      <c r="AQ8" s="4"/>
      <c r="AR8" s="71">
        <v>6.11486182725774E-2</v>
      </c>
      <c r="AS8" s="4"/>
      <c r="AT8" s="4"/>
      <c r="AU8" s="4"/>
      <c r="AV8" s="4"/>
      <c r="AW8" s="4">
        <v>4</v>
      </c>
      <c r="AX8" s="415">
        <f t="shared" si="12"/>
        <v>1973</v>
      </c>
      <c r="AY8" s="383">
        <f t="shared" si="13"/>
        <v>40270</v>
      </c>
      <c r="BA8">
        <v>311803</v>
      </c>
      <c r="BB8">
        <v>86</v>
      </c>
      <c r="BC8">
        <v>1988</v>
      </c>
      <c r="BD8" t="s">
        <v>214</v>
      </c>
      <c r="BE8" t="s">
        <v>215</v>
      </c>
      <c r="BF8" t="s">
        <v>216</v>
      </c>
    </row>
    <row r="9" spans="1:58">
      <c r="A9" s="416">
        <f>A8+1</f>
        <v>1987</v>
      </c>
      <c r="B9" s="72" t="s">
        <v>77</v>
      </c>
      <c r="C9" s="72">
        <v>1989</v>
      </c>
      <c r="D9" s="72" t="s">
        <v>220</v>
      </c>
      <c r="E9" s="72" t="s">
        <v>213</v>
      </c>
      <c r="F9" s="72">
        <v>13.84</v>
      </c>
      <c r="G9" s="72">
        <v>311812</v>
      </c>
      <c r="H9" s="72">
        <v>617982</v>
      </c>
      <c r="I9" s="72"/>
      <c r="J9" s="72">
        <v>0</v>
      </c>
      <c r="K9" s="72">
        <v>86041</v>
      </c>
      <c r="L9" s="72">
        <v>11552</v>
      </c>
      <c r="M9" s="72">
        <v>56</v>
      </c>
      <c r="N9" s="72"/>
      <c r="O9" s="72"/>
      <c r="P9" s="72"/>
      <c r="Q9" s="72"/>
      <c r="R9" s="422">
        <f t="shared" ref="R9:T12" si="14">J9/$H9</f>
        <v>0</v>
      </c>
      <c r="S9" s="422">
        <f t="shared" si="14"/>
        <v>0.13922897430669501</v>
      </c>
      <c r="T9" s="399">
        <f t="shared" si="14"/>
        <v>1.8693101093559358E-2</v>
      </c>
      <c r="U9" s="423">
        <f>J9/$H9</f>
        <v>0</v>
      </c>
      <c r="V9" s="423">
        <f>(+J9+K9)/$H9</f>
        <v>0.13922897430669501</v>
      </c>
      <c r="W9" s="394">
        <f>(+J9+K9+L9)/$H9</f>
        <v>0.15792207540025438</v>
      </c>
      <c r="X9" s="395">
        <f t="shared" si="1"/>
        <v>9.6753038937639395E-5</v>
      </c>
      <c r="Y9" s="396">
        <f t="shared" si="2"/>
        <v>1.7309818659361612E-3</v>
      </c>
      <c r="Z9" s="397">
        <f t="shared" si="3"/>
        <v>1.3502124017044665E-3</v>
      </c>
      <c r="AA9" s="436">
        <f t="shared" ref="AA9:AC12" si="15">J9/SUM($J9:$L9)</f>
        <v>0</v>
      </c>
      <c r="AB9" s="428">
        <f t="shared" si="15"/>
        <v>0.8816308546719539</v>
      </c>
      <c r="AC9" s="404">
        <f t="shared" si="15"/>
        <v>0.11836914532804607</v>
      </c>
      <c r="AD9" s="395">
        <f t="shared" si="5"/>
        <v>9.0984899798330736E-3</v>
      </c>
      <c r="AE9" s="396">
        <f t="shared" si="6"/>
        <v>3.8897476776854137E-2</v>
      </c>
      <c r="AF9" s="397">
        <f t="shared" si="7"/>
        <v>1.0371065284656885E-2</v>
      </c>
      <c r="AG9" s="4"/>
      <c r="AH9" s="411">
        <f t="shared" si="8"/>
        <v>1987</v>
      </c>
      <c r="AI9" s="412">
        <f t="shared" si="9"/>
        <v>13.84</v>
      </c>
      <c r="AJ9" s="413">
        <f t="shared" ref="AJ9:AJ24" si="16">H9</f>
        <v>617982</v>
      </c>
      <c r="AK9" s="414">
        <f t="shared" ref="AK9:AL12" si="17">J9</f>
        <v>0</v>
      </c>
      <c r="AL9" s="414">
        <f t="shared" si="17"/>
        <v>86041</v>
      </c>
      <c r="AM9" s="412">
        <f t="shared" si="11"/>
        <v>86041</v>
      </c>
      <c r="AN9" s="413">
        <f>L9</f>
        <v>11552</v>
      </c>
      <c r="AO9" s="70" t="s">
        <v>110</v>
      </c>
      <c r="AP9" s="4"/>
      <c r="AQ9" s="4"/>
      <c r="AR9" s="71">
        <v>24</v>
      </c>
      <c r="AS9" s="4"/>
      <c r="AT9" s="4"/>
      <c r="AU9" s="4"/>
      <c r="AV9" s="4"/>
      <c r="AW9" s="4">
        <v>5</v>
      </c>
      <c r="AX9" s="415">
        <f t="shared" si="12"/>
        <v>86041</v>
      </c>
      <c r="AY9" s="383">
        <f t="shared" si="13"/>
        <v>617982</v>
      </c>
      <c r="BA9">
        <v>311812</v>
      </c>
      <c r="BB9">
        <v>87</v>
      </c>
      <c r="BC9">
        <v>1989</v>
      </c>
      <c r="BD9" t="s">
        <v>214</v>
      </c>
      <c r="BE9" t="s">
        <v>215</v>
      </c>
      <c r="BF9" t="s">
        <v>216</v>
      </c>
    </row>
    <row r="10" spans="1:58">
      <c r="A10" s="417">
        <f>A9</f>
        <v>1987</v>
      </c>
      <c r="B10" s="76" t="s">
        <v>77</v>
      </c>
      <c r="C10" s="76">
        <v>1989</v>
      </c>
      <c r="D10" s="76" t="s">
        <v>221</v>
      </c>
      <c r="E10" s="76" t="s">
        <v>213</v>
      </c>
      <c r="F10" s="76">
        <v>10.130000000000001</v>
      </c>
      <c r="G10" s="76">
        <v>311813</v>
      </c>
      <c r="H10" s="76">
        <v>948847</v>
      </c>
      <c r="I10" s="76"/>
      <c r="J10" s="76">
        <v>158</v>
      </c>
      <c r="K10" s="76">
        <v>104468</v>
      </c>
      <c r="L10" s="76">
        <v>47445</v>
      </c>
      <c r="M10" s="76">
        <v>239</v>
      </c>
      <c r="N10" s="76"/>
      <c r="O10" s="76"/>
      <c r="P10" s="76"/>
      <c r="Q10" s="76"/>
      <c r="R10" s="423">
        <f t="shared" si="14"/>
        <v>1.6651788960707047E-4</v>
      </c>
      <c r="S10" s="423">
        <f t="shared" si="14"/>
        <v>0.11009994235108506</v>
      </c>
      <c r="T10" s="394">
        <f t="shared" si="14"/>
        <v>5.0002792863338349E-2</v>
      </c>
      <c r="U10" s="423">
        <f>J10/$H10</f>
        <v>1.6651788960707047E-4</v>
      </c>
      <c r="V10" s="423">
        <f>(+J10+K10)/$H10</f>
        <v>0.11026646024069213</v>
      </c>
      <c r="W10" s="394">
        <f>(+J10+K10+L10)/$H10</f>
        <v>0.16026925310403048</v>
      </c>
      <c r="X10" s="395">
        <f t="shared" si="1"/>
        <v>9.3504923226056224E-5</v>
      </c>
      <c r="Y10" s="396">
        <f t="shared" si="2"/>
        <v>1.598342254764483E-4</v>
      </c>
      <c r="Z10" s="397">
        <f t="shared" si="3"/>
        <v>1.5282168443044551E-3</v>
      </c>
      <c r="AA10" s="434">
        <f t="shared" si="15"/>
        <v>1.038988367275812E-3</v>
      </c>
      <c r="AB10" s="405">
        <f t="shared" si="15"/>
        <v>0.68696858704157926</v>
      </c>
      <c r="AC10" s="402">
        <f t="shared" si="15"/>
        <v>0.3119924245911449</v>
      </c>
      <c r="AD10" s="395">
        <f t="shared" si="5"/>
        <v>8.9013595771421025E-3</v>
      </c>
      <c r="AE10" s="396">
        <f t="shared" si="6"/>
        <v>6.5646888439173904E-6</v>
      </c>
      <c r="AF10" s="397">
        <f t="shared" si="7"/>
        <v>8.4244590411279852E-3</v>
      </c>
      <c r="AG10" s="4"/>
      <c r="AH10" s="411">
        <f t="shared" si="8"/>
        <v>1987</v>
      </c>
      <c r="AI10" s="412">
        <f t="shared" si="9"/>
        <v>10.130000000000001</v>
      </c>
      <c r="AJ10" s="413">
        <f t="shared" si="16"/>
        <v>948847</v>
      </c>
      <c r="AK10" s="414">
        <f t="shared" si="17"/>
        <v>158</v>
      </c>
      <c r="AL10" s="414">
        <f t="shared" si="17"/>
        <v>104468</v>
      </c>
      <c r="AM10" s="412">
        <f t="shared" si="11"/>
        <v>104626</v>
      </c>
      <c r="AN10" s="413">
        <f>L10</f>
        <v>47445</v>
      </c>
      <c r="AO10" s="70" t="s">
        <v>111</v>
      </c>
      <c r="AP10" s="4"/>
      <c r="AQ10" s="4"/>
      <c r="AR10" s="71">
        <v>22</v>
      </c>
      <c r="AS10" s="4"/>
      <c r="AT10" s="4"/>
      <c r="AU10" s="4"/>
      <c r="AV10" s="4"/>
      <c r="AW10" s="4">
        <v>6</v>
      </c>
      <c r="AX10" s="415">
        <f t="shared" si="12"/>
        <v>104626</v>
      </c>
      <c r="AY10" s="383">
        <f t="shared" si="13"/>
        <v>948847</v>
      </c>
      <c r="BA10">
        <v>311813</v>
      </c>
      <c r="BB10">
        <v>87</v>
      </c>
      <c r="BC10">
        <v>1989</v>
      </c>
      <c r="BD10" t="s">
        <v>214</v>
      </c>
      <c r="BE10" t="s">
        <v>215</v>
      </c>
      <c r="BF10" t="s">
        <v>216</v>
      </c>
    </row>
    <row r="11" spans="1:58">
      <c r="A11" s="417">
        <f>A10</f>
        <v>1987</v>
      </c>
      <c r="B11" s="76" t="s">
        <v>77</v>
      </c>
      <c r="C11" s="76">
        <v>1989</v>
      </c>
      <c r="D11" s="76" t="s">
        <v>220</v>
      </c>
      <c r="E11" s="76" t="s">
        <v>213</v>
      </c>
      <c r="F11" s="76">
        <v>9.8000000000000007</v>
      </c>
      <c r="G11" s="76">
        <v>311814</v>
      </c>
      <c r="H11" s="76">
        <v>1148319</v>
      </c>
      <c r="I11" s="76"/>
      <c r="J11" s="76">
        <v>1833</v>
      </c>
      <c r="K11" s="76">
        <v>119971</v>
      </c>
      <c r="L11" s="76">
        <v>56801</v>
      </c>
      <c r="M11" s="76"/>
      <c r="N11" s="76"/>
      <c r="O11" s="76"/>
      <c r="P11" s="76"/>
      <c r="Q11" s="76"/>
      <c r="R11" s="423">
        <f t="shared" si="14"/>
        <v>1.5962463392141034E-3</v>
      </c>
      <c r="S11" s="423">
        <f t="shared" si="14"/>
        <v>0.104475324365442</v>
      </c>
      <c r="T11" s="394">
        <f t="shared" si="14"/>
        <v>4.9464478076214013E-2</v>
      </c>
      <c r="U11" s="423">
        <f>J11/$H11</f>
        <v>1.5962463392141034E-3</v>
      </c>
      <c r="V11" s="423">
        <f>(+J11+K11)/$H11</f>
        <v>0.10607157070465612</v>
      </c>
      <c r="W11" s="394">
        <f>(+J11+K11+L11)/$H11</f>
        <v>0.15553604878087013</v>
      </c>
      <c r="X11" s="395">
        <f t="shared" si="1"/>
        <v>6.7898686430344023E-5</v>
      </c>
      <c r="Y11" s="396">
        <f t="shared" si="2"/>
        <v>7.1363070866903994E-5</v>
      </c>
      <c r="Z11" s="397">
        <f t="shared" si="3"/>
        <v>1.1805553001263621E-3</v>
      </c>
      <c r="AA11" s="434">
        <f t="shared" si="15"/>
        <v>1.0262870580330898E-2</v>
      </c>
      <c r="AB11" s="405">
        <f t="shared" si="15"/>
        <v>0.67171131827216479</v>
      </c>
      <c r="AC11" s="402">
        <f t="shared" si="15"/>
        <v>0.31802581114750428</v>
      </c>
      <c r="AD11" s="395">
        <f t="shared" si="5"/>
        <v>7.2459480401772108E-3</v>
      </c>
      <c r="AE11" s="396">
        <f t="shared" si="6"/>
        <v>1.6116566290368429E-4</v>
      </c>
      <c r="AF11" s="397">
        <f t="shared" si="7"/>
        <v>9.5684077777138058E-3</v>
      </c>
      <c r="AG11" s="4"/>
      <c r="AH11" s="411">
        <f t="shared" si="8"/>
        <v>1987</v>
      </c>
      <c r="AI11" s="412">
        <f t="shared" si="9"/>
        <v>9.8000000000000007</v>
      </c>
      <c r="AJ11" s="413">
        <f t="shared" si="16"/>
        <v>1148319</v>
      </c>
      <c r="AK11" s="414">
        <f t="shared" si="17"/>
        <v>1833</v>
      </c>
      <c r="AL11" s="414">
        <f t="shared" si="17"/>
        <v>119971</v>
      </c>
      <c r="AM11" s="412">
        <f t="shared" si="11"/>
        <v>121804</v>
      </c>
      <c r="AN11" s="413">
        <f>L11</f>
        <v>56801</v>
      </c>
      <c r="AO11" s="70"/>
      <c r="AP11" s="4"/>
      <c r="AQ11" s="4"/>
      <c r="AR11" s="71"/>
      <c r="AS11" s="4"/>
      <c r="AT11" s="4"/>
      <c r="AU11" s="4"/>
      <c r="AV11" s="4"/>
      <c r="AW11" s="4">
        <v>7</v>
      </c>
      <c r="AX11" s="415">
        <f t="shared" si="12"/>
        <v>121804</v>
      </c>
      <c r="AY11" s="383">
        <f t="shared" si="13"/>
        <v>1148319</v>
      </c>
      <c r="BA11">
        <v>311814</v>
      </c>
      <c r="BB11">
        <v>87</v>
      </c>
      <c r="BC11">
        <v>1989</v>
      </c>
      <c r="BD11" t="s">
        <v>214</v>
      </c>
      <c r="BE11" t="s">
        <v>215</v>
      </c>
      <c r="BF11" t="s">
        <v>216</v>
      </c>
    </row>
    <row r="12" spans="1:58">
      <c r="A12" s="418">
        <f>A11</f>
        <v>1987</v>
      </c>
      <c r="B12" s="77" t="s">
        <v>77</v>
      </c>
      <c r="C12" s="77">
        <v>1989</v>
      </c>
      <c r="D12" s="77" t="s">
        <v>220</v>
      </c>
      <c r="E12" s="77" t="s">
        <v>213</v>
      </c>
      <c r="F12" s="77">
        <v>7.85</v>
      </c>
      <c r="G12" s="77">
        <v>311815</v>
      </c>
      <c r="H12" s="77">
        <v>1209878</v>
      </c>
      <c r="I12" s="77"/>
      <c r="J12" s="77">
        <v>995</v>
      </c>
      <c r="K12" s="77">
        <v>107984</v>
      </c>
      <c r="L12" s="77">
        <v>73924</v>
      </c>
      <c r="M12" s="77"/>
      <c r="N12" s="77"/>
      <c r="O12" s="77"/>
      <c r="P12" s="77"/>
      <c r="Q12" s="77"/>
      <c r="R12" s="424">
        <f t="shared" si="14"/>
        <v>8.2239696895058836E-4</v>
      </c>
      <c r="S12" s="424">
        <f t="shared" si="14"/>
        <v>8.9251974165990289E-2</v>
      </c>
      <c r="T12" s="398">
        <f t="shared" si="14"/>
        <v>6.1100375409752057E-2</v>
      </c>
      <c r="U12" s="424">
        <f>J12/$H12</f>
        <v>8.2239696895058836E-4</v>
      </c>
      <c r="V12" s="424">
        <f>(+J12+K12)/$H12</f>
        <v>9.0074371134940878E-2</v>
      </c>
      <c r="W12" s="398">
        <f>(+J12+K12+L12)/$H12</f>
        <v>0.15117474654469293</v>
      </c>
      <c r="X12" s="395">
        <f t="shared" si="1"/>
        <v>8.1250668930492849E-5</v>
      </c>
      <c r="Y12" s="396">
        <f t="shared" si="2"/>
        <v>5.6995448166139269E-5</v>
      </c>
      <c r="Z12" s="397">
        <f t="shared" si="3"/>
        <v>8.9987445999390597E-4</v>
      </c>
      <c r="AA12" s="435">
        <f t="shared" si="15"/>
        <v>5.4400419894698286E-3</v>
      </c>
      <c r="AB12" s="406">
        <f t="shared" si="15"/>
        <v>0.59038944139789939</v>
      </c>
      <c r="AC12" s="403">
        <f t="shared" si="15"/>
        <v>0.40417051661263076</v>
      </c>
      <c r="AD12" s="395">
        <f t="shared" si="5"/>
        <v>8.0902762901552908E-3</v>
      </c>
      <c r="AE12" s="396">
        <f t="shared" si="6"/>
        <v>8.8391926729598294E-3</v>
      </c>
      <c r="AF12" s="397">
        <f t="shared" si="7"/>
        <v>3.384236474191795E-2</v>
      </c>
      <c r="AG12" s="4"/>
      <c r="AH12" s="411">
        <f t="shared" si="8"/>
        <v>1987</v>
      </c>
      <c r="AI12" s="412">
        <f t="shared" si="9"/>
        <v>7.85</v>
      </c>
      <c r="AJ12" s="413">
        <f t="shared" si="16"/>
        <v>1209878</v>
      </c>
      <c r="AK12" s="414">
        <f t="shared" si="17"/>
        <v>995</v>
      </c>
      <c r="AL12" s="414">
        <f t="shared" si="17"/>
        <v>107984</v>
      </c>
      <c r="AM12" s="412">
        <f t="shared" si="11"/>
        <v>108979</v>
      </c>
      <c r="AN12" s="413">
        <f>L12</f>
        <v>73924</v>
      </c>
      <c r="AO12" s="70" t="s">
        <v>112</v>
      </c>
      <c r="AP12" s="4"/>
      <c r="AQ12" s="4">
        <v>1.7234742938821681</v>
      </c>
      <c r="AR12" s="71">
        <v>0.12611835758668427</v>
      </c>
      <c r="AS12" s="4"/>
      <c r="AT12" s="4"/>
      <c r="AU12" s="4"/>
      <c r="AV12" s="4"/>
      <c r="AW12" s="4">
        <v>8</v>
      </c>
      <c r="AX12" s="415">
        <f t="shared" si="12"/>
        <v>108979</v>
      </c>
      <c r="AY12" s="383">
        <f t="shared" si="13"/>
        <v>1209878</v>
      </c>
      <c r="BA12">
        <v>311815</v>
      </c>
      <c r="BB12">
        <v>87</v>
      </c>
      <c r="BC12">
        <v>1989</v>
      </c>
      <c r="BD12" t="s">
        <v>214</v>
      </c>
      <c r="BE12" t="s">
        <v>215</v>
      </c>
      <c r="BF12" t="s">
        <v>216</v>
      </c>
    </row>
    <row r="13" spans="1:58">
      <c r="A13" s="419">
        <f>A12+1</f>
        <v>1988</v>
      </c>
      <c r="B13" s="68" t="s">
        <v>77</v>
      </c>
      <c r="C13" s="68">
        <v>1990</v>
      </c>
      <c r="D13" s="72" t="s">
        <v>222</v>
      </c>
      <c r="E13" s="72" t="s">
        <v>213</v>
      </c>
      <c r="F13" s="72">
        <v>13.35</v>
      </c>
      <c r="G13" s="72">
        <v>311841</v>
      </c>
      <c r="H13" s="72">
        <v>642752</v>
      </c>
      <c r="I13" s="72"/>
      <c r="J13" s="72"/>
      <c r="K13" s="72">
        <v>11387</v>
      </c>
      <c r="L13" s="72">
        <v>83000</v>
      </c>
      <c r="M13" s="72">
        <v>8138</v>
      </c>
      <c r="N13" s="72"/>
      <c r="O13" s="72"/>
      <c r="P13" s="72"/>
      <c r="Q13" s="72"/>
      <c r="R13" s="423">
        <f t="shared" ref="R13:T20" si="18">K13/$H13</f>
        <v>1.7716008662750173E-2</v>
      </c>
      <c r="S13" s="423">
        <f t="shared" si="18"/>
        <v>0.12913223140495866</v>
      </c>
      <c r="T13" s="394">
        <f t="shared" si="18"/>
        <v>1.266118191775366E-2</v>
      </c>
      <c r="U13" s="423">
        <f t="shared" ref="U13:U20" si="19">K13/$H13</f>
        <v>1.7716008662750173E-2</v>
      </c>
      <c r="V13" s="423">
        <f t="shared" ref="V13:V20" si="20">(+K13+L13)/$H13</f>
        <v>0.14684824006770886</v>
      </c>
      <c r="W13" s="394">
        <f t="shared" ref="W13:W20" si="21">SUM(K13:M13)/H13</f>
        <v>0.1595094219854625</v>
      </c>
      <c r="X13" s="395">
        <f t="shared" si="1"/>
        <v>6.2089615350317069E-5</v>
      </c>
      <c r="Y13" s="396">
        <f t="shared" si="2"/>
        <v>2.4230352503167695E-3</v>
      </c>
      <c r="Z13" s="397">
        <f t="shared" si="3"/>
        <v>1.4693869220865077E-3</v>
      </c>
      <c r="AA13" s="434">
        <f t="shared" ref="AA13:AC20" si="22">K13/SUM($K13:$M13)</f>
        <v>0.1110655937576201</v>
      </c>
      <c r="AB13" s="405">
        <f t="shared" si="22"/>
        <v>0.80955864423311386</v>
      </c>
      <c r="AC13" s="402">
        <f t="shared" si="22"/>
        <v>7.9375762009266035E-2</v>
      </c>
      <c r="AD13" s="395">
        <f t="shared" si="5"/>
        <v>2.4584949868110511E-4</v>
      </c>
      <c r="AE13" s="396">
        <f t="shared" si="6"/>
        <v>1.566307868805606E-2</v>
      </c>
      <c r="AF13" s="397">
        <f t="shared" si="7"/>
        <v>1.9833598895604973E-2</v>
      </c>
      <c r="AG13" s="4"/>
      <c r="AH13" s="411">
        <f t="shared" si="8"/>
        <v>1988</v>
      </c>
      <c r="AI13" s="412">
        <f t="shared" si="9"/>
        <v>13.35</v>
      </c>
      <c r="AJ13" s="413">
        <f t="shared" si="16"/>
        <v>642752</v>
      </c>
      <c r="AK13" s="414">
        <f t="shared" ref="AK13:AL20" si="23">K13</f>
        <v>11387</v>
      </c>
      <c r="AL13" s="414">
        <f t="shared" si="23"/>
        <v>83000</v>
      </c>
      <c r="AM13" s="412">
        <f t="shared" si="11"/>
        <v>94387</v>
      </c>
      <c r="AN13" s="413">
        <f t="shared" ref="AN13:AN20" si="24">M13</f>
        <v>8138</v>
      </c>
      <c r="AO13" s="70" t="s">
        <v>113</v>
      </c>
      <c r="AP13" s="4"/>
      <c r="AQ13" s="4">
        <v>1.4397880696636021</v>
      </c>
      <c r="AR13" s="71">
        <v>1.2432977054752818E-2</v>
      </c>
      <c r="BA13">
        <v>311841</v>
      </c>
      <c r="BB13">
        <v>88</v>
      </c>
      <c r="BC13">
        <v>1990</v>
      </c>
      <c r="BD13" t="s">
        <v>214</v>
      </c>
      <c r="BE13" t="s">
        <v>215</v>
      </c>
      <c r="BF13" t="s">
        <v>216</v>
      </c>
    </row>
    <row r="14" spans="1:58">
      <c r="A14" s="420">
        <f t="shared" ref="A14:A20" si="25">A13</f>
        <v>1988</v>
      </c>
      <c r="B14" s="80" t="s">
        <v>77</v>
      </c>
      <c r="C14" s="80">
        <v>1990</v>
      </c>
      <c r="D14" s="76" t="s">
        <v>223</v>
      </c>
      <c r="E14" s="76" t="s">
        <v>213</v>
      </c>
      <c r="F14" s="76">
        <v>15.6</v>
      </c>
      <c r="G14" s="76">
        <v>311842</v>
      </c>
      <c r="H14" s="76">
        <v>76935</v>
      </c>
      <c r="I14" s="76"/>
      <c r="J14" s="76"/>
      <c r="K14" s="76">
        <v>2002</v>
      </c>
      <c r="L14" s="76">
        <v>10595</v>
      </c>
      <c r="M14" s="76">
        <v>691</v>
      </c>
      <c r="N14" s="76"/>
      <c r="O14" s="76"/>
      <c r="P14" s="76"/>
      <c r="Q14" s="76"/>
      <c r="R14" s="423">
        <f t="shared" si="18"/>
        <v>2.6021966595177748E-2</v>
      </c>
      <c r="S14" s="423">
        <f t="shared" si="18"/>
        <v>0.13771365438357056</v>
      </c>
      <c r="T14" s="394">
        <f t="shared" si="18"/>
        <v>8.9816078507831288E-3</v>
      </c>
      <c r="U14" s="423">
        <f t="shared" si="19"/>
        <v>2.6021966595177748E-2</v>
      </c>
      <c r="V14" s="423">
        <f t="shared" si="20"/>
        <v>0.1637356209787483</v>
      </c>
      <c r="W14" s="394">
        <f t="shared" si="21"/>
        <v>0.17271722882953142</v>
      </c>
      <c r="X14" s="395">
        <f t="shared" si="1"/>
        <v>2.6197540615680297E-4</v>
      </c>
      <c r="Y14" s="396">
        <f t="shared" si="2"/>
        <v>4.3707591071178156E-3</v>
      </c>
      <c r="Z14" s="397">
        <f t="shared" si="3"/>
        <v>2.6564117888210003E-3</v>
      </c>
      <c r="AA14" s="434">
        <f t="shared" si="22"/>
        <v>0.15066225165562913</v>
      </c>
      <c r="AB14" s="405">
        <f t="shared" si="22"/>
        <v>0.79733594220349191</v>
      </c>
      <c r="AC14" s="402">
        <f t="shared" si="22"/>
        <v>5.2001806140878987E-2</v>
      </c>
      <c r="AD14" s="395">
        <f t="shared" si="5"/>
        <v>3.0554634269645514E-3</v>
      </c>
      <c r="AE14" s="396">
        <f t="shared" si="6"/>
        <v>1.2753076495645525E-2</v>
      </c>
      <c r="AF14" s="397">
        <f t="shared" si="7"/>
        <v>2.8293179895589004E-2</v>
      </c>
      <c r="AG14" s="4"/>
      <c r="AH14" s="411">
        <f t="shared" si="8"/>
        <v>1988</v>
      </c>
      <c r="AI14" s="412">
        <f t="shared" si="9"/>
        <v>15.6</v>
      </c>
      <c r="AJ14" s="413">
        <f t="shared" si="16"/>
        <v>76935</v>
      </c>
      <c r="AK14" s="414">
        <f t="shared" si="23"/>
        <v>2002</v>
      </c>
      <c r="AL14" s="414">
        <f t="shared" si="23"/>
        <v>10595</v>
      </c>
      <c r="AM14" s="412">
        <f t="shared" si="11"/>
        <v>12597</v>
      </c>
      <c r="AN14" s="413">
        <f t="shared" si="24"/>
        <v>691</v>
      </c>
      <c r="AO14" s="70"/>
      <c r="AP14" s="4"/>
      <c r="AQ14" s="4"/>
      <c r="AR14" s="71"/>
      <c r="BA14">
        <v>311842</v>
      </c>
      <c r="BB14">
        <v>88</v>
      </c>
      <c r="BC14">
        <v>1990</v>
      </c>
      <c r="BD14" t="s">
        <v>214</v>
      </c>
      <c r="BE14" t="s">
        <v>215</v>
      </c>
      <c r="BF14" t="s">
        <v>216</v>
      </c>
    </row>
    <row r="15" spans="1:58">
      <c r="A15" s="420">
        <f t="shared" si="25"/>
        <v>1988</v>
      </c>
      <c r="B15" s="80" t="s">
        <v>77</v>
      </c>
      <c r="C15" s="80">
        <v>1990</v>
      </c>
      <c r="D15" s="76" t="s">
        <v>224</v>
      </c>
      <c r="E15" s="76" t="s">
        <v>213</v>
      </c>
      <c r="F15" s="76">
        <v>13.5</v>
      </c>
      <c r="G15" s="76">
        <v>311843</v>
      </c>
      <c r="H15" s="76">
        <v>90775</v>
      </c>
      <c r="I15" s="76"/>
      <c r="J15" s="76"/>
      <c r="K15" s="76">
        <v>1622</v>
      </c>
      <c r="L15" s="76">
        <v>8414</v>
      </c>
      <c r="M15" s="76">
        <v>1360</v>
      </c>
      <c r="N15" s="76"/>
      <c r="O15" s="76"/>
      <c r="P15" s="76"/>
      <c r="Q15" s="76"/>
      <c r="R15" s="423">
        <f t="shared" si="18"/>
        <v>1.7868355824841642E-2</v>
      </c>
      <c r="S15" s="423">
        <f t="shared" si="18"/>
        <v>9.2690718810245112E-2</v>
      </c>
      <c r="T15" s="394">
        <f t="shared" si="18"/>
        <v>1.4982098595428256E-2</v>
      </c>
      <c r="U15" s="423">
        <f t="shared" si="19"/>
        <v>1.7868355824841642E-2</v>
      </c>
      <c r="V15" s="423">
        <f t="shared" si="20"/>
        <v>0.11055907463508675</v>
      </c>
      <c r="W15" s="394">
        <f t="shared" si="21"/>
        <v>0.125541173230515</v>
      </c>
      <c r="X15" s="395">
        <f t="shared" si="1"/>
        <v>6.4513723777365919E-5</v>
      </c>
      <c r="Y15" s="396">
        <f t="shared" si="2"/>
        <v>1.673186364708655E-4</v>
      </c>
      <c r="Z15" s="397">
        <f t="shared" si="3"/>
        <v>1.9047413702500977E-5</v>
      </c>
      <c r="AA15" s="434">
        <f t="shared" si="22"/>
        <v>0.14233064233064233</v>
      </c>
      <c r="AB15" s="405">
        <f t="shared" si="22"/>
        <v>0.73832923832923836</v>
      </c>
      <c r="AC15" s="402">
        <f t="shared" si="22"/>
        <v>0.11934011934011934</v>
      </c>
      <c r="AD15" s="395">
        <f t="shared" si="5"/>
        <v>2.2037989593541711E-3</v>
      </c>
      <c r="AE15" s="396">
        <f t="shared" si="6"/>
        <v>2.9076701028537088E-3</v>
      </c>
      <c r="AF15" s="397">
        <f t="shared" si="7"/>
        <v>1.0174243142418909E-2</v>
      </c>
      <c r="AG15" s="4"/>
      <c r="AH15" s="411">
        <f t="shared" si="8"/>
        <v>1988</v>
      </c>
      <c r="AI15" s="412">
        <f t="shared" si="9"/>
        <v>13.5</v>
      </c>
      <c r="AJ15" s="413">
        <f t="shared" si="16"/>
        <v>90775</v>
      </c>
      <c r="AK15" s="414">
        <f t="shared" si="23"/>
        <v>1622</v>
      </c>
      <c r="AL15" s="414">
        <f t="shared" si="23"/>
        <v>8414</v>
      </c>
      <c r="AM15" s="412">
        <f t="shared" si="11"/>
        <v>10036</v>
      </c>
      <c r="AN15" s="413">
        <f t="shared" si="24"/>
        <v>1360</v>
      </c>
      <c r="AO15" s="70" t="s">
        <v>225</v>
      </c>
      <c r="AP15" s="4"/>
      <c r="AQ15" s="4"/>
      <c r="AR15" s="71"/>
      <c r="BA15">
        <v>311843</v>
      </c>
      <c r="BB15">
        <v>88</v>
      </c>
      <c r="BC15">
        <v>1990</v>
      </c>
      <c r="BD15" t="s">
        <v>214</v>
      </c>
      <c r="BE15" t="s">
        <v>215</v>
      </c>
      <c r="BF15" t="s">
        <v>216</v>
      </c>
    </row>
    <row r="16" spans="1:58">
      <c r="A16" s="420">
        <f t="shared" si="25"/>
        <v>1988</v>
      </c>
      <c r="B16" s="80" t="s">
        <v>77</v>
      </c>
      <c r="C16" s="80">
        <v>1990</v>
      </c>
      <c r="D16" s="76" t="s">
        <v>226</v>
      </c>
      <c r="E16" s="76" t="s">
        <v>213</v>
      </c>
      <c r="F16" s="76">
        <v>11.92</v>
      </c>
      <c r="G16" s="76">
        <v>311844</v>
      </c>
      <c r="H16" s="76">
        <v>461915</v>
      </c>
      <c r="I16" s="76"/>
      <c r="J16" s="76"/>
      <c r="K16" s="76">
        <v>11794</v>
      </c>
      <c r="L16" s="76">
        <v>46116</v>
      </c>
      <c r="M16" s="76">
        <v>4020</v>
      </c>
      <c r="N16" s="76"/>
      <c r="O16" s="76"/>
      <c r="P16" s="76"/>
      <c r="Q16" s="76"/>
      <c r="R16" s="423">
        <f t="shared" si="18"/>
        <v>2.5532836127859022E-2</v>
      </c>
      <c r="S16" s="423">
        <f t="shared" si="18"/>
        <v>9.9836550014613085E-2</v>
      </c>
      <c r="T16" s="394">
        <f t="shared" si="18"/>
        <v>8.7028998841778248E-3</v>
      </c>
      <c r="U16" s="423">
        <f t="shared" si="19"/>
        <v>2.5532836127859022E-2</v>
      </c>
      <c r="V16" s="423">
        <f t="shared" si="20"/>
        <v>0.12536938614247209</v>
      </c>
      <c r="W16" s="394">
        <f t="shared" si="21"/>
        <v>0.13407228602664992</v>
      </c>
      <c r="X16" s="395">
        <f t="shared" si="1"/>
        <v>2.4638086143626659E-4</v>
      </c>
      <c r="Y16" s="396">
        <f t="shared" si="2"/>
        <v>7.6981177312369768E-4</v>
      </c>
      <c r="Z16" s="397">
        <f t="shared" si="3"/>
        <v>1.6629255527838015E-4</v>
      </c>
      <c r="AA16" s="434">
        <f t="shared" si="22"/>
        <v>0.19044082028096238</v>
      </c>
      <c r="AB16" s="405">
        <f t="shared" si="22"/>
        <v>0.74464718230259974</v>
      </c>
      <c r="AC16" s="402">
        <f t="shared" si="22"/>
        <v>6.4911997416437911E-2</v>
      </c>
      <c r="AD16" s="395">
        <f t="shared" si="5"/>
        <v>9.0354178782288998E-3</v>
      </c>
      <c r="AE16" s="396">
        <f t="shared" si="6"/>
        <v>3.6289491817005125E-3</v>
      </c>
      <c r="AF16" s="397">
        <f t="shared" si="7"/>
        <v>2.4116715695125718E-2</v>
      </c>
      <c r="AG16" s="4"/>
      <c r="AH16" s="411">
        <f t="shared" si="8"/>
        <v>1988</v>
      </c>
      <c r="AI16" s="412">
        <f t="shared" si="9"/>
        <v>11.92</v>
      </c>
      <c r="AJ16" s="413">
        <f t="shared" si="16"/>
        <v>461915</v>
      </c>
      <c r="AK16" s="414">
        <f t="shared" si="23"/>
        <v>11794</v>
      </c>
      <c r="AL16" s="414">
        <f t="shared" si="23"/>
        <v>46116</v>
      </c>
      <c r="AM16" s="412">
        <f t="shared" si="11"/>
        <v>57910</v>
      </c>
      <c r="AN16" s="413">
        <f t="shared" si="24"/>
        <v>4020</v>
      </c>
      <c r="AO16" s="70"/>
      <c r="AP16" s="4" t="s">
        <v>106</v>
      </c>
      <c r="AQ16" s="4"/>
      <c r="AR16" s="71"/>
      <c r="BA16">
        <v>311844</v>
      </c>
      <c r="BB16">
        <v>88</v>
      </c>
      <c r="BC16">
        <v>1990</v>
      </c>
      <c r="BD16" t="s">
        <v>214</v>
      </c>
      <c r="BE16" t="s">
        <v>215</v>
      </c>
      <c r="BF16" t="s">
        <v>216</v>
      </c>
    </row>
    <row r="17" spans="1:58">
      <c r="A17" s="420">
        <f t="shared" si="25"/>
        <v>1988</v>
      </c>
      <c r="B17" s="80" t="s">
        <v>77</v>
      </c>
      <c r="C17" s="80">
        <v>1990</v>
      </c>
      <c r="D17" s="76" t="s">
        <v>227</v>
      </c>
      <c r="E17" s="76" t="s">
        <v>213</v>
      </c>
      <c r="F17" s="76">
        <v>13.35</v>
      </c>
      <c r="G17" s="76">
        <v>311845</v>
      </c>
      <c r="H17" s="76">
        <v>848544</v>
      </c>
      <c r="I17" s="76"/>
      <c r="J17" s="76"/>
      <c r="K17" s="76">
        <v>23297</v>
      </c>
      <c r="L17" s="76">
        <v>76550</v>
      </c>
      <c r="M17" s="76">
        <v>17005</v>
      </c>
      <c r="N17" s="76"/>
      <c r="O17" s="76"/>
      <c r="P17" s="76"/>
      <c r="Q17" s="76"/>
      <c r="R17" s="423">
        <f t="shared" si="18"/>
        <v>2.7455264547271561E-2</v>
      </c>
      <c r="S17" s="423">
        <f t="shared" si="18"/>
        <v>9.0213353697627938E-2</v>
      </c>
      <c r="T17" s="394">
        <f t="shared" si="18"/>
        <v>2.0040210053927671E-2</v>
      </c>
      <c r="U17" s="423">
        <f t="shared" si="19"/>
        <v>2.7455264547271561E-2</v>
      </c>
      <c r="V17" s="423">
        <f t="shared" si="20"/>
        <v>0.11766861824489949</v>
      </c>
      <c r="W17" s="394">
        <f t="shared" si="21"/>
        <v>0.13770882829882716</v>
      </c>
      <c r="X17" s="395">
        <f t="shared" si="1"/>
        <v>3.1042747959114772E-4</v>
      </c>
      <c r="Y17" s="396">
        <f t="shared" si="2"/>
        <v>4.0179056468443329E-4</v>
      </c>
      <c r="Z17" s="397">
        <f t="shared" si="3"/>
        <v>2.7330667179345573E-4</v>
      </c>
      <c r="AA17" s="434">
        <f t="shared" si="22"/>
        <v>0.19937185499606339</v>
      </c>
      <c r="AB17" s="405">
        <f t="shared" si="22"/>
        <v>0.65510218053606273</v>
      </c>
      <c r="AC17" s="402">
        <f t="shared" si="22"/>
        <v>0.14552596446787389</v>
      </c>
      <c r="AD17" s="395">
        <f t="shared" si="5"/>
        <v>1.0813056966728426E-2</v>
      </c>
      <c r="AE17" s="396">
        <f t="shared" si="6"/>
        <v>8.5873857757133804E-4</v>
      </c>
      <c r="AF17" s="397">
        <f t="shared" si="7"/>
        <v>5.5773426045171385E-3</v>
      </c>
      <c r="AG17" s="4"/>
      <c r="AH17" s="411">
        <f t="shared" si="8"/>
        <v>1988</v>
      </c>
      <c r="AI17" s="412">
        <f t="shared" si="9"/>
        <v>13.35</v>
      </c>
      <c r="AJ17" s="413">
        <f t="shared" si="16"/>
        <v>848544</v>
      </c>
      <c r="AK17" s="414">
        <f t="shared" si="23"/>
        <v>23297</v>
      </c>
      <c r="AL17" s="414">
        <f t="shared" si="23"/>
        <v>76550</v>
      </c>
      <c r="AM17" s="412">
        <f t="shared" si="11"/>
        <v>99847</v>
      </c>
      <c r="AN17" s="413">
        <f t="shared" si="24"/>
        <v>17005</v>
      </c>
      <c r="AO17" s="70" t="s">
        <v>107</v>
      </c>
      <c r="AP17" s="4"/>
      <c r="AQ17" s="4"/>
      <c r="AR17" s="71">
        <v>-2928.9043518934086</v>
      </c>
      <c r="BA17">
        <v>311845</v>
      </c>
      <c r="BB17">
        <v>88</v>
      </c>
      <c r="BC17">
        <v>1990</v>
      </c>
      <c r="BD17" t="s">
        <v>214</v>
      </c>
      <c r="BE17" t="s">
        <v>215</v>
      </c>
      <c r="BF17" t="s">
        <v>216</v>
      </c>
    </row>
    <row r="18" spans="1:58">
      <c r="A18" s="420">
        <f t="shared" si="25"/>
        <v>1988</v>
      </c>
      <c r="B18" s="80" t="s">
        <v>77</v>
      </c>
      <c r="C18" s="80">
        <v>1990</v>
      </c>
      <c r="D18" s="76" t="s">
        <v>228</v>
      </c>
      <c r="E18" s="76" t="s">
        <v>213</v>
      </c>
      <c r="F18" s="76">
        <v>16.850000000000001</v>
      </c>
      <c r="G18" s="76">
        <v>311846</v>
      </c>
      <c r="H18" s="76">
        <v>317793</v>
      </c>
      <c r="I18" s="76"/>
      <c r="J18" s="76"/>
      <c r="K18" s="76">
        <v>5986</v>
      </c>
      <c r="L18" s="76">
        <v>40631</v>
      </c>
      <c r="M18" s="76">
        <v>12607</v>
      </c>
      <c r="N18" s="76"/>
      <c r="O18" s="76"/>
      <c r="P18" s="76"/>
      <c r="Q18" s="76"/>
      <c r="R18" s="423">
        <f t="shared" si="18"/>
        <v>1.88361606454516E-2</v>
      </c>
      <c r="S18" s="423">
        <f t="shared" si="18"/>
        <v>0.12785366575097626</v>
      </c>
      <c r="T18" s="394">
        <f t="shared" si="18"/>
        <v>3.9670477323289058E-2</v>
      </c>
      <c r="U18" s="423">
        <f t="shared" si="19"/>
        <v>1.88361606454516E-2</v>
      </c>
      <c r="V18" s="423">
        <f t="shared" si="20"/>
        <v>0.14668982639642786</v>
      </c>
      <c r="W18" s="394">
        <f t="shared" si="21"/>
        <v>0.18636030371971693</v>
      </c>
      <c r="X18" s="395">
        <f t="shared" si="1"/>
        <v>8.0997270904925144E-5</v>
      </c>
      <c r="Y18" s="396">
        <f t="shared" si="2"/>
        <v>2.4074647296576752E-3</v>
      </c>
      <c r="Z18" s="397">
        <f t="shared" si="3"/>
        <v>4.2488840792418844E-3</v>
      </c>
      <c r="AA18" s="434">
        <f t="shared" si="22"/>
        <v>0.10107388896393354</v>
      </c>
      <c r="AB18" s="405">
        <f t="shared" si="22"/>
        <v>0.68605632851546672</v>
      </c>
      <c r="AC18" s="402">
        <f t="shared" si="22"/>
        <v>0.21286978252059977</v>
      </c>
      <c r="AD18" s="395">
        <f t="shared" si="5"/>
        <v>3.2352022199874329E-5</v>
      </c>
      <c r="AE18" s="396">
        <f t="shared" si="6"/>
        <v>2.722190958317736E-6</v>
      </c>
      <c r="AF18" s="397">
        <f t="shared" si="7"/>
        <v>5.3843164361258428E-5</v>
      </c>
      <c r="AG18" s="4"/>
      <c r="AH18" s="411">
        <f t="shared" si="8"/>
        <v>1988</v>
      </c>
      <c r="AI18" s="412">
        <f t="shared" si="9"/>
        <v>16.850000000000001</v>
      </c>
      <c r="AJ18" s="413">
        <f t="shared" si="16"/>
        <v>317793</v>
      </c>
      <c r="AK18" s="414">
        <f t="shared" si="23"/>
        <v>5986</v>
      </c>
      <c r="AL18" s="414">
        <f t="shared" si="23"/>
        <v>40631</v>
      </c>
      <c r="AM18" s="412">
        <f t="shared" si="11"/>
        <v>46617</v>
      </c>
      <c r="AN18" s="413">
        <f t="shared" si="24"/>
        <v>12607</v>
      </c>
      <c r="AO18" s="70" t="s">
        <v>108</v>
      </c>
      <c r="AP18" s="4"/>
      <c r="AQ18" s="4"/>
      <c r="AR18" s="71">
        <v>13218.331439883281</v>
      </c>
      <c r="BA18">
        <v>311846</v>
      </c>
      <c r="BB18">
        <v>88</v>
      </c>
      <c r="BC18">
        <v>1990</v>
      </c>
      <c r="BD18" t="s">
        <v>214</v>
      </c>
      <c r="BE18" t="s">
        <v>215</v>
      </c>
      <c r="BF18" t="s">
        <v>216</v>
      </c>
    </row>
    <row r="19" spans="1:58">
      <c r="A19" s="420">
        <f t="shared" si="25"/>
        <v>1988</v>
      </c>
      <c r="B19" s="80" t="s">
        <v>77</v>
      </c>
      <c r="C19" s="80">
        <v>1990</v>
      </c>
      <c r="D19" s="76" t="s">
        <v>229</v>
      </c>
      <c r="E19" s="76" t="s">
        <v>213</v>
      </c>
      <c r="F19" s="76">
        <v>16.5</v>
      </c>
      <c r="G19" s="76">
        <v>311847</v>
      </c>
      <c r="H19" s="76">
        <v>87147</v>
      </c>
      <c r="I19" s="76"/>
      <c r="J19" s="76"/>
      <c r="K19" s="76">
        <v>249</v>
      </c>
      <c r="L19" s="76">
        <v>12045</v>
      </c>
      <c r="M19" s="76">
        <v>2656</v>
      </c>
      <c r="N19" s="76"/>
      <c r="O19" s="76"/>
      <c r="P19" s="76"/>
      <c r="Q19" s="76"/>
      <c r="R19" s="423">
        <f t="shared" si="18"/>
        <v>2.8572412131226549E-3</v>
      </c>
      <c r="S19" s="423">
        <f t="shared" si="18"/>
        <v>0.13821474061069228</v>
      </c>
      <c r="T19" s="394">
        <f t="shared" si="18"/>
        <v>3.047723960664165E-2</v>
      </c>
      <c r="U19" s="423">
        <f t="shared" si="19"/>
        <v>2.8572412131226549E-3</v>
      </c>
      <c r="V19" s="423">
        <f t="shared" si="20"/>
        <v>0.14107198182381495</v>
      </c>
      <c r="W19" s="394">
        <f t="shared" si="21"/>
        <v>0.17154922143045659</v>
      </c>
      <c r="X19" s="395">
        <f t="shared" si="1"/>
        <v>4.870743272093552E-5</v>
      </c>
      <c r="Y19" s="396">
        <f t="shared" si="2"/>
        <v>1.8877354568839313E-3</v>
      </c>
      <c r="Z19" s="397">
        <f t="shared" si="3"/>
        <v>2.5373769166468691E-3</v>
      </c>
      <c r="AA19" s="434">
        <f t="shared" si="22"/>
        <v>1.6655518394648829E-2</v>
      </c>
      <c r="AB19" s="405">
        <f t="shared" si="22"/>
        <v>0.80568561872909694</v>
      </c>
      <c r="AC19" s="402">
        <f t="shared" si="22"/>
        <v>0.17765886287625418</v>
      </c>
      <c r="AD19" s="395">
        <f t="shared" si="5"/>
        <v>6.1984895458547812E-3</v>
      </c>
      <c r="AE19" s="396">
        <f t="shared" si="6"/>
        <v>1.4708643518718855E-2</v>
      </c>
      <c r="AF19" s="397">
        <f t="shared" si="7"/>
        <v>1.8103927056030958E-3</v>
      </c>
      <c r="AG19" s="4"/>
      <c r="AH19" s="411">
        <f t="shared" si="8"/>
        <v>1988</v>
      </c>
      <c r="AI19" s="412">
        <f t="shared" si="9"/>
        <v>16.5</v>
      </c>
      <c r="AJ19" s="413">
        <f t="shared" si="16"/>
        <v>87147</v>
      </c>
      <c r="AK19" s="414">
        <f t="shared" si="23"/>
        <v>249</v>
      </c>
      <c r="AL19" s="414">
        <f t="shared" si="23"/>
        <v>12045</v>
      </c>
      <c r="AM19" s="412">
        <f t="shared" si="11"/>
        <v>12294</v>
      </c>
      <c r="AN19" s="413">
        <f t="shared" si="24"/>
        <v>2656</v>
      </c>
      <c r="AO19" s="70" t="s">
        <v>109</v>
      </c>
      <c r="AP19" s="4"/>
      <c r="AQ19" s="4"/>
      <c r="AR19" s="71">
        <v>0.61240751067374466</v>
      </c>
      <c r="BA19">
        <v>311847</v>
      </c>
      <c r="BB19">
        <v>88</v>
      </c>
      <c r="BC19">
        <v>1990</v>
      </c>
      <c r="BD19" t="s">
        <v>214</v>
      </c>
      <c r="BE19" t="s">
        <v>215</v>
      </c>
      <c r="BF19" t="s">
        <v>216</v>
      </c>
    </row>
    <row r="20" spans="1:58">
      <c r="A20" s="421">
        <f t="shared" si="25"/>
        <v>1988</v>
      </c>
      <c r="B20" s="81" t="s">
        <v>77</v>
      </c>
      <c r="C20" s="81">
        <v>1990</v>
      </c>
      <c r="D20" s="77" t="s">
        <v>230</v>
      </c>
      <c r="E20" s="77" t="s">
        <v>213</v>
      </c>
      <c r="F20" s="77">
        <v>16.100000000000001</v>
      </c>
      <c r="G20" s="77">
        <v>311848</v>
      </c>
      <c r="H20" s="77">
        <v>96027</v>
      </c>
      <c r="I20" s="77"/>
      <c r="J20" s="77"/>
      <c r="K20" s="77">
        <v>1228</v>
      </c>
      <c r="L20" s="77">
        <v>15788</v>
      </c>
      <c r="M20" s="77">
        <v>2983</v>
      </c>
      <c r="N20" s="77">
        <v>23</v>
      </c>
      <c r="O20" s="77"/>
      <c r="P20" s="77"/>
      <c r="Q20" s="77"/>
      <c r="R20" s="424">
        <f t="shared" si="18"/>
        <v>1.2788070021972986E-2</v>
      </c>
      <c r="S20" s="424">
        <f t="shared" si="18"/>
        <v>0.16441209243233673</v>
      </c>
      <c r="T20" s="398">
        <f t="shared" si="18"/>
        <v>3.1064179866079331E-2</v>
      </c>
      <c r="U20" s="424">
        <f t="shared" si="19"/>
        <v>1.2788070021972986E-2</v>
      </c>
      <c r="V20" s="424">
        <f t="shared" si="20"/>
        <v>0.17720016245430972</v>
      </c>
      <c r="W20" s="398">
        <f t="shared" si="21"/>
        <v>0.20826434232038907</v>
      </c>
      <c r="X20" s="395">
        <f t="shared" si="1"/>
        <v>8.7128738669384523E-6</v>
      </c>
      <c r="Y20" s="396">
        <f t="shared" si="2"/>
        <v>6.3323808918206645E-3</v>
      </c>
      <c r="Z20" s="397">
        <f t="shared" si="3"/>
        <v>7.5842332430964155E-3</v>
      </c>
      <c r="AA20" s="435">
        <f t="shared" si="22"/>
        <v>6.1403070153507676E-2</v>
      </c>
      <c r="AB20" s="406">
        <f t="shared" si="22"/>
        <v>0.78943947197359865</v>
      </c>
      <c r="AC20" s="403">
        <f t="shared" si="22"/>
        <v>0.14915745787289364</v>
      </c>
      <c r="AD20" s="395">
        <f t="shared" si="5"/>
        <v>1.1548398714593658E-3</v>
      </c>
      <c r="AE20" s="396">
        <f t="shared" si="6"/>
        <v>1.1031941551650411E-2</v>
      </c>
      <c r="AF20" s="397">
        <f t="shared" si="7"/>
        <v>5.0481188135013799E-3</v>
      </c>
      <c r="AG20" s="4"/>
      <c r="AH20" s="411">
        <f t="shared" si="8"/>
        <v>1988</v>
      </c>
      <c r="AI20" s="412">
        <f t="shared" si="9"/>
        <v>16.100000000000001</v>
      </c>
      <c r="AJ20" s="413">
        <f t="shared" si="16"/>
        <v>96027</v>
      </c>
      <c r="AK20" s="414">
        <f t="shared" si="23"/>
        <v>1228</v>
      </c>
      <c r="AL20" s="414">
        <f t="shared" si="23"/>
        <v>15788</v>
      </c>
      <c r="AM20" s="412">
        <f t="shared" si="11"/>
        <v>17016</v>
      </c>
      <c r="AN20" s="413">
        <f t="shared" si="24"/>
        <v>2983</v>
      </c>
      <c r="AO20" s="70" t="s">
        <v>110</v>
      </c>
      <c r="AP20" s="4"/>
      <c r="AQ20" s="4"/>
      <c r="AR20" s="71">
        <v>20</v>
      </c>
      <c r="BA20">
        <v>311848</v>
      </c>
      <c r="BB20">
        <v>88</v>
      </c>
      <c r="BC20">
        <v>1990</v>
      </c>
      <c r="BD20" t="s">
        <v>214</v>
      </c>
      <c r="BE20" t="s">
        <v>215</v>
      </c>
      <c r="BF20" t="s">
        <v>216</v>
      </c>
    </row>
    <row r="21" spans="1:58">
      <c r="A21" s="72">
        <v>1989</v>
      </c>
      <c r="B21" s="72" t="s">
        <v>77</v>
      </c>
      <c r="C21" s="72">
        <v>1991</v>
      </c>
      <c r="D21" s="72" t="s">
        <v>231</v>
      </c>
      <c r="E21" s="72" t="s">
        <v>213</v>
      </c>
      <c r="F21" s="72">
        <v>7.8</v>
      </c>
      <c r="G21" s="72">
        <v>311922</v>
      </c>
      <c r="H21" s="72">
        <v>447033</v>
      </c>
      <c r="I21" s="72"/>
      <c r="J21" s="72"/>
      <c r="K21" s="72"/>
      <c r="L21" s="72">
        <v>170</v>
      </c>
      <c r="M21" s="72">
        <v>18110</v>
      </c>
      <c r="N21" s="72">
        <v>8466</v>
      </c>
      <c r="O21" s="72"/>
      <c r="P21" s="72"/>
      <c r="Q21" s="72"/>
      <c r="R21" s="431">
        <f t="shared" ref="R21:R29" si="26">L21/$H21</f>
        <v>3.8028512436442052E-4</v>
      </c>
      <c r="S21" s="422">
        <f t="shared" ref="S21:S29" si="27">M21/$H21</f>
        <v>4.0511550601409742E-2</v>
      </c>
      <c r="T21" s="422">
        <f t="shared" ref="T21:T29" si="28">N21/$H21</f>
        <v>1.8938199193348142E-2</v>
      </c>
      <c r="U21" s="431">
        <f t="shared" ref="U21:U29" si="29">L21/$H21</f>
        <v>3.8028512436442052E-4</v>
      </c>
      <c r="V21" s="423">
        <f t="shared" ref="V21:V29" si="30">SUM(L21:M21)/$H21</f>
        <v>4.0891835725774157E-2</v>
      </c>
      <c r="W21" s="399">
        <f t="shared" ref="W21:W29" si="31">SUM(L21:N21)/$H21</f>
        <v>5.9830034919122303E-2</v>
      </c>
      <c r="X21" s="395">
        <f t="shared" si="1"/>
        <v>8.9416449248915181E-5</v>
      </c>
      <c r="Y21" s="396">
        <f t="shared" si="2"/>
        <v>3.2185275833375949E-3</v>
      </c>
      <c r="Z21" s="397">
        <f t="shared" si="3"/>
        <v>3.7634303649375363E-3</v>
      </c>
      <c r="AA21" s="436">
        <f t="shared" ref="AA21:AA29" si="32">L21/SUM($L21:$N21)</f>
        <v>6.3560906303746353E-3</v>
      </c>
      <c r="AB21" s="428">
        <f t="shared" ref="AB21:AB29" si="33">M21/SUM($L21:$N21)</f>
        <v>0.67711059597696854</v>
      </c>
      <c r="AC21" s="402">
        <f t="shared" ref="AC21:AC29" si="34">N21/SUM($L21:$N21)</f>
        <v>0.31653331339265683</v>
      </c>
      <c r="AD21" s="395">
        <f t="shared" si="5"/>
        <v>7.9263256806386059E-3</v>
      </c>
      <c r="AE21" s="396">
        <f t="shared" si="6"/>
        <v>5.3229079796886941E-5</v>
      </c>
      <c r="AF21" s="397">
        <f t="shared" si="7"/>
        <v>9.2786483246576294E-3</v>
      </c>
      <c r="AG21" s="4"/>
      <c r="AH21" s="411">
        <f t="shared" si="8"/>
        <v>1989</v>
      </c>
      <c r="AI21" s="412">
        <f t="shared" si="9"/>
        <v>7.8</v>
      </c>
      <c r="AJ21" s="413">
        <f t="shared" si="16"/>
        <v>447033</v>
      </c>
      <c r="AK21" s="414">
        <f t="shared" ref="AK21:AL24" si="35">L21</f>
        <v>170</v>
      </c>
      <c r="AL21" s="414">
        <f t="shared" si="35"/>
        <v>18110</v>
      </c>
      <c r="AM21" s="412">
        <f t="shared" si="11"/>
        <v>18280</v>
      </c>
      <c r="AN21" s="413">
        <f>N21</f>
        <v>8466</v>
      </c>
      <c r="AO21" s="70" t="s">
        <v>111</v>
      </c>
      <c r="AP21" s="4"/>
      <c r="AQ21" s="4"/>
      <c r="AR21" s="71">
        <v>18</v>
      </c>
      <c r="BA21">
        <v>311919</v>
      </c>
      <c r="BB21">
        <v>89</v>
      </c>
      <c r="BC21">
        <v>1991</v>
      </c>
      <c r="BD21" t="s">
        <v>214</v>
      </c>
      <c r="BE21" t="s">
        <v>232</v>
      </c>
      <c r="BF21" t="s">
        <v>233</v>
      </c>
    </row>
    <row r="22" spans="1:58">
      <c r="A22" s="76">
        <v>1989</v>
      </c>
      <c r="B22" s="76" t="s">
        <v>77</v>
      </c>
      <c r="C22" s="76">
        <v>1991</v>
      </c>
      <c r="D22" s="76" t="s">
        <v>234</v>
      </c>
      <c r="E22" s="76" t="s">
        <v>213</v>
      </c>
      <c r="F22" s="76">
        <v>6.2</v>
      </c>
      <c r="G22" s="76">
        <v>311923</v>
      </c>
      <c r="H22" s="76">
        <v>390090</v>
      </c>
      <c r="I22" s="76"/>
      <c r="J22" s="76"/>
      <c r="K22" s="76"/>
      <c r="L22" s="76">
        <v>339</v>
      </c>
      <c r="M22" s="76">
        <v>13211</v>
      </c>
      <c r="N22" s="76">
        <v>7312</v>
      </c>
      <c r="O22" s="76"/>
      <c r="P22" s="76"/>
      <c r="Q22" s="76"/>
      <c r="R22" s="432">
        <f t="shared" si="26"/>
        <v>8.6903022379450899E-4</v>
      </c>
      <c r="S22" s="423">
        <f t="shared" si="27"/>
        <v>3.3866543618139407E-2</v>
      </c>
      <c r="T22" s="423">
        <f t="shared" si="28"/>
        <v>1.8744392319721088E-2</v>
      </c>
      <c r="U22" s="432">
        <f t="shared" si="29"/>
        <v>8.6903022379450899E-4</v>
      </c>
      <c r="V22" s="423">
        <f t="shared" si="30"/>
        <v>3.473557384193391E-2</v>
      </c>
      <c r="W22" s="394">
        <f t="shared" si="31"/>
        <v>5.3479966161655006E-2</v>
      </c>
      <c r="X22" s="395">
        <f t="shared" si="1"/>
        <v>8.0412147172840987E-5</v>
      </c>
      <c r="Y22" s="396">
        <f t="shared" si="2"/>
        <v>3.9549420841105618E-3</v>
      </c>
      <c r="Z22" s="397">
        <f t="shared" si="3"/>
        <v>4.5828665854699231E-3</v>
      </c>
      <c r="AA22" s="434">
        <f t="shared" si="32"/>
        <v>1.6249640494679321E-2</v>
      </c>
      <c r="AB22" s="405">
        <f t="shared" si="33"/>
        <v>0.63325663886492189</v>
      </c>
      <c r="AC22" s="405">
        <f t="shared" si="34"/>
        <v>0.3504937206403988</v>
      </c>
      <c r="AD22" s="395">
        <f t="shared" si="5"/>
        <v>6.2625642119859192E-3</v>
      </c>
      <c r="AE22" s="396">
        <f t="shared" si="6"/>
        <v>2.6163003318617332E-3</v>
      </c>
      <c r="AF22" s="397">
        <f t="shared" si="7"/>
        <v>1.697448035146212E-2</v>
      </c>
      <c r="AG22" s="4"/>
      <c r="AH22" s="411">
        <f t="shared" si="8"/>
        <v>1989</v>
      </c>
      <c r="AI22" s="412">
        <f t="shared" si="9"/>
        <v>6.2</v>
      </c>
      <c r="AJ22" s="413">
        <f t="shared" si="16"/>
        <v>390090</v>
      </c>
      <c r="AK22" s="414">
        <f t="shared" si="35"/>
        <v>339</v>
      </c>
      <c r="AL22" s="414">
        <f t="shared" si="35"/>
        <v>13211</v>
      </c>
      <c r="AM22" s="412">
        <f t="shared" si="11"/>
        <v>13550</v>
      </c>
      <c r="AN22" s="413">
        <f>N22</f>
        <v>7312</v>
      </c>
      <c r="AO22" s="70"/>
      <c r="AP22" s="4"/>
      <c r="AQ22" s="4"/>
      <c r="AR22" s="71"/>
      <c r="BA22">
        <v>311920</v>
      </c>
      <c r="BB22">
        <v>89</v>
      </c>
      <c r="BC22">
        <v>1991</v>
      </c>
      <c r="BD22" t="s">
        <v>214</v>
      </c>
      <c r="BE22" t="s">
        <v>215</v>
      </c>
      <c r="BF22" t="s">
        <v>233</v>
      </c>
    </row>
    <row r="23" spans="1:58">
      <c r="A23" s="76">
        <v>1989</v>
      </c>
      <c r="B23" s="76" t="s">
        <v>77</v>
      </c>
      <c r="C23" s="76">
        <v>1991</v>
      </c>
      <c r="D23" s="76" t="s">
        <v>235</v>
      </c>
      <c r="E23" s="76" t="s">
        <v>213</v>
      </c>
      <c r="F23" s="76">
        <v>11.3</v>
      </c>
      <c r="G23" s="76">
        <v>311924</v>
      </c>
      <c r="H23" s="76">
        <v>290369</v>
      </c>
      <c r="I23" s="76"/>
      <c r="J23" s="76"/>
      <c r="K23" s="76"/>
      <c r="L23" s="76">
        <v>18</v>
      </c>
      <c r="M23" s="76">
        <v>27929</v>
      </c>
      <c r="N23" s="76">
        <v>8314</v>
      </c>
      <c r="O23" s="76"/>
      <c r="P23" s="76"/>
      <c r="Q23" s="76"/>
      <c r="R23" s="432">
        <f t="shared" si="26"/>
        <v>6.199008847363183E-5</v>
      </c>
      <c r="S23" s="423">
        <f t="shared" si="27"/>
        <v>9.6184510054447961E-2</v>
      </c>
      <c r="T23" s="423">
        <f t="shared" si="28"/>
        <v>2.8632533087209724E-2</v>
      </c>
      <c r="U23" s="432">
        <f t="shared" si="29"/>
        <v>6.199008847363183E-5</v>
      </c>
      <c r="V23" s="423">
        <f t="shared" si="30"/>
        <v>9.624650014292159E-2</v>
      </c>
      <c r="W23" s="394">
        <f t="shared" si="31"/>
        <v>0.12487903323013132</v>
      </c>
      <c r="X23" s="395">
        <f t="shared" si="1"/>
        <v>9.5537373973817968E-5</v>
      </c>
      <c r="Y23" s="396">
        <f t="shared" si="2"/>
        <v>1.8972416930178302E-6</v>
      </c>
      <c r="Z23" s="397">
        <f t="shared" si="3"/>
        <v>1.3706242479712667E-5</v>
      </c>
      <c r="AA23" s="434">
        <f t="shared" si="32"/>
        <v>4.9640109208240262E-4</v>
      </c>
      <c r="AB23" s="405">
        <f t="shared" si="33"/>
        <v>0.77022145004274567</v>
      </c>
      <c r="AC23" s="405">
        <f t="shared" si="34"/>
        <v>0.22928214886517195</v>
      </c>
      <c r="AD23" s="395">
        <f t="shared" si="5"/>
        <v>9.0040369596185547E-3</v>
      </c>
      <c r="AE23" s="396">
        <f t="shared" si="6"/>
        <v>7.3642190092945634E-3</v>
      </c>
      <c r="AF23" s="397">
        <f t="shared" si="7"/>
        <v>8.2347933017328629E-5</v>
      </c>
      <c r="AG23" s="4"/>
      <c r="AH23" s="411">
        <f t="shared" si="8"/>
        <v>1989</v>
      </c>
      <c r="AI23" s="412">
        <f t="shared" si="9"/>
        <v>11.3</v>
      </c>
      <c r="AJ23" s="413">
        <f t="shared" si="16"/>
        <v>290369</v>
      </c>
      <c r="AK23" s="414">
        <f t="shared" si="35"/>
        <v>18</v>
      </c>
      <c r="AL23" s="414">
        <f t="shared" si="35"/>
        <v>27929</v>
      </c>
      <c r="AM23" s="412">
        <f t="shared" si="11"/>
        <v>27947</v>
      </c>
      <c r="AN23" s="413">
        <f>N23</f>
        <v>8314</v>
      </c>
      <c r="AO23" s="70" t="s">
        <v>112</v>
      </c>
      <c r="AP23" s="4"/>
      <c r="AQ23" s="4">
        <v>0.37993983449766061</v>
      </c>
      <c r="AR23" s="71"/>
      <c r="BA23">
        <v>311921</v>
      </c>
      <c r="BB23">
        <v>89</v>
      </c>
      <c r="BC23">
        <v>1991</v>
      </c>
      <c r="BD23" t="s">
        <v>214</v>
      </c>
      <c r="BE23" t="s">
        <v>236</v>
      </c>
      <c r="BF23" t="s">
        <v>216</v>
      </c>
    </row>
    <row r="24" spans="1:58">
      <c r="A24" s="76">
        <v>1989</v>
      </c>
      <c r="B24" s="76" t="s">
        <v>77</v>
      </c>
      <c r="C24" s="76">
        <v>1991</v>
      </c>
      <c r="D24" s="76" t="s">
        <v>237</v>
      </c>
      <c r="E24" s="76" t="s">
        <v>213</v>
      </c>
      <c r="F24" s="76">
        <v>14.1</v>
      </c>
      <c r="G24" s="76">
        <v>311925</v>
      </c>
      <c r="H24" s="76">
        <v>390282</v>
      </c>
      <c r="I24" s="76"/>
      <c r="J24" s="76"/>
      <c r="K24" s="76"/>
      <c r="L24" s="76">
        <v>389</v>
      </c>
      <c r="M24" s="76">
        <v>39030</v>
      </c>
      <c r="N24" s="76">
        <v>9097</v>
      </c>
      <c r="O24" s="76"/>
      <c r="P24" s="76"/>
      <c r="Q24" s="76"/>
      <c r="R24" s="432">
        <f t="shared" si="26"/>
        <v>9.9671519567902183E-4</v>
      </c>
      <c r="S24" s="423">
        <f t="shared" si="27"/>
        <v>0.10000461204974864</v>
      </c>
      <c r="T24" s="423">
        <f t="shared" si="28"/>
        <v>2.330878697967111E-2</v>
      </c>
      <c r="U24" s="432">
        <f t="shared" si="29"/>
        <v>9.9671519567902183E-4</v>
      </c>
      <c r="V24" s="423">
        <f t="shared" si="30"/>
        <v>0.10100132724542767</v>
      </c>
      <c r="W24" s="394">
        <f t="shared" si="31"/>
        <v>0.12431011422509877</v>
      </c>
      <c r="X24" s="395">
        <f t="shared" si="1"/>
        <v>7.8138476314742141E-5</v>
      </c>
      <c r="Y24" s="396">
        <f t="shared" si="2"/>
        <v>1.1406987024701468E-5</v>
      </c>
      <c r="Z24" s="397">
        <f t="shared" si="3"/>
        <v>9.8174139426693917E-6</v>
      </c>
      <c r="AA24" s="434">
        <f t="shared" si="32"/>
        <v>8.0179734520570527E-3</v>
      </c>
      <c r="AB24" s="405">
        <f t="shared" si="33"/>
        <v>0.80447687360870646</v>
      </c>
      <c r="AC24" s="405">
        <f t="shared" si="34"/>
        <v>0.18750515293923653</v>
      </c>
      <c r="AD24" s="395">
        <f t="shared" si="5"/>
        <v>7.6331729640159223E-3</v>
      </c>
      <c r="AE24" s="396">
        <f t="shared" si="6"/>
        <v>1.4416913309386584E-2</v>
      </c>
      <c r="AF24" s="397">
        <f t="shared" si="7"/>
        <v>1.0694482566241696E-3</v>
      </c>
      <c r="AG24" s="4"/>
      <c r="AH24" s="411">
        <f t="shared" si="8"/>
        <v>1989</v>
      </c>
      <c r="AI24" s="412">
        <f t="shared" si="9"/>
        <v>14.1</v>
      </c>
      <c r="AJ24" s="413">
        <f t="shared" si="16"/>
        <v>390282</v>
      </c>
      <c r="AK24" s="414">
        <f t="shared" si="35"/>
        <v>389</v>
      </c>
      <c r="AL24" s="414">
        <f t="shared" si="35"/>
        <v>39030</v>
      </c>
      <c r="AM24" s="412">
        <f t="shared" si="11"/>
        <v>39419</v>
      </c>
      <c r="AN24" s="413">
        <f>N24</f>
        <v>9097</v>
      </c>
      <c r="AO24" s="70" t="s">
        <v>113</v>
      </c>
      <c r="AP24" s="4"/>
      <c r="AQ24" s="4">
        <v>7.1243623340819739E-2</v>
      </c>
      <c r="AR24" s="71"/>
      <c r="BA24">
        <v>311922</v>
      </c>
      <c r="BB24">
        <v>89</v>
      </c>
      <c r="BC24">
        <v>1991</v>
      </c>
      <c r="BD24" t="s">
        <v>214</v>
      </c>
      <c r="BE24" t="s">
        <v>215</v>
      </c>
      <c r="BF24" t="s">
        <v>216</v>
      </c>
    </row>
    <row r="25" spans="1:58">
      <c r="A25" s="76">
        <v>1989</v>
      </c>
      <c r="B25" s="76" t="s">
        <v>77</v>
      </c>
      <c r="C25" s="76">
        <v>1991</v>
      </c>
      <c r="D25" s="76" t="s">
        <v>238</v>
      </c>
      <c r="E25" s="76" t="s">
        <v>239</v>
      </c>
      <c r="F25" s="76">
        <v>10.3</v>
      </c>
      <c r="G25" s="76">
        <v>311921</v>
      </c>
      <c r="H25" s="76">
        <v>443000</v>
      </c>
      <c r="I25" s="76"/>
      <c r="J25" s="76"/>
      <c r="K25" s="76"/>
      <c r="L25" s="76">
        <v>158</v>
      </c>
      <c r="M25" s="76">
        <v>9454</v>
      </c>
      <c r="N25" s="76">
        <v>4333</v>
      </c>
      <c r="O25" s="76"/>
      <c r="P25" s="76"/>
      <c r="Q25" s="76"/>
      <c r="R25" s="432">
        <f t="shared" si="26"/>
        <v>3.5665914221218962E-4</v>
      </c>
      <c r="S25" s="423">
        <f t="shared" si="27"/>
        <v>2.1340857787810384E-2</v>
      </c>
      <c r="T25" s="423">
        <f t="shared" si="28"/>
        <v>9.7810383747178337E-3</v>
      </c>
      <c r="U25" s="432">
        <f t="shared" si="29"/>
        <v>3.5665914221218962E-4</v>
      </c>
      <c r="V25" s="423">
        <f t="shared" si="30"/>
        <v>2.1697516930022573E-2</v>
      </c>
      <c r="W25" s="394">
        <f t="shared" si="31"/>
        <v>3.1478555304740405E-2</v>
      </c>
      <c r="X25" s="395">
        <f t="shared" si="1"/>
        <v>8.9863823292770414E-5</v>
      </c>
      <c r="Y25" s="396">
        <f t="shared" si="2"/>
        <v>5.7648162704515898E-3</v>
      </c>
      <c r="Z25" s="396">
        <f t="shared" si="3"/>
        <v>8.0457820891022859E-3</v>
      </c>
      <c r="AA25" s="434">
        <f t="shared" si="32"/>
        <v>1.1330225887414844E-2</v>
      </c>
      <c r="AB25" s="405">
        <f t="shared" si="33"/>
        <v>0.67794908569379708</v>
      </c>
      <c r="AC25" s="405">
        <f t="shared" si="34"/>
        <v>0.31072068841878808</v>
      </c>
      <c r="AD25" s="395">
        <f t="shared" si="5"/>
        <v>7.0653740286364692E-3</v>
      </c>
      <c r="AE25" s="396">
        <f t="shared" si="6"/>
        <v>4.1697194329694972E-5</v>
      </c>
      <c r="AF25" s="396">
        <f t="shared" si="7"/>
        <v>8.1926241215096642E-3</v>
      </c>
      <c r="AG25" s="4"/>
      <c r="AH25" s="411">
        <f>A30</f>
        <v>1990</v>
      </c>
      <c r="AI25" s="412">
        <f>F30</f>
        <v>11.3</v>
      </c>
      <c r="AJ25" s="413">
        <f>H30</f>
        <v>142584</v>
      </c>
      <c r="AK25" s="414">
        <f t="shared" ref="AK25:AL28" si="36">M30</f>
        <v>9342</v>
      </c>
      <c r="AL25" s="414">
        <f t="shared" si="36"/>
        <v>16057</v>
      </c>
      <c r="AM25" s="412">
        <f t="shared" si="11"/>
        <v>25399</v>
      </c>
      <c r="AN25" s="71"/>
      <c r="AO25" s="70"/>
      <c r="AP25" s="4"/>
      <c r="AQ25" s="4"/>
      <c r="AR25" s="71"/>
      <c r="BA25">
        <v>311923</v>
      </c>
      <c r="BB25">
        <v>89</v>
      </c>
      <c r="BC25">
        <v>1991</v>
      </c>
      <c r="BD25" t="s">
        <v>214</v>
      </c>
      <c r="BE25" t="s">
        <v>215</v>
      </c>
      <c r="BF25" t="s">
        <v>216</v>
      </c>
    </row>
    <row r="26" spans="1:58">
      <c r="A26" s="76">
        <v>1989</v>
      </c>
      <c r="B26" s="76" t="s">
        <v>78</v>
      </c>
      <c r="C26" s="76">
        <v>1991</v>
      </c>
      <c r="D26" s="76" t="s">
        <v>240</v>
      </c>
      <c r="E26" s="76" t="s">
        <v>213</v>
      </c>
      <c r="F26" s="114" t="s">
        <v>241</v>
      </c>
      <c r="G26" s="76">
        <v>311920</v>
      </c>
      <c r="H26" s="76">
        <v>845563</v>
      </c>
      <c r="I26" s="76"/>
      <c r="J26" s="76"/>
      <c r="K26" s="76"/>
      <c r="L26" s="76">
        <v>232</v>
      </c>
      <c r="M26" s="76">
        <v>52632</v>
      </c>
      <c r="N26" s="76">
        <v>0</v>
      </c>
      <c r="O26" s="76"/>
      <c r="P26" s="76"/>
      <c r="Q26" s="76"/>
      <c r="R26" s="432">
        <f t="shared" si="26"/>
        <v>2.7437340564807119E-4</v>
      </c>
      <c r="S26" s="423">
        <f t="shared" si="27"/>
        <v>6.2244918474436556E-2</v>
      </c>
      <c r="T26" s="423">
        <f t="shared" si="28"/>
        <v>0</v>
      </c>
      <c r="U26" s="432">
        <f t="shared" si="29"/>
        <v>2.7437340564807119E-4</v>
      </c>
      <c r="V26" s="423">
        <f t="shared" si="30"/>
        <v>6.2519291880084635E-2</v>
      </c>
      <c r="W26" s="394">
        <f t="shared" si="31"/>
        <v>6.2519291880084635E-2</v>
      </c>
      <c r="X26" s="395">
        <f t="shared" si="1"/>
        <v>9.1430674714065093E-5</v>
      </c>
      <c r="Y26" s="396">
        <f t="shared" si="2"/>
        <v>1.2323337999272702E-3</v>
      </c>
      <c r="Z26" s="396">
        <f t="shared" si="3"/>
        <v>3.440707828388059E-3</v>
      </c>
      <c r="AA26" s="434">
        <f t="shared" si="32"/>
        <v>4.3886198547215495E-3</v>
      </c>
      <c r="AB26" s="405">
        <f t="shared" si="33"/>
        <v>0.9956113801452785</v>
      </c>
      <c r="AC26" s="405">
        <f t="shared" si="34"/>
        <v>0</v>
      </c>
      <c r="AD26" s="395">
        <f t="shared" si="5"/>
        <v>8.2805241318721599E-3</v>
      </c>
      <c r="AE26" s="396">
        <f t="shared" si="6"/>
        <v>9.6848525870187954E-2</v>
      </c>
      <c r="AF26" s="396">
        <f t="shared" si="7"/>
        <v>4.8491375063752881E-2</v>
      </c>
      <c r="AG26" s="4"/>
      <c r="AH26" s="411">
        <f>A31</f>
        <v>1990</v>
      </c>
      <c r="AI26" s="412">
        <f>F31</f>
        <v>5</v>
      </c>
      <c r="AJ26" s="413">
        <f>H31</f>
        <v>230385</v>
      </c>
      <c r="AK26" s="414">
        <f t="shared" si="36"/>
        <v>7102</v>
      </c>
      <c r="AL26" s="414">
        <f t="shared" si="36"/>
        <v>15581</v>
      </c>
      <c r="AM26" s="412">
        <f t="shared" si="11"/>
        <v>22683</v>
      </c>
      <c r="AN26" s="71"/>
      <c r="AO26" s="70"/>
      <c r="AP26" s="4"/>
      <c r="AQ26" s="4"/>
      <c r="AR26" s="71"/>
      <c r="BA26">
        <v>311924</v>
      </c>
      <c r="BB26">
        <v>89</v>
      </c>
      <c r="BC26">
        <v>1991</v>
      </c>
      <c r="BD26" t="s">
        <v>214</v>
      </c>
      <c r="BE26" t="s">
        <v>215</v>
      </c>
      <c r="BF26" t="s">
        <v>216</v>
      </c>
    </row>
    <row r="27" spans="1:58" ht="15" customHeight="1">
      <c r="A27" s="76">
        <v>1989</v>
      </c>
      <c r="B27" s="76" t="s">
        <v>78</v>
      </c>
      <c r="C27" s="76">
        <v>1991</v>
      </c>
      <c r="D27" s="76" t="s">
        <v>238</v>
      </c>
      <c r="E27" s="76" t="s">
        <v>242</v>
      </c>
      <c r="F27" s="76">
        <v>7.2</v>
      </c>
      <c r="G27" s="76">
        <v>311919</v>
      </c>
      <c r="H27" s="76">
        <v>872492</v>
      </c>
      <c r="I27" s="76"/>
      <c r="J27" s="76"/>
      <c r="K27" s="76"/>
      <c r="L27" s="76">
        <v>93</v>
      </c>
      <c r="M27" s="76">
        <v>60399</v>
      </c>
      <c r="N27" s="76">
        <v>139</v>
      </c>
      <c r="O27" s="76"/>
      <c r="P27" s="76"/>
      <c r="Q27" s="76"/>
      <c r="R27" s="432">
        <f t="shared" si="26"/>
        <v>1.0659123522049485E-4</v>
      </c>
      <c r="S27" s="423">
        <f t="shared" si="27"/>
        <v>6.9225849635297515E-2</v>
      </c>
      <c r="T27" s="423">
        <f t="shared" si="28"/>
        <v>1.5931378167364284E-4</v>
      </c>
      <c r="U27" s="432">
        <f t="shared" si="29"/>
        <v>1.0659123522049485E-4</v>
      </c>
      <c r="V27" s="423">
        <f t="shared" si="30"/>
        <v>6.9332440870518014E-2</v>
      </c>
      <c r="W27" s="394">
        <f t="shared" si="31"/>
        <v>6.9491754652191651E-2</v>
      </c>
      <c r="X27" s="395">
        <f t="shared" si="1"/>
        <v>9.4667471280783909E-5</v>
      </c>
      <c r="Y27" s="396">
        <f t="shared" si="2"/>
        <v>8.0040689232327596E-4</v>
      </c>
      <c r="Z27" s="396">
        <f t="shared" si="3"/>
        <v>2.6713479389849767E-3</v>
      </c>
      <c r="AA27" s="434">
        <f t="shared" si="32"/>
        <v>1.5338688129834573E-3</v>
      </c>
      <c r="AB27" s="405">
        <f t="shared" si="33"/>
        <v>0.99617357457406275</v>
      </c>
      <c r="AC27" s="405">
        <f t="shared" si="34"/>
        <v>2.2925566129537696E-3</v>
      </c>
      <c r="AD27" s="395">
        <f t="shared" si="5"/>
        <v>8.8082234963573636E-3</v>
      </c>
      <c r="AE27" s="396">
        <f t="shared" si="6"/>
        <v>9.7198757319934423E-2</v>
      </c>
      <c r="AF27" s="396">
        <f t="shared" si="7"/>
        <v>4.7486954225655825E-2</v>
      </c>
      <c r="AG27" s="4"/>
      <c r="AH27" s="411">
        <f>A32</f>
        <v>1990</v>
      </c>
      <c r="AI27" s="412">
        <f>F32</f>
        <v>9.4</v>
      </c>
      <c r="AJ27" s="413">
        <f>H32</f>
        <v>177646</v>
      </c>
      <c r="AK27" s="414">
        <f t="shared" si="36"/>
        <v>2953</v>
      </c>
      <c r="AL27" s="414">
        <f t="shared" si="36"/>
        <v>3476</v>
      </c>
      <c r="AM27" s="412">
        <f t="shared" si="11"/>
        <v>6429</v>
      </c>
      <c r="AN27" s="71"/>
      <c r="AO27" s="70"/>
      <c r="AP27" s="4"/>
      <c r="AQ27" s="4"/>
      <c r="AR27" s="71"/>
      <c r="BA27">
        <v>311925</v>
      </c>
      <c r="BB27">
        <v>89</v>
      </c>
      <c r="BC27">
        <v>1991</v>
      </c>
      <c r="BD27" t="s">
        <v>214</v>
      </c>
      <c r="BE27" t="s">
        <v>215</v>
      </c>
      <c r="BF27" t="s">
        <v>216</v>
      </c>
    </row>
    <row r="28" spans="1:58" ht="15" customHeight="1">
      <c r="A28" s="76">
        <v>1989</v>
      </c>
      <c r="B28" s="76" t="s">
        <v>77</v>
      </c>
      <c r="C28" s="76">
        <v>1990</v>
      </c>
      <c r="D28" s="76" t="s">
        <v>238</v>
      </c>
      <c r="E28" s="76" t="s">
        <v>243</v>
      </c>
      <c r="F28" s="76"/>
      <c r="G28" s="76">
        <v>311927</v>
      </c>
      <c r="H28" s="76">
        <v>25169</v>
      </c>
      <c r="I28" s="76"/>
      <c r="J28" s="76"/>
      <c r="K28" s="76"/>
      <c r="L28" s="76">
        <v>0</v>
      </c>
      <c r="M28" s="76">
        <v>515</v>
      </c>
      <c r="N28" s="58">
        <v>193</v>
      </c>
      <c r="O28" s="76"/>
      <c r="P28" s="76"/>
      <c r="Q28" s="76"/>
      <c r="R28" s="432">
        <f t="shared" si="26"/>
        <v>0</v>
      </c>
      <c r="S28" s="423">
        <f t="shared" si="27"/>
        <v>2.0461679049624537E-2</v>
      </c>
      <c r="T28" s="423">
        <f t="shared" si="28"/>
        <v>7.6681632166554093E-3</v>
      </c>
      <c r="U28" s="432">
        <f t="shared" si="29"/>
        <v>0</v>
      </c>
      <c r="V28" s="423">
        <f t="shared" si="30"/>
        <v>2.0461679049624537E-2</v>
      </c>
      <c r="W28" s="394">
        <f t="shared" si="31"/>
        <v>2.8129842266279948E-2</v>
      </c>
      <c r="X28" s="395">
        <f t="shared" si="1"/>
        <v>9.6753038937639395E-5</v>
      </c>
      <c r="Y28" s="396">
        <f t="shared" si="2"/>
        <v>5.9540089765198166E-3</v>
      </c>
      <c r="Z28" s="396">
        <f t="shared" si="3"/>
        <v>8.6577435920644E-3</v>
      </c>
      <c r="AA28" s="434">
        <f t="shared" si="32"/>
        <v>0</v>
      </c>
      <c r="AB28" s="405">
        <f t="shared" si="33"/>
        <v>0.72740112994350281</v>
      </c>
      <c r="AC28" s="405">
        <f t="shared" si="34"/>
        <v>0.27259887005649719</v>
      </c>
      <c r="AD28" s="395">
        <f t="shared" si="5"/>
        <v>9.0984899798330736E-3</v>
      </c>
      <c r="AE28" s="396">
        <f t="shared" si="6"/>
        <v>1.848544896776629E-3</v>
      </c>
      <c r="AF28" s="396">
        <f t="shared" si="7"/>
        <v>2.7448480412361827E-3</v>
      </c>
      <c r="AG28" s="4"/>
      <c r="AH28" s="411">
        <f>A33</f>
        <v>1990</v>
      </c>
      <c r="AI28" s="412">
        <f>F33</f>
        <v>8.4</v>
      </c>
      <c r="AJ28" s="413">
        <f>H33</f>
        <v>275439</v>
      </c>
      <c r="AK28" s="414">
        <f t="shared" si="36"/>
        <v>795</v>
      </c>
      <c r="AL28" s="414">
        <f t="shared" si="36"/>
        <v>120</v>
      </c>
      <c r="AM28" s="412">
        <f t="shared" si="11"/>
        <v>915</v>
      </c>
      <c r="AN28" s="71"/>
      <c r="AO28" s="70"/>
      <c r="AP28" s="4"/>
      <c r="AQ28" s="4"/>
      <c r="AR28" s="71"/>
      <c r="BA28">
        <v>311926</v>
      </c>
      <c r="BB28">
        <v>89</v>
      </c>
      <c r="BC28">
        <v>1990</v>
      </c>
      <c r="BD28" t="s">
        <v>214</v>
      </c>
      <c r="BE28" t="s">
        <v>244</v>
      </c>
      <c r="BF28" t="s">
        <v>233</v>
      </c>
    </row>
    <row r="29" spans="1:58" ht="15" customHeight="1">
      <c r="A29" s="77">
        <v>1989</v>
      </c>
      <c r="B29" s="77" t="s">
        <v>77</v>
      </c>
      <c r="C29" s="77">
        <v>1990</v>
      </c>
      <c r="D29" s="77" t="s">
        <v>238</v>
      </c>
      <c r="E29" s="77" t="s">
        <v>245</v>
      </c>
      <c r="F29" s="77"/>
      <c r="G29" s="77">
        <v>311926</v>
      </c>
      <c r="H29" s="77">
        <v>100121</v>
      </c>
      <c r="I29" s="77"/>
      <c r="J29" s="77"/>
      <c r="K29" s="77"/>
      <c r="L29" s="77">
        <v>15</v>
      </c>
      <c r="M29" s="77">
        <v>771</v>
      </c>
      <c r="N29" s="77">
        <v>128</v>
      </c>
      <c r="O29" s="77"/>
      <c r="P29" s="77"/>
      <c r="Q29" s="77"/>
      <c r="R29" s="433">
        <f t="shared" si="26"/>
        <v>1.49818719349587E-4</v>
      </c>
      <c r="S29" s="424">
        <f t="shared" si="27"/>
        <v>7.7006821745687721E-3</v>
      </c>
      <c r="T29" s="424">
        <f t="shared" si="28"/>
        <v>1.2784530717831425E-3</v>
      </c>
      <c r="U29" s="433">
        <f t="shared" si="29"/>
        <v>1.49818719349587E-4</v>
      </c>
      <c r="V29" s="424">
        <f t="shared" si="30"/>
        <v>7.8505008939183593E-3</v>
      </c>
      <c r="W29" s="398">
        <f t="shared" si="31"/>
        <v>9.1289539657015018E-3</v>
      </c>
      <c r="X29" s="400">
        <f t="shared" si="1"/>
        <v>9.3828157173539873E-5</v>
      </c>
      <c r="Y29" s="401">
        <f t="shared" si="2"/>
        <v>8.0592639252901107E-3</v>
      </c>
      <c r="Z29" s="401">
        <f t="shared" si="3"/>
        <v>1.2554728529700472E-2</v>
      </c>
      <c r="AA29" s="435">
        <f t="shared" si="32"/>
        <v>1.6411378555798686E-2</v>
      </c>
      <c r="AB29" s="406">
        <f t="shared" si="33"/>
        <v>0.84354485776805255</v>
      </c>
      <c r="AC29" s="406">
        <f t="shared" si="34"/>
        <v>0.14004376367614879</v>
      </c>
      <c r="AD29" s="400">
        <f t="shared" si="5"/>
        <v>6.2369916468172585E-3</v>
      </c>
      <c r="AE29" s="401">
        <f t="shared" si="6"/>
        <v>2.5325041685512438E-2</v>
      </c>
      <c r="AF29" s="401">
        <f t="shared" si="7"/>
        <v>6.4262362733271518E-3</v>
      </c>
      <c r="AG29" s="4"/>
      <c r="AH29" s="411">
        <f>A41</f>
        <v>1991</v>
      </c>
      <c r="AI29" s="412">
        <f>F41</f>
        <v>6.4</v>
      </c>
      <c r="AJ29" s="413">
        <f>H41</f>
        <v>758933</v>
      </c>
      <c r="AK29" s="414">
        <f>N41</f>
        <v>3840</v>
      </c>
      <c r="AL29" s="4"/>
      <c r="AM29" s="4"/>
      <c r="AN29" s="71"/>
      <c r="AO29" s="70"/>
      <c r="AP29" s="4"/>
      <c r="AQ29" s="4"/>
      <c r="AR29" s="71"/>
      <c r="BA29">
        <v>311927</v>
      </c>
      <c r="BB29">
        <v>89</v>
      </c>
      <c r="BC29">
        <v>1990</v>
      </c>
      <c r="BD29" t="s">
        <v>214</v>
      </c>
      <c r="BE29" t="s">
        <v>246</v>
      </c>
      <c r="BF29" t="s">
        <v>233</v>
      </c>
    </row>
    <row r="30" spans="1:58" ht="15" customHeight="1">
      <c r="A30" s="72">
        <v>1990</v>
      </c>
      <c r="B30" s="72" t="s">
        <v>77</v>
      </c>
      <c r="C30" s="72">
        <v>1992</v>
      </c>
      <c r="D30" s="72" t="s">
        <v>247</v>
      </c>
      <c r="E30" s="72" t="s">
        <v>213</v>
      </c>
      <c r="F30" s="72">
        <v>11.3</v>
      </c>
      <c r="G30" s="72">
        <v>312038</v>
      </c>
      <c r="H30" s="72">
        <v>142584</v>
      </c>
      <c r="I30" s="72"/>
      <c r="J30" s="72"/>
      <c r="K30" s="72"/>
      <c r="L30" s="72"/>
      <c r="M30" s="72">
        <v>9342</v>
      </c>
      <c r="N30" s="72">
        <v>16057</v>
      </c>
      <c r="O30" s="72"/>
      <c r="P30" s="72"/>
      <c r="Q30" s="72"/>
      <c r="R30" s="426">
        <f t="shared" ref="R30:R39" si="37">M30/$H30</f>
        <v>6.5519272849688601E-2</v>
      </c>
      <c r="S30" s="426">
        <f t="shared" ref="S30:S39" si="38">N30/$H30</f>
        <v>0.11261431857711945</v>
      </c>
      <c r="T30" s="84"/>
      <c r="U30" s="426">
        <f t="shared" ref="U30:U39" si="39">M30/H30</f>
        <v>6.5519272849688601E-2</v>
      </c>
      <c r="V30" s="426">
        <f t="shared" ref="V30:V39" si="40">SUM(M30:N30)/$H30</f>
        <v>0.17813359142680807</v>
      </c>
      <c r="W30" s="84"/>
      <c r="X30" s="85"/>
      <c r="Y30" s="85"/>
      <c r="Z30" s="85"/>
      <c r="AA30" s="429">
        <f t="shared" ref="AA30:AA39" si="41">M30/SUM($M30:$Q30)</f>
        <v>0.36780975628961771</v>
      </c>
      <c r="AB30" s="429">
        <f t="shared" ref="AB30:AB39" si="42">N30/SUM($M30:$Q30)</f>
        <v>0.63219024371038235</v>
      </c>
      <c r="AC30" s="72"/>
      <c r="AD30" s="85"/>
      <c r="AE30" s="85"/>
      <c r="AF30" s="85"/>
      <c r="AG30" s="4"/>
      <c r="AH30" s="411">
        <f>A42</f>
        <v>1991</v>
      </c>
      <c r="AI30" s="412">
        <f>F42</f>
        <v>5.5</v>
      </c>
      <c r="AJ30" s="413">
        <f>H42</f>
        <v>620307</v>
      </c>
      <c r="AK30" s="414">
        <f>N42</f>
        <v>1163</v>
      </c>
      <c r="AL30" s="4"/>
      <c r="AM30" s="4"/>
      <c r="AN30" s="71"/>
      <c r="AO30" s="70"/>
      <c r="AP30" s="4"/>
      <c r="AQ30" s="4"/>
      <c r="AR30" s="71"/>
      <c r="BA30">
        <v>311952</v>
      </c>
      <c r="BB30">
        <v>90</v>
      </c>
      <c r="BC30">
        <v>1991</v>
      </c>
      <c r="BD30" t="s">
        <v>214</v>
      </c>
      <c r="BE30" t="s">
        <v>248</v>
      </c>
      <c r="BF30" t="s">
        <v>233</v>
      </c>
    </row>
    <row r="31" spans="1:58" ht="15" customHeight="1">
      <c r="A31" s="76">
        <v>1990</v>
      </c>
      <c r="B31" s="76" t="s">
        <v>77</v>
      </c>
      <c r="C31" s="76">
        <v>1992</v>
      </c>
      <c r="D31" s="76" t="s">
        <v>249</v>
      </c>
      <c r="E31" s="76" t="s">
        <v>213</v>
      </c>
      <c r="F31" s="86">
        <v>5</v>
      </c>
      <c r="G31" s="76">
        <v>312039</v>
      </c>
      <c r="H31" s="76">
        <v>230385</v>
      </c>
      <c r="I31" s="76"/>
      <c r="J31" s="76"/>
      <c r="K31" s="76"/>
      <c r="L31" s="76"/>
      <c r="M31" s="76">
        <v>7102</v>
      </c>
      <c r="N31" s="76">
        <v>15581</v>
      </c>
      <c r="O31" s="76"/>
      <c r="P31" s="76"/>
      <c r="Q31" s="76"/>
      <c r="R31" s="427">
        <f t="shared" si="37"/>
        <v>3.0826659721770081E-2</v>
      </c>
      <c r="S31" s="427">
        <f t="shared" si="38"/>
        <v>6.7630271067994879E-2</v>
      </c>
      <c r="T31" s="87"/>
      <c r="U31" s="427">
        <f t="shared" si="39"/>
        <v>3.0826659721770081E-2</v>
      </c>
      <c r="V31" s="427">
        <f t="shared" si="40"/>
        <v>9.845693078976496E-2</v>
      </c>
      <c r="W31" s="87"/>
      <c r="X31" s="76"/>
      <c r="Y31" s="76"/>
      <c r="Z31" s="76"/>
      <c r="AA31" s="430">
        <f t="shared" si="41"/>
        <v>0.31309791473790943</v>
      </c>
      <c r="AB31" s="430">
        <f t="shared" si="42"/>
        <v>0.68690208526209051</v>
      </c>
      <c r="AC31" s="76"/>
      <c r="AD31" s="76"/>
      <c r="AE31" s="76"/>
      <c r="AF31" s="76"/>
      <c r="AG31" s="4"/>
      <c r="AH31" s="411">
        <f>A43</f>
        <v>1991</v>
      </c>
      <c r="AI31" s="412">
        <f>F43</f>
        <v>8.1</v>
      </c>
      <c r="AJ31" s="413">
        <f>H43</f>
        <v>649043</v>
      </c>
      <c r="AK31" s="414">
        <f>N43</f>
        <v>559</v>
      </c>
      <c r="AL31" s="4"/>
      <c r="AM31" s="4"/>
      <c r="AN31" s="71"/>
      <c r="AO31" s="70"/>
      <c r="AP31" s="4"/>
      <c r="AQ31" s="4"/>
      <c r="AR31" s="71"/>
      <c r="BA31">
        <v>312036</v>
      </c>
      <c r="BB31">
        <v>90</v>
      </c>
      <c r="BC31">
        <v>1992</v>
      </c>
      <c r="BD31" t="s">
        <v>214</v>
      </c>
      <c r="BE31" t="s">
        <v>215</v>
      </c>
      <c r="BF31" t="s">
        <v>233</v>
      </c>
    </row>
    <row r="32" spans="1:58" ht="15" customHeight="1">
      <c r="A32" s="76">
        <v>1990</v>
      </c>
      <c r="B32" s="76" t="s">
        <v>77</v>
      </c>
      <c r="C32" s="76">
        <v>1992</v>
      </c>
      <c r="D32" s="76" t="s">
        <v>250</v>
      </c>
      <c r="E32" s="76" t="s">
        <v>213</v>
      </c>
      <c r="F32" s="76">
        <v>9.4</v>
      </c>
      <c r="G32" s="76">
        <v>312040</v>
      </c>
      <c r="H32" s="76">
        <v>177646</v>
      </c>
      <c r="I32" s="76"/>
      <c r="J32" s="76"/>
      <c r="K32" s="76"/>
      <c r="L32" s="76"/>
      <c r="M32" s="76">
        <v>2953</v>
      </c>
      <c r="N32" s="76">
        <v>3476</v>
      </c>
      <c r="O32" s="76"/>
      <c r="P32" s="76"/>
      <c r="Q32" s="76"/>
      <c r="R32" s="427">
        <f t="shared" si="37"/>
        <v>1.6622946759285322E-2</v>
      </c>
      <c r="S32" s="427">
        <f t="shared" si="38"/>
        <v>1.9567004041745942E-2</v>
      </c>
      <c r="T32" s="87"/>
      <c r="U32" s="427">
        <f t="shared" si="39"/>
        <v>1.6622946759285322E-2</v>
      </c>
      <c r="V32" s="427">
        <f t="shared" si="40"/>
        <v>3.6189950801031268E-2</v>
      </c>
      <c r="W32" s="87"/>
      <c r="X32" s="76"/>
      <c r="Y32" s="76"/>
      <c r="Z32" s="76"/>
      <c r="AA32" s="430">
        <f t="shared" si="41"/>
        <v>0.45932493389329598</v>
      </c>
      <c r="AB32" s="430">
        <f t="shared" si="42"/>
        <v>0.54067506610670402</v>
      </c>
      <c r="AC32" s="76"/>
      <c r="AD32" s="76"/>
      <c r="AE32" s="76"/>
      <c r="AF32" s="76"/>
      <c r="AG32" s="4"/>
      <c r="AH32" s="411">
        <f>A44</f>
        <v>1991</v>
      </c>
      <c r="AI32" s="412">
        <f>F44</f>
        <v>9.1</v>
      </c>
      <c r="AJ32" s="413">
        <f>H44</f>
        <v>569001</v>
      </c>
      <c r="AK32" s="414">
        <f>N44</f>
        <v>390</v>
      </c>
      <c r="AL32" s="4"/>
      <c r="AM32" s="4"/>
      <c r="AN32" s="71"/>
      <c r="AO32" s="70"/>
      <c r="AP32" s="4"/>
      <c r="AQ32" s="4"/>
      <c r="AR32" s="71"/>
      <c r="BA32">
        <v>312037</v>
      </c>
      <c r="BB32">
        <v>90</v>
      </c>
      <c r="BC32">
        <v>1992</v>
      </c>
      <c r="BD32" t="s">
        <v>214</v>
      </c>
      <c r="BE32" t="s">
        <v>215</v>
      </c>
      <c r="BF32" t="s">
        <v>233</v>
      </c>
    </row>
    <row r="33" spans="1:58" ht="15" customHeight="1">
      <c r="A33" s="76">
        <v>1990</v>
      </c>
      <c r="B33" s="76" t="s">
        <v>77</v>
      </c>
      <c r="C33" s="76">
        <v>1992</v>
      </c>
      <c r="D33" s="76" t="s">
        <v>251</v>
      </c>
      <c r="E33" s="76" t="s">
        <v>213</v>
      </c>
      <c r="F33" s="76">
        <v>8.4</v>
      </c>
      <c r="G33" s="76">
        <v>312041</v>
      </c>
      <c r="H33" s="76">
        <v>275439</v>
      </c>
      <c r="I33" s="76"/>
      <c r="J33" s="76"/>
      <c r="K33" s="76"/>
      <c r="L33" s="76"/>
      <c r="M33" s="76">
        <v>795</v>
      </c>
      <c r="N33" s="76">
        <v>120</v>
      </c>
      <c r="O33" s="76"/>
      <c r="P33" s="76"/>
      <c r="Q33" s="76"/>
      <c r="R33" s="427">
        <f t="shared" si="37"/>
        <v>2.8863015041442931E-3</v>
      </c>
      <c r="S33" s="427">
        <f t="shared" si="38"/>
        <v>4.3566815156894994E-4</v>
      </c>
      <c r="T33" s="87"/>
      <c r="U33" s="427">
        <f t="shared" si="39"/>
        <v>2.8863015041442931E-3</v>
      </c>
      <c r="V33" s="427">
        <f t="shared" si="40"/>
        <v>3.3219696557132434E-3</v>
      </c>
      <c r="W33" s="87"/>
      <c r="X33" s="76"/>
      <c r="Y33" s="76"/>
      <c r="Z33" s="76"/>
      <c r="AA33" s="430">
        <f t="shared" si="41"/>
        <v>0.86885245901639341</v>
      </c>
      <c r="AB33" s="430">
        <f t="shared" si="42"/>
        <v>0.13114754098360656</v>
      </c>
      <c r="AC33" s="76"/>
      <c r="AD33" s="76"/>
      <c r="AE33" s="76"/>
      <c r="AF33" s="76"/>
      <c r="AG33" s="4"/>
      <c r="AH33" s="5"/>
      <c r="AI33" s="13"/>
      <c r="AJ33" s="14"/>
      <c r="AK33" s="13"/>
      <c r="AL33" s="13"/>
      <c r="AM33" s="13"/>
      <c r="AN33" s="14"/>
      <c r="AO33" s="5"/>
      <c r="AP33" s="13"/>
      <c r="AQ33" s="13"/>
      <c r="AR33" s="14"/>
      <c r="BA33">
        <v>312038</v>
      </c>
      <c r="BB33">
        <v>90</v>
      </c>
      <c r="BC33">
        <v>1992</v>
      </c>
      <c r="BD33" t="s">
        <v>214</v>
      </c>
      <c r="BE33" t="s">
        <v>215</v>
      </c>
      <c r="BF33" t="s">
        <v>216</v>
      </c>
    </row>
    <row r="34" spans="1:58">
      <c r="A34" s="76">
        <v>1990</v>
      </c>
      <c r="B34" s="76" t="s">
        <v>78</v>
      </c>
      <c r="C34" s="76">
        <v>1992</v>
      </c>
      <c r="D34" s="76" t="s">
        <v>252</v>
      </c>
      <c r="E34" s="76" t="s">
        <v>213</v>
      </c>
      <c r="F34" s="76">
        <v>8.8000000000000007</v>
      </c>
      <c r="G34" s="76">
        <v>312036</v>
      </c>
      <c r="H34" s="76">
        <v>511515</v>
      </c>
      <c r="I34" s="76"/>
      <c r="J34" s="76"/>
      <c r="K34" s="76"/>
      <c r="L34" s="76"/>
      <c r="M34" s="76">
        <v>1470</v>
      </c>
      <c r="N34" s="76">
        <v>61938</v>
      </c>
      <c r="O34" s="76"/>
      <c r="P34" s="76"/>
      <c r="Q34" s="76"/>
      <c r="R34" s="432">
        <f t="shared" si="37"/>
        <v>2.8738160171255973E-3</v>
      </c>
      <c r="S34" s="423">
        <f t="shared" si="38"/>
        <v>0.12108735814198997</v>
      </c>
      <c r="T34" s="73"/>
      <c r="U34" s="432">
        <f t="shared" si="39"/>
        <v>2.8738160171255973E-3</v>
      </c>
      <c r="V34" s="423">
        <f t="shared" si="40"/>
        <v>0.12396117415911558</v>
      </c>
      <c r="W34" s="74"/>
      <c r="X34" s="80"/>
      <c r="Y34" s="58"/>
      <c r="Z34" s="88"/>
      <c r="AA34" s="434">
        <f t="shared" si="41"/>
        <v>2.318319454958365E-2</v>
      </c>
      <c r="AB34" s="405">
        <f t="shared" si="42"/>
        <v>0.97681680545041638</v>
      </c>
      <c r="AC34" s="58"/>
      <c r="AD34" s="80"/>
      <c r="AE34" s="58"/>
      <c r="AF34" s="88"/>
      <c r="BA34">
        <v>312039</v>
      </c>
      <c r="BB34">
        <v>90</v>
      </c>
      <c r="BC34">
        <v>1992</v>
      </c>
      <c r="BD34" t="s">
        <v>214</v>
      </c>
      <c r="BE34" t="s">
        <v>215</v>
      </c>
      <c r="BF34" t="s">
        <v>216</v>
      </c>
    </row>
    <row r="35" spans="1:58">
      <c r="A35" s="76">
        <v>1990</v>
      </c>
      <c r="B35" s="76" t="s">
        <v>78</v>
      </c>
      <c r="C35" s="76">
        <v>1992</v>
      </c>
      <c r="D35" s="76" t="s">
        <v>252</v>
      </c>
      <c r="E35" s="76" t="s">
        <v>213</v>
      </c>
      <c r="F35" s="76">
        <v>8.8000000000000007</v>
      </c>
      <c r="G35" s="76">
        <v>312037</v>
      </c>
      <c r="H35" s="76">
        <v>513536</v>
      </c>
      <c r="I35" s="76"/>
      <c r="J35" s="76"/>
      <c r="K35" s="76"/>
      <c r="L35" s="76"/>
      <c r="M35" s="76">
        <v>1198</v>
      </c>
      <c r="N35" s="76">
        <v>60924</v>
      </c>
      <c r="O35" s="76"/>
      <c r="P35" s="76"/>
      <c r="Q35" s="76"/>
      <c r="R35" s="432">
        <f t="shared" si="37"/>
        <v>2.3328452143569294E-3</v>
      </c>
      <c r="S35" s="423">
        <f t="shared" si="38"/>
        <v>0.11863627866400797</v>
      </c>
      <c r="T35" s="73"/>
      <c r="U35" s="432">
        <f t="shared" si="39"/>
        <v>2.3328452143569294E-3</v>
      </c>
      <c r="V35" s="423">
        <f t="shared" si="40"/>
        <v>0.12096912387836491</v>
      </c>
      <c r="W35" s="74"/>
      <c r="X35" s="80"/>
      <c r="Y35" s="58"/>
      <c r="Z35" s="88"/>
      <c r="AA35" s="434">
        <f t="shared" si="41"/>
        <v>1.9284633463185347E-2</v>
      </c>
      <c r="AB35" s="405">
        <f t="shared" si="42"/>
        <v>0.98071536653681468</v>
      </c>
      <c r="AC35" s="58"/>
      <c r="AD35" s="80"/>
      <c r="AE35" s="58"/>
      <c r="AF35" s="88"/>
      <c r="BA35">
        <v>312040</v>
      </c>
      <c r="BB35">
        <v>90</v>
      </c>
      <c r="BC35">
        <v>1992</v>
      </c>
      <c r="BD35" t="s">
        <v>214</v>
      </c>
      <c r="BE35" t="s">
        <v>215</v>
      </c>
      <c r="BF35" t="s">
        <v>216</v>
      </c>
    </row>
    <row r="36" spans="1:58" ht="15" customHeight="1">
      <c r="A36" s="76">
        <v>1990</v>
      </c>
      <c r="B36" s="76" t="s">
        <v>77</v>
      </c>
      <c r="C36" s="76">
        <v>1992</v>
      </c>
      <c r="D36" s="76" t="s">
        <v>253</v>
      </c>
      <c r="E36" s="76" t="s">
        <v>239</v>
      </c>
      <c r="F36" s="76">
        <v>8.1999999999999993</v>
      </c>
      <c r="G36" s="76">
        <v>312042</v>
      </c>
      <c r="H36" s="76">
        <v>720875</v>
      </c>
      <c r="I36" s="76"/>
      <c r="J36" s="76"/>
      <c r="K36" s="76"/>
      <c r="L36" s="76"/>
      <c r="M36" s="76">
        <v>109</v>
      </c>
      <c r="N36" s="76">
        <v>3313</v>
      </c>
      <c r="O36" s="76"/>
      <c r="P36" s="76"/>
      <c r="Q36" s="76"/>
      <c r="R36" s="432">
        <f t="shared" si="37"/>
        <v>1.5120513265129182E-4</v>
      </c>
      <c r="S36" s="423">
        <f t="shared" si="38"/>
        <v>4.5958037107681638E-3</v>
      </c>
      <c r="T36" s="73"/>
      <c r="U36" s="432">
        <f t="shared" si="39"/>
        <v>1.5120513265129182E-4</v>
      </c>
      <c r="V36" s="423">
        <f t="shared" si="40"/>
        <v>4.7470088434194554E-3</v>
      </c>
      <c r="W36" s="74"/>
      <c r="X36" s="80"/>
      <c r="Y36" s="58"/>
      <c r="Z36" s="88"/>
      <c r="AA36" s="434">
        <f t="shared" si="41"/>
        <v>3.1852717708942137E-2</v>
      </c>
      <c r="AB36" s="405">
        <f t="shared" si="42"/>
        <v>0.96814728229105784</v>
      </c>
      <c r="AC36" s="58"/>
      <c r="AD36" s="80"/>
      <c r="AE36" s="58"/>
      <c r="AF36" s="88"/>
      <c r="BA36">
        <v>312041</v>
      </c>
      <c r="BB36">
        <v>90</v>
      </c>
      <c r="BC36">
        <v>1992</v>
      </c>
      <c r="BD36" t="s">
        <v>214</v>
      </c>
      <c r="BE36" t="s">
        <v>215</v>
      </c>
      <c r="BF36" t="s">
        <v>216</v>
      </c>
    </row>
    <row r="37" spans="1:58" ht="14" customHeight="1">
      <c r="A37" s="76">
        <v>1990</v>
      </c>
      <c r="B37" s="76" t="s">
        <v>78</v>
      </c>
      <c r="C37" s="76">
        <v>1992</v>
      </c>
      <c r="D37" s="76" t="s">
        <v>253</v>
      </c>
      <c r="E37" s="76" t="s">
        <v>242</v>
      </c>
      <c r="F37" s="76">
        <v>7.3</v>
      </c>
      <c r="G37" s="76">
        <v>312043</v>
      </c>
      <c r="H37" s="76">
        <v>1043350</v>
      </c>
      <c r="I37" s="76"/>
      <c r="J37" s="76"/>
      <c r="K37" s="76"/>
      <c r="L37" s="76"/>
      <c r="M37" s="76">
        <v>1732</v>
      </c>
      <c r="N37" s="76">
        <v>80587</v>
      </c>
      <c r="O37" s="76"/>
      <c r="P37" s="76"/>
      <c r="Q37" s="76"/>
      <c r="R37" s="432">
        <f t="shared" si="37"/>
        <v>1.6600373795945752E-3</v>
      </c>
      <c r="S37" s="423">
        <f t="shared" si="38"/>
        <v>7.7238702257152445E-2</v>
      </c>
      <c r="T37" s="73"/>
      <c r="U37" s="432">
        <f t="shared" si="39"/>
        <v>1.6600373795945752E-3</v>
      </c>
      <c r="V37" s="423">
        <f t="shared" si="40"/>
        <v>7.8898739636747012E-2</v>
      </c>
      <c r="W37" s="74"/>
      <c r="X37" s="80"/>
      <c r="Y37" s="58"/>
      <c r="Z37" s="88"/>
      <c r="AA37" s="434">
        <f t="shared" si="41"/>
        <v>2.1040100098397695E-2</v>
      </c>
      <c r="AB37" s="405">
        <f t="shared" si="42"/>
        <v>0.97895989990160226</v>
      </c>
      <c r="AC37" s="58"/>
      <c r="AD37" s="80"/>
      <c r="AE37" s="58"/>
      <c r="AF37" s="88"/>
      <c r="BA37">
        <v>312042</v>
      </c>
      <c r="BB37">
        <v>90</v>
      </c>
      <c r="BC37">
        <v>1992</v>
      </c>
      <c r="BD37" t="s">
        <v>214</v>
      </c>
      <c r="BE37" t="s">
        <v>236</v>
      </c>
      <c r="BF37" t="s">
        <v>216</v>
      </c>
    </row>
    <row r="38" spans="1:58" ht="15" customHeight="1">
      <c r="A38" s="76">
        <v>1990</v>
      </c>
      <c r="B38" s="76" t="s">
        <v>78</v>
      </c>
      <c r="C38" s="76">
        <v>1991</v>
      </c>
      <c r="D38" s="76" t="s">
        <v>254</v>
      </c>
      <c r="E38" s="76" t="s">
        <v>255</v>
      </c>
      <c r="F38" s="76"/>
      <c r="G38" s="76">
        <v>311952</v>
      </c>
      <c r="H38" s="76">
        <v>406983</v>
      </c>
      <c r="I38" s="76"/>
      <c r="J38" s="76"/>
      <c r="K38" s="76"/>
      <c r="L38" s="76"/>
      <c r="M38" s="76"/>
      <c r="N38" s="425">
        <f>lookup!F18</f>
        <v>4762.46044921875</v>
      </c>
      <c r="O38" s="89"/>
      <c r="P38" s="89"/>
      <c r="Q38" s="76"/>
      <c r="R38" s="432">
        <f t="shared" si="37"/>
        <v>0</v>
      </c>
      <c r="S38" s="423">
        <f t="shared" si="38"/>
        <v>1.1701865800828904E-2</v>
      </c>
      <c r="T38" s="73"/>
      <c r="U38" s="432">
        <f t="shared" si="39"/>
        <v>0</v>
      </c>
      <c r="V38" s="423">
        <f t="shared" si="40"/>
        <v>1.1701865800828904E-2</v>
      </c>
      <c r="W38" s="74"/>
      <c r="X38" s="80"/>
      <c r="Y38" s="58"/>
      <c r="Z38" s="88"/>
      <c r="AA38" s="434">
        <f t="shared" si="41"/>
        <v>0</v>
      </c>
      <c r="AB38" s="405">
        <f t="shared" si="42"/>
        <v>1</v>
      </c>
      <c r="AC38" s="58"/>
      <c r="AD38" s="80"/>
      <c r="AE38" s="58"/>
      <c r="AF38" s="88"/>
      <c r="BA38">
        <v>312043</v>
      </c>
      <c r="BB38">
        <v>90</v>
      </c>
      <c r="BC38">
        <v>1992</v>
      </c>
      <c r="BD38" t="s">
        <v>214</v>
      </c>
      <c r="BE38" t="s">
        <v>232</v>
      </c>
      <c r="BF38" t="s">
        <v>233</v>
      </c>
    </row>
    <row r="39" spans="1:58" ht="15" customHeight="1">
      <c r="A39" s="77">
        <v>1990</v>
      </c>
      <c r="B39" s="77" t="s">
        <v>256</v>
      </c>
      <c r="C39" s="77">
        <v>1991</v>
      </c>
      <c r="D39" s="77" t="s">
        <v>257</v>
      </c>
      <c r="E39" s="77" t="s">
        <v>213</v>
      </c>
      <c r="F39" s="77"/>
      <c r="G39" s="77">
        <v>1301010908</v>
      </c>
      <c r="H39" s="77">
        <v>47609</v>
      </c>
      <c r="I39" s="77"/>
      <c r="J39" s="77"/>
      <c r="K39" s="77"/>
      <c r="L39" s="77"/>
      <c r="M39" s="77">
        <v>7</v>
      </c>
      <c r="N39" s="77">
        <v>438</v>
      </c>
      <c r="O39" s="77"/>
      <c r="P39" s="77"/>
      <c r="Q39" s="77"/>
      <c r="R39" s="433">
        <f t="shared" si="37"/>
        <v>1.470310235459682E-4</v>
      </c>
      <c r="S39" s="424">
        <f t="shared" si="38"/>
        <v>9.1999411875905816E-3</v>
      </c>
      <c r="T39" s="79"/>
      <c r="U39" s="433">
        <f t="shared" si="39"/>
        <v>1.470310235459682E-4</v>
      </c>
      <c r="V39" s="424">
        <f t="shared" si="40"/>
        <v>9.3469722111365495E-3</v>
      </c>
      <c r="W39" s="79"/>
      <c r="X39" s="81"/>
      <c r="Y39" s="90"/>
      <c r="Z39" s="91"/>
      <c r="AA39" s="435">
        <f t="shared" si="41"/>
        <v>1.5730337078651686E-2</v>
      </c>
      <c r="AB39" s="406">
        <f t="shared" si="42"/>
        <v>0.98426966292134832</v>
      </c>
      <c r="AC39" s="91"/>
      <c r="AD39" s="81"/>
      <c r="AE39" s="90"/>
      <c r="AF39" s="91"/>
      <c r="BA39">
        <v>1301010908</v>
      </c>
      <c r="BB39">
        <v>90</v>
      </c>
      <c r="BC39">
        <v>1991</v>
      </c>
      <c r="BD39" t="s">
        <v>214</v>
      </c>
      <c r="BE39" t="s">
        <v>215</v>
      </c>
      <c r="BF39" t="s">
        <v>258</v>
      </c>
    </row>
    <row r="40" spans="1:58" ht="15" customHeight="1">
      <c r="A40" s="76">
        <v>1991</v>
      </c>
      <c r="B40" s="76" t="s">
        <v>256</v>
      </c>
      <c r="C40" s="76">
        <v>1992</v>
      </c>
      <c r="D40" s="76" t="s">
        <v>257</v>
      </c>
      <c r="E40" s="76" t="s">
        <v>213</v>
      </c>
      <c r="F40" s="76">
        <v>5.6</v>
      </c>
      <c r="G40" s="76">
        <v>312044</v>
      </c>
      <c r="H40" s="92">
        <v>63822</v>
      </c>
      <c r="I40" s="76"/>
      <c r="J40" s="76"/>
      <c r="K40" s="76"/>
      <c r="L40" s="76"/>
      <c r="M40" s="76"/>
      <c r="N40" s="76">
        <v>109</v>
      </c>
      <c r="O40" s="76"/>
      <c r="P40" s="76"/>
      <c r="Q40" s="76"/>
      <c r="R40" s="432">
        <f>N40/$H40</f>
        <v>1.707875027420012E-3</v>
      </c>
      <c r="S40" s="73"/>
      <c r="T40" s="74"/>
      <c r="U40" s="432">
        <f>N40/H40</f>
        <v>1.707875027420012E-3</v>
      </c>
      <c r="V40" s="73"/>
      <c r="W40" s="74"/>
      <c r="X40" s="80"/>
      <c r="Y40" s="58"/>
      <c r="Z40" s="88"/>
      <c r="AA40" s="434">
        <f>N40/SUM($N40:$P40)</f>
        <v>1</v>
      </c>
      <c r="AB40" s="58"/>
      <c r="AC40" s="88"/>
      <c r="AD40" s="80"/>
      <c r="AE40" s="58"/>
      <c r="AF40" s="88"/>
      <c r="BA40">
        <v>312044</v>
      </c>
      <c r="BB40">
        <v>91</v>
      </c>
      <c r="BC40">
        <v>1992</v>
      </c>
      <c r="BD40" t="s">
        <v>214</v>
      </c>
      <c r="BE40" t="s">
        <v>215</v>
      </c>
      <c r="BF40" t="s">
        <v>258</v>
      </c>
    </row>
    <row r="41" spans="1:58" ht="15" customHeight="1">
      <c r="A41" s="76">
        <v>1991</v>
      </c>
      <c r="B41" s="76" t="s">
        <v>77</v>
      </c>
      <c r="C41" s="76">
        <v>1993</v>
      </c>
      <c r="D41" s="76" t="s">
        <v>259</v>
      </c>
      <c r="E41" s="76" t="s">
        <v>213</v>
      </c>
      <c r="F41" s="76">
        <v>6.4</v>
      </c>
      <c r="G41" s="76">
        <v>312152</v>
      </c>
      <c r="H41" s="92">
        <v>758933</v>
      </c>
      <c r="I41" s="76"/>
      <c r="J41" s="76"/>
      <c r="K41" s="76"/>
      <c r="L41" s="76"/>
      <c r="M41" s="76"/>
      <c r="N41" s="76">
        <v>3840</v>
      </c>
      <c r="O41" s="76"/>
      <c r="P41" s="76"/>
      <c r="Q41" s="76"/>
      <c r="R41" s="427">
        <f>N41/$H41</f>
        <v>5.0597351808394156E-3</v>
      </c>
      <c r="S41" s="87"/>
      <c r="T41" s="87"/>
      <c r="U41" s="427">
        <f>N41/H41</f>
        <v>5.0597351808394156E-3</v>
      </c>
      <c r="V41" s="87"/>
      <c r="W41" s="87"/>
      <c r="X41" s="76"/>
      <c r="Y41" s="76"/>
      <c r="Z41" s="76"/>
      <c r="AA41" s="430">
        <f>N41/SUM($N41:$P41)</f>
        <v>1</v>
      </c>
      <c r="AB41" s="76"/>
      <c r="AC41" s="76"/>
      <c r="AD41" s="76"/>
      <c r="AE41" s="76"/>
      <c r="AF41" s="76"/>
      <c r="BA41">
        <v>312049</v>
      </c>
      <c r="BB41">
        <v>91</v>
      </c>
      <c r="BC41">
        <v>1992</v>
      </c>
      <c r="BD41" t="s">
        <v>214</v>
      </c>
      <c r="BE41" t="s">
        <v>260</v>
      </c>
      <c r="BF41" t="s">
        <v>261</v>
      </c>
    </row>
    <row r="42" spans="1:58" ht="15" customHeight="1">
      <c r="A42" s="76">
        <v>1991</v>
      </c>
      <c r="B42" s="76" t="s">
        <v>77</v>
      </c>
      <c r="C42" s="76">
        <v>1993</v>
      </c>
      <c r="D42" s="76" t="s">
        <v>262</v>
      </c>
      <c r="E42" s="76" t="s">
        <v>213</v>
      </c>
      <c r="F42" s="76">
        <v>5.5</v>
      </c>
      <c r="G42" s="76">
        <v>312153</v>
      </c>
      <c r="H42" s="92">
        <v>620307</v>
      </c>
      <c r="I42" s="76"/>
      <c r="J42" s="76"/>
      <c r="K42" s="76"/>
      <c r="L42" s="76"/>
      <c r="M42" s="76"/>
      <c r="N42" s="76">
        <v>1163</v>
      </c>
      <c r="O42" s="76"/>
      <c r="P42" s="76"/>
      <c r="Q42" s="76"/>
      <c r="R42" s="427">
        <f>N42/$H42</f>
        <v>1.8748780845613542E-3</v>
      </c>
      <c r="S42" s="87"/>
      <c r="T42" s="87"/>
      <c r="U42" s="427">
        <f>N42/H42</f>
        <v>1.8748780845613542E-3</v>
      </c>
      <c r="V42" s="87"/>
      <c r="W42" s="87"/>
      <c r="X42" s="76"/>
      <c r="Y42" s="76"/>
      <c r="Z42" s="76"/>
      <c r="AA42" s="430">
        <f>N42/SUM($N42:$P42)</f>
        <v>1</v>
      </c>
      <c r="AB42" s="76"/>
      <c r="AC42" s="76"/>
      <c r="AD42" s="76"/>
      <c r="AE42" s="76"/>
      <c r="AF42" s="76"/>
      <c r="BA42">
        <v>312152</v>
      </c>
      <c r="BB42">
        <v>91</v>
      </c>
      <c r="BC42">
        <v>1993</v>
      </c>
      <c r="BD42" t="s">
        <v>214</v>
      </c>
      <c r="BE42" t="s">
        <v>215</v>
      </c>
      <c r="BF42" t="s">
        <v>261</v>
      </c>
    </row>
    <row r="43" spans="1:58" ht="15" customHeight="1">
      <c r="A43" s="76">
        <v>1991</v>
      </c>
      <c r="B43" s="76" t="s">
        <v>77</v>
      </c>
      <c r="C43" s="76">
        <v>1993</v>
      </c>
      <c r="D43" s="76" t="s">
        <v>262</v>
      </c>
      <c r="E43" s="76" t="s">
        <v>213</v>
      </c>
      <c r="F43" s="76">
        <v>8.1</v>
      </c>
      <c r="G43" s="76">
        <v>312154</v>
      </c>
      <c r="H43" s="92">
        <v>649043</v>
      </c>
      <c r="I43" s="76"/>
      <c r="J43" s="76"/>
      <c r="K43" s="76"/>
      <c r="L43" s="76"/>
      <c r="M43" s="76"/>
      <c r="N43" s="76">
        <v>559</v>
      </c>
      <c r="O43" s="76"/>
      <c r="P43" s="76"/>
      <c r="Q43" s="76"/>
      <c r="R43" s="427">
        <f>N43/$H43</f>
        <v>8.6126805157747633E-4</v>
      </c>
      <c r="S43" s="87"/>
      <c r="T43" s="87"/>
      <c r="U43" s="427">
        <f>N43/H43</f>
        <v>8.6126805157747633E-4</v>
      </c>
      <c r="V43" s="87"/>
      <c r="W43" s="87"/>
      <c r="X43" s="76"/>
      <c r="Y43" s="76"/>
      <c r="Z43" s="76"/>
      <c r="AA43" s="430">
        <f>N43/SUM($N43:$P43)</f>
        <v>1</v>
      </c>
      <c r="AB43" s="76"/>
      <c r="AC43" s="76"/>
      <c r="AD43" s="76"/>
      <c r="AE43" s="76"/>
      <c r="AF43" s="76"/>
      <c r="BA43">
        <v>312153</v>
      </c>
      <c r="BB43">
        <v>91</v>
      </c>
      <c r="BC43">
        <v>1993</v>
      </c>
      <c r="BD43" t="s">
        <v>214</v>
      </c>
      <c r="BE43" t="s">
        <v>215</v>
      </c>
      <c r="BF43" t="s">
        <v>216</v>
      </c>
    </row>
    <row r="44" spans="1:58" ht="15" customHeight="1">
      <c r="A44" s="76">
        <v>1991</v>
      </c>
      <c r="B44" s="76" t="s">
        <v>77</v>
      </c>
      <c r="C44" s="76">
        <v>1993</v>
      </c>
      <c r="D44" s="76" t="s">
        <v>262</v>
      </c>
      <c r="E44" s="76" t="s">
        <v>213</v>
      </c>
      <c r="F44" s="76">
        <v>9.1</v>
      </c>
      <c r="G44" s="76">
        <v>312155</v>
      </c>
      <c r="H44" s="92">
        <v>569001</v>
      </c>
      <c r="I44" s="76"/>
      <c r="J44" s="76"/>
      <c r="K44" s="76"/>
      <c r="L44" s="76"/>
      <c r="M44" s="76"/>
      <c r="N44" s="76">
        <v>390</v>
      </c>
      <c r="O44" s="76"/>
      <c r="P44" s="76"/>
      <c r="Q44" s="76"/>
      <c r="R44" s="427">
        <f>N44/$H44</f>
        <v>6.854118006822484E-4</v>
      </c>
      <c r="S44" s="87"/>
      <c r="T44" s="87"/>
      <c r="U44" s="427">
        <f>N44/H44</f>
        <v>6.854118006822484E-4</v>
      </c>
      <c r="V44" s="87"/>
      <c r="W44" s="87"/>
      <c r="X44" s="76"/>
      <c r="Y44" s="76"/>
      <c r="Z44" s="76"/>
      <c r="AA44" s="430">
        <f>N44/SUM($N44:$P44)</f>
        <v>1</v>
      </c>
      <c r="AB44" s="76"/>
      <c r="AC44" s="76"/>
      <c r="AD44" s="76"/>
      <c r="AE44" s="76"/>
      <c r="AF44" s="76"/>
      <c r="BA44">
        <v>312154</v>
      </c>
      <c r="BB44">
        <v>91</v>
      </c>
      <c r="BC44">
        <v>1993</v>
      </c>
      <c r="BD44" t="s">
        <v>214</v>
      </c>
      <c r="BE44" t="s">
        <v>215</v>
      </c>
      <c r="BF44" t="s">
        <v>261</v>
      </c>
    </row>
    <row r="45" spans="1:58" ht="15" customHeight="1">
      <c r="A45" s="76">
        <v>1991</v>
      </c>
      <c r="B45" s="76" t="s">
        <v>77</v>
      </c>
      <c r="C45" s="76">
        <v>1993</v>
      </c>
      <c r="D45" s="92" t="s">
        <v>263</v>
      </c>
      <c r="E45" s="76" t="s">
        <v>213</v>
      </c>
      <c r="F45" s="76">
        <v>6.9</v>
      </c>
      <c r="G45" s="76">
        <v>312158</v>
      </c>
      <c r="H45" s="92">
        <v>0</v>
      </c>
      <c r="I45" s="76"/>
      <c r="J45" s="76"/>
      <c r="K45" s="76"/>
      <c r="L45" s="76"/>
      <c r="M45" s="76"/>
      <c r="N45" s="76"/>
      <c r="O45" s="76"/>
      <c r="P45" s="76"/>
      <c r="Q45" s="76"/>
      <c r="R45" s="87"/>
      <c r="S45" s="87"/>
      <c r="T45" s="87"/>
      <c r="U45" s="87"/>
      <c r="V45" s="87"/>
      <c r="W45" s="87"/>
      <c r="X45" s="76"/>
      <c r="Y45" s="76"/>
      <c r="Z45" s="76"/>
      <c r="AA45" s="87"/>
      <c r="AB45" s="76"/>
      <c r="AC45" s="76"/>
      <c r="AD45" s="76"/>
      <c r="AE45" s="76"/>
      <c r="AF45" s="76"/>
    </row>
    <row r="46" spans="1:58" ht="15" customHeight="1">
      <c r="A46" s="76">
        <v>1991</v>
      </c>
      <c r="B46" s="76" t="s">
        <v>78</v>
      </c>
      <c r="C46" s="76">
        <v>1993</v>
      </c>
      <c r="D46" s="92" t="s">
        <v>264</v>
      </c>
      <c r="E46" s="76" t="s">
        <v>213</v>
      </c>
      <c r="F46" s="76">
        <v>5.5</v>
      </c>
      <c r="G46" s="76">
        <v>312151</v>
      </c>
      <c r="H46" s="92">
        <v>0</v>
      </c>
      <c r="I46" s="76"/>
      <c r="J46" s="76"/>
      <c r="K46" s="76"/>
      <c r="L46" s="76"/>
      <c r="M46" s="76"/>
      <c r="N46" s="76"/>
      <c r="O46" s="76"/>
      <c r="P46" s="76"/>
      <c r="Q46" s="76"/>
      <c r="R46" s="82"/>
      <c r="S46" s="73"/>
      <c r="T46" s="73"/>
      <c r="U46" s="82"/>
      <c r="V46" s="73"/>
      <c r="W46" s="74"/>
      <c r="X46" s="80"/>
      <c r="Y46" s="58"/>
      <c r="Z46" s="88"/>
      <c r="AA46" s="82"/>
      <c r="AB46" s="58"/>
      <c r="AC46" s="58"/>
      <c r="AD46" s="80"/>
      <c r="AE46" s="58"/>
      <c r="AF46" s="88"/>
    </row>
    <row r="47" spans="1:58" ht="15" customHeight="1">
      <c r="A47" s="76">
        <v>1991</v>
      </c>
      <c r="B47" s="76" t="s">
        <v>77</v>
      </c>
      <c r="C47" s="76">
        <v>1993</v>
      </c>
      <c r="D47" s="76" t="s">
        <v>265</v>
      </c>
      <c r="E47" s="76" t="s">
        <v>266</v>
      </c>
      <c r="F47" s="76">
        <v>3.1</v>
      </c>
      <c r="G47" s="76">
        <v>312049</v>
      </c>
      <c r="H47" s="92">
        <v>691405</v>
      </c>
      <c r="I47" s="76"/>
      <c r="J47" s="76"/>
      <c r="K47" s="76"/>
      <c r="L47" s="76"/>
      <c r="M47" s="76"/>
      <c r="N47" s="58"/>
      <c r="O47" s="76"/>
      <c r="P47" s="76"/>
      <c r="Q47" s="76"/>
      <c r="R47" s="432">
        <f>N47/$H47</f>
        <v>0</v>
      </c>
      <c r="S47" s="73"/>
      <c r="T47" s="73"/>
      <c r="U47" s="432">
        <f>N47/H47</f>
        <v>0</v>
      </c>
      <c r="V47" s="73"/>
      <c r="W47" s="74"/>
      <c r="X47" s="80"/>
      <c r="Y47" s="58"/>
      <c r="Z47" s="88"/>
      <c r="AA47" s="82"/>
      <c r="AB47" s="58"/>
      <c r="AC47" s="58"/>
      <c r="AD47" s="80"/>
      <c r="AE47" s="58"/>
      <c r="AF47" s="88"/>
      <c r="BA47">
        <v>312155</v>
      </c>
      <c r="BB47">
        <v>91</v>
      </c>
      <c r="BC47">
        <v>1993</v>
      </c>
      <c r="BD47" t="s">
        <v>214</v>
      </c>
      <c r="BE47" t="s">
        <v>215</v>
      </c>
      <c r="BF47" t="s">
        <v>261</v>
      </c>
    </row>
    <row r="48" spans="1:58" ht="15" customHeight="1">
      <c r="A48" s="76">
        <v>1991</v>
      </c>
      <c r="B48" s="76" t="s">
        <v>77</v>
      </c>
      <c r="C48" s="76">
        <v>1993</v>
      </c>
      <c r="D48" s="76"/>
      <c r="E48" s="76" t="s">
        <v>239</v>
      </c>
      <c r="F48" s="76">
        <v>8.1</v>
      </c>
      <c r="G48" s="76">
        <v>312156</v>
      </c>
      <c r="H48" s="76">
        <v>806218</v>
      </c>
      <c r="I48" s="76"/>
      <c r="J48" s="76"/>
      <c r="K48" s="76"/>
      <c r="L48" s="76"/>
      <c r="M48" s="76"/>
      <c r="N48" s="76"/>
      <c r="O48" s="76"/>
      <c r="P48" s="76"/>
      <c r="Q48" s="76"/>
      <c r="R48" s="432">
        <f>N48/$H48</f>
        <v>0</v>
      </c>
      <c r="S48" s="73"/>
      <c r="T48" s="73"/>
      <c r="U48" s="432">
        <f>N48/H48</f>
        <v>0</v>
      </c>
      <c r="V48" s="73"/>
      <c r="W48" s="74"/>
      <c r="X48" s="80"/>
      <c r="Y48" s="58"/>
      <c r="Z48" s="88"/>
      <c r="AA48" s="82"/>
      <c r="AB48" s="58"/>
      <c r="AC48" s="58"/>
      <c r="AD48" s="80"/>
      <c r="AE48" s="58"/>
      <c r="AF48" s="88"/>
      <c r="BA48">
        <v>312156</v>
      </c>
      <c r="BB48">
        <v>91</v>
      </c>
      <c r="BC48">
        <v>1993</v>
      </c>
      <c r="BD48" t="s">
        <v>214</v>
      </c>
      <c r="BE48" t="s">
        <v>236</v>
      </c>
      <c r="BF48" t="s">
        <v>267</v>
      </c>
    </row>
    <row r="49" spans="1:58" ht="15" customHeight="1">
      <c r="A49" s="76">
        <v>1991</v>
      </c>
      <c r="B49" s="76" t="s">
        <v>78</v>
      </c>
      <c r="C49" s="76">
        <v>1993</v>
      </c>
      <c r="D49" s="76"/>
      <c r="E49" s="76" t="s">
        <v>242</v>
      </c>
      <c r="F49" s="76">
        <v>5.0999999999999996</v>
      </c>
      <c r="G49" s="76">
        <v>312157</v>
      </c>
      <c r="H49" s="76">
        <v>966750</v>
      </c>
      <c r="I49" s="76"/>
      <c r="J49" s="76"/>
      <c r="K49" s="76"/>
      <c r="L49" s="76"/>
      <c r="M49" s="76"/>
      <c r="N49" s="76">
        <v>2640</v>
      </c>
      <c r="O49" s="76"/>
      <c r="P49" s="76"/>
      <c r="Q49" s="76"/>
      <c r="R49" s="432">
        <f>N49/$H49</f>
        <v>2.730799069045772E-3</v>
      </c>
      <c r="S49" s="73"/>
      <c r="T49" s="73"/>
      <c r="U49" s="432">
        <f>N49/H49</f>
        <v>2.730799069045772E-3</v>
      </c>
      <c r="V49" s="73"/>
      <c r="W49" s="74"/>
      <c r="X49" s="80"/>
      <c r="Y49" s="58"/>
      <c r="Z49" s="88"/>
      <c r="AA49" s="82"/>
      <c r="AB49" s="58"/>
      <c r="AC49" s="58"/>
      <c r="AD49" s="80"/>
      <c r="AE49" s="58"/>
      <c r="AF49" s="88"/>
      <c r="BA49">
        <v>312157</v>
      </c>
      <c r="BB49">
        <v>91</v>
      </c>
      <c r="BC49">
        <v>1993</v>
      </c>
      <c r="BD49" t="s">
        <v>214</v>
      </c>
      <c r="BE49" t="s">
        <v>232</v>
      </c>
      <c r="BF49" t="s">
        <v>233</v>
      </c>
    </row>
    <row r="50" spans="1:58" ht="15" customHeight="1">
      <c r="A50" s="76">
        <v>1992</v>
      </c>
      <c r="B50" s="76" t="s">
        <v>77</v>
      </c>
      <c r="C50" s="76">
        <v>1994</v>
      </c>
      <c r="D50" s="76" t="s">
        <v>268</v>
      </c>
      <c r="E50" s="76" t="s">
        <v>213</v>
      </c>
      <c r="F50" s="76">
        <v>9.4</v>
      </c>
      <c r="G50" s="76">
        <v>312342</v>
      </c>
      <c r="H50" s="76">
        <v>438653</v>
      </c>
      <c r="I50" s="76"/>
      <c r="J50" s="76"/>
      <c r="K50" s="76"/>
      <c r="L50" s="76"/>
      <c r="M50" s="76"/>
      <c r="N50" s="76"/>
      <c r="O50" s="76"/>
      <c r="P50" s="76"/>
      <c r="Q50" s="76"/>
      <c r="R50" s="87"/>
      <c r="S50" s="87"/>
      <c r="T50" s="87"/>
      <c r="U50" s="87"/>
      <c r="V50" s="87"/>
      <c r="W50" s="87"/>
      <c r="X50" s="76"/>
      <c r="Y50" s="76"/>
      <c r="Z50" s="76"/>
      <c r="AA50" s="87"/>
      <c r="AB50" s="76"/>
      <c r="AC50" s="76"/>
      <c r="AD50" s="76"/>
      <c r="AE50" s="76"/>
      <c r="AF50" s="76"/>
    </row>
    <row r="51" spans="1:58" ht="15" customHeight="1">
      <c r="A51" s="76">
        <v>1992</v>
      </c>
      <c r="B51" s="76" t="s">
        <v>77</v>
      </c>
      <c r="C51" s="76">
        <v>1994</v>
      </c>
      <c r="D51" s="76" t="s">
        <v>268</v>
      </c>
      <c r="E51" s="76" t="s">
        <v>213</v>
      </c>
      <c r="F51" s="76">
        <v>6.49</v>
      </c>
      <c r="G51" s="76">
        <v>312343</v>
      </c>
      <c r="H51" s="76">
        <v>659872</v>
      </c>
      <c r="I51" s="76"/>
      <c r="J51" s="76"/>
      <c r="K51" s="76"/>
      <c r="L51" s="76"/>
      <c r="M51" s="76"/>
      <c r="N51" s="76"/>
      <c r="O51" s="76"/>
      <c r="P51" s="76"/>
      <c r="Q51" s="76"/>
      <c r="R51" s="87"/>
      <c r="S51" s="87"/>
      <c r="T51" s="87"/>
      <c r="U51" s="87"/>
      <c r="V51" s="87"/>
      <c r="W51" s="87"/>
      <c r="X51" s="76"/>
      <c r="Y51" s="76"/>
      <c r="Z51" s="76"/>
      <c r="AA51" s="87"/>
      <c r="AB51" s="76"/>
      <c r="AC51" s="76"/>
      <c r="AD51" s="76"/>
      <c r="AE51" s="76"/>
      <c r="AF51" s="76"/>
    </row>
    <row r="52" spans="1:58" ht="15" customHeight="1">
      <c r="A52" s="76">
        <v>1992</v>
      </c>
      <c r="B52" s="76" t="s">
        <v>77</v>
      </c>
      <c r="C52" s="76">
        <v>1994</v>
      </c>
      <c r="D52" s="76" t="s">
        <v>268</v>
      </c>
      <c r="E52" s="76" t="s">
        <v>213</v>
      </c>
      <c r="F52" s="76">
        <v>6.38</v>
      </c>
      <c r="G52" s="76">
        <v>312344</v>
      </c>
      <c r="H52" s="76">
        <v>652584</v>
      </c>
      <c r="I52" s="76"/>
      <c r="J52" s="76"/>
      <c r="K52" s="76"/>
      <c r="L52" s="76"/>
      <c r="M52" s="76"/>
      <c r="N52" s="76"/>
      <c r="O52" s="76"/>
      <c r="P52" s="76"/>
      <c r="Q52" s="76"/>
      <c r="R52" s="87"/>
      <c r="S52" s="87"/>
      <c r="T52" s="87"/>
      <c r="U52" s="87"/>
      <c r="V52" s="87"/>
      <c r="W52" s="87"/>
      <c r="X52" s="76"/>
      <c r="Y52" s="76"/>
      <c r="Z52" s="76"/>
      <c r="AA52" s="87"/>
      <c r="AB52" s="76"/>
      <c r="AC52" s="76"/>
      <c r="AD52" s="76"/>
      <c r="AE52" s="76"/>
      <c r="AF52" s="76"/>
    </row>
    <row r="53" spans="1:58" ht="15" customHeight="1">
      <c r="A53" s="76">
        <v>1992</v>
      </c>
      <c r="B53" s="76" t="s">
        <v>77</v>
      </c>
      <c r="C53" s="76">
        <v>1994</v>
      </c>
      <c r="D53" s="76" t="s">
        <v>268</v>
      </c>
      <c r="E53" s="76" t="s">
        <v>213</v>
      </c>
      <c r="F53" s="76">
        <v>11.12</v>
      </c>
      <c r="G53" s="76">
        <v>312345</v>
      </c>
      <c r="H53" s="76">
        <v>649557</v>
      </c>
      <c r="I53" s="76"/>
      <c r="J53" s="76"/>
      <c r="K53" s="76"/>
      <c r="L53" s="76"/>
      <c r="M53" s="76"/>
      <c r="N53" s="76"/>
      <c r="O53" s="76"/>
      <c r="P53" s="76"/>
      <c r="Q53" s="76"/>
      <c r="R53" s="87"/>
      <c r="S53" s="87"/>
      <c r="T53" s="87"/>
      <c r="U53" s="87"/>
      <c r="V53" s="87"/>
      <c r="W53" s="87"/>
      <c r="X53" s="76"/>
      <c r="Y53" s="76"/>
      <c r="Z53" s="76"/>
      <c r="AA53" s="87"/>
      <c r="AB53" s="76"/>
      <c r="AC53" s="76"/>
      <c r="AD53" s="76"/>
      <c r="AE53" s="76"/>
      <c r="AF53" s="76"/>
    </row>
    <row r="54" spans="1:58" ht="15" customHeight="1">
      <c r="A54" s="76">
        <v>1992</v>
      </c>
      <c r="B54" s="76" t="s">
        <v>77</v>
      </c>
      <c r="C54" s="76">
        <v>1994</v>
      </c>
      <c r="D54" s="76" t="s">
        <v>269</v>
      </c>
      <c r="E54" s="76" t="s">
        <v>239</v>
      </c>
      <c r="F54" s="76">
        <v>8.68</v>
      </c>
      <c r="G54" s="76">
        <v>312346</v>
      </c>
      <c r="H54" s="76">
        <v>889158</v>
      </c>
      <c r="I54" s="76"/>
      <c r="J54" s="76"/>
      <c r="K54" s="76"/>
      <c r="L54" s="76"/>
      <c r="M54" s="76"/>
      <c r="N54" s="76"/>
      <c r="O54" s="76"/>
      <c r="P54" s="76"/>
      <c r="Q54" s="76"/>
      <c r="R54" s="82"/>
      <c r="S54" s="73"/>
      <c r="T54" s="73"/>
      <c r="U54" s="82"/>
      <c r="V54" s="73"/>
      <c r="W54" s="74"/>
      <c r="X54" s="80"/>
      <c r="Y54" s="58"/>
      <c r="Z54" s="88"/>
      <c r="AA54" s="82"/>
      <c r="AB54" s="58"/>
      <c r="AC54" s="58"/>
      <c r="AD54" s="80"/>
      <c r="AE54" s="58"/>
      <c r="AF54" s="88"/>
    </row>
    <row r="55" spans="1:58" ht="15" customHeight="1">
      <c r="A55" s="76">
        <v>1992</v>
      </c>
      <c r="B55" s="76" t="s">
        <v>78</v>
      </c>
      <c r="C55" s="76">
        <v>1994</v>
      </c>
      <c r="D55" s="76" t="s">
        <v>270</v>
      </c>
      <c r="E55" s="76" t="s">
        <v>213</v>
      </c>
      <c r="F55" s="76">
        <v>6.43</v>
      </c>
      <c r="G55" s="76">
        <v>312341</v>
      </c>
      <c r="H55" s="76">
        <v>761797</v>
      </c>
      <c r="I55" s="76"/>
      <c r="J55" s="76"/>
      <c r="K55" s="76"/>
      <c r="L55" s="76"/>
      <c r="M55" s="76"/>
      <c r="N55" s="76"/>
      <c r="O55" s="76"/>
      <c r="P55" s="76"/>
      <c r="Q55" s="76"/>
      <c r="R55" s="82"/>
      <c r="S55" s="73"/>
      <c r="T55" s="73"/>
      <c r="U55" s="82"/>
      <c r="V55" s="73"/>
      <c r="W55" s="74"/>
      <c r="X55" s="80"/>
      <c r="Y55" s="58"/>
      <c r="Z55" s="88"/>
      <c r="AA55" s="82"/>
      <c r="AB55" s="58"/>
      <c r="AC55" s="58"/>
      <c r="AD55" s="80"/>
      <c r="AE55" s="58"/>
      <c r="AF55" s="88"/>
    </row>
    <row r="56" spans="1:58" ht="15" customHeight="1">
      <c r="A56" s="76">
        <v>1992</v>
      </c>
      <c r="B56" s="76" t="s">
        <v>78</v>
      </c>
      <c r="C56" s="76">
        <v>1994</v>
      </c>
      <c r="D56" s="76" t="s">
        <v>269</v>
      </c>
      <c r="E56" s="76" t="s">
        <v>242</v>
      </c>
      <c r="F56" s="76">
        <v>7.65</v>
      </c>
      <c r="G56" s="76">
        <v>312347</v>
      </c>
      <c r="H56" s="76">
        <v>691633</v>
      </c>
      <c r="I56" s="76"/>
      <c r="J56" s="76"/>
      <c r="K56" s="76"/>
      <c r="L56" s="76"/>
      <c r="M56" s="76"/>
      <c r="N56" s="76"/>
      <c r="O56" s="76"/>
      <c r="P56" s="76"/>
      <c r="Q56" s="76"/>
      <c r="R56" s="82"/>
      <c r="S56" s="73"/>
      <c r="T56" s="73"/>
      <c r="U56" s="82"/>
      <c r="V56" s="73"/>
      <c r="W56" s="74"/>
      <c r="X56" s="80"/>
      <c r="Y56" s="58"/>
      <c r="Z56" s="88"/>
      <c r="AA56" s="82"/>
      <c r="AB56" s="58"/>
      <c r="AC56" s="58"/>
      <c r="AD56" s="80"/>
      <c r="AE56" s="58"/>
      <c r="AF56" s="88"/>
    </row>
    <row r="57" spans="1:58" ht="15" customHeight="1">
      <c r="A57" s="77">
        <v>1992</v>
      </c>
      <c r="B57" s="77" t="s">
        <v>256</v>
      </c>
      <c r="C57" s="77">
        <v>1993</v>
      </c>
      <c r="D57" s="93" t="s">
        <v>271</v>
      </c>
      <c r="E57" s="77" t="s">
        <v>213</v>
      </c>
      <c r="F57" s="77">
        <v>4.2</v>
      </c>
      <c r="G57" s="77">
        <v>312150</v>
      </c>
      <c r="H57" s="93">
        <v>0</v>
      </c>
      <c r="I57" s="77"/>
      <c r="J57" s="77"/>
      <c r="K57" s="77"/>
      <c r="L57" s="77"/>
      <c r="M57" s="77"/>
      <c r="N57" s="77"/>
      <c r="O57" s="77"/>
      <c r="P57" s="77"/>
      <c r="Q57" s="77"/>
      <c r="R57" s="81"/>
      <c r="S57" s="90"/>
      <c r="T57" s="91"/>
      <c r="U57" s="81"/>
      <c r="V57" s="90"/>
      <c r="W57" s="91"/>
      <c r="X57" s="81"/>
      <c r="Y57" s="90"/>
      <c r="Z57" s="91"/>
      <c r="AA57" s="81"/>
      <c r="AB57" s="90"/>
      <c r="AC57" s="91"/>
      <c r="AD57" s="81"/>
      <c r="AE57" s="90"/>
      <c r="AF57" s="91"/>
      <c r="BA57">
        <v>1301020101</v>
      </c>
      <c r="BB57">
        <v>89</v>
      </c>
      <c r="BC57">
        <v>1991</v>
      </c>
      <c r="BD57" t="s">
        <v>272</v>
      </c>
      <c r="BE57" t="s">
        <v>236</v>
      </c>
      <c r="BF57" t="s">
        <v>216</v>
      </c>
    </row>
    <row r="58" spans="1:58" ht="15" customHeight="1">
      <c r="A58" s="76">
        <v>1993</v>
      </c>
      <c r="B58" s="76" t="s">
        <v>256</v>
      </c>
      <c r="C58" s="76">
        <v>1994</v>
      </c>
      <c r="D58" s="92" t="s">
        <v>273</v>
      </c>
      <c r="E58" s="76" t="s">
        <v>213</v>
      </c>
      <c r="F58" s="76">
        <v>8.1</v>
      </c>
      <c r="G58" s="76">
        <v>312340</v>
      </c>
      <c r="H58" s="92">
        <v>90358</v>
      </c>
      <c r="I58" s="76"/>
      <c r="J58" s="76"/>
      <c r="K58" s="76"/>
      <c r="L58" s="76"/>
      <c r="M58" s="76"/>
      <c r="N58" s="76"/>
      <c r="O58" s="76"/>
      <c r="P58" s="76"/>
      <c r="Q58" s="76"/>
      <c r="R58" s="80"/>
      <c r="S58" s="58"/>
      <c r="T58" s="88"/>
      <c r="U58" s="80"/>
      <c r="V58" s="58"/>
      <c r="W58" s="88"/>
      <c r="X58" s="80"/>
      <c r="Y58" s="58"/>
      <c r="Z58" s="88"/>
      <c r="AA58" s="80"/>
      <c r="AB58" s="58"/>
      <c r="AC58" s="88"/>
      <c r="AD58" s="80"/>
      <c r="AE58" s="58"/>
      <c r="AF58" s="88"/>
    </row>
    <row r="59" spans="1:58" ht="15" customHeight="1">
      <c r="A59" s="58"/>
      <c r="B59" s="58"/>
      <c r="C59" s="58"/>
      <c r="D59" s="58"/>
      <c r="E59" s="58"/>
      <c r="F59" s="58"/>
      <c r="G59" s="58"/>
      <c r="H59" s="58"/>
      <c r="I59" s="58"/>
      <c r="J59" s="58"/>
      <c r="K59" s="58"/>
      <c r="L59" s="58"/>
      <c r="M59" s="58"/>
      <c r="N59" s="58"/>
      <c r="O59" s="58"/>
      <c r="P59" s="58"/>
      <c r="Q59" s="58"/>
      <c r="R59" s="73"/>
      <c r="S59" s="73"/>
      <c r="T59" s="73"/>
      <c r="U59" s="82"/>
      <c r="V59" s="73"/>
      <c r="W59" s="74"/>
      <c r="X59" s="437">
        <f>(SQRT(SUM(X5:X$57)/(COUNTA(X5:X$57)-1)))/COUNTA(X5:X$57)</f>
        <v>4.2593651504556921E-4</v>
      </c>
      <c r="Y59" s="438">
        <f>(SQRT(SUM(Y5:Y$57)/(COUNTA(Y5:Y$57)-1)))/COUNTA(Y5:Y$57)</f>
        <v>2.1788545330647343E-3</v>
      </c>
      <c r="Z59" s="439">
        <f>(SQRT(SUM(Z5:Z$57)/(COUNTA(Z5:Z$57)-1)))/COUNTA(Z5:Z$57)</f>
        <v>2.5639271308690375E-3</v>
      </c>
      <c r="AA59" s="82"/>
      <c r="AB59" s="58"/>
      <c r="AC59" s="88"/>
      <c r="AD59" s="437">
        <f>(SQRT(SUM(AD5:AD$57)/(COUNTA(AD5:AD$57)-1)))/COUNTA(AD5:AD$57)</f>
        <v>4.525705813202224E-3</v>
      </c>
      <c r="AE59" s="438">
        <f>(SQRT(SUM(AE5:AE$57)/(COUNTA(AE5:AE$57)-1)))/COUNTA(AE5:AE$57)</f>
        <v>6.1286567493416154E-3</v>
      </c>
      <c r="AF59" s="439">
        <f>(SQRT(SUM(AF5:AF$57)/(COUNTA(AF5:AF$57)-1)))/COUNTA(AF5:AF$57)</f>
        <v>4.9426193014374988E-3</v>
      </c>
      <c r="BA59">
        <v>1301010403</v>
      </c>
      <c r="BB59">
        <v>88</v>
      </c>
      <c r="BC59">
        <v>1989</v>
      </c>
      <c r="BD59" t="s">
        <v>272</v>
      </c>
      <c r="BE59" t="s">
        <v>236</v>
      </c>
      <c r="BF59" t="s">
        <v>216</v>
      </c>
    </row>
    <row r="60" spans="1:58" ht="15" customHeight="1">
      <c r="A60" s="58"/>
      <c r="B60" s="58"/>
      <c r="C60" s="58"/>
      <c r="D60" s="58"/>
      <c r="E60" s="58"/>
      <c r="F60" s="58"/>
      <c r="G60" s="58"/>
      <c r="H60" s="58"/>
      <c r="I60" s="58"/>
      <c r="J60" s="58"/>
      <c r="K60" s="58"/>
      <c r="L60" s="58"/>
      <c r="M60" s="58"/>
      <c r="N60" s="58"/>
      <c r="O60" s="58"/>
      <c r="P60" s="58"/>
      <c r="Q60" s="58"/>
      <c r="R60" s="73"/>
      <c r="S60" s="73"/>
      <c r="T60" s="73"/>
      <c r="U60" s="82"/>
      <c r="V60" s="73"/>
      <c r="W60" s="74"/>
      <c r="X60" s="420">
        <f>VLOOKUP(COUNTA($AD5:$AD$57)-1,ttab!$A$3:$G$43,4)</f>
        <v>1.3180000000000001</v>
      </c>
      <c r="Y60" s="440">
        <f>VLOOKUP(COUNTA($AD5:$AD$57)-1,ttab!$A$3:$G$43,4)</f>
        <v>1.3180000000000001</v>
      </c>
      <c r="Z60" s="441">
        <f>VLOOKUP(COUNTA($AD5:$AD$57)-1,ttab!$A$3:$G$43,4)</f>
        <v>1.3180000000000001</v>
      </c>
      <c r="AA60" s="82"/>
      <c r="AB60" s="58"/>
      <c r="AC60" s="88"/>
      <c r="AD60" s="420">
        <f>VLOOKUP(COUNTA($AD5:$AD$57)-1,ttab!$A$3:$G$43,4)</f>
        <v>1.3180000000000001</v>
      </c>
      <c r="AE60" s="440">
        <f>VLOOKUP(COUNTA($AD5:$AD$57)-1,ttab!$A$3:$G$43,4)</f>
        <v>1.3180000000000001</v>
      </c>
      <c r="AF60" s="441">
        <f>VLOOKUP(COUNTA($AD5:$AD$57)-1,ttab!$A$3:$G$43,4)</f>
        <v>1.3180000000000001</v>
      </c>
      <c r="BA60">
        <v>1301020102</v>
      </c>
      <c r="BB60">
        <v>89</v>
      </c>
      <c r="BC60">
        <v>1991</v>
      </c>
      <c r="BD60" t="s">
        <v>272</v>
      </c>
      <c r="BE60" t="s">
        <v>236</v>
      </c>
      <c r="BF60" t="s">
        <v>216</v>
      </c>
    </row>
    <row r="61" spans="1:58" ht="15" customHeight="1">
      <c r="A61" s="58"/>
      <c r="B61" s="58"/>
      <c r="C61" s="58"/>
      <c r="D61" s="58"/>
      <c r="E61" s="58"/>
      <c r="F61" s="58"/>
      <c r="G61" s="58"/>
      <c r="H61" s="58"/>
      <c r="I61" s="58"/>
      <c r="J61" s="58"/>
      <c r="K61" s="58"/>
      <c r="L61" s="58"/>
      <c r="M61" s="58"/>
      <c r="N61" s="58"/>
      <c r="O61" s="58"/>
      <c r="P61" s="58"/>
      <c r="Q61" s="58"/>
      <c r="R61" s="73"/>
      <c r="S61" s="73"/>
      <c r="T61" s="73"/>
      <c r="U61" s="83"/>
      <c r="V61" s="78"/>
      <c r="W61" s="79"/>
      <c r="X61" s="421">
        <f>X59*X60</f>
        <v>5.6138432683006025E-4</v>
      </c>
      <c r="Y61" s="442">
        <f>Y59*Y60</f>
        <v>2.8717302745793201E-3</v>
      </c>
      <c r="Z61" s="443">
        <f>Z59*Z60</f>
        <v>3.3792559584853916E-3</v>
      </c>
      <c r="AA61" s="83"/>
      <c r="AB61" s="90"/>
      <c r="AC61" s="91"/>
      <c r="AD61" s="421">
        <f>AD59*AD60</f>
        <v>5.9648802618005314E-3</v>
      </c>
      <c r="AE61" s="442">
        <f>AE59*AE60</f>
        <v>8.0775695956322498E-3</v>
      </c>
      <c r="AF61" s="443">
        <f>AF59*AF60</f>
        <v>6.5143722392946232E-3</v>
      </c>
      <c r="BA61">
        <v>311951</v>
      </c>
      <c r="BB61">
        <v>89</v>
      </c>
      <c r="BC61">
        <v>1991</v>
      </c>
      <c r="BD61" t="s">
        <v>274</v>
      </c>
      <c r="BE61" t="s">
        <v>232</v>
      </c>
      <c r="BF61" t="s">
        <v>275</v>
      </c>
    </row>
    <row r="62" spans="1:58" ht="15" customHeight="1">
      <c r="A62" s="58"/>
      <c r="B62" s="58"/>
      <c r="C62" s="58"/>
      <c r="D62" s="58"/>
      <c r="E62" s="58"/>
      <c r="F62" s="58"/>
      <c r="G62" s="58"/>
      <c r="H62" s="58"/>
      <c r="I62" s="58"/>
      <c r="J62" s="58"/>
      <c r="K62" s="58"/>
      <c r="L62" s="58"/>
      <c r="M62" s="58"/>
      <c r="N62" s="58"/>
      <c r="O62" s="58"/>
      <c r="P62" s="58"/>
      <c r="Q62" s="58"/>
      <c r="R62" s="73"/>
      <c r="S62" s="73"/>
      <c r="T62" s="73"/>
      <c r="U62" s="73"/>
      <c r="V62" s="73"/>
      <c r="W62" s="73"/>
      <c r="X62" s="58"/>
      <c r="Y62" s="58"/>
      <c r="Z62" s="58"/>
      <c r="AA62" s="73"/>
      <c r="AB62" s="73"/>
      <c r="AC62" s="73"/>
      <c r="AD62" s="75"/>
      <c r="AE62" s="75"/>
      <c r="AF62" s="75"/>
      <c r="BA62">
        <v>311840</v>
      </c>
      <c r="BB62">
        <v>87</v>
      </c>
      <c r="BC62">
        <v>1989</v>
      </c>
      <c r="BD62" t="s">
        <v>274</v>
      </c>
      <c r="BE62" t="s">
        <v>232</v>
      </c>
      <c r="BF62" t="s">
        <v>275</v>
      </c>
    </row>
    <row r="63" spans="1:58" ht="15" customHeight="1">
      <c r="A63" s="58"/>
      <c r="B63" s="58"/>
      <c r="C63" s="58"/>
      <c r="D63" s="58"/>
      <c r="E63" s="58"/>
      <c r="F63" s="58"/>
      <c r="G63" s="58"/>
      <c r="H63" s="58"/>
      <c r="I63" s="58"/>
      <c r="J63" s="58"/>
      <c r="K63" s="58"/>
      <c r="L63" s="58"/>
      <c r="M63" s="58"/>
      <c r="N63" s="58"/>
      <c r="O63" s="58"/>
      <c r="P63" s="58"/>
      <c r="Q63" s="58"/>
      <c r="R63" s="73"/>
      <c r="S63" s="73"/>
      <c r="T63" s="73"/>
      <c r="U63" s="73"/>
      <c r="V63" s="73"/>
      <c r="W63" s="73"/>
      <c r="X63" s="58"/>
      <c r="Y63" s="58"/>
      <c r="Z63" s="58"/>
      <c r="AA63" s="73"/>
      <c r="AB63" s="58"/>
      <c r="AC63" s="58"/>
      <c r="AD63" s="58"/>
      <c r="AE63" s="58"/>
      <c r="AF63" s="58"/>
      <c r="AG63" s="4"/>
      <c r="AH63" s="414">
        <f>A26</f>
        <v>1989</v>
      </c>
      <c r="AI63" s="115" t="s">
        <v>241</v>
      </c>
      <c r="AJ63" s="383">
        <f>H26</f>
        <v>845563</v>
      </c>
      <c r="AK63" s="383">
        <f>L26</f>
        <v>232</v>
      </c>
      <c r="BA63">
        <v>311957</v>
      </c>
      <c r="BB63">
        <v>89</v>
      </c>
      <c r="BC63">
        <v>1991</v>
      </c>
      <c r="BD63" t="s">
        <v>274</v>
      </c>
      <c r="BE63" t="s">
        <v>232</v>
      </c>
      <c r="BF63" t="s">
        <v>275</v>
      </c>
    </row>
    <row r="64" spans="1:58">
      <c r="BA64">
        <v>311956</v>
      </c>
      <c r="BB64">
        <v>89</v>
      </c>
      <c r="BC64">
        <v>1991</v>
      </c>
      <c r="BD64" t="s">
        <v>274</v>
      </c>
      <c r="BE64" t="s">
        <v>232</v>
      </c>
      <c r="BF64" t="s">
        <v>275</v>
      </c>
    </row>
    <row r="65" spans="1:58">
      <c r="A65" s="4" t="s">
        <v>276</v>
      </c>
      <c r="B65" s="4"/>
      <c r="C65" s="4"/>
      <c r="D65" s="4"/>
      <c r="E65" s="4"/>
      <c r="F65" s="4"/>
      <c r="G65" s="4"/>
      <c r="H65" s="4"/>
      <c r="I65" s="4"/>
      <c r="J65" s="4"/>
      <c r="K65" s="4"/>
      <c r="L65" s="4"/>
      <c r="M65" s="4"/>
      <c r="N65" s="4"/>
      <c r="O65" s="4"/>
      <c r="P65" s="4"/>
      <c r="Q65" s="4"/>
      <c r="R65" s="7" t="s">
        <v>184</v>
      </c>
      <c r="S65" s="8"/>
      <c r="T65" s="8"/>
      <c r="U65" s="8"/>
      <c r="V65" s="8"/>
      <c r="W65" s="64"/>
      <c r="X65" s="7" t="s">
        <v>186</v>
      </c>
      <c r="Y65" s="8"/>
      <c r="Z65" s="64"/>
      <c r="BA65">
        <v>311910</v>
      </c>
      <c r="BB65">
        <v>88</v>
      </c>
      <c r="BC65">
        <v>1990</v>
      </c>
      <c r="BD65" t="s">
        <v>274</v>
      </c>
      <c r="BE65" t="s">
        <v>232</v>
      </c>
      <c r="BF65" t="s">
        <v>275</v>
      </c>
    </row>
    <row r="66" spans="1:58">
      <c r="A66" s="4"/>
      <c r="B66" s="7" t="s">
        <v>189</v>
      </c>
      <c r="C66" s="8"/>
      <c r="D66" s="8"/>
      <c r="E66" s="8"/>
      <c r="F66" s="8"/>
      <c r="G66" s="8"/>
      <c r="H66" s="64"/>
      <c r="I66" s="7" t="s">
        <v>190</v>
      </c>
      <c r="J66" s="8"/>
      <c r="K66" s="8"/>
      <c r="L66" s="8"/>
      <c r="M66" s="8"/>
      <c r="N66" s="8"/>
      <c r="O66" s="8"/>
      <c r="P66" s="8"/>
      <c r="Q66" s="64"/>
      <c r="R66" s="7" t="s">
        <v>191</v>
      </c>
      <c r="S66" s="8"/>
      <c r="T66" s="64"/>
      <c r="U66" s="8" t="s">
        <v>192</v>
      </c>
      <c r="V66" s="8"/>
      <c r="W66" s="64"/>
      <c r="X66" s="69" t="s">
        <v>193</v>
      </c>
      <c r="Y66" s="69" t="s">
        <v>194</v>
      </c>
      <c r="Z66" s="69" t="s">
        <v>195</v>
      </c>
      <c r="BA66">
        <v>1301010911</v>
      </c>
      <c r="BB66">
        <v>88</v>
      </c>
      <c r="BC66">
        <v>1990</v>
      </c>
      <c r="BD66" t="s">
        <v>277</v>
      </c>
      <c r="BE66" t="s">
        <v>278</v>
      </c>
      <c r="BF66" t="s">
        <v>279</v>
      </c>
    </row>
    <row r="67" spans="1:58">
      <c r="A67" s="69" t="s">
        <v>136</v>
      </c>
      <c r="B67" s="69" t="s">
        <v>197</v>
      </c>
      <c r="C67" s="69" t="s">
        <v>198</v>
      </c>
      <c r="D67" s="94" t="s">
        <v>199</v>
      </c>
      <c r="E67" s="94" t="s">
        <v>200</v>
      </c>
      <c r="F67" s="9" t="s">
        <v>201</v>
      </c>
      <c r="G67" s="69" t="s">
        <v>202</v>
      </c>
      <c r="H67" s="69" t="s">
        <v>203</v>
      </c>
      <c r="I67" s="69">
        <v>1989</v>
      </c>
      <c r="J67" s="69">
        <v>1990</v>
      </c>
      <c r="K67" s="69">
        <v>1991</v>
      </c>
      <c r="L67" s="69">
        <v>1992</v>
      </c>
      <c r="M67" s="69">
        <v>1993</v>
      </c>
      <c r="N67" s="69">
        <v>1994</v>
      </c>
      <c r="O67" s="69"/>
      <c r="P67" s="69"/>
      <c r="Q67" s="69">
        <v>1995</v>
      </c>
      <c r="R67" s="11"/>
      <c r="S67" s="11"/>
      <c r="T67" s="12"/>
      <c r="U67" s="11"/>
      <c r="V67" s="11"/>
      <c r="W67" s="12"/>
      <c r="X67" s="10"/>
      <c r="Y67" s="11"/>
      <c r="Z67" s="12"/>
      <c r="BA67">
        <v>311955</v>
      </c>
      <c r="BB67">
        <v>89</v>
      </c>
      <c r="BC67">
        <v>1991</v>
      </c>
      <c r="BD67" t="s">
        <v>277</v>
      </c>
      <c r="BE67" t="s">
        <v>278</v>
      </c>
      <c r="BF67" t="s">
        <v>279</v>
      </c>
    </row>
    <row r="68" spans="1:58" ht="15" customHeight="1">
      <c r="A68" s="95">
        <v>1986</v>
      </c>
      <c r="B68" s="95"/>
      <c r="C68" s="444">
        <f t="shared" ref="C68:C74" si="43">A68+2</f>
        <v>1988</v>
      </c>
      <c r="D68" s="95"/>
      <c r="E68" s="95" t="s">
        <v>70</v>
      </c>
      <c r="F68" s="95"/>
      <c r="G68" s="95"/>
      <c r="H68" s="444">
        <f>SUM(H5:H8)</f>
        <v>330025</v>
      </c>
      <c r="I68" s="444">
        <f>SUM(I5:I8)</f>
        <v>2591</v>
      </c>
      <c r="J68" s="444">
        <f>SUM(J5:J8)</f>
        <v>4851</v>
      </c>
      <c r="K68" s="444">
        <f>SUM(K5:K8)</f>
        <v>2939</v>
      </c>
      <c r="L68" s="95"/>
      <c r="M68" s="95"/>
      <c r="N68" s="95"/>
      <c r="O68" s="95"/>
      <c r="P68" s="95"/>
      <c r="Q68" s="95"/>
      <c r="R68" s="450">
        <f>I68/$H68</f>
        <v>7.8509203848193317E-3</v>
      </c>
      <c r="S68" s="450">
        <f>J68/$H68</f>
        <v>1.4698886447996364E-2</v>
      </c>
      <c r="T68" s="445">
        <f>K68/$H68</f>
        <v>8.9053859556094232E-3</v>
      </c>
      <c r="U68" s="450">
        <f>I68/$H68</f>
        <v>7.8509203848193317E-3</v>
      </c>
      <c r="V68" s="450">
        <f>(+I68+J68)/$H68</f>
        <v>2.2549806832815697E-2</v>
      </c>
      <c r="W68" s="445">
        <f>(+I68+J68+K68)/$H68</f>
        <v>3.1455192788425117E-2</v>
      </c>
      <c r="X68" s="446">
        <f>I68/SUM($I68:$K68)</f>
        <v>0.2495905982082651</v>
      </c>
      <c r="Y68" s="447">
        <f>J68/SUM($I68:$K68)</f>
        <v>0.46729602157788269</v>
      </c>
      <c r="Z68" s="448">
        <f>K68/SUM($I68:$K68)</f>
        <v>0.28311338021385224</v>
      </c>
      <c r="AA68" s="70"/>
      <c r="AB68" s="4"/>
      <c r="AC68" s="71"/>
    </row>
    <row r="69" spans="1:58" ht="15" customHeight="1">
      <c r="A69" s="98">
        <v>1987</v>
      </c>
      <c r="B69" s="98"/>
      <c r="C69" s="449">
        <f t="shared" si="43"/>
        <v>1989</v>
      </c>
      <c r="D69" s="98"/>
      <c r="E69" s="98" t="s">
        <v>70</v>
      </c>
      <c r="F69" s="98"/>
      <c r="G69" s="98"/>
      <c r="H69" s="449">
        <f>SUM(H9:H12)</f>
        <v>3925026</v>
      </c>
      <c r="I69" s="98"/>
      <c r="J69" s="449">
        <f>SUM(J9:J12)</f>
        <v>2986</v>
      </c>
      <c r="K69" s="449">
        <f>SUM(K9:K12)</f>
        <v>418464</v>
      </c>
      <c r="L69" s="449">
        <f>SUM(L9:L12)</f>
        <v>189722</v>
      </c>
      <c r="M69" s="98"/>
      <c r="N69" s="98"/>
      <c r="O69" s="98"/>
      <c r="P69" s="98"/>
      <c r="Q69" s="98"/>
      <c r="R69" s="450">
        <f>J69/$H69</f>
        <v>7.6075929178558307E-4</v>
      </c>
      <c r="S69" s="450">
        <f>K69/$H69</f>
        <v>0.10661432561211059</v>
      </c>
      <c r="T69" s="445">
        <f>L69/$H69</f>
        <v>4.8336495095828665E-2</v>
      </c>
      <c r="U69" s="450">
        <f>J69/$H69</f>
        <v>7.6075929178558307E-4</v>
      </c>
      <c r="V69" s="450">
        <f>(+J69+K69)/$H69</f>
        <v>0.10737508490389618</v>
      </c>
      <c r="W69" s="445">
        <f>(+J69+K69+L69)/$H69</f>
        <v>0.15571157999972485</v>
      </c>
      <c r="X69" s="446">
        <f>J69/SUM($J69:$L69)</f>
        <v>4.8856950252956612E-3</v>
      </c>
      <c r="Y69" s="447">
        <f>K69/SUM($J69:$L69)</f>
        <v>0.68469105260057728</v>
      </c>
      <c r="Z69" s="448">
        <f>L69/SUM($J69:$L69)</f>
        <v>0.3104232523741271</v>
      </c>
      <c r="AA69" s="70"/>
      <c r="AB69" s="4"/>
      <c r="AC69" s="71"/>
    </row>
    <row r="70" spans="1:58" ht="15" customHeight="1">
      <c r="A70" s="98">
        <v>1988</v>
      </c>
      <c r="B70" s="98"/>
      <c r="C70" s="449">
        <f t="shared" si="43"/>
        <v>1990</v>
      </c>
      <c r="D70" s="98"/>
      <c r="E70" s="98" t="s">
        <v>70</v>
      </c>
      <c r="F70" s="98"/>
      <c r="G70" s="98"/>
      <c r="H70" s="449">
        <f>SUM(H13:H20)</f>
        <v>2621888</v>
      </c>
      <c r="I70" s="98"/>
      <c r="J70" s="98"/>
      <c r="K70" s="449">
        <f>SUM(K13:K20)</f>
        <v>57565</v>
      </c>
      <c r="L70" s="449">
        <f>SUM(L13:L20)</f>
        <v>293139</v>
      </c>
      <c r="M70" s="449">
        <f>SUM(M13:M20)</f>
        <v>49460</v>
      </c>
      <c r="N70" s="98"/>
      <c r="O70" s="98"/>
      <c r="P70" s="98"/>
      <c r="Q70" s="98"/>
      <c r="R70" s="450">
        <f>K70/$H70</f>
        <v>2.1955552639929699E-2</v>
      </c>
      <c r="S70" s="450">
        <f>L70/$H70</f>
        <v>0.11180454695242513</v>
      </c>
      <c r="T70" s="445">
        <f>M70/$H70</f>
        <v>1.8864268801718456E-2</v>
      </c>
      <c r="U70" s="450">
        <f>K70/$H70</f>
        <v>2.1955552639929699E-2</v>
      </c>
      <c r="V70" s="450">
        <f>(+K70+L70)/$H70</f>
        <v>0.13376009959235483</v>
      </c>
      <c r="W70" s="445">
        <f>SUM(K70:M70)/H70</f>
        <v>0.15262436839407328</v>
      </c>
      <c r="X70" s="446">
        <f>K70/SUM(K70:M70)</f>
        <v>0.14385352005677673</v>
      </c>
      <c r="Y70" s="447">
        <f>L70/SUM(K70:M70)</f>
        <v>0.7325471556661769</v>
      </c>
      <c r="Z70" s="448">
        <f>M70/SUM(K70:M70)</f>
        <v>0.12359932427704641</v>
      </c>
      <c r="AA70" s="70"/>
      <c r="AB70" s="4"/>
      <c r="AC70" s="71"/>
    </row>
    <row r="71" spans="1:58" ht="15" customHeight="1">
      <c r="A71" s="98">
        <v>1989</v>
      </c>
      <c r="B71" s="98"/>
      <c r="C71" s="449">
        <f t="shared" si="43"/>
        <v>1991</v>
      </c>
      <c r="D71" s="98"/>
      <c r="E71" s="98" t="s">
        <v>70</v>
      </c>
      <c r="F71" s="98"/>
      <c r="G71" s="98"/>
      <c r="H71" s="449">
        <f>SUM(H21:H24)</f>
        <v>1517774</v>
      </c>
      <c r="I71" s="98"/>
      <c r="J71" s="98"/>
      <c r="K71" s="98"/>
      <c r="L71" s="449">
        <f>SUM(L21:L24)</f>
        <v>916</v>
      </c>
      <c r="M71" s="449">
        <f>SUM(M21:M29)</f>
        <v>222051</v>
      </c>
      <c r="N71" s="449">
        <f>SUM(N21:N29)</f>
        <v>37982</v>
      </c>
      <c r="O71" s="98"/>
      <c r="P71" s="98"/>
      <c r="Q71" s="98"/>
      <c r="R71" s="450">
        <f>L71/$H71</f>
        <v>6.0351541138535774E-4</v>
      </c>
      <c r="S71" s="450">
        <f>M71/$H71</f>
        <v>0.14630043735101536</v>
      </c>
      <c r="T71" s="445">
        <f>N71/H71</f>
        <v>2.5024806064671026E-2</v>
      </c>
      <c r="U71" s="450">
        <f>L71/$H71</f>
        <v>6.0351541138535774E-4</v>
      </c>
      <c r="V71" s="450">
        <f>SUM(L71:M71)/H71</f>
        <v>0.14690395276240073</v>
      </c>
      <c r="W71" s="445">
        <f>SUM(L71:N71)/H71</f>
        <v>0.17192875882707176</v>
      </c>
      <c r="X71" s="446">
        <f>L71/SUM(L71:N71)</f>
        <v>3.5102644578059315E-3</v>
      </c>
      <c r="Y71" s="447">
        <f>M71/SUM(L71:N71)</f>
        <v>0.85093638986928477</v>
      </c>
      <c r="Z71" s="448">
        <f>N71/SUM(L71:N71)</f>
        <v>0.14555334567290926</v>
      </c>
      <c r="AA71" s="70"/>
      <c r="AB71" s="4"/>
      <c r="AC71" s="71"/>
    </row>
    <row r="72" spans="1:58" ht="15" customHeight="1">
      <c r="A72" s="98">
        <v>1990</v>
      </c>
      <c r="B72" s="98"/>
      <c r="C72" s="449">
        <f t="shared" si="43"/>
        <v>1992</v>
      </c>
      <c r="D72" s="98"/>
      <c r="E72" s="98" t="s">
        <v>70</v>
      </c>
      <c r="F72" s="98"/>
      <c r="G72" s="98"/>
      <c r="H72" s="449">
        <f>SUM(H30:H33)</f>
        <v>826054</v>
      </c>
      <c r="I72" s="98"/>
      <c r="J72" s="98"/>
      <c r="K72" s="98"/>
      <c r="L72" s="98"/>
      <c r="M72" s="449">
        <f>SUM(M30:M33)</f>
        <v>20192</v>
      </c>
      <c r="N72" s="449">
        <f>SUM(N30:N33)</f>
        <v>35234</v>
      </c>
      <c r="O72" s="98"/>
      <c r="P72" s="98"/>
      <c r="Q72" s="98"/>
      <c r="R72" s="450">
        <f>M72/H72</f>
        <v>2.4443922552278664E-2</v>
      </c>
      <c r="S72" s="450">
        <f>N72/H72</f>
        <v>4.2653385856130474E-2</v>
      </c>
      <c r="T72" s="71"/>
      <c r="U72" s="450">
        <f>M72/H72</f>
        <v>2.4443922552278664E-2</v>
      </c>
      <c r="V72" s="450">
        <f>SUM(M72:N72)/H72</f>
        <v>6.7097308408409134E-2</v>
      </c>
      <c r="W72" s="71"/>
      <c r="X72" s="70"/>
      <c r="Y72" s="4"/>
      <c r="Z72" s="71"/>
    </row>
    <row r="73" spans="1:58" ht="15" customHeight="1">
      <c r="A73" s="98">
        <v>1991</v>
      </c>
      <c r="B73" s="98"/>
      <c r="C73" s="449">
        <f t="shared" si="43"/>
        <v>1993</v>
      </c>
      <c r="D73" s="98"/>
      <c r="E73" s="98" t="s">
        <v>70</v>
      </c>
      <c r="F73" s="98"/>
      <c r="G73" s="98"/>
      <c r="H73" s="449">
        <f>SUM(H41:H45)</f>
        <v>2597284</v>
      </c>
      <c r="I73" s="98"/>
      <c r="J73" s="98"/>
      <c r="K73" s="98"/>
      <c r="L73" s="98"/>
      <c r="M73" s="98"/>
      <c r="N73" s="449">
        <f>SUM(N41:N45)</f>
        <v>5952</v>
      </c>
      <c r="O73" s="98"/>
      <c r="P73" s="98"/>
      <c r="Q73" s="98"/>
      <c r="R73" s="450">
        <f>N73/H73</f>
        <v>2.2916246355808604E-3</v>
      </c>
      <c r="S73" s="4"/>
      <c r="T73" s="71"/>
      <c r="U73" s="450">
        <f>N73/H73</f>
        <v>2.2916246355808604E-3</v>
      </c>
      <c r="V73" s="4"/>
      <c r="W73" s="71"/>
      <c r="X73" s="70"/>
      <c r="Y73" s="4"/>
      <c r="Z73" s="71"/>
    </row>
    <row r="74" spans="1:58" ht="15" customHeight="1">
      <c r="A74" s="98">
        <v>1992</v>
      </c>
      <c r="B74" s="98"/>
      <c r="C74" s="449">
        <f t="shared" si="43"/>
        <v>1994</v>
      </c>
      <c r="D74" s="98"/>
      <c r="E74" s="98" t="s">
        <v>70</v>
      </c>
      <c r="F74" s="98"/>
      <c r="G74" s="98"/>
      <c r="H74" s="449">
        <f>SUM(H50:H53)</f>
        <v>2400666</v>
      </c>
      <c r="I74" s="98"/>
      <c r="J74" s="98"/>
      <c r="K74" s="98"/>
      <c r="L74" s="98"/>
      <c r="M74" s="98"/>
      <c r="N74" s="98"/>
      <c r="O74" s="98"/>
      <c r="P74" s="98"/>
      <c r="Q74" s="98"/>
      <c r="R74" s="4"/>
      <c r="S74" s="4"/>
      <c r="T74" s="71"/>
      <c r="U74" s="6"/>
      <c r="V74" s="4"/>
      <c r="W74" s="71"/>
      <c r="X74" s="70"/>
      <c r="Y74" s="4"/>
      <c r="Z74" s="71"/>
    </row>
    <row r="75" spans="1:58" ht="15" customHeight="1">
      <c r="A75" s="99"/>
      <c r="B75" s="99"/>
      <c r="C75" s="99"/>
      <c r="D75" s="99"/>
      <c r="E75" s="99"/>
      <c r="F75" s="99"/>
      <c r="G75" s="99"/>
      <c r="H75" s="99"/>
      <c r="I75" s="99"/>
      <c r="J75" s="99"/>
      <c r="K75" s="99"/>
      <c r="L75" s="99"/>
      <c r="M75" s="99"/>
      <c r="N75" s="99"/>
      <c r="O75" s="99"/>
      <c r="P75" s="99"/>
      <c r="Q75" s="99"/>
      <c r="R75" s="13"/>
      <c r="S75" s="13"/>
      <c r="T75" s="14"/>
      <c r="U75" s="100"/>
      <c r="V75" s="13"/>
      <c r="W75" s="14"/>
      <c r="X75" s="5"/>
      <c r="Y75" s="13"/>
      <c r="Z75" s="14"/>
    </row>
    <row r="76" spans="1:58" ht="15" customHeight="1">
      <c r="A76" s="4"/>
      <c r="B76" s="4"/>
      <c r="C76" s="4"/>
      <c r="D76" s="4"/>
      <c r="E76" s="4"/>
      <c r="F76" s="4"/>
      <c r="G76" s="4"/>
      <c r="H76" s="4"/>
      <c r="I76" s="4"/>
      <c r="J76" s="4"/>
      <c r="K76" s="4"/>
      <c r="L76" s="4"/>
      <c r="M76" s="4"/>
      <c r="N76" s="4"/>
      <c r="O76" s="4"/>
      <c r="P76" s="4"/>
      <c r="Q76" s="4"/>
      <c r="R76" s="4"/>
      <c r="S76" s="4"/>
      <c r="T76" s="4"/>
      <c r="U76" s="450">
        <f>U77-X$61</f>
        <v>9.4496905793619718E-3</v>
      </c>
      <c r="V76" s="450">
        <f>V77-Y$61</f>
        <v>0.11091238114218588</v>
      </c>
      <c r="W76" s="450">
        <f>W77-Z$61</f>
        <v>0.15670897978180456</v>
      </c>
      <c r="X76" s="450">
        <f>X77-AD$61</f>
        <v>4.4784946251492243E-2</v>
      </c>
      <c r="Y76" s="450">
        <f>Y77-AE$61</f>
        <v>0.74798062978304747</v>
      </c>
      <c r="Z76" s="450">
        <f>Z77-AF$61</f>
        <v>0.18667760186873295</v>
      </c>
    </row>
    <row r="77" spans="1:58" ht="15" customHeight="1">
      <c r="A77" s="4"/>
      <c r="B77" s="4"/>
      <c r="C77" s="4"/>
      <c r="D77" s="4"/>
      <c r="E77" s="4"/>
      <c r="F77" s="4"/>
      <c r="G77" s="4"/>
      <c r="H77" s="4"/>
      <c r="I77" s="4"/>
      <c r="J77" s="4"/>
      <c r="K77" s="4"/>
      <c r="L77" s="4"/>
      <c r="M77" s="4"/>
      <c r="N77" s="4"/>
      <c r="O77" s="4"/>
      <c r="P77" s="4"/>
      <c r="Q77" s="4"/>
      <c r="R77" s="4"/>
      <c r="S77" s="4"/>
      <c r="T77" s="4"/>
      <c r="U77" s="450">
        <f t="shared" ref="U77:Z77" si="44">AVERAGEA(U69:U75)</f>
        <v>1.0011074906192033E-2</v>
      </c>
      <c r="V77" s="450">
        <f t="shared" si="44"/>
        <v>0.1137841114167652</v>
      </c>
      <c r="W77" s="450">
        <f t="shared" si="44"/>
        <v>0.16008823574028996</v>
      </c>
      <c r="X77" s="450">
        <f t="shared" si="44"/>
        <v>5.0749826513292774E-2</v>
      </c>
      <c r="Y77" s="450">
        <f t="shared" si="44"/>
        <v>0.75605819937867969</v>
      </c>
      <c r="Z77" s="450">
        <f t="shared" si="44"/>
        <v>0.19319197410802758</v>
      </c>
      <c r="AA77" s="29"/>
      <c r="AB77" s="29"/>
      <c r="AC77" s="29"/>
    </row>
    <row r="78" spans="1:58">
      <c r="A78" s="4"/>
      <c r="B78" s="4"/>
      <c r="C78" s="4"/>
      <c r="D78" s="4"/>
      <c r="E78" s="4"/>
      <c r="F78" s="4"/>
      <c r="G78" s="4"/>
      <c r="H78" s="4"/>
      <c r="I78" s="4"/>
      <c r="J78" s="4"/>
      <c r="K78" s="4"/>
      <c r="L78" s="4"/>
      <c r="M78" s="4"/>
      <c r="N78" s="4"/>
      <c r="O78" s="4"/>
      <c r="P78" s="4"/>
      <c r="Q78" s="4"/>
      <c r="R78" s="4"/>
      <c r="S78" s="4"/>
      <c r="T78" s="4"/>
      <c r="U78" s="450">
        <f>U77+X$61</f>
        <v>1.0572459233022094E-2</v>
      </c>
      <c r="V78" s="450">
        <f>V77+Y$61</f>
        <v>0.11665584169134452</v>
      </c>
      <c r="W78" s="450">
        <f>W77+Z$61</f>
        <v>0.16346749169877536</v>
      </c>
      <c r="X78" s="450">
        <f>X77+AD$61</f>
        <v>5.6714706775093306E-2</v>
      </c>
      <c r="Y78" s="450">
        <f>Y77+AE$61</f>
        <v>0.7641357689743119</v>
      </c>
      <c r="Z78" s="450">
        <f>Z77+AF$61</f>
        <v>0.19970634634732221</v>
      </c>
    </row>
    <row r="79" spans="1:58">
      <c r="A79" s="4" t="s">
        <v>280</v>
      </c>
      <c r="B79" s="4"/>
      <c r="C79" s="4"/>
      <c r="D79" s="4"/>
      <c r="E79" s="4"/>
      <c r="F79" s="4"/>
      <c r="G79" s="4"/>
      <c r="H79" s="4"/>
      <c r="I79" s="4"/>
      <c r="J79" s="4"/>
      <c r="K79" s="4"/>
      <c r="L79" s="4"/>
      <c r="M79" s="4"/>
      <c r="N79" s="4"/>
      <c r="O79" s="4"/>
      <c r="P79" s="4"/>
      <c r="Q79" s="4"/>
      <c r="R79" s="7" t="s">
        <v>184</v>
      </c>
      <c r="S79" s="8"/>
      <c r="T79" s="8"/>
      <c r="U79" s="8"/>
      <c r="V79" s="8"/>
      <c r="W79" s="64"/>
      <c r="X79" s="7" t="s">
        <v>186</v>
      </c>
      <c r="Y79" s="8"/>
      <c r="Z79" s="64"/>
    </row>
    <row r="80" spans="1:58">
      <c r="A80" s="4"/>
      <c r="B80" s="7" t="s">
        <v>189</v>
      </c>
      <c r="C80" s="8"/>
      <c r="D80" s="8"/>
      <c r="E80" s="8"/>
      <c r="F80" s="8"/>
      <c r="G80" s="8"/>
      <c r="H80" s="64"/>
      <c r="I80" s="7" t="s">
        <v>190</v>
      </c>
      <c r="J80" s="8"/>
      <c r="K80" s="8"/>
      <c r="L80" s="8"/>
      <c r="M80" s="8"/>
      <c r="N80" s="8"/>
      <c r="O80" s="8"/>
      <c r="P80" s="8"/>
      <c r="Q80" s="64"/>
      <c r="R80" s="7" t="s">
        <v>191</v>
      </c>
      <c r="S80" s="8"/>
      <c r="T80" s="64"/>
      <c r="U80" s="8" t="s">
        <v>192</v>
      </c>
      <c r="V80" s="8"/>
      <c r="W80" s="64"/>
      <c r="X80" s="69" t="s">
        <v>193</v>
      </c>
      <c r="Y80" s="69" t="s">
        <v>194</v>
      </c>
      <c r="Z80" s="69" t="s">
        <v>195</v>
      </c>
    </row>
    <row r="81" spans="1:26">
      <c r="A81" s="69" t="s">
        <v>136</v>
      </c>
      <c r="B81" s="69" t="s">
        <v>197</v>
      </c>
      <c r="C81" s="69" t="s">
        <v>198</v>
      </c>
      <c r="D81" s="94" t="s">
        <v>199</v>
      </c>
      <c r="E81" s="94" t="s">
        <v>200</v>
      </c>
      <c r="F81" s="9" t="s">
        <v>201</v>
      </c>
      <c r="G81" s="69" t="s">
        <v>202</v>
      </c>
      <c r="H81" s="69" t="s">
        <v>203</v>
      </c>
      <c r="I81" s="69">
        <v>1989</v>
      </c>
      <c r="J81" s="69">
        <v>1990</v>
      </c>
      <c r="K81" s="69">
        <v>1991</v>
      </c>
      <c r="L81" s="69">
        <v>1992</v>
      </c>
      <c r="M81" s="69">
        <v>1993</v>
      </c>
      <c r="N81" s="69">
        <v>1994</v>
      </c>
      <c r="O81" s="69">
        <v>1995</v>
      </c>
      <c r="P81" s="69">
        <v>1996</v>
      </c>
      <c r="Q81" s="69">
        <v>1997</v>
      </c>
      <c r="R81" s="11"/>
      <c r="S81" s="11"/>
      <c r="T81" s="12"/>
      <c r="U81" s="11"/>
      <c r="V81" s="11"/>
      <c r="W81" s="12"/>
      <c r="X81" s="10"/>
      <c r="Y81" s="11"/>
      <c r="Z81" s="12"/>
    </row>
    <row r="82" spans="1:26">
      <c r="A82" s="95">
        <v>1986</v>
      </c>
      <c r="B82" s="95"/>
      <c r="C82" s="95"/>
      <c r="D82" s="95"/>
      <c r="E82" s="95"/>
      <c r="F82" s="95"/>
      <c r="G82" s="95"/>
      <c r="H82" s="95">
        <v>0</v>
      </c>
      <c r="I82" s="444">
        <f>SUM(I16:I19)</f>
        <v>0</v>
      </c>
      <c r="J82" s="444">
        <f>SUM(J16:J19)</f>
        <v>0</v>
      </c>
      <c r="K82" s="95">
        <v>0</v>
      </c>
      <c r="L82" s="95"/>
      <c r="M82" s="95"/>
      <c r="N82" s="95"/>
      <c r="O82" s="95"/>
      <c r="P82" s="95"/>
      <c r="Q82" s="95"/>
      <c r="R82" s="6"/>
      <c r="S82" s="6"/>
      <c r="T82" s="96"/>
      <c r="U82" s="6"/>
      <c r="V82" s="6"/>
      <c r="W82" s="96"/>
      <c r="X82" s="97"/>
      <c r="Y82" s="54"/>
      <c r="Z82" s="55"/>
    </row>
    <row r="83" spans="1:26">
      <c r="A83" s="98">
        <v>1987</v>
      </c>
      <c r="B83" s="98"/>
      <c r="C83" s="98"/>
      <c r="D83" s="98"/>
      <c r="E83" s="98"/>
      <c r="F83" s="98"/>
      <c r="G83" s="98"/>
      <c r="H83" s="98">
        <v>0</v>
      </c>
      <c r="I83" s="98"/>
      <c r="J83" s="449">
        <f>SUM(J20:J23)</f>
        <v>0</v>
      </c>
      <c r="K83" s="98">
        <v>0</v>
      </c>
      <c r="L83" s="98">
        <v>0</v>
      </c>
      <c r="M83" s="98"/>
      <c r="N83" s="98"/>
      <c r="O83" s="98"/>
      <c r="P83" s="98"/>
      <c r="Q83" s="98"/>
      <c r="R83" s="6"/>
      <c r="S83" s="6"/>
      <c r="T83" s="96"/>
      <c r="U83" s="6"/>
      <c r="V83" s="6"/>
      <c r="W83" s="96"/>
      <c r="X83" s="97"/>
      <c r="Y83" s="54"/>
      <c r="Z83" s="55"/>
    </row>
    <row r="84" spans="1:26">
      <c r="A84" s="98">
        <v>1988</v>
      </c>
      <c r="B84" s="98"/>
      <c r="C84" s="98"/>
      <c r="D84" s="98"/>
      <c r="E84" s="98"/>
      <c r="F84" s="98"/>
      <c r="G84" s="98"/>
      <c r="H84" s="98">
        <v>0</v>
      </c>
      <c r="I84" s="98"/>
      <c r="J84" s="98"/>
      <c r="K84" s="449">
        <f>SUM(K24:K31)</f>
        <v>0</v>
      </c>
      <c r="L84" s="98">
        <v>0</v>
      </c>
      <c r="M84" s="98">
        <v>0</v>
      </c>
      <c r="N84" s="98"/>
      <c r="O84" s="98"/>
      <c r="P84" s="98"/>
      <c r="Q84" s="98"/>
      <c r="R84" s="6"/>
      <c r="S84" s="6"/>
      <c r="T84" s="96"/>
      <c r="U84" s="6"/>
      <c r="V84" s="6"/>
      <c r="W84" s="96"/>
      <c r="X84" s="97"/>
      <c r="Y84" s="54"/>
      <c r="Z84" s="55"/>
    </row>
    <row r="85" spans="1:26">
      <c r="A85" s="98">
        <v>1989</v>
      </c>
      <c r="B85" s="98"/>
      <c r="C85" s="98"/>
      <c r="D85" s="98"/>
      <c r="E85" s="98"/>
      <c r="F85" s="98"/>
      <c r="G85" s="98"/>
      <c r="H85" s="449">
        <f>H25</f>
        <v>443000</v>
      </c>
      <c r="I85" s="98"/>
      <c r="J85" s="98"/>
      <c r="K85" s="98"/>
      <c r="L85" s="449">
        <f>L25</f>
        <v>158</v>
      </c>
      <c r="M85" s="449">
        <f>M25</f>
        <v>9454</v>
      </c>
      <c r="N85" s="449">
        <f>N25</f>
        <v>4333</v>
      </c>
      <c r="O85" s="98"/>
      <c r="P85" s="98"/>
      <c r="Q85" s="98"/>
      <c r="R85" s="450">
        <f>L85/$H85</f>
        <v>3.5665914221218962E-4</v>
      </c>
      <c r="S85" s="450">
        <f>M85/$H85</f>
        <v>2.1340857787810384E-2</v>
      </c>
      <c r="T85" s="445">
        <f>N85/$H85</f>
        <v>9.7810383747178337E-3</v>
      </c>
      <c r="U85" s="450">
        <f>L85/$H85</f>
        <v>3.5665914221218962E-4</v>
      </c>
      <c r="V85" s="450">
        <f>SUM(L85:M85)/H85</f>
        <v>2.1697516930022573E-2</v>
      </c>
      <c r="W85" s="445">
        <f>SUM(L85:N85)/H85</f>
        <v>3.1478555304740405E-2</v>
      </c>
      <c r="X85" s="446">
        <f>L85/SUM(L85:N85)</f>
        <v>1.1330225887414844E-2</v>
      </c>
      <c r="Y85" s="447">
        <f>M85/SUM(L85:N85)</f>
        <v>0.67794908569379708</v>
      </c>
      <c r="Z85" s="448">
        <f>N85/SUM(L85:N85)</f>
        <v>0.31072068841878808</v>
      </c>
    </row>
    <row r="86" spans="1:26">
      <c r="A86" s="98">
        <v>1990</v>
      </c>
      <c r="B86" s="98"/>
      <c r="C86" s="98"/>
      <c r="D86" s="98"/>
      <c r="E86" s="98"/>
      <c r="F86" s="98"/>
      <c r="G86" s="98"/>
      <c r="H86" s="449">
        <f>H36</f>
        <v>720875</v>
      </c>
      <c r="I86" s="98"/>
      <c r="J86" s="98"/>
      <c r="K86" s="98"/>
      <c r="L86" s="98"/>
      <c r="M86" s="449">
        <f>M36</f>
        <v>109</v>
      </c>
      <c r="N86" s="449">
        <f>N36</f>
        <v>3313</v>
      </c>
      <c r="O86" s="98"/>
      <c r="P86" s="98"/>
      <c r="Q86" s="98"/>
      <c r="R86" s="4"/>
      <c r="S86" s="4"/>
      <c r="T86" s="71"/>
      <c r="U86" s="450">
        <f>M86/H86</f>
        <v>1.5120513265129182E-4</v>
      </c>
      <c r="V86" s="450">
        <f>SUM(M86:N86)/H86</f>
        <v>4.7470088434194554E-3</v>
      </c>
      <c r="W86" s="71"/>
      <c r="X86" s="70"/>
      <c r="Y86" s="4"/>
      <c r="Z86" s="71"/>
    </row>
    <row r="87" spans="1:26">
      <c r="A87" s="98">
        <v>1991</v>
      </c>
      <c r="B87" s="98"/>
      <c r="C87" s="98"/>
      <c r="D87" s="98"/>
      <c r="E87" s="98"/>
      <c r="F87" s="98"/>
      <c r="G87" s="98"/>
      <c r="H87" s="449">
        <f>H48</f>
        <v>806218</v>
      </c>
      <c r="I87" s="98"/>
      <c r="J87" s="98"/>
      <c r="K87" s="98"/>
      <c r="L87" s="98"/>
      <c r="M87" s="98"/>
      <c r="N87" s="449">
        <f>N48</f>
        <v>0</v>
      </c>
      <c r="O87" s="98"/>
      <c r="P87" s="98"/>
      <c r="Q87" s="98"/>
      <c r="R87" s="4"/>
      <c r="S87" s="4"/>
      <c r="T87" s="71"/>
      <c r="U87" s="6"/>
      <c r="V87" s="4"/>
      <c r="W87" s="71"/>
      <c r="X87" s="70"/>
      <c r="Y87" s="4"/>
      <c r="Z87" s="71"/>
    </row>
    <row r="88" spans="1:26">
      <c r="A88" s="98">
        <v>1992</v>
      </c>
      <c r="B88" s="98"/>
      <c r="C88" s="98"/>
      <c r="D88" s="98"/>
      <c r="E88" s="98"/>
      <c r="F88" s="98"/>
      <c r="G88" s="98"/>
      <c r="H88" s="449">
        <f>H54</f>
        <v>889158</v>
      </c>
      <c r="I88" s="98"/>
      <c r="J88" s="98"/>
      <c r="K88" s="98"/>
      <c r="L88" s="98"/>
      <c r="M88" s="98"/>
      <c r="N88" s="98"/>
      <c r="O88" s="98"/>
      <c r="P88" s="98"/>
      <c r="Q88" s="98"/>
      <c r="R88" s="4"/>
      <c r="S88" s="4"/>
      <c r="T88" s="71"/>
      <c r="U88" s="6"/>
      <c r="V88" s="4"/>
      <c r="W88" s="71"/>
      <c r="X88" s="70"/>
      <c r="Y88" s="4"/>
      <c r="Z88" s="71"/>
    </row>
    <row r="89" spans="1:26">
      <c r="A89" s="99"/>
      <c r="B89" s="99"/>
      <c r="C89" s="99"/>
      <c r="D89" s="99"/>
      <c r="E89" s="99"/>
      <c r="F89" s="99"/>
      <c r="G89" s="99"/>
      <c r="H89" s="99"/>
      <c r="I89" s="99"/>
      <c r="J89" s="99"/>
      <c r="K89" s="99"/>
      <c r="L89" s="99"/>
      <c r="M89" s="99"/>
      <c r="N89" s="99"/>
      <c r="O89" s="99"/>
      <c r="P89" s="99"/>
      <c r="Q89" s="99"/>
      <c r="R89" s="13"/>
      <c r="S89" s="13"/>
      <c r="T89" s="14"/>
      <c r="U89" s="100"/>
      <c r="V89" s="13"/>
      <c r="W89" s="14"/>
      <c r="X89" s="5"/>
      <c r="Y89" s="13"/>
      <c r="Z89" s="14"/>
    </row>
    <row r="90" spans="1:26">
      <c r="A90" s="4"/>
      <c r="B90" s="4"/>
      <c r="C90" s="4"/>
      <c r="D90" s="4"/>
      <c r="E90" s="4"/>
      <c r="F90" s="4"/>
      <c r="G90" s="4"/>
      <c r="H90" s="4"/>
      <c r="I90" s="4"/>
      <c r="J90" s="4"/>
      <c r="K90" s="4"/>
      <c r="L90" s="4"/>
      <c r="M90" s="4"/>
      <c r="N90" s="4"/>
      <c r="O90" s="4"/>
      <c r="P90" s="4"/>
      <c r="Q90" s="4"/>
      <c r="R90" s="4"/>
      <c r="S90" s="4"/>
      <c r="T90" s="4"/>
      <c r="U90" s="450">
        <f>IF((+U91-X$61)&lt;0,0,(+U91-X$61))</f>
        <v>0</v>
      </c>
      <c r="V90" s="450">
        <f>IF((+V91-Y$61)&lt;0,0,(+V91-Y$61))</f>
        <v>1.0350532612141694E-2</v>
      </c>
      <c r="W90" s="450">
        <f>IF((+W91-Z$61)&lt;0,0,(+W91-Z$61))</f>
        <v>2.8099299346255012E-2</v>
      </c>
      <c r="X90" s="450">
        <f>X91-AD$61</f>
        <v>5.3653456256143126E-3</v>
      </c>
      <c r="Y90" s="450">
        <f>Y91-AE$61</f>
        <v>0.66987151609816487</v>
      </c>
      <c r="Z90" s="450">
        <f>Z91-AF$61</f>
        <v>0.30420631617949345</v>
      </c>
    </row>
    <row r="91" spans="1:26">
      <c r="A91" s="4"/>
      <c r="B91" s="4"/>
      <c r="C91" s="4"/>
      <c r="D91" s="4"/>
      <c r="E91" s="4"/>
      <c r="F91" s="4"/>
      <c r="G91" s="4"/>
      <c r="H91" s="4"/>
      <c r="I91" s="4"/>
      <c r="J91" s="4"/>
      <c r="K91" s="4"/>
      <c r="L91" s="4"/>
      <c r="M91" s="4"/>
      <c r="N91" s="4"/>
      <c r="O91" s="4"/>
      <c r="P91" s="4"/>
      <c r="Q91" s="4"/>
      <c r="R91" s="4"/>
      <c r="S91" s="4"/>
      <c r="T91" s="4"/>
      <c r="U91" s="450">
        <f>AVERAGEA(U82:U89)</f>
        <v>2.5393213743174069E-4</v>
      </c>
      <c r="V91" s="450">
        <f>AVERAGEA(V82:V89)</f>
        <v>1.3222262886721015E-2</v>
      </c>
      <c r="W91" s="450">
        <f>AVERAGEA(W82:W89)</f>
        <v>3.1478555304740405E-2</v>
      </c>
      <c r="X91" s="450">
        <f>AVERAGEA(X83:X89)</f>
        <v>1.1330225887414844E-2</v>
      </c>
      <c r="Y91" s="450">
        <f>AVERAGEA(Y83:Y89)</f>
        <v>0.67794908569379708</v>
      </c>
      <c r="Z91" s="450">
        <f>AVERAGEA(Z83:Z89)</f>
        <v>0.31072068841878808</v>
      </c>
    </row>
    <row r="92" spans="1:26">
      <c r="A92" s="4"/>
      <c r="B92" s="4"/>
      <c r="C92" s="4"/>
      <c r="D92" s="4"/>
      <c r="E92" s="4"/>
      <c r="F92" s="4"/>
      <c r="G92" s="4"/>
      <c r="H92" s="4"/>
      <c r="I92" s="4"/>
      <c r="J92" s="4"/>
      <c r="K92" s="4"/>
      <c r="L92" s="4"/>
      <c r="M92" s="4"/>
      <c r="N92" s="4"/>
      <c r="O92" s="4"/>
      <c r="P92" s="4"/>
      <c r="Q92" s="4"/>
      <c r="R92" s="4"/>
      <c r="S92" s="4"/>
      <c r="T92" s="4"/>
      <c r="U92" s="450">
        <f>U91+X$61</f>
        <v>8.1531646426180094E-4</v>
      </c>
      <c r="V92" s="450">
        <f>V91+Y$61</f>
        <v>1.6093993161300335E-2</v>
      </c>
      <c r="W92" s="450">
        <f>W91+Z$61</f>
        <v>3.4857811263225798E-2</v>
      </c>
      <c r="X92" s="450">
        <f>X91+AD$61</f>
        <v>1.7295106149215374E-2</v>
      </c>
      <c r="Y92" s="450">
        <f>Y91+AE$61</f>
        <v>0.6860266552894293</v>
      </c>
      <c r="Z92" s="450">
        <f>Z91+AF$61</f>
        <v>0.31723506065808271</v>
      </c>
    </row>
    <row r="93" spans="1:26">
      <c r="A93" s="4" t="s">
        <v>281</v>
      </c>
      <c r="B93" s="4"/>
      <c r="C93" s="4"/>
      <c r="D93" s="4"/>
      <c r="E93" s="4"/>
      <c r="F93" s="4"/>
      <c r="G93" s="4"/>
      <c r="H93" s="4"/>
      <c r="I93" s="4"/>
      <c r="J93" s="4"/>
      <c r="K93" s="4"/>
      <c r="L93" s="4"/>
      <c r="M93" s="4"/>
      <c r="N93" s="4"/>
      <c r="O93" s="4"/>
      <c r="P93" s="4"/>
      <c r="Q93" s="4"/>
      <c r="R93" s="7" t="s">
        <v>184</v>
      </c>
      <c r="S93" s="8"/>
      <c r="T93" s="8"/>
      <c r="U93" s="8"/>
      <c r="V93" s="8"/>
      <c r="W93" s="64"/>
      <c r="X93" s="7" t="s">
        <v>186</v>
      </c>
      <c r="Y93" s="8"/>
      <c r="Z93" s="64"/>
    </row>
    <row r="94" spans="1:26">
      <c r="A94" s="4"/>
      <c r="B94" s="7" t="s">
        <v>189</v>
      </c>
      <c r="C94" s="8"/>
      <c r="D94" s="8"/>
      <c r="E94" s="8"/>
      <c r="F94" s="8"/>
      <c r="G94" s="8"/>
      <c r="H94" s="64"/>
      <c r="I94" s="7" t="s">
        <v>190</v>
      </c>
      <c r="J94" s="8"/>
      <c r="K94" s="8"/>
      <c r="L94" s="8"/>
      <c r="M94" s="8"/>
      <c r="N94" s="8"/>
      <c r="O94" s="8"/>
      <c r="P94" s="8"/>
      <c r="Q94" s="64"/>
      <c r="R94" s="7" t="s">
        <v>191</v>
      </c>
      <c r="S94" s="8"/>
      <c r="T94" s="64"/>
      <c r="U94" s="8" t="s">
        <v>192</v>
      </c>
      <c r="V94" s="8"/>
      <c r="W94" s="64"/>
      <c r="X94" s="69" t="s">
        <v>193</v>
      </c>
      <c r="Y94" s="69" t="s">
        <v>194</v>
      </c>
      <c r="Z94" s="69" t="s">
        <v>195</v>
      </c>
    </row>
    <row r="95" spans="1:26">
      <c r="A95" s="69" t="s">
        <v>136</v>
      </c>
      <c r="B95" s="69" t="s">
        <v>197</v>
      </c>
      <c r="C95" s="69" t="s">
        <v>198</v>
      </c>
      <c r="D95" s="94" t="s">
        <v>199</v>
      </c>
      <c r="E95" s="94" t="s">
        <v>200</v>
      </c>
      <c r="F95" s="9" t="s">
        <v>201</v>
      </c>
      <c r="G95" s="69" t="s">
        <v>202</v>
      </c>
      <c r="H95" s="69" t="s">
        <v>203</v>
      </c>
      <c r="I95" s="69">
        <v>1989</v>
      </c>
      <c r="J95" s="69">
        <v>1990</v>
      </c>
      <c r="K95" s="69">
        <v>1991</v>
      </c>
      <c r="L95" s="69">
        <v>1992</v>
      </c>
      <c r="M95" s="69">
        <v>1993</v>
      </c>
      <c r="N95" s="69">
        <v>1994</v>
      </c>
      <c r="O95" s="69">
        <v>1995</v>
      </c>
      <c r="P95" s="69">
        <v>1996</v>
      </c>
      <c r="Q95" s="69">
        <v>1997</v>
      </c>
      <c r="R95" s="11"/>
      <c r="S95" s="11"/>
      <c r="T95" s="12"/>
      <c r="U95" s="11"/>
      <c r="V95" s="11"/>
      <c r="W95" s="12"/>
      <c r="X95" s="10"/>
      <c r="Y95" s="11"/>
      <c r="Z95" s="12"/>
    </row>
    <row r="96" spans="1:26">
      <c r="A96" s="95">
        <v>1986</v>
      </c>
      <c r="B96" s="95"/>
      <c r="C96" s="95"/>
      <c r="D96" s="95"/>
      <c r="E96" s="95"/>
      <c r="F96" s="95"/>
      <c r="G96" s="95"/>
      <c r="H96" s="95">
        <v>0</v>
      </c>
      <c r="I96" s="444">
        <f>SUM(I27:I30)</f>
        <v>0</v>
      </c>
      <c r="J96" s="444">
        <f>SUM(J27:J30)</f>
        <v>0</v>
      </c>
      <c r="K96" s="95">
        <v>0</v>
      </c>
      <c r="L96" s="95"/>
      <c r="M96" s="95"/>
      <c r="N96" s="95"/>
      <c r="O96" s="95"/>
      <c r="P96" s="95"/>
      <c r="Q96" s="95"/>
      <c r="R96" s="6"/>
      <c r="S96" s="6"/>
      <c r="T96" s="96"/>
      <c r="U96" s="6"/>
      <c r="V96" s="6"/>
      <c r="W96" s="96"/>
      <c r="X96" s="97"/>
      <c r="Y96" s="54"/>
      <c r="Z96" s="55"/>
    </row>
    <row r="97" spans="1:26">
      <c r="A97" s="98">
        <v>1987</v>
      </c>
      <c r="B97" s="98"/>
      <c r="C97" s="98"/>
      <c r="D97" s="98"/>
      <c r="E97" s="98"/>
      <c r="F97" s="98"/>
      <c r="G97" s="98"/>
      <c r="H97" s="98">
        <v>0</v>
      </c>
      <c r="I97" s="98"/>
      <c r="J97" s="449">
        <f>SUM(J31:J34)</f>
        <v>0</v>
      </c>
      <c r="K97" s="98">
        <v>0</v>
      </c>
      <c r="L97" s="98">
        <v>0</v>
      </c>
      <c r="M97" s="98"/>
      <c r="N97" s="98"/>
      <c r="O97" s="98"/>
      <c r="P97" s="98"/>
      <c r="Q97" s="98"/>
      <c r="R97" s="6"/>
      <c r="S97" s="6"/>
      <c r="T97" s="96"/>
      <c r="U97" s="6"/>
      <c r="V97" s="6"/>
      <c r="W97" s="96"/>
      <c r="X97" s="97"/>
      <c r="Y97" s="54"/>
      <c r="Z97" s="55"/>
    </row>
    <row r="98" spans="1:26">
      <c r="A98" s="98">
        <v>1988</v>
      </c>
      <c r="B98" s="98"/>
      <c r="C98" s="98"/>
      <c r="D98" s="98"/>
      <c r="E98" s="98"/>
      <c r="F98" s="98"/>
      <c r="G98" s="98"/>
      <c r="H98" s="98">
        <v>0</v>
      </c>
      <c r="I98" s="98"/>
      <c r="J98" s="98"/>
      <c r="K98" s="449">
        <f>SUM(K35:K48)</f>
        <v>0</v>
      </c>
      <c r="L98" s="98">
        <v>0</v>
      </c>
      <c r="M98" s="98">
        <v>0</v>
      </c>
      <c r="N98" s="98"/>
      <c r="O98" s="98"/>
      <c r="P98" s="98"/>
      <c r="Q98" s="98"/>
      <c r="R98" s="6"/>
      <c r="S98" s="6"/>
      <c r="T98" s="96"/>
      <c r="U98" s="6"/>
      <c r="V98" s="6"/>
      <c r="W98" s="96"/>
      <c r="X98" s="97"/>
      <c r="Y98" s="54"/>
      <c r="Z98" s="55"/>
    </row>
    <row r="99" spans="1:26">
      <c r="A99" s="98">
        <v>1989</v>
      </c>
      <c r="B99" s="98"/>
      <c r="C99" s="98"/>
      <c r="D99" s="98"/>
      <c r="E99" s="98"/>
      <c r="F99" s="98"/>
      <c r="G99" s="98"/>
      <c r="H99" s="449">
        <f>SUM(H26)</f>
        <v>845563</v>
      </c>
      <c r="I99" s="98"/>
      <c r="J99" s="98"/>
      <c r="K99" s="98"/>
      <c r="L99" s="449">
        <f>SUM(L26)</f>
        <v>232</v>
      </c>
      <c r="M99" s="449">
        <f>SUM(M26)</f>
        <v>52632</v>
      </c>
      <c r="N99" s="449">
        <f>SUM(N26)</f>
        <v>0</v>
      </c>
      <c r="O99" s="98"/>
      <c r="P99" s="98"/>
      <c r="Q99" s="98"/>
      <c r="R99" s="450">
        <f>L99/$H99</f>
        <v>2.7437340564807119E-4</v>
      </c>
      <c r="S99" s="450">
        <f>M99/$H99</f>
        <v>6.2244918474436556E-2</v>
      </c>
      <c r="T99" s="445">
        <f>N99/H99</f>
        <v>0</v>
      </c>
      <c r="U99" s="450">
        <f>L99/$H99</f>
        <v>2.7437340564807119E-4</v>
      </c>
      <c r="V99" s="450">
        <f>SUM(L99:M99)/H99</f>
        <v>6.2519291880084635E-2</v>
      </c>
      <c r="W99" s="445">
        <f>SUM(L99:N99)/H99</f>
        <v>6.2519291880084635E-2</v>
      </c>
      <c r="X99" s="446">
        <f>L99/SUM(L99:N99)</f>
        <v>4.3886198547215495E-3</v>
      </c>
      <c r="Y99" s="447">
        <f>M99/SUM(L99:N99)</f>
        <v>0.9956113801452785</v>
      </c>
      <c r="Z99" s="448">
        <f>N99/SUM(L99:N99)</f>
        <v>0</v>
      </c>
    </row>
    <row r="100" spans="1:26">
      <c r="A100" s="98">
        <v>1990</v>
      </c>
      <c r="B100" s="98"/>
      <c r="C100" s="98"/>
      <c r="D100" s="98"/>
      <c r="E100" s="98"/>
      <c r="F100" s="98"/>
      <c r="G100" s="98"/>
      <c r="H100" s="449">
        <f>SUM(H34:H35)</f>
        <v>1025051</v>
      </c>
      <c r="I100" s="98"/>
      <c r="J100" s="98"/>
      <c r="K100" s="98"/>
      <c r="L100" s="98"/>
      <c r="M100" s="449">
        <f>SUM(M34:M35)</f>
        <v>2668</v>
      </c>
      <c r="N100" s="449">
        <f>SUM(N34:N35)</f>
        <v>122862</v>
      </c>
      <c r="O100" s="98"/>
      <c r="P100" s="98"/>
      <c r="Q100" s="98"/>
      <c r="R100" s="4"/>
      <c r="S100" s="4"/>
      <c r="T100" s="71"/>
      <c r="U100" s="450">
        <f>M100/H100</f>
        <v>2.602797324230697E-3</v>
      </c>
      <c r="V100" s="450">
        <f>SUM(M100:N100)/H100</f>
        <v>0.12246219944178387</v>
      </c>
      <c r="W100" s="71"/>
      <c r="X100" s="70"/>
      <c r="Y100" s="4"/>
      <c r="Z100" s="71"/>
    </row>
    <row r="101" spans="1:26">
      <c r="A101" s="98">
        <v>1991</v>
      </c>
      <c r="B101" s="98"/>
      <c r="C101" s="98"/>
      <c r="D101" s="98"/>
      <c r="E101" s="98"/>
      <c r="F101" s="98"/>
      <c r="G101" s="98"/>
      <c r="H101" s="449">
        <f>SUM(H46)</f>
        <v>0</v>
      </c>
      <c r="I101" s="98"/>
      <c r="J101" s="98"/>
      <c r="K101" s="98"/>
      <c r="L101" s="98"/>
      <c r="M101" s="98">
        <v>0</v>
      </c>
      <c r="N101" s="98">
        <v>0</v>
      </c>
      <c r="O101" s="98"/>
      <c r="P101" s="98"/>
      <c r="Q101" s="98"/>
      <c r="R101" s="4"/>
      <c r="S101" s="4"/>
      <c r="T101" s="71"/>
      <c r="U101" s="6"/>
      <c r="V101" s="4"/>
      <c r="W101" s="71"/>
      <c r="X101" s="70"/>
      <c r="Y101" s="4"/>
      <c r="Z101" s="71"/>
    </row>
    <row r="102" spans="1:26">
      <c r="A102" s="98">
        <v>1992</v>
      </c>
      <c r="B102" s="98"/>
      <c r="C102" s="98"/>
      <c r="D102" s="98"/>
      <c r="E102" s="98"/>
      <c r="F102" s="98"/>
      <c r="G102" s="98"/>
      <c r="H102" s="449">
        <f>SUM(H55)</f>
        <v>761797</v>
      </c>
      <c r="I102" s="98"/>
      <c r="J102" s="98"/>
      <c r="K102" s="98"/>
      <c r="L102" s="98"/>
      <c r="M102" s="98"/>
      <c r="N102" s="98"/>
      <c r="O102" s="98"/>
      <c r="P102" s="98"/>
      <c r="Q102" s="98"/>
      <c r="R102" s="4"/>
      <c r="S102" s="4"/>
      <c r="T102" s="71"/>
      <c r="U102" s="6"/>
      <c r="V102" s="4"/>
      <c r="W102" s="71"/>
      <c r="X102" s="70"/>
      <c r="Y102" s="4"/>
      <c r="Z102" s="71"/>
    </row>
    <row r="103" spans="1:26">
      <c r="A103" s="99"/>
      <c r="B103" s="99"/>
      <c r="C103" s="99"/>
      <c r="D103" s="99"/>
      <c r="E103" s="99"/>
      <c r="F103" s="99"/>
      <c r="G103" s="99"/>
      <c r="H103" s="99"/>
      <c r="I103" s="99"/>
      <c r="J103" s="99"/>
      <c r="K103" s="99"/>
      <c r="L103" s="99"/>
      <c r="M103" s="99"/>
      <c r="N103" s="99"/>
      <c r="O103" s="99"/>
      <c r="P103" s="99"/>
      <c r="Q103" s="99"/>
      <c r="R103" s="13"/>
      <c r="S103" s="13"/>
      <c r="T103" s="14"/>
      <c r="U103" s="100"/>
      <c r="V103" s="13"/>
      <c r="W103" s="14"/>
      <c r="X103" s="5"/>
      <c r="Y103" s="13"/>
      <c r="Z103" s="14"/>
    </row>
    <row r="104" spans="1:26">
      <c r="A104" s="4"/>
      <c r="B104" s="4"/>
      <c r="C104" s="4"/>
      <c r="D104" s="4"/>
      <c r="E104" s="4"/>
      <c r="F104" s="4"/>
      <c r="G104" s="4"/>
      <c r="H104" s="4"/>
      <c r="I104" s="4"/>
      <c r="J104" s="4"/>
      <c r="K104" s="4"/>
      <c r="L104" s="4"/>
      <c r="M104" s="4"/>
      <c r="N104" s="4"/>
      <c r="O104" s="4"/>
      <c r="P104" s="4"/>
      <c r="Q104" s="4"/>
      <c r="R104" s="4"/>
      <c r="S104" s="4"/>
      <c r="T104" s="4"/>
      <c r="U104" s="450">
        <f>IF((+U105-X$61)&lt;0,0,(+U105-X$61))</f>
        <v>8.7720103810932384E-4</v>
      </c>
      <c r="V104" s="450">
        <f>IF((+V105-Y$61)&lt;0,0,(+V105-Y$61))</f>
        <v>8.961901538635493E-2</v>
      </c>
      <c r="W104" s="450">
        <f>IF((+W105-Z$61)&lt;0,0,(+W105-Z$61))</f>
        <v>5.9140035921599242E-2</v>
      </c>
      <c r="X104" s="450">
        <f>IF(+X105-AD$61&lt;0,0,+X105-AD$61)</f>
        <v>0</v>
      </c>
      <c r="Y104" s="450">
        <f>Y105-AE$61</f>
        <v>0.98753381054964628</v>
      </c>
      <c r="Z104" s="450">
        <f>IF(+Z105-AF$61&lt;0,0,+Z105-AF$61)</f>
        <v>0</v>
      </c>
    </row>
    <row r="105" spans="1:26">
      <c r="A105" s="4"/>
      <c r="B105" s="4"/>
      <c r="C105" s="4"/>
      <c r="D105" s="4"/>
      <c r="E105" s="4"/>
      <c r="F105" s="4"/>
      <c r="G105" s="4"/>
      <c r="H105" s="4"/>
      <c r="I105" s="4"/>
      <c r="J105" s="4"/>
      <c r="K105" s="4"/>
      <c r="L105" s="4"/>
      <c r="M105" s="4"/>
      <c r="N105" s="4"/>
      <c r="O105" s="4"/>
      <c r="P105" s="4"/>
      <c r="Q105" s="4"/>
      <c r="R105" s="4"/>
      <c r="S105" s="4"/>
      <c r="T105" s="4"/>
      <c r="U105" s="450">
        <f>AVERAGEA(U96:U103)</f>
        <v>1.4385853649393841E-3</v>
      </c>
      <c r="V105" s="450">
        <f>AVERAGEA(V96:V103)</f>
        <v>9.2490745660934251E-2</v>
      </c>
      <c r="W105" s="450">
        <f>AVERAGEA(W96:W103)</f>
        <v>6.2519291880084635E-2</v>
      </c>
      <c r="X105" s="450">
        <f>AVERAGEA(X97:X103)</f>
        <v>4.3886198547215495E-3</v>
      </c>
      <c r="Y105" s="450">
        <f>AVERAGEA(Y97:Y103)</f>
        <v>0.9956113801452785</v>
      </c>
      <c r="Z105" s="450">
        <f>AVERAGEA(Z97:Z103)</f>
        <v>0</v>
      </c>
    </row>
    <row r="106" spans="1:26">
      <c r="A106" s="4"/>
      <c r="B106" s="4"/>
      <c r="C106" s="4"/>
      <c r="D106" s="4"/>
      <c r="E106" s="4"/>
      <c r="F106" s="4"/>
      <c r="G106" s="4"/>
      <c r="H106" s="4"/>
      <c r="I106" s="4"/>
      <c r="J106" s="4"/>
      <c r="K106" s="4"/>
      <c r="L106" s="4"/>
      <c r="M106" s="4"/>
      <c r="N106" s="4"/>
      <c r="O106" s="4"/>
      <c r="P106" s="4"/>
      <c r="Q106" s="4"/>
      <c r="R106" s="4"/>
      <c r="S106" s="4"/>
      <c r="T106" s="4"/>
      <c r="U106" s="450">
        <f>U105+X$61</f>
        <v>1.9999696917694446E-3</v>
      </c>
      <c r="V106" s="450">
        <f>V105+Y$61</f>
        <v>9.5362475935513571E-2</v>
      </c>
      <c r="W106" s="450">
        <f>W105+Z$61</f>
        <v>6.5898547838570021E-2</v>
      </c>
      <c r="X106" s="450">
        <f>X105+AD$61</f>
        <v>1.0353500116522082E-2</v>
      </c>
      <c r="Y106" s="450">
        <f>Y105+AE$61</f>
        <v>1.0036889497409107</v>
      </c>
      <c r="Z106" s="450">
        <f>Z105+AF$61</f>
        <v>6.5143722392946232E-3</v>
      </c>
    </row>
    <row r="107" spans="1:26">
      <c r="A107" s="4" t="s">
        <v>282</v>
      </c>
      <c r="B107" s="4"/>
      <c r="C107" s="4"/>
      <c r="D107" s="4"/>
      <c r="E107" s="4"/>
      <c r="F107" s="4"/>
      <c r="G107" s="4"/>
      <c r="H107" s="4"/>
      <c r="I107" s="4"/>
      <c r="J107" s="4"/>
      <c r="K107" s="4"/>
      <c r="L107" s="4"/>
      <c r="M107" s="4"/>
      <c r="N107" s="4"/>
      <c r="O107" s="4"/>
      <c r="P107" s="4"/>
      <c r="Q107" s="4"/>
      <c r="R107" s="7" t="s">
        <v>184</v>
      </c>
      <c r="S107" s="8"/>
      <c r="T107" s="8"/>
      <c r="U107" s="8"/>
      <c r="V107" s="8"/>
      <c r="W107" s="64"/>
      <c r="X107" s="7" t="s">
        <v>186</v>
      </c>
      <c r="Y107" s="8"/>
      <c r="Z107" s="64"/>
    </row>
    <row r="108" spans="1:26">
      <c r="A108" s="4"/>
      <c r="B108" s="7" t="s">
        <v>189</v>
      </c>
      <c r="C108" s="8"/>
      <c r="D108" s="8"/>
      <c r="E108" s="8"/>
      <c r="F108" s="8"/>
      <c r="G108" s="8"/>
      <c r="H108" s="64"/>
      <c r="I108" s="7" t="s">
        <v>190</v>
      </c>
      <c r="J108" s="8"/>
      <c r="K108" s="8"/>
      <c r="L108" s="8"/>
      <c r="M108" s="8"/>
      <c r="N108" s="8"/>
      <c r="O108" s="8"/>
      <c r="P108" s="8"/>
      <c r="Q108" s="64"/>
      <c r="R108" s="7" t="s">
        <v>191</v>
      </c>
      <c r="S108" s="8"/>
      <c r="T108" s="64"/>
      <c r="U108" s="8" t="s">
        <v>192</v>
      </c>
      <c r="V108" s="8"/>
      <c r="W108" s="64"/>
      <c r="X108" s="69" t="s">
        <v>193</v>
      </c>
      <c r="Y108" s="69" t="s">
        <v>194</v>
      </c>
      <c r="Z108" s="69" t="s">
        <v>195</v>
      </c>
    </row>
    <row r="109" spans="1:26">
      <c r="A109" s="69" t="s">
        <v>136</v>
      </c>
      <c r="B109" s="69" t="s">
        <v>197</v>
      </c>
      <c r="C109" s="69" t="s">
        <v>198</v>
      </c>
      <c r="D109" s="94" t="s">
        <v>199</v>
      </c>
      <c r="E109" s="94" t="s">
        <v>200</v>
      </c>
      <c r="F109" s="9" t="s">
        <v>201</v>
      </c>
      <c r="G109" s="69" t="s">
        <v>202</v>
      </c>
      <c r="H109" s="69" t="s">
        <v>203</v>
      </c>
      <c r="I109" s="69">
        <v>1989</v>
      </c>
      <c r="J109" s="69">
        <v>1990</v>
      </c>
      <c r="K109" s="69">
        <v>1991</v>
      </c>
      <c r="L109" s="69">
        <v>1992</v>
      </c>
      <c r="M109" s="69">
        <v>1993</v>
      </c>
      <c r="N109" s="69">
        <v>1994</v>
      </c>
      <c r="O109" s="69">
        <v>1995</v>
      </c>
      <c r="P109" s="69">
        <v>1996</v>
      </c>
      <c r="Q109" s="69">
        <v>1997</v>
      </c>
      <c r="R109" s="11"/>
      <c r="S109" s="11"/>
      <c r="T109" s="12"/>
      <c r="U109" s="11"/>
      <c r="V109" s="11"/>
      <c r="W109" s="12"/>
      <c r="X109" s="10"/>
      <c r="Y109" s="11"/>
      <c r="Z109" s="12"/>
    </row>
    <row r="110" spans="1:26">
      <c r="A110" s="95">
        <v>1986</v>
      </c>
      <c r="B110" s="95"/>
      <c r="C110" s="95"/>
      <c r="D110" s="95"/>
      <c r="E110" s="95"/>
      <c r="F110" s="95"/>
      <c r="G110" s="95"/>
      <c r="H110" s="95">
        <v>0</v>
      </c>
      <c r="I110" s="444">
        <f>SUM(I39:I44)</f>
        <v>0</v>
      </c>
      <c r="J110" s="444">
        <f>SUM(J39:J44)</f>
        <v>0</v>
      </c>
      <c r="K110" s="95">
        <v>0</v>
      </c>
      <c r="L110" s="95"/>
      <c r="M110" s="95"/>
      <c r="N110" s="95"/>
      <c r="O110" s="95"/>
      <c r="P110" s="95"/>
      <c r="Q110" s="95"/>
      <c r="R110" s="6"/>
      <c r="S110" s="6"/>
      <c r="T110" s="96"/>
      <c r="U110" s="6"/>
      <c r="V110" s="6"/>
      <c r="W110" s="96"/>
      <c r="X110" s="97"/>
      <c r="Y110" s="54"/>
      <c r="Z110" s="55"/>
    </row>
    <row r="111" spans="1:26">
      <c r="A111" s="98">
        <v>1987</v>
      </c>
      <c r="B111" s="98"/>
      <c r="C111" s="98"/>
      <c r="D111" s="98"/>
      <c r="E111" s="98"/>
      <c r="F111" s="98"/>
      <c r="G111" s="98"/>
      <c r="H111" s="98">
        <v>0</v>
      </c>
      <c r="I111" s="98"/>
      <c r="J111" s="449">
        <f>SUM(J48:J60)</f>
        <v>0</v>
      </c>
      <c r="K111" s="98">
        <v>0</v>
      </c>
      <c r="L111" s="98">
        <v>0</v>
      </c>
      <c r="M111" s="98"/>
      <c r="N111" s="98"/>
      <c r="O111" s="98"/>
      <c r="P111" s="98"/>
      <c r="Q111" s="98"/>
      <c r="R111" s="6"/>
      <c r="S111" s="6"/>
      <c r="T111" s="96"/>
      <c r="U111" s="6"/>
      <c r="V111" s="6"/>
      <c r="W111" s="96"/>
      <c r="X111" s="97"/>
      <c r="Y111" s="54"/>
      <c r="Z111" s="55"/>
    </row>
    <row r="112" spans="1:26">
      <c r="A112" s="98">
        <v>1988</v>
      </c>
      <c r="B112" s="98"/>
      <c r="C112" s="98"/>
      <c r="D112" s="98"/>
      <c r="E112" s="98"/>
      <c r="F112" s="98"/>
      <c r="G112" s="98"/>
      <c r="H112" s="98">
        <v>0</v>
      </c>
      <c r="I112" s="98"/>
      <c r="J112" s="98"/>
      <c r="K112" s="98">
        <v>0</v>
      </c>
      <c r="L112" s="98">
        <v>0</v>
      </c>
      <c r="M112" s="98">
        <v>0</v>
      </c>
      <c r="N112" s="98"/>
      <c r="O112" s="98"/>
      <c r="P112" s="98"/>
      <c r="Q112" s="98"/>
      <c r="R112" s="6"/>
      <c r="S112" s="6"/>
      <c r="T112" s="96"/>
      <c r="U112" s="6"/>
      <c r="V112" s="6"/>
      <c r="W112" s="96"/>
      <c r="X112" s="97"/>
      <c r="Y112" s="54"/>
      <c r="Z112" s="55"/>
    </row>
    <row r="113" spans="1:32">
      <c r="A113" s="98">
        <v>1989</v>
      </c>
      <c r="B113" s="98"/>
      <c r="C113" s="98"/>
      <c r="D113" s="98"/>
      <c r="E113" s="98"/>
      <c r="F113" s="98"/>
      <c r="G113" s="98"/>
      <c r="H113" s="449">
        <f>H27</f>
        <v>872492</v>
      </c>
      <c r="I113" s="98"/>
      <c r="J113" s="98"/>
      <c r="K113" s="98"/>
      <c r="L113" s="449">
        <f>L27</f>
        <v>93</v>
      </c>
      <c r="M113" s="449">
        <f>M27</f>
        <v>60399</v>
      </c>
      <c r="N113" s="449">
        <f>N27</f>
        <v>139</v>
      </c>
      <c r="O113" s="98"/>
      <c r="P113" s="98"/>
      <c r="Q113" s="98"/>
      <c r="R113" s="450">
        <f>L113/$H113</f>
        <v>1.0659123522049485E-4</v>
      </c>
      <c r="S113" s="450">
        <f>M113/$H113</f>
        <v>6.9225849635297515E-2</v>
      </c>
      <c r="T113" s="445">
        <f>N113/$H113</f>
        <v>1.5931378167364284E-4</v>
      </c>
      <c r="U113" s="450">
        <f>L113/$H113</f>
        <v>1.0659123522049485E-4</v>
      </c>
      <c r="V113" s="450">
        <f>SUM(L113:M113)/H113</f>
        <v>6.9332440870518014E-2</v>
      </c>
      <c r="W113" s="445">
        <f>SUM(L113:N113)/H113</f>
        <v>6.9491754652191651E-2</v>
      </c>
      <c r="X113" s="446">
        <f>L113/SUM(L113:N113)</f>
        <v>1.5338688129834573E-3</v>
      </c>
      <c r="Y113" s="447">
        <f>M113/SUM(L113:N113)</f>
        <v>0.99617357457406275</v>
      </c>
      <c r="Z113" s="448">
        <f>N113/SUM(L113:N113)</f>
        <v>2.2925566129537696E-3</v>
      </c>
    </row>
    <row r="114" spans="1:32">
      <c r="A114" s="98">
        <v>1990</v>
      </c>
      <c r="B114" s="98"/>
      <c r="C114" s="98"/>
      <c r="D114" s="98"/>
      <c r="E114" s="98"/>
      <c r="F114" s="98"/>
      <c r="G114" s="98"/>
      <c r="H114" s="449">
        <f>H37</f>
        <v>1043350</v>
      </c>
      <c r="I114" s="98"/>
      <c r="J114" s="98"/>
      <c r="K114" s="98"/>
      <c r="L114" s="98"/>
      <c r="M114" s="449">
        <f>M37</f>
        <v>1732</v>
      </c>
      <c r="N114" s="449">
        <f>N37</f>
        <v>80587</v>
      </c>
      <c r="O114" s="98"/>
      <c r="P114" s="98"/>
      <c r="Q114" s="98"/>
      <c r="R114" s="4"/>
      <c r="S114" s="4"/>
      <c r="T114" s="71"/>
      <c r="U114" s="450">
        <f>M114/H114</f>
        <v>1.6600373795945752E-3</v>
      </c>
      <c r="V114" s="450">
        <f>N114/H114</f>
        <v>7.7238702257152445E-2</v>
      </c>
      <c r="W114" s="71"/>
      <c r="X114" s="70"/>
      <c r="Y114" s="4"/>
      <c r="Z114" s="71"/>
    </row>
    <row r="115" spans="1:32">
      <c r="A115" s="98">
        <v>1991</v>
      </c>
      <c r="B115" s="98"/>
      <c r="C115" s="98"/>
      <c r="D115" s="98"/>
      <c r="E115" s="98"/>
      <c r="F115" s="98"/>
      <c r="G115" s="98"/>
      <c r="H115" s="449">
        <f>H49</f>
        <v>966750</v>
      </c>
      <c r="I115" s="98"/>
      <c r="J115" s="98"/>
      <c r="K115" s="98"/>
      <c r="L115" s="98"/>
      <c r="M115" s="98"/>
      <c r="N115" s="449">
        <f>N49</f>
        <v>2640</v>
      </c>
      <c r="O115" s="98"/>
      <c r="P115" s="98"/>
      <c r="Q115" s="98"/>
      <c r="R115" s="4"/>
      <c r="S115" s="4"/>
      <c r="T115" s="71"/>
      <c r="U115" s="450">
        <f>N115/H115</f>
        <v>2.730799069045772E-3</v>
      </c>
      <c r="V115" s="4"/>
      <c r="W115" s="71"/>
      <c r="X115" s="70"/>
      <c r="Y115" s="4"/>
      <c r="Z115" s="71"/>
    </row>
    <row r="116" spans="1:32">
      <c r="A116" s="98">
        <v>1992</v>
      </c>
      <c r="B116" s="98"/>
      <c r="C116" s="98"/>
      <c r="D116" s="98"/>
      <c r="E116" s="98"/>
      <c r="F116" s="98"/>
      <c r="G116" s="98"/>
      <c r="H116" s="449">
        <f>SUM(H56)</f>
        <v>691633</v>
      </c>
      <c r="I116" s="98"/>
      <c r="J116" s="98"/>
      <c r="K116" s="98"/>
      <c r="L116" s="98"/>
      <c r="M116" s="98"/>
      <c r="N116" s="98"/>
      <c r="O116" s="98"/>
      <c r="P116" s="98"/>
      <c r="Q116" s="98"/>
      <c r="R116" s="4"/>
      <c r="S116" s="4"/>
      <c r="T116" s="71"/>
      <c r="U116" s="6"/>
      <c r="V116" s="4"/>
      <c r="W116" s="71"/>
      <c r="X116" s="70"/>
      <c r="Y116" s="4"/>
      <c r="Z116" s="71"/>
    </row>
    <row r="117" spans="1:32">
      <c r="A117" s="99"/>
      <c r="B117" s="99"/>
      <c r="C117" s="99"/>
      <c r="D117" s="99"/>
      <c r="E117" s="99"/>
      <c r="F117" s="99"/>
      <c r="G117" s="99"/>
      <c r="H117" s="99"/>
      <c r="I117" s="99"/>
      <c r="J117" s="99"/>
      <c r="K117" s="99"/>
      <c r="L117" s="99"/>
      <c r="M117" s="99"/>
      <c r="N117" s="99"/>
      <c r="O117" s="99"/>
      <c r="P117" s="99"/>
      <c r="Q117" s="99"/>
      <c r="R117" s="13"/>
      <c r="S117" s="13"/>
      <c r="T117" s="14"/>
      <c r="U117" s="100"/>
      <c r="V117" s="13"/>
      <c r="W117" s="14"/>
      <c r="X117" s="5"/>
      <c r="Y117" s="13"/>
      <c r="Z117" s="14"/>
    </row>
    <row r="118" spans="1:32">
      <c r="A118" s="4"/>
      <c r="B118" s="4"/>
      <c r="C118" s="4"/>
      <c r="D118" s="4"/>
      <c r="E118" s="4"/>
      <c r="F118" s="4"/>
      <c r="G118" s="4"/>
      <c r="H118" s="4"/>
      <c r="I118" s="4"/>
      <c r="J118" s="4"/>
      <c r="K118" s="4"/>
      <c r="L118" s="4"/>
      <c r="M118" s="4"/>
      <c r="N118" s="4"/>
      <c r="O118" s="4"/>
      <c r="P118" s="4"/>
      <c r="Q118" s="4"/>
      <c r="R118" s="4"/>
      <c r="S118" s="4"/>
      <c r="T118" s="4"/>
      <c r="U118" s="450">
        <f>IF((+U119-X$61)&lt;0,0,(+U119-X$61))</f>
        <v>9.3775823445688719E-4</v>
      </c>
      <c r="V118" s="450">
        <f>IF((+V119-Y$61)&lt;0,0,(+V119-Y$61))</f>
        <v>7.0413841289255902E-2</v>
      </c>
      <c r="W118" s="450">
        <f>IF((+W119-Z$61)&lt;0,0,(+W119-Z$61))</f>
        <v>6.6112498693706265E-2</v>
      </c>
      <c r="X118" s="450">
        <f>IF(+X119-AD$61&lt;0,0,+X119-AD$61)</f>
        <v>0</v>
      </c>
      <c r="Y118" s="450">
        <f>Y119-AE$61</f>
        <v>0.98809600497843053</v>
      </c>
      <c r="Z118" s="450">
        <f>IF(+Z119-AF$61&lt;0,0,+Z119-AF$61)</f>
        <v>0</v>
      </c>
    </row>
    <row r="119" spans="1:32">
      <c r="A119" s="4"/>
      <c r="B119" s="4"/>
      <c r="C119" s="4"/>
      <c r="D119" s="4"/>
      <c r="E119" s="4"/>
      <c r="F119" s="4"/>
      <c r="G119" s="4"/>
      <c r="H119" s="4"/>
      <c r="I119" s="4"/>
      <c r="J119" s="4"/>
      <c r="K119" s="4"/>
      <c r="L119" s="4"/>
      <c r="M119" s="4"/>
      <c r="N119" s="4"/>
      <c r="O119" s="4"/>
      <c r="P119" s="4"/>
      <c r="Q119" s="4"/>
      <c r="R119" s="4"/>
      <c r="S119" s="4"/>
      <c r="T119" s="4"/>
      <c r="U119" s="450">
        <f>AVERAGEA(U110:U117)</f>
        <v>1.4991425612869474E-3</v>
      </c>
      <c r="V119" s="450">
        <f>AVERAGEA(V110:V117)</f>
        <v>7.3285571563835222E-2</v>
      </c>
      <c r="W119" s="450">
        <f>AVERAGEA(W110:W117)</f>
        <v>6.9491754652191651E-2</v>
      </c>
      <c r="X119" s="450">
        <f>AVERAGEA(X111:X117)</f>
        <v>1.5338688129834573E-3</v>
      </c>
      <c r="Y119" s="450">
        <f>AVERAGEA(Y111:Y117)</f>
        <v>0.99617357457406275</v>
      </c>
      <c r="Z119" s="450">
        <f>AVERAGEA(Z111:Z117)</f>
        <v>2.2925566129537696E-3</v>
      </c>
    </row>
    <row r="120" spans="1:32">
      <c r="A120" s="4"/>
      <c r="B120" s="4"/>
      <c r="C120" s="4"/>
      <c r="D120" s="4"/>
      <c r="E120" s="4"/>
      <c r="F120" s="4"/>
      <c r="G120" s="4"/>
      <c r="H120" s="4"/>
      <c r="I120" s="4"/>
      <c r="J120" s="4"/>
      <c r="K120" s="4"/>
      <c r="L120" s="4"/>
      <c r="M120" s="4"/>
      <c r="N120" s="4"/>
      <c r="O120" s="4"/>
      <c r="P120" s="4"/>
      <c r="Q120" s="4"/>
      <c r="R120" s="4"/>
      <c r="S120" s="4"/>
      <c r="T120" s="4"/>
      <c r="U120" s="450">
        <f>U119+X$61</f>
        <v>2.0605268881170079E-3</v>
      </c>
      <c r="V120" s="450">
        <f>V119+Y$61</f>
        <v>7.6157301838414543E-2</v>
      </c>
      <c r="W120" s="450">
        <f>W119+Z$61</f>
        <v>7.2871010610677037E-2</v>
      </c>
      <c r="X120" s="450">
        <f>X119+AD$61</f>
        <v>7.4987490747839888E-3</v>
      </c>
      <c r="Y120" s="450">
        <f>Y119+AE$61</f>
        <v>1.0042511441696951</v>
      </c>
      <c r="Z120" s="450">
        <f>Z119+AF$61</f>
        <v>8.806928852248392E-3</v>
      </c>
    </row>
    <row r="122" spans="1:32">
      <c r="S122" t="s">
        <v>283</v>
      </c>
    </row>
    <row r="123" spans="1:32">
      <c r="A123" s="4"/>
      <c r="B123" s="4"/>
      <c r="C123" s="4"/>
      <c r="D123" s="4"/>
      <c r="E123" s="4"/>
      <c r="F123" s="4"/>
      <c r="G123" s="4"/>
      <c r="H123" s="4"/>
      <c r="I123" s="4"/>
      <c r="J123" s="4"/>
      <c r="K123" s="4"/>
      <c r="L123" s="4"/>
      <c r="M123" s="4"/>
      <c r="N123" s="4"/>
      <c r="O123" s="4"/>
      <c r="P123" s="4"/>
      <c r="Q123" s="4"/>
      <c r="R123" s="4"/>
      <c r="S123" s="4"/>
      <c r="T123" s="4"/>
      <c r="U123" s="7" t="s">
        <v>284</v>
      </c>
      <c r="V123" s="8"/>
      <c r="W123" s="8"/>
      <c r="X123" s="64"/>
      <c r="Y123" s="7" t="s">
        <v>285</v>
      </c>
      <c r="Z123" s="8"/>
      <c r="AA123" s="8"/>
      <c r="AB123" s="64"/>
      <c r="AC123" s="7" t="s">
        <v>286</v>
      </c>
      <c r="AD123" s="8"/>
      <c r="AE123" s="8"/>
      <c r="AF123" s="64"/>
    </row>
    <row r="124" spans="1:32">
      <c r="A124" s="4"/>
      <c r="B124" s="4"/>
      <c r="C124" s="4"/>
      <c r="D124" s="4"/>
      <c r="E124" s="4"/>
      <c r="F124" s="4"/>
      <c r="G124" s="4"/>
      <c r="H124" s="4"/>
      <c r="I124" s="4"/>
      <c r="J124" s="4"/>
      <c r="K124" s="4"/>
      <c r="L124" s="4"/>
      <c r="M124" s="4"/>
      <c r="N124" s="4"/>
      <c r="O124" s="4"/>
      <c r="P124" s="4"/>
      <c r="Q124" s="4"/>
      <c r="R124" s="4"/>
      <c r="S124" s="4"/>
      <c r="T124" s="4"/>
      <c r="U124" s="16">
        <v>1992</v>
      </c>
      <c r="V124" s="17">
        <v>1991</v>
      </c>
      <c r="W124" s="18">
        <v>1990</v>
      </c>
      <c r="X124" s="101" t="s">
        <v>28</v>
      </c>
      <c r="Y124" s="5">
        <v>1992</v>
      </c>
      <c r="Z124" s="13">
        <v>1991</v>
      </c>
      <c r="AA124" s="13">
        <v>1990</v>
      </c>
      <c r="AB124" s="101" t="s">
        <v>28</v>
      </c>
      <c r="AC124" s="5">
        <v>1992</v>
      </c>
      <c r="AD124" s="13">
        <v>1991</v>
      </c>
      <c r="AE124" s="13">
        <v>1990</v>
      </c>
      <c r="AF124" s="101" t="s">
        <v>28</v>
      </c>
    </row>
    <row r="125" spans="1:32">
      <c r="A125" s="4"/>
      <c r="B125" s="4"/>
      <c r="C125" s="4"/>
      <c r="D125" s="4"/>
      <c r="E125" s="4"/>
      <c r="F125" s="4"/>
      <c r="G125" s="4"/>
      <c r="H125" s="4"/>
      <c r="I125" s="4"/>
      <c r="J125" s="4"/>
      <c r="K125" s="4"/>
      <c r="L125" s="4"/>
      <c r="M125" s="4"/>
      <c r="N125" s="4"/>
      <c r="O125" s="4"/>
      <c r="P125" s="4"/>
      <c r="Q125" s="4"/>
      <c r="R125" s="4"/>
      <c r="S125" s="10" t="s">
        <v>287</v>
      </c>
      <c r="T125" s="12"/>
      <c r="U125" s="451">
        <f>U77*H74</f>
        <v>24033.247150748404</v>
      </c>
      <c r="V125" s="451">
        <f>$V77*$H$73-SUM($N$41:$N$44)</f>
        <v>289577.6520369816</v>
      </c>
      <c r="W125" s="453">
        <f>$W77*$H$72-SUM($M$30:$N$33)</f>
        <v>76815.527486209496</v>
      </c>
      <c r="X125" s="375">
        <f t="shared" ref="X125:X132" si="45">SUM(U125:W125)</f>
        <v>390426.42667393945</v>
      </c>
      <c r="Y125" s="451">
        <f>H74*U76</f>
        <v>22685.550884394586</v>
      </c>
      <c r="Z125" s="451">
        <f>$V76*$H$73-SUM($N$41:$N$44)</f>
        <v>282118.95294250111</v>
      </c>
      <c r="AA125" s="453">
        <f>$W76*$H$72-SUM($M$30:$N$33)</f>
        <v>74024.079584678781</v>
      </c>
      <c r="AB125" s="375">
        <f t="shared" ref="AB125:AB132" si="46">SUM(Y125:AA125)</f>
        <v>378828.58341157448</v>
      </c>
      <c r="AC125" s="451">
        <f>$U78*$H$74</f>
        <v>25380.943417102219</v>
      </c>
      <c r="AD125" s="451">
        <f>$V78*$H$73-SUM($N$41:$N$44)</f>
        <v>297036.35113146208</v>
      </c>
      <c r="AE125" s="453">
        <f>$W78*$H$72-SUM($M$30:$N$33)</f>
        <v>79606.975387740182</v>
      </c>
      <c r="AF125" s="375">
        <f t="shared" ref="AF125:AF132" si="47">SUM(AC125:AE125)</f>
        <v>402024.26993630448</v>
      </c>
    </row>
    <row r="126" spans="1:32">
      <c r="A126" s="4"/>
      <c r="B126" s="4"/>
      <c r="C126" s="4"/>
      <c r="D126" s="4"/>
      <c r="E126" s="4"/>
      <c r="F126" s="4"/>
      <c r="G126" s="4"/>
      <c r="H126" s="4"/>
      <c r="I126" s="4"/>
      <c r="J126" s="4"/>
      <c r="K126" s="4"/>
      <c r="L126" s="4"/>
      <c r="M126" s="4"/>
      <c r="N126" s="4"/>
      <c r="O126" s="4"/>
      <c r="P126" s="4"/>
      <c r="Q126" s="4"/>
      <c r="R126" s="4"/>
      <c r="S126" s="5" t="s">
        <v>239</v>
      </c>
      <c r="T126" s="14"/>
      <c r="U126" s="452">
        <f>$U91*$H$88</f>
        <v>225.78579145453168</v>
      </c>
      <c r="V126" s="452">
        <f>$V91*$H$87-$N$48</f>
        <v>10660.026340006443</v>
      </c>
      <c r="W126" s="454">
        <f>$W91*$H$86-SUM($M$36:$N$36)</f>
        <v>19270.10355530474</v>
      </c>
      <c r="X126" s="455">
        <f t="shared" si="45"/>
        <v>30155.915686765715</v>
      </c>
      <c r="Y126" s="452">
        <f>$U90*$H88</f>
        <v>0</v>
      </c>
      <c r="Z126" s="452">
        <f>$V90*$H$87-$N$48</f>
        <v>8344.7857014956517</v>
      </c>
      <c r="AA126" s="454">
        <f>$W90*$H$86-SUM($M$36:$N$36)</f>
        <v>16834.08241623158</v>
      </c>
      <c r="AB126" s="455">
        <f t="shared" si="46"/>
        <v>25178.86811772723</v>
      </c>
      <c r="AC126" s="452">
        <f>$U92*$H$88</f>
        <v>724.94515673009437</v>
      </c>
      <c r="AD126" s="452">
        <f>$V92*$H$87-$N$48</f>
        <v>12975.266978517233</v>
      </c>
      <c r="AE126" s="454">
        <f>$W92*$H$86-SUM($M$36:$N$36)</f>
        <v>21706.124694377897</v>
      </c>
      <c r="AF126" s="455">
        <f t="shared" si="47"/>
        <v>35406.336829625223</v>
      </c>
    </row>
    <row r="127" spans="1:32">
      <c r="A127" s="4"/>
      <c r="B127" s="4"/>
      <c r="C127" s="4"/>
      <c r="D127" s="4"/>
      <c r="E127" s="4"/>
      <c r="F127" s="4"/>
      <c r="G127" s="4"/>
      <c r="H127" s="4"/>
      <c r="I127" s="4"/>
      <c r="J127" s="4"/>
      <c r="K127" s="4"/>
      <c r="L127" s="4"/>
      <c r="M127" s="4"/>
      <c r="N127" s="4"/>
      <c r="O127" s="4"/>
      <c r="P127" s="4"/>
      <c r="Q127" s="4"/>
      <c r="R127" s="4"/>
      <c r="S127" s="10" t="s">
        <v>288</v>
      </c>
      <c r="T127" s="12"/>
      <c r="U127" s="451">
        <f>$U105*$H$102</f>
        <v>1095.910015254728</v>
      </c>
      <c r="V127" s="451">
        <f>$V105*$H$101-SUM($N$46)</f>
        <v>0</v>
      </c>
      <c r="W127" s="453">
        <f>IF(+$W105*$H$100-SUM($M$34:$N$35)&lt;0,0,$H$100*$W105-SUM($M$34:$N$35))</f>
        <v>0</v>
      </c>
      <c r="X127" s="456">
        <f t="shared" si="45"/>
        <v>1095.910015254728</v>
      </c>
      <c r="Y127" s="451">
        <f>$U104*$H$102</f>
        <v>668.24911922856859</v>
      </c>
      <c r="Z127" s="451">
        <f>$V104*$H$101-SUM($N$46)</f>
        <v>0</v>
      </c>
      <c r="AA127" s="453">
        <f>IF(+$W104*$H$100-SUM($M$34:$N$35)&lt;0,0,+$H$100*$W104-SUM($M$34:$N$35))</f>
        <v>0</v>
      </c>
      <c r="AB127" s="456">
        <f t="shared" si="46"/>
        <v>668.24911922856859</v>
      </c>
      <c r="AC127" s="451">
        <f>$U106*$H$102</f>
        <v>1523.5709112808875</v>
      </c>
      <c r="AD127" s="451">
        <f>$V106*$H$101-SUM($N$46)</f>
        <v>0</v>
      </c>
      <c r="AE127" s="453">
        <f>IF(+$W106*$H$100-SUM($M$34:$N$35)&lt;0,0,SUM($H$34:$H$35)*$W106-SUM($M$34:$N$35))</f>
        <v>0</v>
      </c>
      <c r="AF127" s="456">
        <f t="shared" si="47"/>
        <v>1523.5709112808875</v>
      </c>
    </row>
    <row r="128" spans="1:32">
      <c r="A128" s="4"/>
      <c r="B128" s="4"/>
      <c r="C128" s="4"/>
      <c r="D128" s="4"/>
      <c r="E128" s="4"/>
      <c r="F128" s="4"/>
      <c r="G128" s="4"/>
      <c r="H128" s="4"/>
      <c r="I128" s="4"/>
      <c r="J128" s="4"/>
      <c r="K128" s="4"/>
      <c r="L128" s="4"/>
      <c r="M128" s="4"/>
      <c r="N128" s="4"/>
      <c r="O128" s="4"/>
      <c r="P128" s="4"/>
      <c r="Q128" s="4"/>
      <c r="R128" s="4"/>
      <c r="S128" s="70" t="s">
        <v>242</v>
      </c>
      <c r="T128" s="71"/>
      <c r="U128" s="415">
        <f>$U119*$H$116</f>
        <v>1036.8564670905753</v>
      </c>
      <c r="V128" s="415">
        <f>$V119*$H$115-$N$49</f>
        <v>68208.826309337703</v>
      </c>
      <c r="W128" s="457">
        <f>IF(SUM($M$37:$N$37)&lt;$W119*$H$114,+$W119*$H$114-SUM($M$37:$N$37),0)</f>
        <v>0</v>
      </c>
      <c r="X128" s="458">
        <f t="shared" si="45"/>
        <v>69245.682776428279</v>
      </c>
      <c r="Y128" s="415">
        <f>$U118*$H$116</f>
        <v>648.58454097212029</v>
      </c>
      <c r="Z128" s="415">
        <f>$V118*$H$115-$N$49</f>
        <v>65432.581066388142</v>
      </c>
      <c r="AA128" s="457">
        <f>IF(SUM($M$37:$N$37)&lt;$W118*$H$114,+$W118*$H$114-SUM($M$37:$N$37),0)</f>
        <v>0</v>
      </c>
      <c r="AB128" s="458">
        <f t="shared" si="46"/>
        <v>66081.165607360264</v>
      </c>
      <c r="AC128" s="415">
        <f>$U120*$H$116</f>
        <v>1425.1283932090305</v>
      </c>
      <c r="AD128" s="415">
        <f>$V120*$H$115-$N$49</f>
        <v>70985.071552287263</v>
      </c>
      <c r="AE128" s="457">
        <f>IF(SUM($M$37:$N$37)&lt;$W120*$H$100,+$W120*$H$100-SUM($M$37:$N$37),0)</f>
        <v>0</v>
      </c>
      <c r="AF128" s="458">
        <f t="shared" si="47"/>
        <v>72410.199945496293</v>
      </c>
    </row>
    <row r="129" spans="1:32">
      <c r="A129" s="4"/>
      <c r="B129" s="4"/>
      <c r="C129" s="4"/>
      <c r="D129" s="4"/>
      <c r="E129" s="4"/>
      <c r="F129" s="4"/>
      <c r="G129" s="4"/>
      <c r="H129" s="4"/>
      <c r="I129" s="4"/>
      <c r="J129" s="4"/>
      <c r="K129" s="4"/>
      <c r="L129" s="4"/>
      <c r="M129" s="4"/>
      <c r="N129" s="4"/>
      <c r="O129" s="4"/>
      <c r="P129" s="4"/>
      <c r="Q129" s="4"/>
      <c r="R129" s="4"/>
      <c r="S129" s="5" t="s">
        <v>255</v>
      </c>
      <c r="T129" s="14"/>
      <c r="U129" s="56">
        <v>0</v>
      </c>
      <c r="V129" s="56">
        <v>0</v>
      </c>
      <c r="W129" s="454">
        <f>$N$38/$Y$119*$Z$119</f>
        <v>10.960148387248237</v>
      </c>
      <c r="X129" s="455">
        <f t="shared" si="45"/>
        <v>10.960148387248237</v>
      </c>
      <c r="Y129" s="56">
        <v>0</v>
      </c>
      <c r="Z129" s="56">
        <v>0</v>
      </c>
      <c r="AA129" s="454">
        <f>$N38/$Y118*$Z118</f>
        <v>0</v>
      </c>
      <c r="AB129" s="458">
        <f t="shared" si="46"/>
        <v>0</v>
      </c>
      <c r="AC129" s="56">
        <v>0</v>
      </c>
      <c r="AD129" s="56">
        <v>0</v>
      </c>
      <c r="AE129" s="454">
        <f>$N38/$Y120*$Z120</f>
        <v>41.76510087284413</v>
      </c>
      <c r="AF129" s="455">
        <f t="shared" si="47"/>
        <v>41.76510087284413</v>
      </c>
    </row>
    <row r="130" spans="1:32">
      <c r="A130" s="4"/>
      <c r="B130" s="4"/>
      <c r="C130" s="4"/>
      <c r="D130" s="4"/>
      <c r="E130" s="4"/>
      <c r="F130" s="4"/>
      <c r="G130" s="4"/>
      <c r="H130" s="4"/>
      <c r="I130" s="4"/>
      <c r="J130" s="4"/>
      <c r="K130" s="4"/>
      <c r="L130" s="4"/>
      <c r="M130" s="4"/>
      <c r="N130" s="4"/>
      <c r="O130" s="4"/>
      <c r="P130" s="4"/>
      <c r="Q130" s="4"/>
      <c r="R130" s="4"/>
      <c r="S130" s="5" t="s">
        <v>256</v>
      </c>
      <c r="T130" s="14"/>
      <c r="U130" s="452">
        <f>$H57*$U91</f>
        <v>0</v>
      </c>
      <c r="V130" s="452">
        <f>$H40*$V91-$N40</f>
        <v>734.87126195630856</v>
      </c>
      <c r="W130" s="454">
        <f>$H39*$W91-SUM($M39:$N39)</f>
        <v>1053.6625395033859</v>
      </c>
      <c r="X130" s="455">
        <f t="shared" si="45"/>
        <v>1788.5338014596946</v>
      </c>
      <c r="Y130" s="452">
        <f>SUM($H57)*$U90</f>
        <v>0</v>
      </c>
      <c r="Z130" s="452">
        <f>$H40*$V90-$N40</f>
        <v>551.59169237210722</v>
      </c>
      <c r="AA130" s="454">
        <f>$H39*$W90-SUM($M39:$N39)</f>
        <v>892.77954257585498</v>
      </c>
      <c r="AB130" s="459">
        <f t="shared" si="46"/>
        <v>1444.3712349479622</v>
      </c>
      <c r="AC130" s="452">
        <f>SUM($H57)*$U92</f>
        <v>0</v>
      </c>
      <c r="AD130" s="452">
        <f>$H40*$V92-$N40</f>
        <v>918.1508315405099</v>
      </c>
      <c r="AE130" s="454">
        <f>$H39*$W92-SUM($M39:$N39)</f>
        <v>1214.5455364309171</v>
      </c>
      <c r="AF130" s="459">
        <f t="shared" si="47"/>
        <v>2132.6963679714272</v>
      </c>
    </row>
    <row r="131" spans="1:32">
      <c r="A131" s="4"/>
      <c r="B131" s="4"/>
      <c r="C131" s="4"/>
      <c r="D131" s="4"/>
      <c r="E131" s="4"/>
      <c r="F131" s="4"/>
      <c r="G131" s="4"/>
      <c r="H131" s="4"/>
      <c r="I131" s="4"/>
      <c r="J131" s="4"/>
      <c r="K131" s="4"/>
      <c r="L131" s="4"/>
      <c r="M131" s="4"/>
      <c r="N131" s="4"/>
      <c r="O131" s="4"/>
      <c r="P131" s="4"/>
      <c r="Q131" s="4"/>
      <c r="R131" s="4"/>
      <c r="S131" s="16" t="s">
        <v>289</v>
      </c>
      <c r="T131" s="18"/>
      <c r="U131" s="102">
        <v>0</v>
      </c>
      <c r="V131" s="460">
        <f>$V91*$H$47-$N$47</f>
        <v>9141.9386711933439</v>
      </c>
      <c r="W131" s="103">
        <v>0</v>
      </c>
      <c r="X131" s="459">
        <f t="shared" si="45"/>
        <v>9141.9386711933439</v>
      </c>
      <c r="Y131" s="102">
        <v>0</v>
      </c>
      <c r="Z131" s="460">
        <f>$V90*$H$47-$N$47</f>
        <v>7156.4100006978279</v>
      </c>
      <c r="AA131" s="103">
        <v>0</v>
      </c>
      <c r="AB131" s="459">
        <f t="shared" si="46"/>
        <v>7156.4100006978279</v>
      </c>
      <c r="AC131" s="102">
        <v>0</v>
      </c>
      <c r="AD131" s="460">
        <f>$V92*$H$47-$N$47</f>
        <v>11127.467341688858</v>
      </c>
      <c r="AE131" s="461">
        <f>$W92*SUM($H$38:$H$39)-SUM($M$38:$N$39)</f>
        <v>10638.621688553592</v>
      </c>
      <c r="AF131" s="459">
        <f t="shared" si="47"/>
        <v>21766.089030242452</v>
      </c>
    </row>
    <row r="132" spans="1:32">
      <c r="A132" s="4"/>
      <c r="B132" s="4"/>
      <c r="C132" s="4"/>
      <c r="D132" s="4"/>
      <c r="E132" s="4"/>
      <c r="F132" s="4"/>
      <c r="G132" s="4"/>
      <c r="H132" s="4"/>
      <c r="I132" s="4"/>
      <c r="J132" s="4"/>
      <c r="K132" s="4"/>
      <c r="L132" s="4"/>
      <c r="M132" s="4"/>
      <c r="N132" s="4"/>
      <c r="O132" s="4"/>
      <c r="P132" s="4"/>
      <c r="Q132" s="4"/>
      <c r="R132" s="4"/>
      <c r="S132" s="16" t="s">
        <v>24</v>
      </c>
      <c r="T132" s="18"/>
      <c r="U132" s="460">
        <f>SUM(U125:U131)</f>
        <v>26391.79942454824</v>
      </c>
      <c r="V132" s="460">
        <f>SUM($V125:$V131)</f>
        <v>378323.31461947534</v>
      </c>
      <c r="W132" s="461">
        <f>SUM($W125:$W131)</f>
        <v>97150.253729404882</v>
      </c>
      <c r="X132" s="459">
        <f t="shared" si="45"/>
        <v>501865.36777342844</v>
      </c>
      <c r="Y132" s="460">
        <f>SUM(Y125:Y131)</f>
        <v>24002.384544595272</v>
      </c>
      <c r="Z132" s="460">
        <f>SUM($V124:$V128)</f>
        <v>370437.50468632573</v>
      </c>
      <c r="AA132" s="461">
        <f>SUM($W124:$W128)</f>
        <v>98075.631041514236</v>
      </c>
      <c r="AB132" s="459">
        <f t="shared" si="46"/>
        <v>492515.52027243521</v>
      </c>
      <c r="AC132" s="460">
        <f>SUM(AC125:AC131)</f>
        <v>29054.587878322229</v>
      </c>
      <c r="AD132" s="460">
        <f>SUM($V126:$V132)</f>
        <v>467068.97720196913</v>
      </c>
      <c r="AE132" s="461">
        <f>SUM($W126:$W132)</f>
        <v>117484.97997260025</v>
      </c>
      <c r="AF132" s="459">
        <f t="shared" si="47"/>
        <v>613608.5450528916</v>
      </c>
    </row>
    <row r="133" spans="1:32">
      <c r="A133" s="4"/>
      <c r="B133" s="4"/>
      <c r="C133" s="4"/>
      <c r="D133" s="4"/>
      <c r="E133" s="4"/>
      <c r="F133" s="4"/>
      <c r="G133" s="4"/>
      <c r="H133" s="4"/>
      <c r="I133" s="4"/>
      <c r="J133" s="4"/>
      <c r="K133" s="4"/>
      <c r="L133" s="4"/>
      <c r="M133" s="4"/>
      <c r="N133" s="4"/>
      <c r="O133" s="4"/>
      <c r="P133" s="4"/>
      <c r="Q133" s="4"/>
      <c r="R133" s="4"/>
      <c r="S133" s="4"/>
      <c r="T133" s="4"/>
      <c r="U133" s="29"/>
      <c r="V133" s="29"/>
      <c r="W133" s="29"/>
      <c r="X133" s="29"/>
      <c r="Y133" s="29"/>
      <c r="Z133" s="29"/>
      <c r="AA133" s="29"/>
      <c r="AB133" s="29"/>
    </row>
    <row r="135" spans="1:32">
      <c r="A135" s="4"/>
      <c r="B135" s="4"/>
      <c r="C135" s="4"/>
      <c r="D135" s="4"/>
      <c r="E135" s="4"/>
      <c r="F135" s="4"/>
      <c r="G135" s="4"/>
      <c r="H135" s="4"/>
      <c r="I135" s="4"/>
      <c r="J135" s="4"/>
      <c r="K135" s="4"/>
      <c r="L135" s="4"/>
      <c r="M135" s="4"/>
      <c r="N135" s="4"/>
      <c r="O135" s="4"/>
      <c r="P135" s="4"/>
      <c r="Q135" s="4"/>
      <c r="R135" s="4"/>
      <c r="S135" s="4"/>
      <c r="T135" s="4"/>
      <c r="U135" s="16">
        <v>1992</v>
      </c>
      <c r="V135" s="17">
        <v>1991</v>
      </c>
      <c r="W135" s="18">
        <v>1990</v>
      </c>
      <c r="X135" s="64" t="s">
        <v>28</v>
      </c>
      <c r="Y135" s="16">
        <v>1991</v>
      </c>
      <c r="Z135" s="17">
        <v>1990</v>
      </c>
      <c r="AA135" s="17">
        <v>1989</v>
      </c>
      <c r="AB135" s="64" t="s">
        <v>28</v>
      </c>
      <c r="AC135" s="16">
        <v>1991</v>
      </c>
      <c r="AD135" s="17">
        <v>1990</v>
      </c>
      <c r="AE135" s="17">
        <v>1989</v>
      </c>
      <c r="AF135" s="64" t="s">
        <v>28</v>
      </c>
    </row>
    <row r="136" spans="1:32">
      <c r="A136" s="4"/>
      <c r="B136" s="4"/>
      <c r="C136" s="4"/>
      <c r="D136" s="4"/>
      <c r="E136" s="4"/>
      <c r="F136" s="4"/>
      <c r="G136" s="4"/>
      <c r="H136" s="4"/>
      <c r="I136" s="4"/>
      <c r="J136" s="4"/>
      <c r="K136" s="4"/>
      <c r="L136" s="4"/>
      <c r="M136" s="4"/>
      <c r="N136" s="4"/>
      <c r="O136" s="4"/>
      <c r="P136" s="4"/>
      <c r="Q136" s="4"/>
      <c r="R136" s="4"/>
      <c r="S136" s="10" t="s">
        <v>287</v>
      </c>
      <c r="T136" s="11"/>
      <c r="U136" s="462">
        <f>$W77*H74*X77</f>
        <v>19504.091341360163</v>
      </c>
      <c r="V136" s="451">
        <f>W77*H73*Y77</f>
        <v>314364.92662517237</v>
      </c>
      <c r="W136" s="453">
        <f>W77*H72*Z77</f>
        <v>25548.0017541218</v>
      </c>
      <c r="X136" s="453">
        <f t="shared" ref="X136:X143" si="48">SUM(U136:W136)</f>
        <v>359417.01972065435</v>
      </c>
      <c r="Y136" s="462">
        <f>$W76*$H74*$X76</f>
        <v>16848.361891325938</v>
      </c>
      <c r="Z136" s="451">
        <f>$H73*$W76*$Y76</f>
        <v>304441.37490936305</v>
      </c>
      <c r="AA136" s="453">
        <f>$H72*$W76*$Z76</f>
        <v>24165.430418584459</v>
      </c>
      <c r="AB136" s="453">
        <f t="shared" ref="AB136:AB143" si="49">SUM(Y136:AA136)</f>
        <v>345455.1672192734</v>
      </c>
      <c r="AC136" s="462">
        <f>$W78*$H74*$X78</f>
        <v>22256.60055472657</v>
      </c>
      <c r="AD136" s="451">
        <f>$H73*$W78*$Y78</f>
        <v>324430.270179126</v>
      </c>
      <c r="AE136" s="453">
        <f>$H72*$W78*$Z78</f>
        <v>26966.942151093477</v>
      </c>
      <c r="AF136" s="453">
        <f t="shared" ref="AF136:AF143" si="50">SUM(AC136:AE136)</f>
        <v>373653.812884946</v>
      </c>
    </row>
    <row r="137" spans="1:32">
      <c r="A137" s="4"/>
      <c r="B137" s="4"/>
      <c r="C137" s="4"/>
      <c r="D137" s="4"/>
      <c r="E137" s="4"/>
      <c r="F137" s="4"/>
      <c r="G137" s="4"/>
      <c r="H137" s="4"/>
      <c r="I137" s="4"/>
      <c r="J137" s="4"/>
      <c r="K137" s="4"/>
      <c r="L137" s="4"/>
      <c r="M137" s="4"/>
      <c r="N137" s="4"/>
      <c r="O137" s="4"/>
      <c r="P137" s="4"/>
      <c r="Q137" s="4"/>
      <c r="R137" s="4"/>
      <c r="S137" s="5" t="s">
        <v>239</v>
      </c>
      <c r="T137" s="13"/>
      <c r="U137" s="463">
        <f>W91*H88*X91</f>
        <v>317.12632957110606</v>
      </c>
      <c r="V137" s="452">
        <f>W91*H87*Y91</f>
        <v>17205.383683972912</v>
      </c>
      <c r="W137" s="454">
        <f>W91*H86*Z91</f>
        <v>7050.9060383747174</v>
      </c>
      <c r="X137" s="454">
        <f t="shared" si="48"/>
        <v>24573.416051918735</v>
      </c>
      <c r="Y137" s="463">
        <f>$H88*$W90*$X90</f>
        <v>134.05164103364515</v>
      </c>
      <c r="Z137" s="452">
        <f>$H87*$W90*$Y90</f>
        <v>15175.377121639298</v>
      </c>
      <c r="AA137" s="454">
        <f>$H86*$W90*$Z90</f>
        <v>6162.0282120700222</v>
      </c>
      <c r="AB137" s="454">
        <f t="shared" si="49"/>
        <v>21471.456974742967</v>
      </c>
      <c r="AC137" s="463">
        <f>$H88*$W92*$X92</f>
        <v>536.04627971718639</v>
      </c>
      <c r="AD137" s="452">
        <f>$H87*$W92*$Y92</f>
        <v>19279.403581838931</v>
      </c>
      <c r="AE137" s="454">
        <f>$H86*$W92*$Z92</f>
        <v>7971.522161644838</v>
      </c>
      <c r="AF137" s="454">
        <f t="shared" si="50"/>
        <v>27786.972023200957</v>
      </c>
    </row>
    <row r="138" spans="1:32">
      <c r="A138" s="4"/>
      <c r="B138" s="4"/>
      <c r="C138" s="4"/>
      <c r="D138" s="4"/>
      <c r="E138" s="4"/>
      <c r="F138" s="4"/>
      <c r="G138" s="4"/>
      <c r="H138" s="4"/>
      <c r="I138" s="4"/>
      <c r="J138" s="4"/>
      <c r="K138" s="4"/>
      <c r="L138" s="4"/>
      <c r="M138" s="4"/>
      <c r="N138" s="4"/>
      <c r="O138" s="4"/>
      <c r="P138" s="4"/>
      <c r="Q138" s="4"/>
      <c r="R138" s="4"/>
      <c r="S138" s="10" t="s">
        <v>288</v>
      </c>
      <c r="T138" s="11"/>
      <c r="U138" s="462">
        <f>W105*H102*X105</f>
        <v>209.01683730248365</v>
      </c>
      <c r="V138" s="451">
        <f>W105*H101*Y105</f>
        <v>0</v>
      </c>
      <c r="W138" s="453">
        <f>W105*H100*Z105</f>
        <v>0</v>
      </c>
      <c r="X138" s="453">
        <f t="shared" si="48"/>
        <v>209.01683730248365</v>
      </c>
      <c r="Y138" s="462">
        <f>$H102*$W104*$X104</f>
        <v>0</v>
      </c>
      <c r="Z138" s="451">
        <f>$H101*$W104*$Y104</f>
        <v>0</v>
      </c>
      <c r="AA138" s="453">
        <f>$H100*$W104*$Z104</f>
        <v>0</v>
      </c>
      <c r="AB138" s="453">
        <f t="shared" si="49"/>
        <v>0</v>
      </c>
      <c r="AC138" s="462">
        <f>$H102*$W106*$X106</f>
        <v>519.75933155024302</v>
      </c>
      <c r="AD138" s="451">
        <f>$H101*$W106*$Y106</f>
        <v>0</v>
      </c>
      <c r="AE138" s="453">
        <f>$H100*$W106*$Z106</f>
        <v>440.04175608684756</v>
      </c>
      <c r="AF138" s="453">
        <f t="shared" si="50"/>
        <v>959.80108763709063</v>
      </c>
    </row>
    <row r="139" spans="1:32">
      <c r="A139" s="4"/>
      <c r="B139" s="4"/>
      <c r="C139" s="4"/>
      <c r="D139" s="4"/>
      <c r="E139" s="4"/>
      <c r="F139" s="4"/>
      <c r="G139" s="4"/>
      <c r="H139" s="4"/>
      <c r="I139" s="4"/>
      <c r="J139" s="4"/>
      <c r="K139" s="4"/>
      <c r="L139" s="4"/>
      <c r="M139" s="4"/>
      <c r="N139" s="4"/>
      <c r="O139" s="4"/>
      <c r="P139" s="4"/>
      <c r="Q139" s="4"/>
      <c r="R139" s="4"/>
      <c r="S139" s="70" t="s">
        <v>242</v>
      </c>
      <c r="T139" s="4"/>
      <c r="U139" s="464">
        <f>W119*H116*X119</f>
        <v>73.722015789256517</v>
      </c>
      <c r="V139" s="415">
        <f>W119*H115*Y119</f>
        <v>66924.09013492387</v>
      </c>
      <c r="W139" s="457">
        <f>W119*H114*Z119</f>
        <v>166.22003410919527</v>
      </c>
      <c r="X139" s="457">
        <f t="shared" si="48"/>
        <v>67164.032184822325</v>
      </c>
      <c r="Y139" s="464">
        <f>$H116*$W118*$W118</f>
        <v>3023.0327320680626</v>
      </c>
      <c r="Z139" s="415">
        <f>$H115*$W118*$Y118</f>
        <v>63153.423101766304</v>
      </c>
      <c r="AA139" s="457">
        <f>$H114*$W118*$Z118</f>
        <v>0</v>
      </c>
      <c r="AB139" s="457">
        <f t="shared" si="49"/>
        <v>66176.455833834363</v>
      </c>
      <c r="AC139" s="464">
        <f>$H116*$W120*$W120</f>
        <v>3672.6986200988285</v>
      </c>
      <c r="AD139" s="415">
        <f>$H115*$W120*$Y120</f>
        <v>70747.534322803811</v>
      </c>
      <c r="AE139" s="457">
        <f>$H114*$W120*$Z120</f>
        <v>669.59052692282</v>
      </c>
      <c r="AF139" s="457">
        <f t="shared" si="50"/>
        <v>75089.823469825467</v>
      </c>
    </row>
    <row r="140" spans="1:32">
      <c r="A140" s="4"/>
      <c r="B140" s="4"/>
      <c r="C140" s="4"/>
      <c r="D140" s="4"/>
      <c r="E140" s="4"/>
      <c r="F140" s="4"/>
      <c r="G140" s="4"/>
      <c r="H140" s="4"/>
      <c r="I140" s="4"/>
      <c r="J140" s="4"/>
      <c r="K140" s="4"/>
      <c r="L140" s="4"/>
      <c r="M140" s="4"/>
      <c r="N140" s="4"/>
      <c r="O140" s="4"/>
      <c r="P140" s="4"/>
      <c r="Q140" s="4"/>
      <c r="R140" s="4"/>
      <c r="S140" s="5" t="s">
        <v>255</v>
      </c>
      <c r="T140" s="13"/>
      <c r="U140" s="104">
        <v>0</v>
      </c>
      <c r="V140" s="56">
        <v>0</v>
      </c>
      <c r="W140" s="454">
        <f>$N$38/$Y$119*$Z$119</f>
        <v>10.960148387248237</v>
      </c>
      <c r="X140" s="457">
        <f t="shared" si="48"/>
        <v>10.960148387248237</v>
      </c>
      <c r="Y140" s="104">
        <v>0</v>
      </c>
      <c r="Z140" s="56">
        <v>0</v>
      </c>
      <c r="AA140" s="454">
        <f>$N$38/$Y$118*$Z$118</f>
        <v>0</v>
      </c>
      <c r="AB140" s="457">
        <f t="shared" si="49"/>
        <v>0</v>
      </c>
      <c r="AC140" s="104">
        <v>0</v>
      </c>
      <c r="AD140" s="56">
        <v>0</v>
      </c>
      <c r="AE140" s="454">
        <f>$N$38/$Y$120*$Z$120</f>
        <v>41.76510087284413</v>
      </c>
      <c r="AF140" s="457">
        <f t="shared" si="50"/>
        <v>41.76510087284413</v>
      </c>
    </row>
    <row r="141" spans="1:32">
      <c r="A141" s="4"/>
      <c r="B141" s="4"/>
      <c r="C141" s="4"/>
      <c r="D141" s="4"/>
      <c r="E141" s="4"/>
      <c r="F141" s="4"/>
      <c r="G141" s="4"/>
      <c r="H141" s="4"/>
      <c r="I141" s="4"/>
      <c r="J141" s="4"/>
      <c r="K141" s="4"/>
      <c r="L141" s="4"/>
      <c r="M141" s="4"/>
      <c r="N141" s="4"/>
      <c r="O141" s="4"/>
      <c r="P141" s="4"/>
      <c r="Q141" s="4"/>
      <c r="R141" s="4"/>
      <c r="S141" s="5" t="s">
        <v>256</v>
      </c>
      <c r="T141" s="13"/>
      <c r="U141" s="463">
        <f>$W91*$H57*$X91</f>
        <v>0</v>
      </c>
      <c r="V141" s="452">
        <f>$H40*$W91*$Y91</f>
        <v>1362.0162257336342</v>
      </c>
      <c r="W141" s="454">
        <f>$H39*$W91+$Z91</f>
        <v>1498.9732601918047</v>
      </c>
      <c r="X141" s="461">
        <f t="shared" si="48"/>
        <v>2860.9894859254391</v>
      </c>
      <c r="Y141" s="463">
        <f>$W90*$H57*$X90</f>
        <v>0</v>
      </c>
      <c r="Z141" s="452">
        <f>$H40*$W90*$Y90</f>
        <v>1201.316416474531</v>
      </c>
      <c r="AA141" s="454">
        <f>$H39*$W90+$Z90</f>
        <v>1338.0837488920345</v>
      </c>
      <c r="AB141" s="461">
        <f t="shared" si="49"/>
        <v>2539.4001653665655</v>
      </c>
      <c r="AC141" s="463">
        <f>$W92*$H57*$X92</f>
        <v>0</v>
      </c>
      <c r="AD141" s="452">
        <f>$H40*$W92*$Y92</f>
        <v>1526.2002279781948</v>
      </c>
      <c r="AE141" s="454">
        <f>$H39*$W92+$Z92</f>
        <v>1659.8627714915751</v>
      </c>
      <c r="AF141" s="461">
        <f t="shared" si="50"/>
        <v>3186.0629994697701</v>
      </c>
    </row>
    <row r="142" spans="1:32">
      <c r="A142" s="4"/>
      <c r="B142" s="4"/>
      <c r="C142" s="4"/>
      <c r="D142" s="4"/>
      <c r="E142" s="4"/>
      <c r="F142" s="4"/>
      <c r="G142" s="4"/>
      <c r="H142" s="4"/>
      <c r="I142" s="4"/>
      <c r="J142" s="4"/>
      <c r="K142" s="4"/>
      <c r="L142" s="4"/>
      <c r="M142" s="4"/>
      <c r="N142" s="4"/>
      <c r="O142" s="4"/>
      <c r="P142" s="4"/>
      <c r="Q142" s="4"/>
      <c r="R142" s="4"/>
      <c r="S142" s="16" t="s">
        <v>289</v>
      </c>
      <c r="T142" s="17"/>
      <c r="U142" s="105">
        <v>0</v>
      </c>
      <c r="V142" s="460">
        <f>W91*H47*Y91</f>
        <v>14755.175778781038</v>
      </c>
      <c r="W142" s="461">
        <f>W91*H39*Z91</f>
        <v>465.66545598194125</v>
      </c>
      <c r="X142" s="461">
        <f t="shared" si="48"/>
        <v>15220.84123476298</v>
      </c>
      <c r="Y142" s="105">
        <v>0</v>
      </c>
      <c r="Z142" s="460">
        <f>$W90*$H47*$Y90</f>
        <v>13014.261178474084</v>
      </c>
      <c r="AA142" s="103">
        <v>0</v>
      </c>
      <c r="AB142" s="461">
        <f t="shared" si="49"/>
        <v>13014.261178474084</v>
      </c>
      <c r="AC142" s="105">
        <v>0</v>
      </c>
      <c r="AD142" s="460">
        <f>$W92*$H47*$Y92</f>
        <v>16533.83580309711</v>
      </c>
      <c r="AE142" s="454">
        <f>$H39*$W92+$Z92</f>
        <v>1659.8627714915751</v>
      </c>
      <c r="AF142" s="461">
        <f t="shared" si="50"/>
        <v>18193.698574588685</v>
      </c>
    </row>
    <row r="143" spans="1:32">
      <c r="A143" s="4"/>
      <c r="B143" s="4"/>
      <c r="C143" s="4"/>
      <c r="D143" s="4"/>
      <c r="E143" s="4"/>
      <c r="F143" s="4"/>
      <c r="G143" s="4"/>
      <c r="H143" s="4"/>
      <c r="I143" s="4"/>
      <c r="J143" s="4"/>
      <c r="K143" s="4"/>
      <c r="L143" s="4"/>
      <c r="M143" s="4"/>
      <c r="N143" s="4"/>
      <c r="O143" s="4"/>
      <c r="P143" s="4"/>
      <c r="Q143" s="4"/>
      <c r="R143" s="4"/>
      <c r="S143" s="16" t="s">
        <v>24</v>
      </c>
      <c r="T143" s="17"/>
      <c r="U143" s="465">
        <f>SUM(U136:U142)</f>
        <v>20103.956524023008</v>
      </c>
      <c r="V143" s="460">
        <f>SUM(V136:V142)</f>
        <v>414611.59244858386</v>
      </c>
      <c r="W143" s="461">
        <f>SUM(W136:W142)</f>
        <v>34740.72669116671</v>
      </c>
      <c r="X143" s="461">
        <f t="shared" si="48"/>
        <v>469456.27566377359</v>
      </c>
      <c r="Y143" s="465">
        <f>SUM(Y136:Y142)</f>
        <v>20005.446264427646</v>
      </c>
      <c r="Z143" s="460">
        <f>SUM(Z136:Z142)</f>
        <v>396985.75272771728</v>
      </c>
      <c r="AA143" s="461">
        <f>SUM(AA136:AA142)</f>
        <v>31665.542379546514</v>
      </c>
      <c r="AB143" s="461">
        <f t="shared" si="49"/>
        <v>448656.7413716914</v>
      </c>
      <c r="AC143" s="465">
        <f>SUM(AC136:AC142)</f>
        <v>26985.104786092827</v>
      </c>
      <c r="AD143" s="460">
        <f>SUM(AD136:AD142)</f>
        <v>432517.24411484401</v>
      </c>
      <c r="AE143" s="461">
        <f>SUM(AE136:AE142)</f>
        <v>39409.587239603978</v>
      </c>
      <c r="AF143" s="461">
        <f t="shared" si="50"/>
        <v>498911.93614054081</v>
      </c>
    </row>
    <row r="145" spans="1:29">
      <c r="A145" s="4"/>
      <c r="B145" s="4"/>
      <c r="C145" s="4"/>
      <c r="D145" s="4"/>
      <c r="E145" s="4"/>
      <c r="F145" s="4"/>
      <c r="G145" s="4"/>
      <c r="H145" s="4"/>
      <c r="I145" s="4"/>
      <c r="J145" s="4"/>
      <c r="K145" s="4"/>
      <c r="L145" s="4"/>
      <c r="M145" s="4"/>
      <c r="N145" s="4"/>
      <c r="O145" s="4"/>
      <c r="P145" s="4"/>
      <c r="Q145" s="4"/>
      <c r="R145" s="16"/>
      <c r="S145" s="18"/>
      <c r="T145" s="16"/>
      <c r="U145" s="17"/>
      <c r="V145" s="18"/>
      <c r="W145" s="16"/>
      <c r="X145" s="18"/>
      <c r="Y145" s="16"/>
      <c r="Z145" s="17"/>
      <c r="AA145" s="18"/>
      <c r="AB145" s="94"/>
    </row>
    <row r="146" spans="1:29">
      <c r="A146" s="4"/>
      <c r="B146" s="4"/>
      <c r="C146" s="4"/>
      <c r="D146" s="4"/>
      <c r="E146" s="4"/>
      <c r="F146" s="4"/>
      <c r="G146" s="4"/>
      <c r="H146" s="4"/>
      <c r="I146" s="4"/>
      <c r="J146" s="4"/>
      <c r="K146" s="4"/>
      <c r="L146" s="4"/>
      <c r="M146" s="4"/>
      <c r="N146" s="4"/>
      <c r="O146" s="4"/>
      <c r="P146" s="4"/>
      <c r="Q146" s="4"/>
      <c r="R146" s="94">
        <v>0.2</v>
      </c>
      <c r="S146" s="94">
        <v>1.1000000000000001</v>
      </c>
      <c r="T146" s="94">
        <v>0.3</v>
      </c>
      <c r="U146" s="94">
        <v>1.2</v>
      </c>
      <c r="V146" s="94">
        <v>2.1</v>
      </c>
      <c r="W146" s="94">
        <v>1.3</v>
      </c>
      <c r="X146" s="94">
        <v>2.2000000000000002</v>
      </c>
      <c r="Y146" s="94">
        <v>1.4</v>
      </c>
      <c r="Z146" s="94">
        <v>2.2999999999999998</v>
      </c>
      <c r="AA146" s="94">
        <v>3.2</v>
      </c>
      <c r="AB146" s="94">
        <v>3.3</v>
      </c>
    </row>
    <row r="147" spans="1:29">
      <c r="A147" s="4"/>
      <c r="B147" s="4"/>
      <c r="C147" s="4"/>
      <c r="D147" s="4"/>
      <c r="E147" s="4"/>
      <c r="F147" s="4"/>
      <c r="G147" s="4"/>
      <c r="H147" s="4"/>
      <c r="I147" s="4"/>
      <c r="J147" s="4"/>
      <c r="K147" s="4"/>
      <c r="L147" s="4"/>
      <c r="M147" s="4"/>
      <c r="N147" s="4" t="s">
        <v>290</v>
      </c>
      <c r="O147" s="4"/>
      <c r="P147" s="4"/>
      <c r="Q147" s="4"/>
      <c r="R147" s="10">
        <v>0</v>
      </c>
      <c r="S147" s="12">
        <v>25216</v>
      </c>
      <c r="T147" s="10">
        <v>0</v>
      </c>
      <c r="U147" s="11">
        <v>221536</v>
      </c>
      <c r="V147" s="12">
        <v>0</v>
      </c>
      <c r="W147" s="10">
        <v>49460</v>
      </c>
      <c r="X147" s="12">
        <v>0</v>
      </c>
      <c r="Y147" s="10">
        <v>295</v>
      </c>
      <c r="Z147" s="11">
        <v>0</v>
      </c>
      <c r="AA147" s="12">
        <v>0</v>
      </c>
      <c r="AB147" s="12">
        <v>0</v>
      </c>
    </row>
    <row r="148" spans="1:29">
      <c r="A148" s="4"/>
      <c r="B148" s="4"/>
      <c r="C148" s="4"/>
      <c r="D148" s="4"/>
      <c r="E148" s="4"/>
      <c r="F148" s="4"/>
      <c r="G148" s="4"/>
      <c r="H148" s="4"/>
      <c r="I148" s="4"/>
      <c r="J148" s="4"/>
      <c r="K148" s="4"/>
      <c r="L148" s="4"/>
      <c r="M148" s="4"/>
      <c r="N148" s="4"/>
      <c r="O148" s="4"/>
      <c r="P148" s="4"/>
      <c r="Q148" s="4"/>
      <c r="R148" s="70"/>
      <c r="S148" s="71"/>
      <c r="T148" s="70"/>
      <c r="U148" s="4"/>
      <c r="V148" s="71"/>
      <c r="W148" s="70"/>
      <c r="X148" s="71"/>
      <c r="Y148" s="70"/>
      <c r="Z148" s="4"/>
      <c r="AA148" s="71"/>
      <c r="AB148" s="71"/>
    </row>
    <row r="149" spans="1:29">
      <c r="A149" s="4"/>
      <c r="B149" s="4"/>
      <c r="C149" s="4"/>
      <c r="D149" s="4"/>
      <c r="E149" s="4"/>
      <c r="F149" s="4"/>
      <c r="G149" s="4"/>
      <c r="H149" s="4"/>
      <c r="I149" s="4"/>
      <c r="J149" s="4"/>
      <c r="K149" s="4"/>
      <c r="L149" s="4"/>
      <c r="M149" s="4"/>
      <c r="N149" s="4" t="s">
        <v>291</v>
      </c>
      <c r="O149" s="4"/>
      <c r="P149" s="4"/>
      <c r="Q149" s="4"/>
      <c r="R149" s="10">
        <v>0</v>
      </c>
      <c r="S149" s="12">
        <v>207</v>
      </c>
      <c r="T149" s="10">
        <v>20</v>
      </c>
      <c r="U149" s="11">
        <v>38241</v>
      </c>
      <c r="V149" s="12">
        <v>88</v>
      </c>
      <c r="W149" s="10">
        <v>21131</v>
      </c>
      <c r="X149" s="12">
        <v>4510</v>
      </c>
      <c r="Y149" s="10">
        <v>115</v>
      </c>
      <c r="Z149" s="11">
        <v>2174</v>
      </c>
      <c r="AA149" s="12">
        <v>46</v>
      </c>
      <c r="AB149" s="12">
        <v>0</v>
      </c>
    </row>
    <row r="150" spans="1:29">
      <c r="A150" s="4"/>
      <c r="B150" s="4"/>
      <c r="C150" s="4"/>
      <c r="D150" s="4"/>
      <c r="E150" s="4"/>
      <c r="F150" s="4"/>
      <c r="G150" s="4"/>
      <c r="H150" s="4"/>
      <c r="I150" s="4"/>
      <c r="J150" s="4"/>
      <c r="K150" s="4"/>
      <c r="L150" s="4"/>
      <c r="M150" s="4"/>
      <c r="N150" s="4" t="s">
        <v>292</v>
      </c>
      <c r="O150" s="4"/>
      <c r="P150" s="4"/>
      <c r="Q150" s="4"/>
      <c r="R150" s="70">
        <v>54</v>
      </c>
      <c r="S150" s="71">
        <v>49</v>
      </c>
      <c r="T150" s="70">
        <v>18</v>
      </c>
      <c r="U150" s="4">
        <v>475</v>
      </c>
      <c r="V150" s="71">
        <v>0</v>
      </c>
      <c r="W150" s="70">
        <v>7683</v>
      </c>
      <c r="X150" s="71">
        <v>228</v>
      </c>
      <c r="Y150" s="70">
        <v>252</v>
      </c>
      <c r="Z150" s="4">
        <v>503</v>
      </c>
      <c r="AA150" s="71">
        <v>10</v>
      </c>
      <c r="AB150" s="71">
        <v>9</v>
      </c>
    </row>
    <row r="151" spans="1:29">
      <c r="A151" s="4"/>
      <c r="B151" s="4"/>
      <c r="C151" s="4"/>
      <c r="D151" s="4"/>
      <c r="E151" s="4"/>
      <c r="F151" s="4"/>
      <c r="G151" s="4"/>
      <c r="H151" s="4"/>
      <c r="I151" s="4"/>
      <c r="J151" s="4"/>
      <c r="K151" s="4"/>
      <c r="L151" s="4"/>
      <c r="M151" s="4"/>
      <c r="N151" s="4" t="s">
        <v>293</v>
      </c>
      <c r="O151" s="4"/>
      <c r="P151" s="4"/>
      <c r="Q151" s="4"/>
      <c r="R151" s="70">
        <v>0</v>
      </c>
      <c r="S151" s="71">
        <v>2679</v>
      </c>
      <c r="T151" s="70">
        <v>0</v>
      </c>
      <c r="U151" s="4">
        <v>131294</v>
      </c>
      <c r="V151" s="71">
        <v>0</v>
      </c>
      <c r="W151" s="70">
        <v>34628</v>
      </c>
      <c r="X151" s="71">
        <v>11065</v>
      </c>
      <c r="Y151" s="70">
        <v>142</v>
      </c>
      <c r="Z151" s="4">
        <v>2716</v>
      </c>
      <c r="AA151" s="71">
        <v>0</v>
      </c>
      <c r="AB151" s="71">
        <v>0</v>
      </c>
    </row>
    <row r="152" spans="1:29">
      <c r="A152" s="4"/>
      <c r="B152" s="4"/>
      <c r="C152" s="4"/>
      <c r="D152" s="4"/>
      <c r="E152" s="4"/>
      <c r="F152" s="4"/>
      <c r="G152" s="4"/>
      <c r="H152" s="4"/>
      <c r="I152" s="4"/>
      <c r="J152" s="4"/>
      <c r="K152" s="4"/>
      <c r="L152" s="4"/>
      <c r="M152" s="4"/>
      <c r="N152" s="4" t="s">
        <v>294</v>
      </c>
      <c r="O152" s="4"/>
      <c r="P152" s="4"/>
      <c r="Q152" s="4"/>
      <c r="R152" s="70">
        <v>0</v>
      </c>
      <c r="S152" s="71">
        <v>80</v>
      </c>
      <c r="T152" s="70">
        <v>0</v>
      </c>
      <c r="U152" s="4">
        <v>26983</v>
      </c>
      <c r="V152" s="71">
        <v>54</v>
      </c>
      <c r="W152" s="70">
        <v>4080</v>
      </c>
      <c r="X152" s="71">
        <v>10793</v>
      </c>
      <c r="Y152" s="70">
        <v>0</v>
      </c>
      <c r="Z152" s="4">
        <v>241</v>
      </c>
      <c r="AA152" s="71">
        <v>0</v>
      </c>
      <c r="AB152" s="71">
        <v>0</v>
      </c>
    </row>
    <row r="153" spans="1:29">
      <c r="A153" s="4"/>
      <c r="B153" s="4"/>
      <c r="C153" s="4"/>
      <c r="D153" s="4"/>
      <c r="E153" s="4"/>
      <c r="F153" s="4"/>
      <c r="G153" s="4"/>
      <c r="H153" s="4"/>
      <c r="I153" s="4"/>
      <c r="J153" s="4"/>
      <c r="K153" s="4"/>
      <c r="L153" s="4"/>
      <c r="M153" s="4"/>
      <c r="N153" s="4" t="s">
        <v>295</v>
      </c>
      <c r="O153" s="4"/>
      <c r="P153" s="4"/>
      <c r="Q153" s="4"/>
      <c r="R153" s="411">
        <f>109921*R151/SUM($R151:$AB151)</f>
        <v>0</v>
      </c>
      <c r="S153" s="415">
        <f>109921*S154/SUM($R154:$AB154)</f>
        <v>5931.1157004229908</v>
      </c>
      <c r="T153" s="411">
        <f t="shared" ref="T153:AB153" si="51">109921*T151/SUM($R151:$AB151)</f>
        <v>0</v>
      </c>
      <c r="U153" s="415">
        <f t="shared" si="51"/>
        <v>79068.877375030133</v>
      </c>
      <c r="V153" s="415">
        <f t="shared" si="51"/>
        <v>0</v>
      </c>
      <c r="W153" s="464">
        <f t="shared" si="51"/>
        <v>20853.939142249787</v>
      </c>
      <c r="X153" s="415">
        <f t="shared" si="51"/>
        <v>6663.6489721899588</v>
      </c>
      <c r="Y153" s="464">
        <f t="shared" si="51"/>
        <v>85.516326620060923</v>
      </c>
      <c r="Z153" s="415">
        <f t="shared" si="51"/>
        <v>1635.6503035217286</v>
      </c>
      <c r="AA153" s="457">
        <f t="shared" si="51"/>
        <v>0</v>
      </c>
      <c r="AB153" s="457">
        <f t="shared" si="51"/>
        <v>0</v>
      </c>
    </row>
    <row r="154" spans="1:29">
      <c r="A154" s="4"/>
      <c r="B154" s="4"/>
      <c r="C154" s="4"/>
      <c r="D154" s="4"/>
      <c r="E154" s="4"/>
      <c r="F154" s="4"/>
      <c r="G154" s="4"/>
      <c r="H154" s="4"/>
      <c r="I154" s="4"/>
      <c r="J154" s="4"/>
      <c r="K154" s="4"/>
      <c r="L154" s="4"/>
      <c r="M154" s="4"/>
      <c r="N154" s="4" t="s">
        <v>296</v>
      </c>
      <c r="O154" s="4"/>
      <c r="P154" s="4"/>
      <c r="Q154" s="4"/>
      <c r="R154" s="5">
        <v>0</v>
      </c>
      <c r="S154" s="14">
        <v>1518</v>
      </c>
      <c r="T154" s="5">
        <v>36</v>
      </c>
      <c r="U154" s="13">
        <v>23025</v>
      </c>
      <c r="V154" s="14">
        <v>0</v>
      </c>
      <c r="W154" s="5">
        <v>2028</v>
      </c>
      <c r="X154" s="14">
        <v>1368</v>
      </c>
      <c r="Y154" s="5">
        <v>25</v>
      </c>
      <c r="Z154" s="13">
        <v>133</v>
      </c>
      <c r="AA154" s="14">
        <v>0</v>
      </c>
      <c r="AB154" s="14">
        <v>0</v>
      </c>
    </row>
    <row r="155" spans="1:29">
      <c r="A155" s="4"/>
      <c r="B155" s="4"/>
      <c r="C155" s="4"/>
      <c r="D155" s="4"/>
      <c r="E155" s="4"/>
      <c r="F155" s="4"/>
      <c r="G155" s="4"/>
      <c r="H155" s="4"/>
      <c r="I155" s="4"/>
      <c r="J155" s="4"/>
      <c r="K155" s="4"/>
      <c r="L155" s="4"/>
      <c r="M155" s="4"/>
      <c r="N155" s="4" t="s">
        <v>28</v>
      </c>
      <c r="O155" s="4"/>
      <c r="P155" s="4"/>
      <c r="Q155" s="4"/>
      <c r="R155" s="415">
        <f t="shared" ref="R155:AB155" si="52">SUM(R149:R154)</f>
        <v>54</v>
      </c>
      <c r="S155" s="415">
        <f t="shared" si="52"/>
        <v>10464.11570042299</v>
      </c>
      <c r="T155" s="415">
        <f t="shared" si="52"/>
        <v>74</v>
      </c>
      <c r="U155" s="415">
        <f t="shared" si="52"/>
        <v>299086.87737503013</v>
      </c>
      <c r="V155" s="415">
        <f t="shared" si="52"/>
        <v>142</v>
      </c>
      <c r="W155" s="415">
        <f t="shared" si="52"/>
        <v>90403.939142249787</v>
      </c>
      <c r="X155" s="415">
        <f t="shared" si="52"/>
        <v>34627.648972189956</v>
      </c>
      <c r="Y155" s="415">
        <f t="shared" si="52"/>
        <v>619.51632662006091</v>
      </c>
      <c r="Z155" s="415">
        <f t="shared" si="52"/>
        <v>7402.6503035217283</v>
      </c>
      <c r="AA155" s="415">
        <f t="shared" si="52"/>
        <v>56</v>
      </c>
      <c r="AB155" s="415">
        <f t="shared" si="52"/>
        <v>9</v>
      </c>
    </row>
    <row r="156" spans="1:29">
      <c r="A156" s="4"/>
      <c r="B156" s="4"/>
      <c r="C156" s="4"/>
      <c r="D156" s="4"/>
      <c r="E156" s="4"/>
      <c r="F156" s="4"/>
      <c r="G156" s="4"/>
      <c r="H156" s="4"/>
      <c r="I156" s="4"/>
      <c r="J156" s="4"/>
      <c r="K156" s="4"/>
      <c r="L156" s="4"/>
      <c r="M156" s="4"/>
      <c r="N156" s="4"/>
      <c r="O156" s="4"/>
      <c r="P156" s="4"/>
      <c r="Q156" s="4"/>
      <c r="R156" s="29"/>
      <c r="S156" s="29"/>
      <c r="T156" s="29"/>
      <c r="U156" s="29"/>
      <c r="V156" s="29"/>
      <c r="W156" s="29"/>
      <c r="X156" s="29"/>
      <c r="Y156" s="29"/>
      <c r="Z156" s="29"/>
      <c r="AA156" s="29"/>
      <c r="AB156" s="29"/>
    </row>
    <row r="157" spans="1:29">
      <c r="A157" s="4"/>
      <c r="B157" s="4"/>
      <c r="C157" s="4"/>
      <c r="D157" s="4"/>
      <c r="E157" s="4"/>
      <c r="F157" s="4"/>
      <c r="G157" s="4"/>
      <c r="H157" s="4"/>
      <c r="I157" s="4"/>
      <c r="J157" s="4"/>
      <c r="K157" s="4"/>
      <c r="L157" s="4"/>
      <c r="M157" s="4"/>
      <c r="N157" s="4"/>
      <c r="O157" s="4"/>
      <c r="P157" s="4"/>
      <c r="Q157" s="4"/>
      <c r="R157" s="415">
        <f>R155-R147</f>
        <v>54</v>
      </c>
      <c r="S157" s="29">
        <v>49</v>
      </c>
      <c r="T157" s="415">
        <f t="shared" ref="T157:AB157" si="53">T155-T147</f>
        <v>74</v>
      </c>
      <c r="U157" s="415">
        <f t="shared" si="53"/>
        <v>77550.877375030133</v>
      </c>
      <c r="V157" s="415">
        <f t="shared" si="53"/>
        <v>142</v>
      </c>
      <c r="W157" s="415">
        <f t="shared" si="53"/>
        <v>40943.939142249787</v>
      </c>
      <c r="X157" s="415">
        <f t="shared" si="53"/>
        <v>34627.648972189956</v>
      </c>
      <c r="Y157" s="415">
        <f t="shared" si="53"/>
        <v>324.51632662006091</v>
      </c>
      <c r="Z157" s="415">
        <f t="shared" si="53"/>
        <v>7402.6503035217283</v>
      </c>
      <c r="AA157" s="415">
        <f t="shared" si="53"/>
        <v>56</v>
      </c>
      <c r="AB157" s="415">
        <f t="shared" si="53"/>
        <v>9</v>
      </c>
      <c r="AC157" s="415">
        <f>SUM(R157:AB157)</f>
        <v>161233.63211961166</v>
      </c>
    </row>
  </sheetData>
  <phoneticPr fontId="11" type="noConversion"/>
  <pageMargins left="0.5" right="0.5" top="1" bottom="0.55000000000000004" header="0.5" footer="0.5"/>
  <pageSetup orientation="landscape"/>
  <headerFooter alignWithMargins="0">
    <oddFooter>&amp;L&amp;D&amp;C+&amp;R^</oddFooter>
  </headerFooter>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16" enableFormatConditionsCalculation="0"/>
  <dimension ref="A1:G68"/>
  <sheetViews>
    <sheetView defaultGridColor="0" colorId="22" zoomScale="77" workbookViewId="0"/>
  </sheetViews>
  <sheetFormatPr baseColWidth="10" defaultColWidth="9.625" defaultRowHeight="16" x14ac:dyDescent="0"/>
  <cols>
    <col min="1" max="2" width="6.625" customWidth="1"/>
    <col min="5" max="12" width="7.625" customWidth="1"/>
  </cols>
  <sheetData>
    <row r="1" spans="1:7">
      <c r="A1" t="s">
        <v>297</v>
      </c>
    </row>
    <row r="2" spans="1:7">
      <c r="B2" s="52">
        <v>0.5</v>
      </c>
      <c r="C2" s="52">
        <v>0.4</v>
      </c>
      <c r="D2" s="52">
        <v>0.2</v>
      </c>
      <c r="E2" s="52">
        <v>0.1</v>
      </c>
      <c r="F2" s="52">
        <v>0.05</v>
      </c>
      <c r="G2" s="52">
        <v>2.5000000000000001E-2</v>
      </c>
    </row>
    <row r="3" spans="1:7">
      <c r="A3">
        <v>1</v>
      </c>
      <c r="B3" s="106">
        <v>1</v>
      </c>
      <c r="C3" s="107">
        <v>1.3759999999999999</v>
      </c>
      <c r="D3" s="107">
        <v>3.0779999999999998</v>
      </c>
      <c r="E3" s="107">
        <v>6.3140000000000001</v>
      </c>
      <c r="F3" s="107">
        <v>12.706</v>
      </c>
      <c r="G3" s="108">
        <v>25.452000000000002</v>
      </c>
    </row>
    <row r="4" spans="1:7">
      <c r="A4">
        <v>2</v>
      </c>
      <c r="B4" s="109">
        <v>0.81600000000000006</v>
      </c>
      <c r="C4" s="52">
        <v>1.0609999999999999</v>
      </c>
      <c r="D4" s="52">
        <v>1.8859999999999999</v>
      </c>
      <c r="E4" s="52">
        <v>2.92</v>
      </c>
      <c r="F4" s="52">
        <v>4.3029999999999999</v>
      </c>
      <c r="G4" s="53">
        <v>6.2050000000000001</v>
      </c>
    </row>
    <row r="5" spans="1:7">
      <c r="A5">
        <v>3</v>
      </c>
      <c r="B5" s="109">
        <v>0.76500000000000001</v>
      </c>
      <c r="C5" s="52">
        <v>0.97799999999999998</v>
      </c>
      <c r="D5" s="52">
        <v>1.6379999999999999</v>
      </c>
      <c r="E5" s="52">
        <v>2.3530000000000002</v>
      </c>
      <c r="F5" s="52">
        <v>3.1819999999999999</v>
      </c>
      <c r="G5" s="53">
        <v>4.1760000000000002</v>
      </c>
    </row>
    <row r="6" spans="1:7">
      <c r="A6">
        <v>4</v>
      </c>
      <c r="B6" s="109">
        <v>0.74099999999999999</v>
      </c>
      <c r="C6" s="52">
        <v>0.94100000000000006</v>
      </c>
      <c r="D6" s="52">
        <v>1.5329999999999999</v>
      </c>
      <c r="E6" s="52">
        <v>2.1320000000000001</v>
      </c>
      <c r="F6" s="52">
        <v>2.7759999999999998</v>
      </c>
      <c r="G6" s="53">
        <v>3.4950000000000001</v>
      </c>
    </row>
    <row r="7" spans="1:7">
      <c r="A7">
        <v>5</v>
      </c>
      <c r="B7" s="109">
        <v>0.72699999999999998</v>
      </c>
      <c r="C7" s="52">
        <v>0.92</v>
      </c>
      <c r="D7" s="52">
        <v>1.476</v>
      </c>
      <c r="E7" s="52">
        <v>2.0150000000000001</v>
      </c>
      <c r="F7" s="52">
        <v>2.5710000000000002</v>
      </c>
      <c r="G7" s="53">
        <v>3.1629999999999998</v>
      </c>
    </row>
    <row r="8" spans="1:7">
      <c r="A8">
        <v>6</v>
      </c>
      <c r="B8" s="109">
        <v>0.71799999999999997</v>
      </c>
      <c r="C8" s="52">
        <v>0.90600000000000003</v>
      </c>
      <c r="D8" s="52">
        <v>1.44</v>
      </c>
      <c r="E8" s="52">
        <v>1.9430000000000001</v>
      </c>
      <c r="F8" s="52">
        <v>2.4470000000000001</v>
      </c>
      <c r="G8" s="53">
        <v>2.9689999999999999</v>
      </c>
    </row>
    <row r="9" spans="1:7">
      <c r="A9">
        <v>7</v>
      </c>
      <c r="B9" s="109">
        <v>0.71099999999999997</v>
      </c>
      <c r="C9" s="52">
        <v>0.89600000000000002</v>
      </c>
      <c r="D9" s="52">
        <v>1.415</v>
      </c>
      <c r="E9" s="52">
        <v>1.895</v>
      </c>
      <c r="F9" s="52">
        <v>2.3650000000000002</v>
      </c>
      <c r="G9" s="53">
        <v>2.8410000000000002</v>
      </c>
    </row>
    <row r="10" spans="1:7">
      <c r="A10">
        <v>8</v>
      </c>
      <c r="B10" s="109">
        <v>0.70599999999999996</v>
      </c>
      <c r="C10" s="52">
        <v>0.88900000000000001</v>
      </c>
      <c r="D10" s="52">
        <v>1.397</v>
      </c>
      <c r="E10" s="52">
        <v>1.86</v>
      </c>
      <c r="F10" s="52">
        <v>2.306</v>
      </c>
      <c r="G10" s="53">
        <v>2.7519999999999998</v>
      </c>
    </row>
    <row r="11" spans="1:7">
      <c r="A11">
        <v>9</v>
      </c>
      <c r="B11" s="109">
        <v>0.70300000000000007</v>
      </c>
      <c r="C11" s="52">
        <v>0.88300000000000001</v>
      </c>
      <c r="D11" s="52">
        <v>1.383</v>
      </c>
      <c r="E11" s="52">
        <v>1.833</v>
      </c>
      <c r="F11" s="52">
        <v>2.262</v>
      </c>
      <c r="G11" s="53">
        <v>2.6850000000000001</v>
      </c>
    </row>
    <row r="12" spans="1:7">
      <c r="A12">
        <v>10</v>
      </c>
      <c r="B12" s="109">
        <v>0.7</v>
      </c>
      <c r="C12" s="52">
        <v>0.879</v>
      </c>
      <c r="D12" s="52">
        <v>1.3720000000000001</v>
      </c>
      <c r="E12" s="52">
        <v>1.8120000000000001</v>
      </c>
      <c r="F12" s="52">
        <v>2.2280000000000002</v>
      </c>
      <c r="G12" s="53">
        <v>2.6339999999999999</v>
      </c>
    </row>
    <row r="13" spans="1:7" ht="17" customHeight="1">
      <c r="A13">
        <v>11</v>
      </c>
      <c r="B13" s="109">
        <v>0.69700000000000006</v>
      </c>
      <c r="C13" s="52">
        <v>0.876</v>
      </c>
      <c r="D13" s="52">
        <v>1.363</v>
      </c>
      <c r="E13" s="52">
        <v>1.796</v>
      </c>
      <c r="F13" s="52">
        <v>2.2010000000000001</v>
      </c>
      <c r="G13" s="53">
        <v>2.593</v>
      </c>
    </row>
    <row r="14" spans="1:7">
      <c r="A14">
        <v>12</v>
      </c>
      <c r="B14" s="109">
        <v>0.69499999999999995</v>
      </c>
      <c r="C14" s="52">
        <v>0.873</v>
      </c>
      <c r="D14" s="52">
        <v>1.3560000000000001</v>
      </c>
      <c r="E14" s="52">
        <v>1.782</v>
      </c>
      <c r="F14" s="52">
        <v>2.1789999999999998</v>
      </c>
      <c r="G14" s="53">
        <v>2.56</v>
      </c>
    </row>
    <row r="15" spans="1:7">
      <c r="A15">
        <v>13</v>
      </c>
      <c r="B15" s="109">
        <v>0.69400000000000006</v>
      </c>
      <c r="C15" s="52">
        <v>0.87</v>
      </c>
      <c r="D15" s="52">
        <v>1.35</v>
      </c>
      <c r="E15" s="52">
        <v>1.7709999999999999</v>
      </c>
      <c r="F15" s="52">
        <v>2.16</v>
      </c>
      <c r="G15" s="53">
        <v>2.5329999999999999</v>
      </c>
    </row>
    <row r="16" spans="1:7">
      <c r="A16">
        <v>14</v>
      </c>
      <c r="B16" s="109">
        <v>0.69200000000000006</v>
      </c>
      <c r="C16" s="52">
        <v>0.86799999999999999</v>
      </c>
      <c r="D16" s="52">
        <v>1.345</v>
      </c>
      <c r="E16" s="52">
        <v>1.7609999999999999</v>
      </c>
      <c r="F16" s="52">
        <v>2.145</v>
      </c>
      <c r="G16" s="53">
        <v>2.5099999999999998</v>
      </c>
    </row>
    <row r="17" spans="1:7">
      <c r="A17">
        <v>15</v>
      </c>
      <c r="B17" s="109">
        <v>0.69100000000000006</v>
      </c>
      <c r="C17" s="52">
        <v>0.86599999999999999</v>
      </c>
      <c r="D17" s="52">
        <v>1.341</v>
      </c>
      <c r="E17" s="52">
        <v>1.7529999999999999</v>
      </c>
      <c r="F17" s="52">
        <v>2.1309999999999998</v>
      </c>
      <c r="G17" s="53">
        <v>2.4900000000000002</v>
      </c>
    </row>
    <row r="18" spans="1:7">
      <c r="A18">
        <v>16</v>
      </c>
      <c r="B18" s="109">
        <v>0.69</v>
      </c>
      <c r="C18" s="52">
        <v>0.86499999999999999</v>
      </c>
      <c r="D18" s="52">
        <v>1.337</v>
      </c>
      <c r="E18" s="52">
        <v>1.746</v>
      </c>
      <c r="F18" s="52">
        <v>2.12</v>
      </c>
      <c r="G18" s="53">
        <v>2.4729999999999999</v>
      </c>
    </row>
    <row r="19" spans="1:7">
      <c r="A19">
        <v>17</v>
      </c>
      <c r="B19" s="109">
        <v>0.68900000000000006</v>
      </c>
      <c r="C19" s="52">
        <v>0.86299999999999999</v>
      </c>
      <c r="D19" s="52">
        <v>1.333</v>
      </c>
      <c r="E19" s="52">
        <v>1.74</v>
      </c>
      <c r="F19" s="52">
        <v>2.11</v>
      </c>
      <c r="G19" s="53">
        <v>2.4580000000000002</v>
      </c>
    </row>
    <row r="20" spans="1:7">
      <c r="A20">
        <v>18</v>
      </c>
      <c r="B20" s="109">
        <v>0.68800000000000006</v>
      </c>
      <c r="C20" s="52">
        <v>0.86199999999999999</v>
      </c>
      <c r="D20" s="52">
        <v>1.33</v>
      </c>
      <c r="E20" s="52">
        <v>1.734</v>
      </c>
      <c r="F20" s="52">
        <v>2.101</v>
      </c>
      <c r="G20" s="53">
        <v>2.4449999999999998</v>
      </c>
    </row>
    <row r="21" spans="1:7">
      <c r="A21">
        <v>19</v>
      </c>
      <c r="B21" s="109">
        <v>0.68800000000000006</v>
      </c>
      <c r="C21" s="52">
        <v>0.86099999999999999</v>
      </c>
      <c r="D21" s="52">
        <v>1.3280000000000001</v>
      </c>
      <c r="E21" s="52">
        <v>1.7290000000000001</v>
      </c>
      <c r="F21" s="52">
        <v>2.093</v>
      </c>
      <c r="G21" s="53">
        <v>2.4430000000000001</v>
      </c>
    </row>
    <row r="22" spans="1:7">
      <c r="A22">
        <v>20</v>
      </c>
      <c r="B22" s="109">
        <v>0.68700000000000006</v>
      </c>
      <c r="C22" s="52">
        <v>0.86</v>
      </c>
      <c r="D22" s="52">
        <v>1.325</v>
      </c>
      <c r="E22" s="52">
        <v>1.7250000000000001</v>
      </c>
      <c r="F22" s="52">
        <v>2.0859999999999999</v>
      </c>
      <c r="G22" s="53">
        <v>2.423</v>
      </c>
    </row>
    <row r="23" spans="1:7">
      <c r="A23">
        <v>21</v>
      </c>
      <c r="B23" s="109">
        <v>0.68600000000000005</v>
      </c>
      <c r="C23" s="52">
        <v>0.85899999999999999</v>
      </c>
      <c r="D23" s="52">
        <v>1.323</v>
      </c>
      <c r="E23" s="52">
        <v>1.7210000000000001</v>
      </c>
      <c r="F23" s="52">
        <v>2.08</v>
      </c>
      <c r="G23" s="53">
        <v>2.4140000000000001</v>
      </c>
    </row>
    <row r="24" spans="1:7">
      <c r="A24">
        <v>22</v>
      </c>
      <c r="B24" s="109">
        <v>0.69600000000000006</v>
      </c>
      <c r="C24" s="52">
        <v>0.85799999999999998</v>
      </c>
      <c r="D24" s="52">
        <v>1.321</v>
      </c>
      <c r="E24" s="52">
        <v>1.7170000000000001</v>
      </c>
      <c r="F24" s="52">
        <v>2.0739999999999998</v>
      </c>
      <c r="G24" s="53">
        <v>2.4060000000000001</v>
      </c>
    </row>
    <row r="25" spans="1:7">
      <c r="A25">
        <v>23</v>
      </c>
      <c r="B25" s="109">
        <v>0.68500000000000005</v>
      </c>
      <c r="C25" s="52">
        <v>0.85799999999999998</v>
      </c>
      <c r="D25" s="52">
        <v>1.319</v>
      </c>
      <c r="E25" s="52">
        <v>1.714</v>
      </c>
      <c r="F25" s="52">
        <v>2.069</v>
      </c>
      <c r="G25" s="53">
        <v>2.3980000000000001</v>
      </c>
    </row>
    <row r="26" spans="1:7">
      <c r="A26">
        <v>24</v>
      </c>
      <c r="B26" s="109">
        <v>0.68500000000000005</v>
      </c>
      <c r="C26" s="52">
        <v>0.85699999999999998</v>
      </c>
      <c r="D26" s="52">
        <v>1.3180000000000001</v>
      </c>
      <c r="E26" s="52">
        <v>1.7110000000000001</v>
      </c>
      <c r="F26" s="52">
        <v>2.0640000000000001</v>
      </c>
      <c r="G26" s="53">
        <v>2.391</v>
      </c>
    </row>
    <row r="27" spans="1:7">
      <c r="A27">
        <v>25</v>
      </c>
      <c r="B27" s="109">
        <v>0.68400000000000005</v>
      </c>
      <c r="C27" s="52">
        <v>0.85599999999999998</v>
      </c>
      <c r="D27" s="52">
        <v>1.3160000000000001</v>
      </c>
      <c r="E27" s="52">
        <v>1.708</v>
      </c>
      <c r="F27" s="52">
        <v>2.06</v>
      </c>
      <c r="G27" s="53">
        <v>2.3849999999999998</v>
      </c>
    </row>
    <row r="28" spans="1:7">
      <c r="A28">
        <v>26</v>
      </c>
      <c r="B28" s="109">
        <v>0.68400000000000005</v>
      </c>
      <c r="C28" s="52">
        <v>0.85599999999999998</v>
      </c>
      <c r="D28" s="52">
        <v>1.3149999999999999</v>
      </c>
      <c r="E28" s="52">
        <v>1.706</v>
      </c>
      <c r="F28" s="52">
        <v>2.056</v>
      </c>
      <c r="G28" s="53">
        <v>2.379</v>
      </c>
    </row>
    <row r="29" spans="1:7">
      <c r="A29">
        <v>27</v>
      </c>
      <c r="B29" s="109">
        <v>0.68400000000000005</v>
      </c>
      <c r="C29" s="52">
        <v>0.85499999999999998</v>
      </c>
      <c r="D29" s="52">
        <v>1.3140000000000001</v>
      </c>
      <c r="E29" s="52">
        <v>1.7030000000000001</v>
      </c>
      <c r="F29" s="52">
        <v>2.052</v>
      </c>
      <c r="G29" s="53">
        <v>2.3730000000000002</v>
      </c>
    </row>
    <row r="30" spans="1:7">
      <c r="A30">
        <v>28</v>
      </c>
      <c r="B30" s="109">
        <v>0.68300000000000005</v>
      </c>
      <c r="C30" s="52">
        <v>0.85499999999999998</v>
      </c>
      <c r="D30" s="52">
        <v>1.3129999999999999</v>
      </c>
      <c r="E30" s="52">
        <v>1.7010000000000001</v>
      </c>
      <c r="F30" s="52">
        <v>2.048</v>
      </c>
      <c r="G30" s="53">
        <v>2.3679999999999999</v>
      </c>
    </row>
    <row r="31" spans="1:7">
      <c r="A31">
        <v>29</v>
      </c>
      <c r="B31" s="109">
        <v>0.68300000000000005</v>
      </c>
      <c r="C31" s="52">
        <v>0.85399999999999998</v>
      </c>
      <c r="D31" s="52">
        <v>1.3109999999999999</v>
      </c>
      <c r="E31" s="52">
        <v>1.6990000000000001</v>
      </c>
      <c r="F31" s="52">
        <v>2.0449999999999999</v>
      </c>
      <c r="G31" s="53">
        <v>2.3639999999999999</v>
      </c>
    </row>
    <row r="32" spans="1:7">
      <c r="A32">
        <v>30</v>
      </c>
      <c r="B32" s="109">
        <v>0.68300000000000005</v>
      </c>
      <c r="C32" s="52">
        <v>0.85399999999999998</v>
      </c>
      <c r="D32" s="52">
        <v>1.31</v>
      </c>
      <c r="E32" s="52">
        <v>1.6970000000000001</v>
      </c>
      <c r="F32" s="52">
        <v>2.0419999999999998</v>
      </c>
      <c r="G32" s="53">
        <v>2.36</v>
      </c>
    </row>
    <row r="33" spans="1:7">
      <c r="A33">
        <v>35</v>
      </c>
      <c r="B33" s="109">
        <v>0.68200000000000005</v>
      </c>
      <c r="C33" s="52">
        <v>0.85199999999999998</v>
      </c>
      <c r="D33" s="52">
        <v>1.306</v>
      </c>
      <c r="E33" s="52">
        <v>1.69</v>
      </c>
      <c r="F33" s="52">
        <v>2.0299999999999998</v>
      </c>
      <c r="G33" s="53">
        <v>2.3420000000000001</v>
      </c>
    </row>
    <row r="34" spans="1:7">
      <c r="A34">
        <v>40</v>
      </c>
      <c r="B34" s="109">
        <v>0.68100000000000005</v>
      </c>
      <c r="C34" s="52">
        <v>0.85099999999999998</v>
      </c>
      <c r="D34" s="52">
        <v>1.3029999999999999</v>
      </c>
      <c r="E34" s="52">
        <v>1.6839999999999999</v>
      </c>
      <c r="F34" s="52">
        <v>2.0209999999999999</v>
      </c>
      <c r="G34" s="53">
        <v>2.3290000000000002</v>
      </c>
    </row>
    <row r="35" spans="1:7">
      <c r="A35">
        <v>45</v>
      </c>
      <c r="B35" s="109">
        <v>0.68</v>
      </c>
      <c r="C35" s="52">
        <v>0.85</v>
      </c>
      <c r="D35" s="52">
        <v>1.3009999999999999</v>
      </c>
      <c r="E35" s="52">
        <v>1.68</v>
      </c>
      <c r="F35" s="52">
        <v>2.0139999999999998</v>
      </c>
      <c r="G35" s="53">
        <v>2.319</v>
      </c>
    </row>
    <row r="36" spans="1:7">
      <c r="A36">
        <v>50</v>
      </c>
      <c r="B36" s="109">
        <v>0.68</v>
      </c>
      <c r="C36" s="52">
        <v>0.84899999999999998</v>
      </c>
      <c r="D36" s="52">
        <v>1.2989999999999999</v>
      </c>
      <c r="E36" s="52">
        <v>1.6759999999999999</v>
      </c>
      <c r="F36" s="52">
        <v>2.008</v>
      </c>
      <c r="G36" s="53">
        <v>2.31</v>
      </c>
    </row>
    <row r="37" spans="1:7">
      <c r="A37">
        <v>55</v>
      </c>
      <c r="B37" s="109">
        <v>0.67900000000000005</v>
      </c>
      <c r="C37" s="52">
        <v>0.84899999999999998</v>
      </c>
      <c r="D37" s="52">
        <v>1.2969999999999999</v>
      </c>
      <c r="E37" s="52">
        <v>1.673</v>
      </c>
      <c r="F37" s="52">
        <v>2.004</v>
      </c>
      <c r="G37" s="53">
        <v>2.3039999999999998</v>
      </c>
    </row>
    <row r="38" spans="1:7">
      <c r="A38">
        <v>60</v>
      </c>
      <c r="B38" s="109">
        <v>0.67900000000000005</v>
      </c>
      <c r="C38" s="52">
        <v>0.84799999999999998</v>
      </c>
      <c r="D38" s="52">
        <v>1.296</v>
      </c>
      <c r="E38" s="52">
        <v>1.671</v>
      </c>
      <c r="F38" s="52">
        <v>2</v>
      </c>
      <c r="G38" s="53">
        <v>2.2989999999999999</v>
      </c>
    </row>
    <row r="39" spans="1:7">
      <c r="A39">
        <v>70</v>
      </c>
      <c r="B39" s="109">
        <v>0.67800000000000005</v>
      </c>
      <c r="C39" s="52">
        <v>0.84699999999999998</v>
      </c>
      <c r="D39" s="52">
        <v>1.294</v>
      </c>
      <c r="E39" s="52">
        <v>1.667</v>
      </c>
      <c r="F39" s="52">
        <v>1.994</v>
      </c>
      <c r="G39" s="53">
        <v>2.29</v>
      </c>
    </row>
    <row r="40" spans="1:7">
      <c r="A40">
        <v>80</v>
      </c>
      <c r="B40" s="109">
        <v>0.67800000000000005</v>
      </c>
      <c r="C40" s="52">
        <v>0.84699999999999998</v>
      </c>
      <c r="D40" s="52">
        <v>1.2929999999999999</v>
      </c>
      <c r="E40" s="52">
        <v>1.665</v>
      </c>
      <c r="F40" s="52">
        <v>1.9890000000000001</v>
      </c>
      <c r="G40" s="53">
        <v>2.2839999999999998</v>
      </c>
    </row>
    <row r="41" spans="1:7">
      <c r="A41">
        <v>90</v>
      </c>
      <c r="B41" s="109">
        <v>0.67800000000000005</v>
      </c>
      <c r="C41" s="52">
        <v>0.84599999999999997</v>
      </c>
      <c r="D41" s="52">
        <v>1.2909999999999999</v>
      </c>
      <c r="E41" s="52">
        <v>1.6619999999999999</v>
      </c>
      <c r="F41" s="52">
        <v>1.986</v>
      </c>
      <c r="G41" s="53">
        <v>2.2789999999999999</v>
      </c>
    </row>
    <row r="42" spans="1:7">
      <c r="A42">
        <v>100</v>
      </c>
      <c r="B42" s="109">
        <v>0.67700000000000005</v>
      </c>
      <c r="C42" s="52">
        <v>0.84599999999999997</v>
      </c>
      <c r="D42" s="52">
        <v>1.29</v>
      </c>
      <c r="E42" s="52">
        <v>1.661</v>
      </c>
      <c r="F42" s="52">
        <v>1.982</v>
      </c>
      <c r="G42" s="53">
        <v>2.2759999999999998</v>
      </c>
    </row>
    <row r="43" spans="1:7">
      <c r="A43">
        <v>120</v>
      </c>
      <c r="B43" s="110">
        <v>0.67700000000000005</v>
      </c>
      <c r="C43" s="57">
        <v>0.84499999999999997</v>
      </c>
      <c r="D43" s="57">
        <v>1.2889999999999999</v>
      </c>
      <c r="E43" s="57">
        <v>1.6579999999999999</v>
      </c>
      <c r="F43" s="57">
        <v>1.98</v>
      </c>
      <c r="G43" s="111">
        <v>2.27</v>
      </c>
    </row>
    <row r="48" spans="1: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sheetData>
  <phoneticPr fontId="11" type="noConversion"/>
  <pageMargins left="0.5" right="0.5" top="1" bottom="0.55000000000000004" header="0.5" footer="0.5"/>
  <pageSetup orientation="landscape"/>
  <headerFooter alignWithMargins="0">
    <oddFooter>&amp;L&amp;D&amp;C+&amp;R^</oddFooter>
  </headerFooter>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17" enableFormatConditionsCalculation="0"/>
  <dimension ref="A1:G32"/>
  <sheetViews>
    <sheetView defaultGridColor="0" colorId="22" zoomScale="77" workbookViewId="0"/>
  </sheetViews>
  <sheetFormatPr baseColWidth="10" defaultColWidth="9.625" defaultRowHeight="16" x14ac:dyDescent="0"/>
  <cols>
    <col min="1" max="1" width="15.625" customWidth="1"/>
    <col min="2" max="2" width="14.625" customWidth="1"/>
    <col min="3" max="3" width="17.625" customWidth="1"/>
    <col min="4" max="4" width="7.625" customWidth="1"/>
    <col min="5" max="5" width="12.625" customWidth="1"/>
    <col min="7" max="7" width="12.625" customWidth="1"/>
  </cols>
  <sheetData>
    <row r="1" spans="1:7">
      <c r="A1" t="s">
        <v>209</v>
      </c>
      <c r="B1" t="s">
        <v>211</v>
      </c>
      <c r="C1" t="s">
        <v>210</v>
      </c>
      <c r="D1" t="s">
        <v>298</v>
      </c>
      <c r="E1" t="s">
        <v>299</v>
      </c>
      <c r="F1" t="s">
        <v>300</v>
      </c>
    </row>
    <row r="2" spans="1:7">
      <c r="A2" t="s">
        <v>272</v>
      </c>
      <c r="B2" t="s">
        <v>216</v>
      </c>
      <c r="C2" t="s">
        <v>236</v>
      </c>
      <c r="D2">
        <v>89</v>
      </c>
      <c r="E2">
        <v>1301020101</v>
      </c>
      <c r="F2">
        <v>33.573677062988303</v>
      </c>
    </row>
    <row r="3" spans="1:7">
      <c r="A3" t="s">
        <v>272</v>
      </c>
      <c r="B3" t="s">
        <v>216</v>
      </c>
      <c r="C3" t="s">
        <v>236</v>
      </c>
      <c r="D3">
        <v>89</v>
      </c>
      <c r="E3">
        <v>1301020102</v>
      </c>
      <c r="F3">
        <v>329.32754516601602</v>
      </c>
    </row>
    <row r="4" spans="1:7">
      <c r="A4" t="s">
        <v>274</v>
      </c>
      <c r="B4" t="s">
        <v>275</v>
      </c>
      <c r="C4" t="s">
        <v>232</v>
      </c>
      <c r="D4">
        <v>89</v>
      </c>
      <c r="E4">
        <v>311951</v>
      </c>
      <c r="F4">
        <v>64.9942626953125</v>
      </c>
    </row>
    <row r="5" spans="1:7">
      <c r="A5" t="s">
        <v>274</v>
      </c>
      <c r="B5" t="s">
        <v>275</v>
      </c>
      <c r="C5" t="s">
        <v>232</v>
      </c>
      <c r="D5">
        <v>89</v>
      </c>
      <c r="E5">
        <v>311956</v>
      </c>
      <c r="F5">
        <v>755.06683349609398</v>
      </c>
    </row>
    <row r="6" spans="1:7">
      <c r="A6" t="s">
        <v>274</v>
      </c>
      <c r="B6" t="s">
        <v>275</v>
      </c>
      <c r="C6" t="s">
        <v>232</v>
      </c>
      <c r="D6">
        <v>89</v>
      </c>
      <c r="E6">
        <v>311957</v>
      </c>
      <c r="F6">
        <v>673.29675292968795</v>
      </c>
    </row>
    <row r="7" spans="1:7">
      <c r="A7" t="s">
        <v>277</v>
      </c>
      <c r="B7" t="s">
        <v>279</v>
      </c>
      <c r="C7" t="s">
        <v>278</v>
      </c>
      <c r="D7">
        <v>89</v>
      </c>
      <c r="E7">
        <v>311955</v>
      </c>
      <c r="F7">
        <v>38.544303894042997</v>
      </c>
    </row>
    <row r="8" spans="1:7">
      <c r="A8" t="s">
        <v>214</v>
      </c>
      <c r="B8" t="s">
        <v>216</v>
      </c>
      <c r="C8" t="s">
        <v>215</v>
      </c>
      <c r="D8">
        <v>88</v>
      </c>
      <c r="E8">
        <v>311848</v>
      </c>
      <c r="F8">
        <v>22.610057830810501</v>
      </c>
      <c r="G8" t="s">
        <v>125</v>
      </c>
    </row>
    <row r="9" spans="1:7">
      <c r="A9" t="s">
        <v>214</v>
      </c>
      <c r="B9" t="s">
        <v>233</v>
      </c>
      <c r="C9" t="s">
        <v>232</v>
      </c>
      <c r="D9">
        <v>89</v>
      </c>
      <c r="E9">
        <v>311919</v>
      </c>
      <c r="F9">
        <v>139.28680419921901</v>
      </c>
      <c r="G9" t="s">
        <v>125</v>
      </c>
    </row>
    <row r="10" spans="1:7">
      <c r="A10" t="s">
        <v>214</v>
      </c>
      <c r="B10" t="s">
        <v>216</v>
      </c>
      <c r="C10" t="s">
        <v>301</v>
      </c>
      <c r="D10">
        <v>89</v>
      </c>
      <c r="E10">
        <v>311921</v>
      </c>
      <c r="F10">
        <v>4333.40673828125</v>
      </c>
      <c r="G10" t="s">
        <v>125</v>
      </c>
    </row>
    <row r="11" spans="1:7">
      <c r="A11" t="s">
        <v>214</v>
      </c>
      <c r="B11" t="s">
        <v>216</v>
      </c>
      <c r="C11" t="s">
        <v>215</v>
      </c>
      <c r="D11">
        <v>89</v>
      </c>
      <c r="E11">
        <v>311922</v>
      </c>
      <c r="F11">
        <v>8466.005859375</v>
      </c>
      <c r="G11" t="s">
        <v>125</v>
      </c>
    </row>
    <row r="12" spans="1:7">
      <c r="A12" t="s">
        <v>214</v>
      </c>
      <c r="B12" t="s">
        <v>216</v>
      </c>
      <c r="C12" t="s">
        <v>215</v>
      </c>
      <c r="D12">
        <v>89</v>
      </c>
      <c r="E12">
        <v>311923</v>
      </c>
      <c r="F12">
        <v>7311.70654296875</v>
      </c>
      <c r="G12" t="s">
        <v>125</v>
      </c>
    </row>
    <row r="13" spans="1:7">
      <c r="A13" t="s">
        <v>214</v>
      </c>
      <c r="B13" t="s">
        <v>216</v>
      </c>
      <c r="C13" t="s">
        <v>215</v>
      </c>
      <c r="D13">
        <v>89</v>
      </c>
      <c r="E13">
        <v>311924</v>
      </c>
      <c r="F13">
        <v>8313.5986328125</v>
      </c>
      <c r="G13" t="s">
        <v>125</v>
      </c>
    </row>
    <row r="14" spans="1:7">
      <c r="A14" t="s">
        <v>214</v>
      </c>
      <c r="B14" t="s">
        <v>216</v>
      </c>
      <c r="C14" t="s">
        <v>215</v>
      </c>
      <c r="D14">
        <v>89</v>
      </c>
      <c r="E14">
        <v>311925</v>
      </c>
      <c r="F14">
        <v>9096.8291015625</v>
      </c>
      <c r="G14" t="s">
        <v>125</v>
      </c>
    </row>
    <row r="15" spans="1:7">
      <c r="A15" t="s">
        <v>214</v>
      </c>
      <c r="B15" t="s">
        <v>233</v>
      </c>
      <c r="C15" t="s">
        <v>244</v>
      </c>
      <c r="D15">
        <v>89</v>
      </c>
      <c r="E15">
        <v>311926</v>
      </c>
      <c r="F15">
        <v>128.35775756835901</v>
      </c>
      <c r="G15" t="s">
        <v>125</v>
      </c>
    </row>
    <row r="16" spans="1:7">
      <c r="A16" t="s">
        <v>214</v>
      </c>
      <c r="B16" t="s">
        <v>233</v>
      </c>
      <c r="C16" t="s">
        <v>246</v>
      </c>
      <c r="D16">
        <v>89</v>
      </c>
      <c r="E16">
        <v>311927</v>
      </c>
      <c r="F16">
        <v>192.65126037597699</v>
      </c>
      <c r="G16" t="s">
        <v>125</v>
      </c>
    </row>
    <row r="17" spans="1:7">
      <c r="A17" t="s">
        <v>214</v>
      </c>
      <c r="B17" t="s">
        <v>258</v>
      </c>
      <c r="C17" t="s">
        <v>215</v>
      </c>
      <c r="D17">
        <v>90</v>
      </c>
      <c r="E17">
        <v>1301010908</v>
      </c>
      <c r="F17">
        <v>437.65045166015602</v>
      </c>
      <c r="G17" t="s">
        <v>125</v>
      </c>
    </row>
    <row r="18" spans="1:7">
      <c r="A18" t="s">
        <v>214</v>
      </c>
      <c r="B18" t="s">
        <v>233</v>
      </c>
      <c r="C18" t="s">
        <v>248</v>
      </c>
      <c r="D18">
        <v>90</v>
      </c>
      <c r="E18">
        <v>311952</v>
      </c>
      <c r="F18">
        <v>4762.46044921875</v>
      </c>
      <c r="G18" t="s">
        <v>302</v>
      </c>
    </row>
    <row r="19" spans="1:7">
      <c r="A19" t="s">
        <v>214</v>
      </c>
      <c r="B19" t="s">
        <v>233</v>
      </c>
      <c r="C19" t="s">
        <v>215</v>
      </c>
      <c r="D19">
        <v>90</v>
      </c>
      <c r="E19">
        <v>312036</v>
      </c>
      <c r="F19">
        <v>61938.21875</v>
      </c>
      <c r="G19" t="s">
        <v>125</v>
      </c>
    </row>
    <row r="20" spans="1:7">
      <c r="A20" t="s">
        <v>214</v>
      </c>
      <c r="B20" t="s">
        <v>233</v>
      </c>
      <c r="C20" t="s">
        <v>215</v>
      </c>
      <c r="D20">
        <v>90</v>
      </c>
      <c r="E20">
        <v>312037</v>
      </c>
      <c r="F20">
        <v>60923.828125</v>
      </c>
      <c r="G20" t="s">
        <v>125</v>
      </c>
    </row>
    <row r="21" spans="1:7">
      <c r="A21" t="s">
        <v>214</v>
      </c>
      <c r="B21" t="s">
        <v>216</v>
      </c>
      <c r="C21" t="s">
        <v>215</v>
      </c>
      <c r="D21">
        <v>90</v>
      </c>
      <c r="E21">
        <v>312038</v>
      </c>
      <c r="F21">
        <v>16056.5009765625</v>
      </c>
      <c r="G21" t="s">
        <v>125</v>
      </c>
    </row>
    <row r="22" spans="1:7">
      <c r="A22" t="s">
        <v>214</v>
      </c>
      <c r="B22" t="s">
        <v>216</v>
      </c>
      <c r="C22" t="s">
        <v>215</v>
      </c>
      <c r="D22">
        <v>90</v>
      </c>
      <c r="E22">
        <v>312039</v>
      </c>
      <c r="F22">
        <v>15580.833984375</v>
      </c>
      <c r="G22" t="s">
        <v>125</v>
      </c>
    </row>
    <row r="23" spans="1:7">
      <c r="A23" t="s">
        <v>214</v>
      </c>
      <c r="B23" t="s">
        <v>216</v>
      </c>
      <c r="C23" t="s">
        <v>215</v>
      </c>
      <c r="D23">
        <v>90</v>
      </c>
      <c r="E23">
        <v>312040</v>
      </c>
      <c r="F23">
        <v>3475.73388671875</v>
      </c>
      <c r="G23" t="s">
        <v>125</v>
      </c>
    </row>
    <row r="24" spans="1:7">
      <c r="A24" t="s">
        <v>214</v>
      </c>
      <c r="B24" t="s">
        <v>216</v>
      </c>
      <c r="C24" t="s">
        <v>215</v>
      </c>
      <c r="D24">
        <v>90</v>
      </c>
      <c r="E24">
        <v>312041</v>
      </c>
      <c r="F24">
        <v>119.596633911133</v>
      </c>
      <c r="G24" t="s">
        <v>125</v>
      </c>
    </row>
    <row r="25" spans="1:7">
      <c r="A25" t="s">
        <v>214</v>
      </c>
      <c r="B25" t="s">
        <v>216</v>
      </c>
      <c r="C25" t="s">
        <v>236</v>
      </c>
      <c r="D25">
        <v>90</v>
      </c>
      <c r="E25">
        <v>312042</v>
      </c>
      <c r="F25">
        <v>3313.37548828125</v>
      </c>
      <c r="G25" t="s">
        <v>125</v>
      </c>
    </row>
    <row r="26" spans="1:7">
      <c r="A26" t="s">
        <v>214</v>
      </c>
      <c r="B26" t="s">
        <v>233</v>
      </c>
      <c r="C26" t="s">
        <v>232</v>
      </c>
      <c r="D26">
        <v>90</v>
      </c>
      <c r="E26">
        <v>312043</v>
      </c>
      <c r="F26">
        <v>80586.8359375</v>
      </c>
      <c r="G26" t="s">
        <v>125</v>
      </c>
    </row>
    <row r="27" spans="1:7">
      <c r="A27" t="s">
        <v>214</v>
      </c>
      <c r="B27" t="s">
        <v>258</v>
      </c>
      <c r="C27" t="s">
        <v>215</v>
      </c>
      <c r="D27">
        <v>91</v>
      </c>
      <c r="E27">
        <v>312044</v>
      </c>
      <c r="F27">
        <v>108.7548828125</v>
      </c>
      <c r="G27" t="s">
        <v>125</v>
      </c>
    </row>
    <row r="28" spans="1:7">
      <c r="A28" t="s">
        <v>214</v>
      </c>
      <c r="B28" t="s">
        <v>303</v>
      </c>
      <c r="C28" t="s">
        <v>215</v>
      </c>
      <c r="D28">
        <v>91</v>
      </c>
      <c r="E28">
        <v>312152</v>
      </c>
      <c r="F28">
        <v>3839.8349609375</v>
      </c>
      <c r="G28" t="s">
        <v>302</v>
      </c>
    </row>
    <row r="29" spans="1:7">
      <c r="A29" t="s">
        <v>214</v>
      </c>
      <c r="B29" t="s">
        <v>216</v>
      </c>
      <c r="C29" t="s">
        <v>215</v>
      </c>
      <c r="D29">
        <v>91</v>
      </c>
      <c r="E29">
        <v>312153</v>
      </c>
      <c r="F29">
        <v>1163.24487304688</v>
      </c>
      <c r="G29" t="s">
        <v>302</v>
      </c>
    </row>
    <row r="30" spans="1:7">
      <c r="A30" t="s">
        <v>214</v>
      </c>
      <c r="B30" t="s">
        <v>303</v>
      </c>
      <c r="C30" t="s">
        <v>215</v>
      </c>
      <c r="D30">
        <v>91</v>
      </c>
      <c r="E30">
        <v>312154</v>
      </c>
      <c r="F30">
        <v>559.36560058593795</v>
      </c>
      <c r="G30" t="s">
        <v>302</v>
      </c>
    </row>
    <row r="31" spans="1:7">
      <c r="A31" t="s">
        <v>214</v>
      </c>
      <c r="B31" t="s">
        <v>303</v>
      </c>
      <c r="C31" t="s">
        <v>215</v>
      </c>
      <c r="D31">
        <v>91</v>
      </c>
      <c r="E31">
        <v>312155</v>
      </c>
      <c r="F31">
        <v>390.08413696289102</v>
      </c>
      <c r="G31" t="s">
        <v>302</v>
      </c>
    </row>
    <row r="32" spans="1:7">
      <c r="A32" t="s">
        <v>214</v>
      </c>
      <c r="B32" t="s">
        <v>233</v>
      </c>
      <c r="C32" t="s">
        <v>232</v>
      </c>
      <c r="D32">
        <v>91</v>
      </c>
      <c r="E32">
        <v>312157</v>
      </c>
      <c r="F32">
        <v>2639.76293945313</v>
      </c>
      <c r="G32" t="s">
        <v>302</v>
      </c>
    </row>
  </sheetData>
  <phoneticPr fontId="11" type="noConversion"/>
  <pageMargins left="0.5" right="0.5" top="1" bottom="0.55000000000000004" header="0.5" footer="0.5"/>
  <pageSetup orientation="landscape"/>
  <headerFooter alignWithMargins="0">
    <oddFooter>&amp;L&amp;D&amp;C+&amp;R^</oddFooter>
  </headerFooter>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transitionEntry="1" codeName="Sheet18" enableFormatConditionsCalculation="0"/>
  <dimension ref="A1:I59"/>
  <sheetViews>
    <sheetView defaultGridColor="0" colorId="22" zoomScale="77" workbookViewId="0"/>
  </sheetViews>
  <sheetFormatPr baseColWidth="10" defaultColWidth="9.625" defaultRowHeight="16" x14ac:dyDescent="0"/>
  <cols>
    <col min="1" max="1" width="15.625" customWidth="1"/>
    <col min="2" max="3" width="6.625" customWidth="1"/>
    <col min="4" max="4" width="20.625" customWidth="1"/>
    <col min="5" max="5" width="17.625" customWidth="1"/>
    <col min="6" max="6" width="12.625" customWidth="1"/>
    <col min="7" max="7" width="17.625" customWidth="1"/>
    <col min="10" max="10" width="12.625" customWidth="1"/>
  </cols>
  <sheetData>
    <row r="1" spans="1:9">
      <c r="A1" t="s">
        <v>209</v>
      </c>
      <c r="B1" t="s">
        <v>304</v>
      </c>
      <c r="C1" t="s">
        <v>298</v>
      </c>
      <c r="D1" t="s">
        <v>210</v>
      </c>
      <c r="E1" t="s">
        <v>211</v>
      </c>
      <c r="F1" t="s">
        <v>299</v>
      </c>
      <c r="G1" t="s">
        <v>305</v>
      </c>
      <c r="H1" t="s">
        <v>306</v>
      </c>
      <c r="I1" t="s">
        <v>307</v>
      </c>
    </row>
    <row r="2" spans="1:9">
      <c r="A2" t="s">
        <v>272</v>
      </c>
      <c r="B2">
        <v>1989</v>
      </c>
      <c r="C2">
        <v>88</v>
      </c>
      <c r="D2" t="s">
        <v>236</v>
      </c>
      <c r="E2" t="s">
        <v>216</v>
      </c>
      <c r="F2">
        <v>1301010403</v>
      </c>
      <c r="H2">
        <v>43935</v>
      </c>
      <c r="I2">
        <v>244939</v>
      </c>
    </row>
    <row r="3" spans="1:9">
      <c r="A3" t="s">
        <v>272</v>
      </c>
      <c r="B3">
        <v>1991</v>
      </c>
      <c r="C3">
        <v>89</v>
      </c>
      <c r="D3" t="s">
        <v>236</v>
      </c>
      <c r="E3" t="s">
        <v>216</v>
      </c>
      <c r="F3">
        <v>1301020101</v>
      </c>
      <c r="H3">
        <v>2326</v>
      </c>
      <c r="I3">
        <v>37130</v>
      </c>
    </row>
    <row r="4" spans="1:9">
      <c r="A4" t="s">
        <v>272</v>
      </c>
      <c r="B4">
        <v>1991</v>
      </c>
      <c r="C4">
        <v>89</v>
      </c>
      <c r="D4" t="s">
        <v>236</v>
      </c>
      <c r="E4" t="s">
        <v>216</v>
      </c>
      <c r="F4">
        <v>1301020102</v>
      </c>
      <c r="H4">
        <v>5021</v>
      </c>
      <c r="I4">
        <v>73811</v>
      </c>
    </row>
    <row r="5" spans="1:9">
      <c r="A5" t="s">
        <v>274</v>
      </c>
      <c r="B5">
        <v>1989</v>
      </c>
      <c r="C5">
        <v>87</v>
      </c>
      <c r="D5" t="s">
        <v>232</v>
      </c>
      <c r="E5" t="s">
        <v>275</v>
      </c>
      <c r="F5">
        <v>311840</v>
      </c>
      <c r="H5">
        <v>46771</v>
      </c>
      <c r="I5">
        <v>388512</v>
      </c>
    </row>
    <row r="6" spans="1:9">
      <c r="A6" t="s">
        <v>274</v>
      </c>
      <c r="B6">
        <v>1990</v>
      </c>
      <c r="C6">
        <v>88</v>
      </c>
      <c r="D6" t="s">
        <v>232</v>
      </c>
      <c r="E6" t="s">
        <v>275</v>
      </c>
      <c r="F6">
        <v>311910</v>
      </c>
      <c r="G6" t="s">
        <v>308</v>
      </c>
      <c r="H6">
        <v>20794</v>
      </c>
      <c r="I6">
        <v>682521</v>
      </c>
    </row>
    <row r="7" spans="1:9">
      <c r="A7" t="s">
        <v>274</v>
      </c>
      <c r="B7">
        <v>1991</v>
      </c>
      <c r="C7">
        <v>89</v>
      </c>
      <c r="D7" t="s">
        <v>232</v>
      </c>
      <c r="E7" t="s">
        <v>275</v>
      </c>
      <c r="F7">
        <v>311951</v>
      </c>
      <c r="H7">
        <v>15114</v>
      </c>
      <c r="I7">
        <v>40204</v>
      </c>
    </row>
    <row r="8" spans="1:9">
      <c r="A8" t="s">
        <v>274</v>
      </c>
      <c r="B8">
        <v>1991</v>
      </c>
      <c r="C8">
        <v>89</v>
      </c>
      <c r="D8" t="s">
        <v>232</v>
      </c>
      <c r="E8" t="s">
        <v>275</v>
      </c>
      <c r="F8">
        <v>311956</v>
      </c>
      <c r="H8">
        <v>15919</v>
      </c>
      <c r="I8">
        <v>229482</v>
      </c>
    </row>
    <row r="9" spans="1:9">
      <c r="A9" t="s">
        <v>274</v>
      </c>
      <c r="B9">
        <v>1991</v>
      </c>
      <c r="C9">
        <v>89</v>
      </c>
      <c r="D9" t="s">
        <v>232</v>
      </c>
      <c r="E9" t="s">
        <v>275</v>
      </c>
      <c r="F9">
        <v>311957</v>
      </c>
      <c r="H9">
        <v>15119</v>
      </c>
      <c r="I9">
        <v>191130</v>
      </c>
    </row>
    <row r="10" spans="1:9">
      <c r="A10" t="s">
        <v>277</v>
      </c>
      <c r="B10">
        <v>1990</v>
      </c>
      <c r="C10">
        <v>88</v>
      </c>
      <c r="D10" t="s">
        <v>278</v>
      </c>
      <c r="E10" t="s">
        <v>279</v>
      </c>
      <c r="F10">
        <v>1301010911</v>
      </c>
      <c r="G10" t="s">
        <v>308</v>
      </c>
      <c r="H10">
        <v>4601</v>
      </c>
      <c r="I10">
        <v>20076</v>
      </c>
    </row>
    <row r="11" spans="1:9">
      <c r="A11" t="s">
        <v>277</v>
      </c>
      <c r="B11">
        <v>1991</v>
      </c>
      <c r="C11">
        <v>89</v>
      </c>
      <c r="D11" t="s">
        <v>278</v>
      </c>
      <c r="E11" t="s">
        <v>279</v>
      </c>
      <c r="F11">
        <v>311955</v>
      </c>
      <c r="H11">
        <v>8384</v>
      </c>
      <c r="I11">
        <v>22311</v>
      </c>
    </row>
    <row r="12" spans="1:9">
      <c r="A12" t="s">
        <v>214</v>
      </c>
      <c r="B12">
        <v>1991</v>
      </c>
      <c r="C12">
        <v>89</v>
      </c>
      <c r="D12" t="s">
        <v>236</v>
      </c>
      <c r="E12" t="s">
        <v>216</v>
      </c>
      <c r="F12">
        <v>311921</v>
      </c>
      <c r="G12" t="s">
        <v>309</v>
      </c>
      <c r="H12">
        <v>16189</v>
      </c>
      <c r="I12">
        <v>443000</v>
      </c>
    </row>
    <row r="13" spans="1:9">
      <c r="A13" t="s">
        <v>214</v>
      </c>
      <c r="B13">
        <v>1992</v>
      </c>
      <c r="C13">
        <v>90</v>
      </c>
      <c r="D13" t="s">
        <v>236</v>
      </c>
      <c r="E13" t="s">
        <v>216</v>
      </c>
      <c r="F13">
        <v>312042</v>
      </c>
      <c r="G13" t="s">
        <v>309</v>
      </c>
      <c r="H13">
        <v>19855</v>
      </c>
      <c r="I13">
        <v>720875</v>
      </c>
    </row>
    <row r="14" spans="1:9">
      <c r="A14" t="s">
        <v>214</v>
      </c>
      <c r="B14">
        <v>1993</v>
      </c>
      <c r="C14">
        <v>91</v>
      </c>
      <c r="D14" t="s">
        <v>236</v>
      </c>
      <c r="E14" t="s">
        <v>267</v>
      </c>
      <c r="F14">
        <v>312156</v>
      </c>
      <c r="G14" t="s">
        <v>309</v>
      </c>
      <c r="H14">
        <v>20720</v>
      </c>
      <c r="I14">
        <v>806218</v>
      </c>
    </row>
    <row r="15" spans="1:9">
      <c r="A15" t="s">
        <v>214</v>
      </c>
      <c r="B15">
        <v>1991</v>
      </c>
      <c r="C15">
        <v>90</v>
      </c>
      <c r="D15" t="s">
        <v>248</v>
      </c>
      <c r="E15" t="s">
        <v>233</v>
      </c>
      <c r="F15">
        <v>311952</v>
      </c>
      <c r="G15" t="s">
        <v>309</v>
      </c>
      <c r="H15">
        <v>20559</v>
      </c>
      <c r="I15">
        <v>406983</v>
      </c>
    </row>
    <row r="16" spans="1:9">
      <c r="A16" t="s">
        <v>214</v>
      </c>
      <c r="B16">
        <v>1991</v>
      </c>
      <c r="C16">
        <v>89</v>
      </c>
      <c r="D16" t="s">
        <v>232</v>
      </c>
      <c r="E16" t="s">
        <v>233</v>
      </c>
      <c r="F16">
        <v>311919</v>
      </c>
      <c r="G16" t="s">
        <v>309</v>
      </c>
      <c r="H16">
        <v>15811</v>
      </c>
      <c r="I16">
        <v>872492</v>
      </c>
    </row>
    <row r="17" spans="1:9">
      <c r="A17" t="s">
        <v>214</v>
      </c>
      <c r="B17">
        <v>1992</v>
      </c>
      <c r="C17">
        <v>90</v>
      </c>
      <c r="D17" t="s">
        <v>232</v>
      </c>
      <c r="E17" t="s">
        <v>233</v>
      </c>
      <c r="F17">
        <v>312043</v>
      </c>
      <c r="G17" t="s">
        <v>309</v>
      </c>
      <c r="H17">
        <v>22315</v>
      </c>
      <c r="I17">
        <v>1043350</v>
      </c>
    </row>
    <row r="18" spans="1:9">
      <c r="A18" t="s">
        <v>214</v>
      </c>
      <c r="B18">
        <v>1993</v>
      </c>
      <c r="C18">
        <v>91</v>
      </c>
      <c r="D18" t="s">
        <v>232</v>
      </c>
      <c r="E18" t="s">
        <v>233</v>
      </c>
      <c r="F18">
        <v>312157</v>
      </c>
      <c r="G18" t="s">
        <v>309</v>
      </c>
      <c r="H18">
        <v>25277</v>
      </c>
      <c r="I18">
        <v>966750</v>
      </c>
    </row>
    <row r="19" spans="1:9">
      <c r="A19" t="s">
        <v>214</v>
      </c>
      <c r="B19">
        <v>1990</v>
      </c>
      <c r="C19">
        <v>89</v>
      </c>
      <c r="D19" t="s">
        <v>246</v>
      </c>
      <c r="E19" t="s">
        <v>233</v>
      </c>
      <c r="F19">
        <v>311927</v>
      </c>
      <c r="G19" t="s">
        <v>309</v>
      </c>
      <c r="H19">
        <v>4910</v>
      </c>
      <c r="I19">
        <v>25169</v>
      </c>
    </row>
    <row r="20" spans="1:9">
      <c r="A20" t="s">
        <v>214</v>
      </c>
      <c r="B20">
        <v>1988</v>
      </c>
      <c r="C20">
        <v>86</v>
      </c>
      <c r="D20" t="s">
        <v>215</v>
      </c>
      <c r="E20" t="s">
        <v>216</v>
      </c>
      <c r="F20">
        <v>311763</v>
      </c>
      <c r="G20" t="s">
        <v>310</v>
      </c>
      <c r="H20">
        <v>11102</v>
      </c>
      <c r="I20">
        <v>77082</v>
      </c>
    </row>
    <row r="21" spans="1:9">
      <c r="A21" t="s">
        <v>214</v>
      </c>
      <c r="B21">
        <v>1988</v>
      </c>
      <c r="C21">
        <v>86</v>
      </c>
      <c r="D21" t="s">
        <v>215</v>
      </c>
      <c r="E21" t="s">
        <v>216</v>
      </c>
      <c r="F21">
        <v>311801</v>
      </c>
      <c r="G21" t="s">
        <v>310</v>
      </c>
      <c r="H21">
        <v>11109</v>
      </c>
      <c r="I21">
        <v>101773</v>
      </c>
    </row>
    <row r="22" spans="1:9">
      <c r="A22" t="s">
        <v>214</v>
      </c>
      <c r="B22">
        <v>1988</v>
      </c>
      <c r="C22">
        <v>86</v>
      </c>
      <c r="D22" t="s">
        <v>215</v>
      </c>
      <c r="E22" t="s">
        <v>216</v>
      </c>
      <c r="F22">
        <v>311802</v>
      </c>
      <c r="G22" t="s">
        <v>310</v>
      </c>
      <c r="H22">
        <v>10826</v>
      </c>
      <c r="I22">
        <v>110900</v>
      </c>
    </row>
    <row r="23" spans="1:9">
      <c r="A23" t="s">
        <v>214</v>
      </c>
      <c r="B23">
        <v>1988</v>
      </c>
      <c r="C23">
        <v>86</v>
      </c>
      <c r="D23" t="s">
        <v>215</v>
      </c>
      <c r="E23" t="s">
        <v>216</v>
      </c>
      <c r="F23">
        <v>311803</v>
      </c>
      <c r="G23" t="s">
        <v>310</v>
      </c>
      <c r="H23">
        <v>8491</v>
      </c>
      <c r="I23">
        <v>40270</v>
      </c>
    </row>
    <row r="24" spans="1:9">
      <c r="A24" t="s">
        <v>214</v>
      </c>
      <c r="B24">
        <v>1989</v>
      </c>
      <c r="C24">
        <v>87</v>
      </c>
      <c r="D24" t="s">
        <v>215</v>
      </c>
      <c r="E24" t="s">
        <v>216</v>
      </c>
      <c r="F24">
        <v>311812</v>
      </c>
      <c r="G24" t="s">
        <v>308</v>
      </c>
      <c r="H24">
        <v>25081</v>
      </c>
      <c r="I24">
        <v>617982</v>
      </c>
    </row>
    <row r="25" spans="1:9">
      <c r="A25" t="s">
        <v>214</v>
      </c>
      <c r="B25">
        <v>1989</v>
      </c>
      <c r="C25">
        <v>87</v>
      </c>
      <c r="D25" t="s">
        <v>215</v>
      </c>
      <c r="E25" t="s">
        <v>216</v>
      </c>
      <c r="F25">
        <v>311813</v>
      </c>
      <c r="G25" t="s">
        <v>308</v>
      </c>
      <c r="H25">
        <v>25006</v>
      </c>
      <c r="I25">
        <v>948847</v>
      </c>
    </row>
    <row r="26" spans="1:9">
      <c r="A26" t="s">
        <v>214</v>
      </c>
      <c r="B26">
        <v>1989</v>
      </c>
      <c r="C26">
        <v>87</v>
      </c>
      <c r="D26" t="s">
        <v>215</v>
      </c>
      <c r="E26" t="s">
        <v>216</v>
      </c>
      <c r="F26">
        <v>311814</v>
      </c>
      <c r="G26" t="s">
        <v>308</v>
      </c>
      <c r="H26">
        <v>25271</v>
      </c>
      <c r="I26">
        <v>1148319</v>
      </c>
    </row>
    <row r="27" spans="1:9">
      <c r="A27" t="s">
        <v>214</v>
      </c>
      <c r="B27">
        <v>1989</v>
      </c>
      <c r="C27">
        <v>87</v>
      </c>
      <c r="D27" t="s">
        <v>215</v>
      </c>
      <c r="E27" t="s">
        <v>216</v>
      </c>
      <c r="F27">
        <v>311815</v>
      </c>
      <c r="G27" t="s">
        <v>308</v>
      </c>
      <c r="H27">
        <v>25076</v>
      </c>
      <c r="I27">
        <v>1209878</v>
      </c>
    </row>
    <row r="28" spans="1:9">
      <c r="A28" t="s">
        <v>214</v>
      </c>
      <c r="B28">
        <v>1990</v>
      </c>
      <c r="C28">
        <v>88</v>
      </c>
      <c r="D28" t="s">
        <v>215</v>
      </c>
      <c r="E28" t="s">
        <v>216</v>
      </c>
      <c r="F28">
        <v>311841</v>
      </c>
      <c r="G28" t="s">
        <v>311</v>
      </c>
      <c r="H28">
        <v>15576</v>
      </c>
      <c r="I28">
        <v>642427</v>
      </c>
    </row>
    <row r="29" spans="1:9">
      <c r="A29" t="s">
        <v>214</v>
      </c>
      <c r="B29">
        <v>1990</v>
      </c>
      <c r="C29">
        <v>88</v>
      </c>
      <c r="D29" t="s">
        <v>215</v>
      </c>
      <c r="E29" t="s">
        <v>216</v>
      </c>
      <c r="F29">
        <v>311842</v>
      </c>
      <c r="G29" t="s">
        <v>312</v>
      </c>
      <c r="H29">
        <v>14927</v>
      </c>
      <c r="I29">
        <v>76616</v>
      </c>
    </row>
    <row r="30" spans="1:9">
      <c r="A30" t="s">
        <v>214</v>
      </c>
      <c r="B30">
        <v>1990</v>
      </c>
      <c r="C30">
        <v>88</v>
      </c>
      <c r="D30" t="s">
        <v>215</v>
      </c>
      <c r="E30" t="s">
        <v>216</v>
      </c>
      <c r="F30">
        <v>311843</v>
      </c>
      <c r="G30" t="s">
        <v>312</v>
      </c>
      <c r="H30">
        <v>14941</v>
      </c>
      <c r="I30">
        <v>90459</v>
      </c>
    </row>
    <row r="31" spans="1:9">
      <c r="A31" t="s">
        <v>214</v>
      </c>
      <c r="B31">
        <v>1990</v>
      </c>
      <c r="C31">
        <v>88</v>
      </c>
      <c r="D31" t="s">
        <v>215</v>
      </c>
      <c r="E31" t="s">
        <v>216</v>
      </c>
      <c r="F31">
        <v>311844</v>
      </c>
      <c r="G31" t="s">
        <v>311</v>
      </c>
      <c r="H31">
        <v>15265</v>
      </c>
      <c r="I31">
        <v>461601</v>
      </c>
    </row>
    <row r="32" spans="1:9">
      <c r="A32" t="s">
        <v>214</v>
      </c>
      <c r="B32">
        <v>1990</v>
      </c>
      <c r="C32">
        <v>88</v>
      </c>
      <c r="D32" t="s">
        <v>215</v>
      </c>
      <c r="E32" t="s">
        <v>216</v>
      </c>
      <c r="F32">
        <v>311845</v>
      </c>
      <c r="G32" t="s">
        <v>311</v>
      </c>
      <c r="H32">
        <v>15311</v>
      </c>
      <c r="I32">
        <v>848215</v>
      </c>
    </row>
    <row r="33" spans="1:9">
      <c r="A33" t="s">
        <v>214</v>
      </c>
      <c r="B33">
        <v>1990</v>
      </c>
      <c r="C33">
        <v>88</v>
      </c>
      <c r="D33" t="s">
        <v>215</v>
      </c>
      <c r="E33" t="s">
        <v>216</v>
      </c>
      <c r="F33">
        <v>311846</v>
      </c>
      <c r="G33" t="s">
        <v>311</v>
      </c>
      <c r="H33">
        <v>16186</v>
      </c>
      <c r="I33">
        <v>317462</v>
      </c>
    </row>
    <row r="34" spans="1:9">
      <c r="A34" t="s">
        <v>214</v>
      </c>
      <c r="B34">
        <v>1990</v>
      </c>
      <c r="C34">
        <v>88</v>
      </c>
      <c r="D34" t="s">
        <v>215</v>
      </c>
      <c r="E34" t="s">
        <v>216</v>
      </c>
      <c r="F34">
        <v>311847</v>
      </c>
      <c r="G34" t="s">
        <v>312</v>
      </c>
      <c r="H34">
        <v>15093</v>
      </c>
      <c r="I34">
        <v>86837</v>
      </c>
    </row>
    <row r="35" spans="1:9">
      <c r="A35" t="s">
        <v>214</v>
      </c>
      <c r="B35">
        <v>1990</v>
      </c>
      <c r="C35">
        <v>88</v>
      </c>
      <c r="D35" t="s">
        <v>215</v>
      </c>
      <c r="E35" t="s">
        <v>216</v>
      </c>
      <c r="F35">
        <v>311848</v>
      </c>
      <c r="G35" t="s">
        <v>312</v>
      </c>
      <c r="H35">
        <v>16439</v>
      </c>
      <c r="I35">
        <v>95688</v>
      </c>
    </row>
    <row r="36" spans="1:9">
      <c r="A36" t="s">
        <v>214</v>
      </c>
      <c r="B36">
        <v>1991</v>
      </c>
      <c r="C36">
        <v>89</v>
      </c>
      <c r="D36" t="s">
        <v>215</v>
      </c>
      <c r="E36" t="s">
        <v>216</v>
      </c>
      <c r="F36">
        <v>311922</v>
      </c>
      <c r="G36" t="s">
        <v>312</v>
      </c>
      <c r="H36">
        <v>15734</v>
      </c>
      <c r="I36">
        <v>447033</v>
      </c>
    </row>
    <row r="37" spans="1:9">
      <c r="A37" t="s">
        <v>214</v>
      </c>
      <c r="B37">
        <v>1991</v>
      </c>
      <c r="C37">
        <v>89</v>
      </c>
      <c r="D37" t="s">
        <v>215</v>
      </c>
      <c r="E37" t="s">
        <v>216</v>
      </c>
      <c r="F37">
        <v>311923</v>
      </c>
      <c r="G37" t="s">
        <v>313</v>
      </c>
      <c r="H37">
        <v>15609</v>
      </c>
      <c r="I37">
        <v>390090</v>
      </c>
    </row>
    <row r="38" spans="1:9">
      <c r="A38" t="s">
        <v>214</v>
      </c>
      <c r="B38">
        <v>1991</v>
      </c>
      <c r="C38">
        <v>89</v>
      </c>
      <c r="D38" t="s">
        <v>215</v>
      </c>
      <c r="E38" t="s">
        <v>216</v>
      </c>
      <c r="F38">
        <v>311924</v>
      </c>
      <c r="G38" t="s">
        <v>314</v>
      </c>
      <c r="H38">
        <v>15711</v>
      </c>
      <c r="I38">
        <v>290369</v>
      </c>
    </row>
    <row r="39" spans="1:9">
      <c r="A39" t="s">
        <v>214</v>
      </c>
      <c r="B39">
        <v>1991</v>
      </c>
      <c r="C39">
        <v>89</v>
      </c>
      <c r="D39" t="s">
        <v>215</v>
      </c>
      <c r="E39" t="s">
        <v>216</v>
      </c>
      <c r="F39">
        <v>311925</v>
      </c>
      <c r="G39" t="s">
        <v>314</v>
      </c>
      <c r="H39">
        <v>15622</v>
      </c>
      <c r="I39">
        <v>390282</v>
      </c>
    </row>
    <row r="40" spans="1:9">
      <c r="A40" t="s">
        <v>214</v>
      </c>
      <c r="B40">
        <v>1992</v>
      </c>
      <c r="C40">
        <v>90</v>
      </c>
      <c r="D40" t="s">
        <v>215</v>
      </c>
      <c r="E40" t="s">
        <v>216</v>
      </c>
      <c r="F40">
        <v>312038</v>
      </c>
      <c r="G40" t="s">
        <v>314</v>
      </c>
      <c r="H40">
        <v>4706</v>
      </c>
      <c r="I40">
        <v>142584</v>
      </c>
    </row>
    <row r="41" spans="1:9">
      <c r="A41" t="s">
        <v>214</v>
      </c>
      <c r="B41">
        <v>1992</v>
      </c>
      <c r="C41">
        <v>90</v>
      </c>
      <c r="D41" t="s">
        <v>215</v>
      </c>
      <c r="E41" t="s">
        <v>216</v>
      </c>
      <c r="F41">
        <v>312039</v>
      </c>
      <c r="G41" t="s">
        <v>314</v>
      </c>
      <c r="H41">
        <v>4686</v>
      </c>
      <c r="I41">
        <v>230385</v>
      </c>
    </row>
    <row r="42" spans="1:9">
      <c r="A42" t="s">
        <v>214</v>
      </c>
      <c r="B42">
        <v>1992</v>
      </c>
      <c r="C42">
        <v>90</v>
      </c>
      <c r="D42" t="s">
        <v>215</v>
      </c>
      <c r="E42" t="s">
        <v>216</v>
      </c>
      <c r="F42">
        <v>312040</v>
      </c>
      <c r="G42" t="s">
        <v>314</v>
      </c>
      <c r="H42">
        <v>5942</v>
      </c>
      <c r="I42">
        <v>177646</v>
      </c>
    </row>
    <row r="43" spans="1:9">
      <c r="A43" t="s">
        <v>214</v>
      </c>
      <c r="B43">
        <v>1992</v>
      </c>
      <c r="C43">
        <v>90</v>
      </c>
      <c r="D43" t="s">
        <v>215</v>
      </c>
      <c r="E43" t="s">
        <v>216</v>
      </c>
      <c r="F43">
        <v>312041</v>
      </c>
      <c r="G43" t="s">
        <v>312</v>
      </c>
      <c r="H43">
        <v>5788</v>
      </c>
      <c r="I43">
        <v>275439</v>
      </c>
    </row>
    <row r="44" spans="1:9">
      <c r="A44" t="s">
        <v>214</v>
      </c>
      <c r="B44">
        <v>1993</v>
      </c>
      <c r="C44">
        <v>91</v>
      </c>
      <c r="D44" t="s">
        <v>215</v>
      </c>
      <c r="E44" t="s">
        <v>216</v>
      </c>
      <c r="F44">
        <v>312153</v>
      </c>
      <c r="G44" t="s">
        <v>314</v>
      </c>
      <c r="H44">
        <v>18158</v>
      </c>
      <c r="I44">
        <v>620307</v>
      </c>
    </row>
    <row r="45" spans="1:9">
      <c r="A45" t="s">
        <v>214</v>
      </c>
      <c r="B45">
        <v>1991</v>
      </c>
      <c r="C45">
        <v>89</v>
      </c>
      <c r="D45" t="s">
        <v>215</v>
      </c>
      <c r="E45" t="s">
        <v>233</v>
      </c>
      <c r="F45">
        <v>311920</v>
      </c>
      <c r="H45">
        <v>14955</v>
      </c>
      <c r="I45">
        <v>845563</v>
      </c>
    </row>
    <row r="46" spans="1:9">
      <c r="A46" t="s">
        <v>214</v>
      </c>
      <c r="B46">
        <v>1992</v>
      </c>
      <c r="C46">
        <v>90</v>
      </c>
      <c r="D46" t="s">
        <v>215</v>
      </c>
      <c r="E46" t="s">
        <v>233</v>
      </c>
      <c r="F46">
        <v>312036</v>
      </c>
      <c r="G46" t="s">
        <v>308</v>
      </c>
      <c r="H46">
        <v>11085</v>
      </c>
      <c r="I46">
        <v>511515</v>
      </c>
    </row>
    <row r="47" spans="1:9">
      <c r="A47" t="s">
        <v>214</v>
      </c>
      <c r="B47">
        <v>1992</v>
      </c>
      <c r="C47">
        <v>90</v>
      </c>
      <c r="D47" t="s">
        <v>215</v>
      </c>
      <c r="E47" t="s">
        <v>233</v>
      </c>
      <c r="F47">
        <v>312037</v>
      </c>
      <c r="G47" t="s">
        <v>308</v>
      </c>
      <c r="H47">
        <v>11129</v>
      </c>
      <c r="I47">
        <v>513536</v>
      </c>
    </row>
    <row r="48" spans="1:9">
      <c r="A48" t="s">
        <v>214</v>
      </c>
      <c r="B48">
        <v>1991</v>
      </c>
      <c r="C48">
        <v>90</v>
      </c>
      <c r="D48" t="s">
        <v>215</v>
      </c>
      <c r="E48" t="s">
        <v>258</v>
      </c>
      <c r="F48">
        <v>1301010908</v>
      </c>
      <c r="G48" t="s">
        <v>313</v>
      </c>
      <c r="H48">
        <v>5431</v>
      </c>
      <c r="I48">
        <v>47609</v>
      </c>
    </row>
    <row r="49" spans="1:9">
      <c r="A49" t="s">
        <v>214</v>
      </c>
      <c r="B49">
        <v>1992</v>
      </c>
      <c r="C49">
        <v>91</v>
      </c>
      <c r="D49" t="s">
        <v>215</v>
      </c>
      <c r="E49" t="s">
        <v>258</v>
      </c>
      <c r="F49">
        <v>312044</v>
      </c>
      <c r="G49" t="s">
        <v>313</v>
      </c>
      <c r="H49">
        <v>4614</v>
      </c>
      <c r="I49">
        <v>63822</v>
      </c>
    </row>
    <row r="50" spans="1:9">
      <c r="A50" t="s">
        <v>214</v>
      </c>
      <c r="B50">
        <v>1993</v>
      </c>
      <c r="C50">
        <v>91</v>
      </c>
      <c r="D50" t="s">
        <v>215</v>
      </c>
      <c r="E50" t="s">
        <v>261</v>
      </c>
      <c r="F50">
        <v>312152</v>
      </c>
      <c r="G50" t="s">
        <v>312</v>
      </c>
      <c r="H50">
        <v>19180</v>
      </c>
      <c r="I50">
        <v>758933</v>
      </c>
    </row>
    <row r="51" spans="1:9">
      <c r="A51" t="s">
        <v>214</v>
      </c>
      <c r="B51">
        <v>1993</v>
      </c>
      <c r="C51">
        <v>91</v>
      </c>
      <c r="D51" t="s">
        <v>215</v>
      </c>
      <c r="E51" t="s">
        <v>261</v>
      </c>
      <c r="F51">
        <v>312154</v>
      </c>
      <c r="G51" t="s">
        <v>314</v>
      </c>
      <c r="H51">
        <v>16530</v>
      </c>
      <c r="I51">
        <v>649043</v>
      </c>
    </row>
    <row r="52" spans="1:9">
      <c r="A52" t="s">
        <v>214</v>
      </c>
      <c r="B52">
        <v>1993</v>
      </c>
      <c r="C52">
        <v>91</v>
      </c>
      <c r="D52" t="s">
        <v>215</v>
      </c>
      <c r="E52" t="s">
        <v>261</v>
      </c>
      <c r="F52">
        <v>312155</v>
      </c>
      <c r="G52" t="s">
        <v>314</v>
      </c>
      <c r="H52">
        <v>15034</v>
      </c>
      <c r="I52">
        <v>569001</v>
      </c>
    </row>
    <row r="53" spans="1:9">
      <c r="A53" t="s">
        <v>214</v>
      </c>
      <c r="B53">
        <v>1992</v>
      </c>
      <c r="C53">
        <v>91</v>
      </c>
      <c r="D53" t="s">
        <v>260</v>
      </c>
      <c r="E53" t="s">
        <v>261</v>
      </c>
      <c r="F53">
        <v>312049</v>
      </c>
      <c r="G53" t="s">
        <v>309</v>
      </c>
      <c r="H53">
        <v>17403</v>
      </c>
      <c r="I53">
        <v>691405</v>
      </c>
    </row>
    <row r="54" spans="1:9">
      <c r="A54" t="s">
        <v>214</v>
      </c>
      <c r="B54">
        <v>1990</v>
      </c>
      <c r="C54">
        <v>89</v>
      </c>
      <c r="D54" t="s">
        <v>244</v>
      </c>
      <c r="E54" t="s">
        <v>233</v>
      </c>
      <c r="F54">
        <v>311926</v>
      </c>
      <c r="G54" t="s">
        <v>309</v>
      </c>
      <c r="H54">
        <v>10015</v>
      </c>
      <c r="I54">
        <v>100121</v>
      </c>
    </row>
    <row r="55" spans="1:9">
      <c r="A55" t="s">
        <v>315</v>
      </c>
      <c r="B55">
        <v>1991</v>
      </c>
      <c r="C55">
        <v>90</v>
      </c>
      <c r="D55" t="s">
        <v>316</v>
      </c>
      <c r="E55" t="s">
        <v>317</v>
      </c>
      <c r="F55">
        <v>1301020103</v>
      </c>
      <c r="H55">
        <v>8439</v>
      </c>
      <c r="I55">
        <v>74922</v>
      </c>
    </row>
    <row r="56" spans="1:9">
      <c r="A56" t="s">
        <v>315</v>
      </c>
      <c r="B56">
        <v>1992</v>
      </c>
      <c r="C56">
        <v>91</v>
      </c>
      <c r="D56" t="s">
        <v>316</v>
      </c>
      <c r="E56" t="s">
        <v>317</v>
      </c>
      <c r="F56">
        <v>1301020505</v>
      </c>
      <c r="G56" t="s">
        <v>318</v>
      </c>
      <c r="H56">
        <v>47134</v>
      </c>
      <c r="I56">
        <v>565489</v>
      </c>
    </row>
    <row r="57" spans="1:9">
      <c r="A57" t="s">
        <v>315</v>
      </c>
      <c r="B57">
        <v>1990</v>
      </c>
      <c r="C57">
        <v>89</v>
      </c>
      <c r="D57" t="s">
        <v>319</v>
      </c>
      <c r="E57" t="s">
        <v>317</v>
      </c>
      <c r="F57">
        <v>1301010807</v>
      </c>
      <c r="H57">
        <v>10040</v>
      </c>
      <c r="I57">
        <v>158961</v>
      </c>
    </row>
    <row r="59" spans="1:9">
      <c r="I59" s="383">
        <f>SUM(I50:I52,I44)</f>
        <v>2597284</v>
      </c>
    </row>
  </sheetData>
  <phoneticPr fontId="11" type="noConversion"/>
  <pageMargins left="0.5" right="0.5" top="1" bottom="0.55000000000000004" header="0.5" footer="0.5"/>
  <pageSetup orientation="landscape"/>
  <headerFooter alignWithMargins="0">
    <oddFooter>&amp;L&amp;D&amp;C+&amp;R^</oddFooter>
  </headerFooter>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Notes</vt:lpstr>
      <vt:lpstr>SportFish</vt:lpstr>
      <vt:lpstr>BroodTab</vt:lpstr>
      <vt:lpstr>Forecast_Summary</vt:lpstr>
      <vt:lpstr>Performance</vt:lpstr>
      <vt:lpstr>Exploit</vt:lpstr>
      <vt:lpstr>Sockeye</vt:lpstr>
      <vt:lpstr>ln12rps x BYE</vt:lpstr>
      <vt:lpstr>ln 12 x ln 11</vt:lpstr>
      <vt:lpstr>ln 13 x ln 12</vt:lpstr>
      <vt:lpstr>ln13rps x BYE</vt:lpstr>
      <vt:lpstr>ln 22 x ln BY E</vt:lpstr>
      <vt:lpstr>ln 22 x ln 12</vt:lpstr>
      <vt:lpstr>ln 23 x ln 22</vt:lpstr>
      <vt:lpstr>RegOut</vt:lpstr>
      <vt:lpstr>Releases</vt:lpstr>
      <vt:lpstr>ttab</vt:lpstr>
      <vt:lpstr>lookup</vt:lpstr>
      <vt:lpstr>lkup2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Moffitt</dc:creator>
  <cp:lastModifiedBy>Eric Ward</cp:lastModifiedBy>
  <cp:lastPrinted>2014-04-26T00:23:53Z</cp:lastPrinted>
  <dcterms:created xsi:type="dcterms:W3CDTF">2000-11-17T22:17:53Z</dcterms:created>
  <dcterms:modified xsi:type="dcterms:W3CDTF">2015-08-09T15:12:11Z</dcterms:modified>
</cp:coreProperties>
</file>