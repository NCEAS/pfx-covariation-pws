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comments7.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omments11.xml" ContentType="application/vnd.openxmlformats-officedocument.spreadsheetml.comments+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comments12.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activeX/activeX2.xml" ContentType="application/vnd.ms-office.activeX+xml"/>
  <Override PartName="/xl/activeX/activeX2.bin" ContentType="application/vnd.ms-office.activeX"/>
  <Override PartName="/xl/comments13.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activeX/activeX3.xml" ContentType="application/vnd.ms-office.activeX+xml"/>
  <Override PartName="/xl/activeX/activeX3.bin" ContentType="application/vnd.ms-office.activeX"/>
  <Override PartName="/xl/comments14.xml" ContentType="application/vnd.openxmlformats-officedocument.spreadsheetml.comments+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6" yWindow="48" windowWidth="21984" windowHeight="10080" tabRatio="896" activeTab="8"/>
  </bookViews>
  <sheets>
    <sheet name="Read_Me" sheetId="23" r:id="rId1"/>
    <sheet name="Harvests" sheetId="24" r:id="rId2"/>
    <sheet name="Escapements" sheetId="25" r:id="rId3"/>
    <sheet name="Total_Run_Size" sheetId="26" r:id="rId4"/>
    <sheet name="Mean run forecasts" sheetId="16" r:id="rId5"/>
    <sheet name="Exploitation rates" sheetId="21" r:id="rId6"/>
    <sheet name="Sibling Forecast Sumry" sheetId="2" r:id="rId7"/>
    <sheet name="Brood_Forecasts" sheetId="30" r:id="rId8"/>
    <sheet name="Ricker" sheetId="14" r:id="rId9"/>
    <sheet name="UCRPercentage" sheetId="27" r:id="rId10"/>
    <sheet name="UCRNumber" sheetId="28" r:id="rId11"/>
    <sheet name="CCPercentage" sheetId="5" r:id="rId12"/>
    <sheet name="CCNumber" sheetId="6" r:id="rId13"/>
    <sheet name="Major Age Brood" sheetId="8" r:id="rId14"/>
    <sheet name="FBrood" sheetId="9" r:id="rId15"/>
    <sheet name="RunXAge" sheetId="31" r:id="rId16"/>
    <sheet name="Brood_Tab" sheetId="7" r:id="rId17"/>
    <sheet name="Ln1.3=ln1.2" sheetId="10" r:id="rId18"/>
    <sheet name="Ln1.3=ln1.2 (2)" sheetId="29" r:id="rId19"/>
    <sheet name="Ln1.4=Ln1.3" sheetId="11" r:id="rId20"/>
    <sheet name="RegOut" sheetId="12" r:id="rId21"/>
    <sheet name="ttab" sheetId="13" r:id="rId22"/>
    <sheet name="Sheet2" sheetId="20" state="hidden" r:id="rId23"/>
    <sheet name="Linear Regression" sheetId="19" r:id="rId24"/>
  </sheets>
  <externalReferences>
    <externalReference r:id="rId25"/>
    <externalReference r:id="rId26"/>
    <externalReference r:id="rId27"/>
  </externalReferences>
  <definedNames>
    <definedName name="_Order1" hidden="1">255</definedName>
    <definedName name="a_parameter_even">Ricker!$Q$11</definedName>
    <definedName name="AllYrs">'Ln1.3=ln1.2'!$B$11:$B$43</definedName>
    <definedName name="b_parameter_even">Ricker!$Q$13</definedName>
    <definedName name="c_even">Ricker!$Q$11</definedName>
    <definedName name="d_even">Ricker!$Q$13</definedName>
    <definedName name="FcastYR">'Sibling Forecast Sumry'!$B$3</definedName>
    <definedName name="FirstYR">'Ln1.3=ln1.2'!$B$11</definedName>
    <definedName name="ForBrood">FBrood!$A$8:$M$36</definedName>
    <definedName name="MainRegion">'Ln1.3=ln1.2'!$A$11:$AF$43</definedName>
    <definedName name="minus_a_over_b_even">Ricker!$Q$12</definedName>
    <definedName name="MSEAll">'Ln1.3=ln1.2'!$M$45</definedName>
    <definedName name="MSEcalcAll">'Ln1.3=ln1.2'!$O$48</definedName>
    <definedName name="MSEcalcL1O">'Ln1.3=ln1.2'!$O$47</definedName>
    <definedName name="MSEL1O">'Ln1.3=ln1.2'!$M$43</definedName>
    <definedName name="Partone">RegOut!$A$2:$E$2</definedName>
    <definedName name="Parttwo">RegOut!$G$2:$H$2</definedName>
    <definedName name="_xlnm.Print_Area" localSheetId="16">Brood_Tab!$L$62:$W$112</definedName>
    <definedName name="_xlnm.Print_Area" localSheetId="4">'Mean run forecasts'!$A$3:$P$60</definedName>
    <definedName name="_xlnm.Print_Area" localSheetId="15">RunXAge!$K$57:$T$107</definedName>
    <definedName name="Rout">RegOut!$A$5:$J$25</definedName>
    <definedName name="Rslts2All">'Ln1.3=ln1.2'!$K$45</definedName>
    <definedName name="Rslts2L1O">'Ln1.3=ln1.2'!$K$43</definedName>
    <definedName name="RsltsAll">'Ln1.3=ln1.2'!$E$45</definedName>
    <definedName name="RsltsL1O">'Ln1.3=ln1.2'!$E$43</definedName>
    <definedName name="tval">ttab!$A$5:$G$45</definedName>
    <definedName name="XRangeAll">'Ln1.3=ln1.2'!$C$11:$C$43</definedName>
    <definedName name="XRangeL1O">'Ln1.3=ln1.2'!$C$11:$C$42</definedName>
    <definedName name="YestAll">'Ln1.3=ln1.2'!$J$45</definedName>
    <definedName name="YestL1O">'Ln1.3=ln1.2'!$J$43</definedName>
    <definedName name="YRangeAll">'Ln1.3=ln1.2'!$D$11:$D$43</definedName>
    <definedName name="YRangeL1O">'Ln1.3=ln1.2'!$D$11:$D$42</definedName>
  </definedNames>
  <calcPr calcId="145621" iterate="1"/>
</workbook>
</file>

<file path=xl/calcChain.xml><?xml version="1.0" encoding="utf-8"?>
<calcChain xmlns="http://schemas.openxmlformats.org/spreadsheetml/2006/main">
  <c r="U39" i="7" l="1"/>
  <c r="E39" i="14"/>
  <c r="U38" i="7"/>
  <c r="AF41" i="16" l="1"/>
  <c r="B28" i="21"/>
  <c r="B27" i="21"/>
  <c r="F28" i="21"/>
  <c r="F27" i="21"/>
  <c r="G28" i="21"/>
  <c r="G27" i="21"/>
  <c r="G9" i="21"/>
  <c r="G10" i="21"/>
  <c r="G11" i="21"/>
  <c r="G12" i="21"/>
  <c r="G13" i="21"/>
  <c r="G14" i="21"/>
  <c r="G15" i="21"/>
  <c r="G16" i="21"/>
  <c r="G17" i="21"/>
  <c r="G18" i="21"/>
  <c r="G19" i="21"/>
  <c r="G20" i="21"/>
  <c r="G21" i="21"/>
  <c r="G22" i="21"/>
  <c r="G23" i="21"/>
  <c r="G8" i="21"/>
  <c r="F9" i="21"/>
  <c r="F10" i="21"/>
  <c r="F11" i="21"/>
  <c r="F12" i="21"/>
  <c r="F13" i="21"/>
  <c r="F14" i="21"/>
  <c r="F15" i="21"/>
  <c r="F16" i="21"/>
  <c r="F17" i="21"/>
  <c r="F18" i="21"/>
  <c r="F19" i="21"/>
  <c r="F20" i="21"/>
  <c r="F21" i="21"/>
  <c r="F22" i="21"/>
  <c r="F23" i="21"/>
  <c r="F8" i="21"/>
  <c r="E9" i="21"/>
  <c r="E10" i="21"/>
  <c r="E11" i="21"/>
  <c r="E12" i="21"/>
  <c r="E13" i="21"/>
  <c r="E14" i="21"/>
  <c r="E15" i="21"/>
  <c r="E16" i="21"/>
  <c r="E17" i="21"/>
  <c r="E18" i="21"/>
  <c r="E19" i="21"/>
  <c r="E20" i="21"/>
  <c r="E21" i="21"/>
  <c r="E22" i="21"/>
  <c r="E23" i="21"/>
  <c r="E8" i="21"/>
  <c r="D9" i="21"/>
  <c r="D10" i="21"/>
  <c r="D11" i="21"/>
  <c r="D12" i="21"/>
  <c r="D13" i="21"/>
  <c r="D14" i="21"/>
  <c r="D15" i="21"/>
  <c r="D16" i="21"/>
  <c r="D17" i="21"/>
  <c r="D18" i="21"/>
  <c r="D19" i="21"/>
  <c r="D20" i="21"/>
  <c r="D21" i="21"/>
  <c r="D22" i="21"/>
  <c r="D23" i="21"/>
  <c r="D8" i="21"/>
  <c r="C9" i="21"/>
  <c r="C10" i="21"/>
  <c r="C11" i="21"/>
  <c r="C12" i="21"/>
  <c r="C13" i="21"/>
  <c r="C14" i="21"/>
  <c r="C15" i="21"/>
  <c r="C16" i="21"/>
  <c r="C17" i="21"/>
  <c r="C18" i="21"/>
  <c r="C19" i="21"/>
  <c r="C20" i="21"/>
  <c r="C21" i="21"/>
  <c r="C22" i="21"/>
  <c r="C23" i="21"/>
  <c r="C8" i="21"/>
  <c r="B9" i="21"/>
  <c r="B10" i="21"/>
  <c r="B11" i="21"/>
  <c r="B12" i="21"/>
  <c r="B13" i="21"/>
  <c r="B14" i="21"/>
  <c r="B15" i="21"/>
  <c r="B16" i="21"/>
  <c r="B17" i="21"/>
  <c r="B18" i="21"/>
  <c r="B19" i="21"/>
  <c r="B20" i="21"/>
  <c r="B21" i="21"/>
  <c r="B22" i="21"/>
  <c r="B23" i="21"/>
  <c r="B8" i="21"/>
  <c r="S132" i="24" l="1"/>
  <c r="S137" i="24"/>
  <c r="S136" i="24"/>
  <c r="N130" i="26"/>
  <c r="M130" i="26"/>
  <c r="N135" i="26"/>
  <c r="N134" i="26"/>
  <c r="M135" i="26"/>
  <c r="M134" i="26"/>
  <c r="AE43" i="16"/>
  <c r="AE41" i="16"/>
  <c r="I25" i="2" l="1"/>
  <c r="I15" i="2"/>
  <c r="G50" i="7"/>
  <c r="C11" i="2"/>
  <c r="A13" i="2"/>
  <c r="A11" i="2"/>
  <c r="AF26" i="29"/>
  <c r="AE28" i="29"/>
  <c r="AD28" i="29"/>
  <c r="AC28" i="29"/>
  <c r="AB28" i="29"/>
  <c r="Y34" i="29"/>
  <c r="Y31" i="29"/>
  <c r="X31" i="29"/>
  <c r="T31" i="29"/>
  <c r="O31" i="29"/>
  <c r="O30" i="29"/>
  <c r="AD26" i="29" s="1"/>
  <c r="Q28" i="29"/>
  <c r="P28" i="29"/>
  <c r="O28" i="29"/>
  <c r="N28" i="29"/>
  <c r="N26" i="29"/>
  <c r="D26" i="29"/>
  <c r="O26" i="29" s="1"/>
  <c r="C28" i="29"/>
  <c r="B28" i="29"/>
  <c r="P26" i="29"/>
  <c r="U26" i="29"/>
  <c r="Z26" i="29"/>
  <c r="AA26" i="29"/>
  <c r="AC26" i="29"/>
  <c r="C26" i="29"/>
  <c r="B26" i="29"/>
  <c r="N45"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C45" i="10"/>
  <c r="AE26" i="29" l="1"/>
  <c r="S26" i="29"/>
  <c r="T26" i="29" s="1"/>
  <c r="AB26" i="29"/>
  <c r="X26" i="29"/>
  <c r="Y26" i="29" s="1"/>
  <c r="P43" i="10" l="1"/>
  <c r="U43" i="10" s="1"/>
  <c r="AC43" i="10"/>
  <c r="AC42" i="10"/>
  <c r="AC45" i="10"/>
  <c r="AB45" i="10"/>
  <c r="AA45" i="10"/>
  <c r="Z45" i="10"/>
  <c r="P45" i="10"/>
  <c r="U45" i="10" s="1"/>
  <c r="S45" i="10" s="1"/>
  <c r="T45" i="10" s="1"/>
  <c r="O45" i="10"/>
  <c r="C43" i="10"/>
  <c r="Z43" i="10" s="1"/>
  <c r="C36" i="10"/>
  <c r="C11" i="10"/>
  <c r="C43" i="9"/>
  <c r="D43" i="9" s="1"/>
  <c r="E43" i="9" s="1"/>
  <c r="K41" i="9"/>
  <c r="L41" i="9" s="1"/>
  <c r="G42" i="9"/>
  <c r="H42" i="9" s="1"/>
  <c r="D42" i="10"/>
  <c r="N42" i="10" s="1"/>
  <c r="C42" i="10"/>
  <c r="B45" i="10"/>
  <c r="D43" i="11"/>
  <c r="C45" i="11"/>
  <c r="D41" i="10"/>
  <c r="C41" i="10"/>
  <c r="D40" i="10"/>
  <c r="C40" i="10"/>
  <c r="D39" i="10"/>
  <c r="C39" i="10"/>
  <c r="D38" i="10"/>
  <c r="C38" i="10"/>
  <c r="C13" i="10"/>
  <c r="D12" i="10"/>
  <c r="C12" i="10"/>
  <c r="D11" i="10"/>
  <c r="J56" i="7"/>
  <c r="E56" i="7"/>
  <c r="T52" i="7"/>
  <c r="S52" i="7"/>
  <c r="R52" i="7"/>
  <c r="Q52" i="7"/>
  <c r="P52" i="7"/>
  <c r="O52" i="7"/>
  <c r="N52" i="7"/>
  <c r="M52" i="7"/>
  <c r="L52" i="7"/>
  <c r="K52" i="7"/>
  <c r="J52" i="7"/>
  <c r="I52" i="7"/>
  <c r="H52" i="7"/>
  <c r="G52" i="7"/>
  <c r="F52" i="7"/>
  <c r="E52" i="7"/>
  <c r="D52" i="7"/>
  <c r="C52" i="7"/>
  <c r="T51" i="7"/>
  <c r="S51" i="7"/>
  <c r="R51" i="7"/>
  <c r="Q51" i="7"/>
  <c r="P51" i="7"/>
  <c r="O51" i="7"/>
  <c r="N51" i="7"/>
  <c r="M51" i="7"/>
  <c r="L51" i="7"/>
  <c r="K51" i="7"/>
  <c r="J51" i="7"/>
  <c r="I51" i="7"/>
  <c r="H51" i="7"/>
  <c r="G51" i="7"/>
  <c r="F51" i="7"/>
  <c r="E51" i="7"/>
  <c r="D51" i="7"/>
  <c r="C53" i="7"/>
  <c r="C50" i="7"/>
  <c r="C51" i="7"/>
  <c r="U50" i="7"/>
  <c r="U49" i="7"/>
  <c r="U48" i="7"/>
  <c r="T48" i="7"/>
  <c r="S48" i="7"/>
  <c r="R48" i="7"/>
  <c r="Q48" i="7"/>
  <c r="P48" i="7"/>
  <c r="L48" i="7"/>
  <c r="M48" i="7"/>
  <c r="N48" i="7"/>
  <c r="O48" i="7"/>
  <c r="K48" i="7"/>
  <c r="J48" i="7"/>
  <c r="I48" i="7"/>
  <c r="H48" i="7"/>
  <c r="G48" i="7"/>
  <c r="F48" i="7"/>
  <c r="E48" i="7"/>
  <c r="D48" i="7"/>
  <c r="C48" i="7"/>
  <c r="S37" i="7"/>
  <c r="T37" i="7"/>
  <c r="P38" i="7"/>
  <c r="Q38" i="7"/>
  <c r="R38" i="7"/>
  <c r="L39" i="7"/>
  <c r="M39" i="7"/>
  <c r="N39" i="7"/>
  <c r="O39" i="7"/>
  <c r="I40" i="7"/>
  <c r="J40" i="7"/>
  <c r="K40" i="7"/>
  <c r="F41" i="7"/>
  <c r="G41" i="7"/>
  <c r="H41" i="7"/>
  <c r="D42" i="7"/>
  <c r="E42" i="7"/>
  <c r="C43" i="7"/>
  <c r="F49" i="8"/>
  <c r="C49" i="8"/>
  <c r="B50" i="8"/>
  <c r="B49" i="8"/>
  <c r="A44" i="5"/>
  <c r="B45" i="5"/>
  <c r="Z41" i="5"/>
  <c r="X45" i="10" l="1"/>
  <c r="Y45" i="10" s="1"/>
  <c r="AA43" i="10"/>
  <c r="M41" i="9"/>
  <c r="D45" i="11"/>
  <c r="D43" i="10"/>
  <c r="N43" i="10" s="1"/>
  <c r="I42" i="9"/>
  <c r="O43" i="10" l="1"/>
  <c r="AB43" i="10"/>
  <c r="X43" i="10"/>
  <c r="Y43" i="10" s="1"/>
  <c r="S43" i="10"/>
  <c r="T43" i="10" s="1"/>
  <c r="L45" i="27"/>
  <c r="L44" i="27"/>
  <c r="G45" i="27"/>
  <c r="H44" i="27"/>
  <c r="A44" i="27"/>
  <c r="B45" i="27"/>
  <c r="I45" i="27" l="1"/>
  <c r="I44" i="27"/>
  <c r="AA41" i="27" l="1"/>
  <c r="AA40" i="27"/>
  <c r="U37" i="7"/>
  <c r="B41" i="6"/>
  <c r="D41" i="6" s="1"/>
  <c r="C41" i="6"/>
  <c r="E41" i="6"/>
  <c r="F41" i="6"/>
  <c r="G41" i="6"/>
  <c r="I41" i="6"/>
  <c r="J41" i="6"/>
  <c r="K41" i="6"/>
  <c r="M41" i="6"/>
  <c r="N41" i="6"/>
  <c r="O41" i="6"/>
  <c r="Q41" i="6"/>
  <c r="R41" i="6"/>
  <c r="S41" i="6"/>
  <c r="U41" i="6"/>
  <c r="C41" i="28"/>
  <c r="D41" i="28"/>
  <c r="E41" i="28"/>
  <c r="F41" i="28"/>
  <c r="G41" i="28"/>
  <c r="H41" i="28"/>
  <c r="I41" i="28"/>
  <c r="J41" i="28"/>
  <c r="K41" i="28"/>
  <c r="L41" i="28"/>
  <c r="M41" i="28"/>
  <c r="N41" i="28"/>
  <c r="O41" i="28"/>
  <c r="P41" i="28"/>
  <c r="Q41" i="28"/>
  <c r="R41" i="28"/>
  <c r="S41" i="28"/>
  <c r="T41" i="28"/>
  <c r="U41" i="28"/>
  <c r="V41" i="28"/>
  <c r="B41" i="28"/>
  <c r="I22" i="30"/>
  <c r="T38" i="16"/>
  <c r="T37" i="16"/>
  <c r="T36" i="16"/>
  <c r="T35" i="16"/>
  <c r="S38" i="16"/>
  <c r="S37" i="16"/>
  <c r="S36" i="16"/>
  <c r="S35" i="16"/>
  <c r="R38" i="16"/>
  <c r="R37" i="16"/>
  <c r="R36" i="16"/>
  <c r="R35" i="16"/>
  <c r="R42" i="16"/>
  <c r="P43" i="16"/>
  <c r="P42" i="16"/>
  <c r="P41" i="16"/>
  <c r="P38" i="16"/>
  <c r="P37" i="16"/>
  <c r="P36" i="16"/>
  <c r="P35" i="16"/>
  <c r="Q13" i="14"/>
  <c r="I45" i="14" s="1"/>
  <c r="J45" i="14" s="1"/>
  <c r="Q12" i="14"/>
  <c r="Q11" i="14"/>
  <c r="B45" i="14"/>
  <c r="C45" i="14"/>
  <c r="E45" i="14"/>
  <c r="F45" i="14" s="1"/>
  <c r="G45" i="14" s="1"/>
  <c r="H45" i="14"/>
  <c r="AG42" i="16"/>
  <c r="AG43" i="16"/>
  <c r="AG41" i="16"/>
  <c r="AF43" i="16"/>
  <c r="AE42" i="16"/>
  <c r="R23" i="16"/>
  <c r="T23" i="16"/>
  <c r="U23" i="16"/>
  <c r="V23" i="16"/>
  <c r="W23" i="16"/>
  <c r="S23" i="16"/>
  <c r="S22" i="16"/>
  <c r="AF42" i="16"/>
  <c r="AO27" i="16"/>
  <c r="AO26" i="16"/>
  <c r="AL27" i="16"/>
  <c r="AL26" i="16"/>
  <c r="AK27" i="16"/>
  <c r="AK26" i="16"/>
  <c r="AI27" i="16"/>
  <c r="AI26" i="16"/>
  <c r="AH27" i="16"/>
  <c r="AH26" i="16"/>
  <c r="AG27" i="16"/>
  <c r="AG26" i="16"/>
  <c r="AF27" i="16"/>
  <c r="AF26" i="16"/>
  <c r="AE27" i="16"/>
  <c r="AE26" i="16"/>
  <c r="B26" i="16"/>
  <c r="AC22" i="16"/>
  <c r="AE22" i="16"/>
  <c r="AK22" i="16" s="1"/>
  <c r="AF22" i="16"/>
  <c r="AG22" i="16"/>
  <c r="AM22" i="16" s="1"/>
  <c r="AH22" i="16"/>
  <c r="AI22" i="16"/>
  <c r="AO22" i="16" s="1"/>
  <c r="AL22" i="16"/>
  <c r="AN22" i="16"/>
  <c r="Y22" i="16"/>
  <c r="Z22" i="16"/>
  <c r="AA22" i="16"/>
  <c r="AB22" i="16"/>
  <c r="Q22" i="16"/>
  <c r="Q21" i="16"/>
  <c r="P22" i="16"/>
  <c r="B22" i="16"/>
  <c r="C22" i="16"/>
  <c r="D22" i="16"/>
  <c r="E22" i="16"/>
  <c r="F22" i="16"/>
  <c r="G22" i="16"/>
  <c r="H22" i="16"/>
  <c r="I22" i="16" s="1"/>
  <c r="N22" i="16" s="1"/>
  <c r="L22" i="16"/>
  <c r="L130" i="26"/>
  <c r="D130" i="26"/>
  <c r="U21" i="30" s="1"/>
  <c r="B130" i="26"/>
  <c r="C130" i="26"/>
  <c r="B45" i="7" s="1"/>
  <c r="M43" i="25"/>
  <c r="N43" i="25"/>
  <c r="W41" i="28" l="1"/>
  <c r="T41" i="6"/>
  <c r="P41" i="6"/>
  <c r="L41" i="6"/>
  <c r="H41" i="6"/>
  <c r="J22" i="16"/>
  <c r="J43" i="25" l="1"/>
  <c r="I43" i="25"/>
  <c r="I42" i="25"/>
  <c r="I41" i="25"/>
  <c r="I40" i="25"/>
  <c r="I39" i="25"/>
  <c r="I38" i="25"/>
  <c r="G43" i="25"/>
  <c r="E43" i="25"/>
  <c r="F43" i="25"/>
  <c r="D43" i="25"/>
  <c r="B49" i="25" l="1"/>
  <c r="B48" i="25"/>
  <c r="B47" i="25"/>
  <c r="B40" i="31" l="1"/>
  <c r="C40" i="31"/>
  <c r="D40" i="31"/>
  <c r="E40" i="31"/>
  <c r="F40" i="31"/>
  <c r="G40" i="31"/>
  <c r="H40" i="31"/>
  <c r="I40" i="31"/>
  <c r="J40" i="31"/>
  <c r="K40" i="31"/>
  <c r="L40" i="31"/>
  <c r="M40" i="31"/>
  <c r="N40" i="31"/>
  <c r="O40" i="31"/>
  <c r="P40" i="31"/>
  <c r="Q40" i="31"/>
  <c r="R40" i="31"/>
  <c r="S40" i="31"/>
  <c r="T40" i="31" l="1"/>
  <c r="Q129" i="24"/>
  <c r="Q130" i="24"/>
  <c r="Q131" i="24"/>
  <c r="Q132" i="24"/>
  <c r="Q128" i="24"/>
  <c r="Q117" i="24"/>
  <c r="Q127" i="24"/>
  <c r="K132" i="24"/>
  <c r="L132" i="24"/>
  <c r="M132" i="24"/>
  <c r="N132" i="24"/>
  <c r="O132" i="24" s="1"/>
  <c r="J132" i="24"/>
  <c r="B136" i="24"/>
  <c r="F132" i="24" l="1"/>
  <c r="D132" i="24"/>
  <c r="I132" i="24" s="1"/>
  <c r="B25" i="29" l="1"/>
  <c r="B24" i="29"/>
  <c r="B23" i="29"/>
  <c r="B22" i="29"/>
  <c r="B21" i="29"/>
  <c r="B20" i="29"/>
  <c r="B19" i="29"/>
  <c r="B18" i="29"/>
  <c r="B17" i="29"/>
  <c r="B16" i="29"/>
  <c r="B15" i="29"/>
  <c r="B14" i="29"/>
  <c r="B13" i="29"/>
  <c r="B12" i="29"/>
  <c r="B11" i="29"/>
  <c r="N41" i="25"/>
  <c r="B46" i="30" l="1"/>
  <c r="I42" i="30"/>
  <c r="H42" i="30"/>
  <c r="I45" i="30"/>
  <c r="H45" i="30"/>
  <c r="I44" i="30"/>
  <c r="H44" i="30"/>
  <c r="I43" i="30"/>
  <c r="I46" i="30" s="1"/>
  <c r="H43" i="30"/>
  <c r="H46" i="30"/>
  <c r="C46" i="30" l="1"/>
  <c r="E46" i="30"/>
  <c r="A1" i="30" l="1"/>
  <c r="H1" i="31"/>
  <c r="AC25" i="29"/>
  <c r="AC23" i="29"/>
  <c r="F31" i="29"/>
  <c r="Q31" i="29" s="1"/>
  <c r="F30" i="29"/>
  <c r="Q30" i="29" s="1"/>
  <c r="P25" i="29"/>
  <c r="P24" i="29"/>
  <c r="AC24" i="29"/>
  <c r="P23" i="29"/>
  <c r="P22" i="29"/>
  <c r="U22" i="29" s="1"/>
  <c r="AC22" i="29"/>
  <c r="P21" i="29"/>
  <c r="U21" i="29" s="1"/>
  <c r="AC21" i="29"/>
  <c r="P20" i="29"/>
  <c r="U20" i="29" s="1"/>
  <c r="AC20" i="29"/>
  <c r="P19" i="29"/>
  <c r="U19" i="29" s="1"/>
  <c r="AC19" i="29"/>
  <c r="P18" i="29"/>
  <c r="U18" i="29" s="1"/>
  <c r="AC18" i="29"/>
  <c r="P17" i="29"/>
  <c r="U17" i="29" s="1"/>
  <c r="AC17" i="29"/>
  <c r="P16" i="29"/>
  <c r="U16" i="29" s="1"/>
  <c r="AC16" i="29"/>
  <c r="P15" i="29"/>
  <c r="U15" i="29" s="1"/>
  <c r="AC15" i="29"/>
  <c r="P14" i="29"/>
  <c r="U14" i="29" s="1"/>
  <c r="AC14" i="29"/>
  <c r="P13" i="29"/>
  <c r="U13" i="29" s="1"/>
  <c r="AC13" i="29"/>
  <c r="P12" i="29"/>
  <c r="U12" i="29" s="1"/>
  <c r="AC12" i="29"/>
  <c r="P11" i="29"/>
  <c r="U11" i="29" s="1"/>
  <c r="AC11" i="29"/>
  <c r="U23" i="29" l="1"/>
  <c r="U24" i="29"/>
  <c r="U25" i="29"/>
  <c r="I20" i="30" s="1"/>
  <c r="U28" i="29"/>
  <c r="P33" i="29"/>
  <c r="N44" i="5"/>
  <c r="I21" i="30" l="1"/>
  <c r="I7" i="30"/>
  <c r="I6" i="30"/>
  <c r="I9" i="30"/>
  <c r="I8" i="30"/>
  <c r="I11" i="30"/>
  <c r="I10" i="30"/>
  <c r="I13" i="30"/>
  <c r="I12" i="30"/>
  <c r="I15" i="30"/>
  <c r="I14" i="30"/>
  <c r="I17" i="30"/>
  <c r="I16" i="30"/>
  <c r="I19" i="30"/>
  <c r="I18" i="30"/>
  <c r="A1" i="28" l="1"/>
  <c r="O30" i="28"/>
  <c r="T30" i="28"/>
  <c r="U31" i="28"/>
  <c r="D34" i="28"/>
  <c r="E34" i="28"/>
  <c r="L34" i="28"/>
  <c r="M34" i="28"/>
  <c r="S34" i="28"/>
  <c r="T34" i="28"/>
  <c r="M35" i="28"/>
  <c r="Q37" i="28"/>
  <c r="E38" i="28"/>
  <c r="G38" i="28"/>
  <c r="K38" i="28"/>
  <c r="L38" i="28"/>
  <c r="P38" i="28"/>
  <c r="Q38" i="28"/>
  <c r="U38" i="28"/>
  <c r="D39" i="28"/>
  <c r="L39" i="28"/>
  <c r="T39" i="28"/>
  <c r="B27" i="28"/>
  <c r="H27" i="28" s="1"/>
  <c r="B28" i="28"/>
  <c r="P28" i="28" s="1"/>
  <c r="B29" i="28"/>
  <c r="B30" i="28"/>
  <c r="D30" i="28" s="1"/>
  <c r="B31" i="28"/>
  <c r="D31" i="28" s="1"/>
  <c r="B32" i="28"/>
  <c r="C32" i="28" s="1"/>
  <c r="B33" i="28"/>
  <c r="M33" i="28" s="1"/>
  <c r="B34" i="28"/>
  <c r="C34" i="28" s="1"/>
  <c r="B35" i="28"/>
  <c r="G35" i="28" s="1"/>
  <c r="B36" i="28"/>
  <c r="G36" i="28" s="1"/>
  <c r="B37" i="28"/>
  <c r="E37" i="28" s="1"/>
  <c r="B38" i="28"/>
  <c r="F38" i="28" s="1"/>
  <c r="B39" i="28"/>
  <c r="K39" i="28" s="1"/>
  <c r="B40" i="28"/>
  <c r="G40" i="28" s="1"/>
  <c r="B26" i="28"/>
  <c r="L116" i="26"/>
  <c r="M40" i="28" l="1"/>
  <c r="Q32" i="28"/>
  <c r="Q28" i="28"/>
  <c r="Q39" i="28"/>
  <c r="I39" i="28"/>
  <c r="E36" i="28"/>
  <c r="P31" i="28"/>
  <c r="D28" i="28"/>
  <c r="U40" i="28"/>
  <c r="E40" i="28"/>
  <c r="P39" i="28"/>
  <c r="H39" i="28"/>
  <c r="T38" i="28"/>
  <c r="O38" i="28"/>
  <c r="I38" i="28"/>
  <c r="D38" i="28"/>
  <c r="Q36" i="28"/>
  <c r="U35" i="28"/>
  <c r="E35" i="28"/>
  <c r="Q34" i="28"/>
  <c r="I34" i="28"/>
  <c r="I33" i="28"/>
  <c r="I32" i="28"/>
  <c r="K31" i="28"/>
  <c r="I30" i="28"/>
  <c r="I36" i="28"/>
  <c r="I40" i="28"/>
  <c r="U36" i="28"/>
  <c r="I35" i="28"/>
  <c r="M32" i="28"/>
  <c r="Q40" i="28"/>
  <c r="U39" i="28"/>
  <c r="M39" i="28"/>
  <c r="E39" i="28"/>
  <c r="S38" i="28"/>
  <c r="M38" i="28"/>
  <c r="H38" i="28"/>
  <c r="C38" i="28"/>
  <c r="M36" i="28"/>
  <c r="Q35" i="28"/>
  <c r="U34" i="28"/>
  <c r="P34" i="28"/>
  <c r="H34" i="28"/>
  <c r="U32" i="28"/>
  <c r="E32" i="28"/>
  <c r="E31" i="28"/>
  <c r="U37" i="28"/>
  <c r="F26" i="28"/>
  <c r="J26" i="28"/>
  <c r="N26" i="28"/>
  <c r="R26" i="28"/>
  <c r="V26" i="28"/>
  <c r="C26" i="28"/>
  <c r="G26" i="28"/>
  <c r="K26" i="28"/>
  <c r="O26" i="28"/>
  <c r="S26" i="28"/>
  <c r="E26" i="28"/>
  <c r="I26" i="28"/>
  <c r="M26" i="28"/>
  <c r="Q26" i="28"/>
  <c r="U26" i="28"/>
  <c r="D26" i="28"/>
  <c r="T26" i="28"/>
  <c r="H26" i="28"/>
  <c r="L26" i="28"/>
  <c r="P26" i="28"/>
  <c r="G37" i="28"/>
  <c r="D37" i="28"/>
  <c r="H37" i="28"/>
  <c r="L37" i="28"/>
  <c r="P37" i="28"/>
  <c r="T37" i="28"/>
  <c r="F37" i="28"/>
  <c r="J37" i="28"/>
  <c r="N37" i="28"/>
  <c r="R37" i="28"/>
  <c r="V37" i="28"/>
  <c r="C37" i="28"/>
  <c r="K37" i="28"/>
  <c r="O37" i="28"/>
  <c r="S37" i="28"/>
  <c r="C33" i="28"/>
  <c r="G33" i="28"/>
  <c r="K33" i="28"/>
  <c r="O33" i="28"/>
  <c r="S33" i="28"/>
  <c r="D33" i="28"/>
  <c r="H33" i="28"/>
  <c r="L33" i="28"/>
  <c r="P33" i="28"/>
  <c r="T33" i="28"/>
  <c r="F33" i="28"/>
  <c r="J33" i="28"/>
  <c r="N33" i="28"/>
  <c r="R33" i="28"/>
  <c r="V33" i="28"/>
  <c r="F29" i="28"/>
  <c r="J29" i="28"/>
  <c r="N29" i="28"/>
  <c r="R29" i="28"/>
  <c r="V29" i="28"/>
  <c r="E29" i="28"/>
  <c r="K29" i="28"/>
  <c r="P29" i="28"/>
  <c r="U29" i="28"/>
  <c r="S29" i="28"/>
  <c r="G29" i="28"/>
  <c r="L29" i="28"/>
  <c r="Q29" i="28"/>
  <c r="D29" i="28"/>
  <c r="I29" i="28"/>
  <c r="O29" i="28"/>
  <c r="T29" i="28"/>
  <c r="C29" i="28"/>
  <c r="H29" i="28"/>
  <c r="M29" i="28"/>
  <c r="M37" i="28"/>
  <c r="U33" i="28"/>
  <c r="E33" i="28"/>
  <c r="I37" i="28"/>
  <c r="Q33" i="28"/>
  <c r="T40" i="28"/>
  <c r="L40" i="28"/>
  <c r="H40" i="28"/>
  <c r="F27" i="28"/>
  <c r="J27" i="28"/>
  <c r="N27" i="28"/>
  <c r="R27" i="28"/>
  <c r="V27" i="28"/>
  <c r="C27" i="28"/>
  <c r="G27" i="28"/>
  <c r="K27" i="28"/>
  <c r="O27" i="28"/>
  <c r="S27" i="28"/>
  <c r="E27" i="28"/>
  <c r="I27" i="28"/>
  <c r="M27" i="28"/>
  <c r="Q27" i="28"/>
  <c r="U27" i="28"/>
  <c r="O40" i="28"/>
  <c r="K40" i="28"/>
  <c r="C40" i="28"/>
  <c r="S39" i="28"/>
  <c r="O39" i="28"/>
  <c r="G39" i="28"/>
  <c r="C39" i="28"/>
  <c r="O36" i="28"/>
  <c r="K36" i="28"/>
  <c r="C36" i="28"/>
  <c r="C35" i="28"/>
  <c r="F30" i="28"/>
  <c r="J30" i="28"/>
  <c r="N30" i="28"/>
  <c r="R30" i="28"/>
  <c r="V30" i="28"/>
  <c r="V40" i="28"/>
  <c r="R40" i="28"/>
  <c r="N40" i="28"/>
  <c r="J40" i="28"/>
  <c r="F40" i="28"/>
  <c r="V39" i="28"/>
  <c r="R39" i="28"/>
  <c r="N39" i="28"/>
  <c r="J39" i="28"/>
  <c r="F39" i="28"/>
  <c r="V38" i="28"/>
  <c r="R38" i="28"/>
  <c r="N38" i="28"/>
  <c r="J38" i="28"/>
  <c r="V36" i="28"/>
  <c r="R36" i="28"/>
  <c r="N36" i="28"/>
  <c r="J36" i="28"/>
  <c r="F36" i="28"/>
  <c r="V35" i="28"/>
  <c r="R35" i="28"/>
  <c r="N35" i="28"/>
  <c r="J35" i="28"/>
  <c r="F35" i="28"/>
  <c r="V34" i="28"/>
  <c r="R34" i="28"/>
  <c r="N34" i="28"/>
  <c r="J34" i="28"/>
  <c r="F34" i="28"/>
  <c r="V32" i="28"/>
  <c r="R32" i="28"/>
  <c r="N32" i="28"/>
  <c r="J32" i="28"/>
  <c r="F32" i="28"/>
  <c r="V31" i="28"/>
  <c r="Q31" i="28"/>
  <c r="L31" i="28"/>
  <c r="G31" i="28"/>
  <c r="U30" i="28"/>
  <c r="P30" i="28"/>
  <c r="K30" i="28"/>
  <c r="E30" i="28"/>
  <c r="S28" i="28"/>
  <c r="H28" i="28"/>
  <c r="L27" i="28"/>
  <c r="T36" i="28"/>
  <c r="P36" i="28"/>
  <c r="L36" i="28"/>
  <c r="H36" i="28"/>
  <c r="D36" i="28"/>
  <c r="T35" i="28"/>
  <c r="P35" i="28"/>
  <c r="L35" i="28"/>
  <c r="H35" i="28"/>
  <c r="D35" i="28"/>
  <c r="T32" i="28"/>
  <c r="P32" i="28"/>
  <c r="L32" i="28"/>
  <c r="H32" i="28"/>
  <c r="D32" i="28"/>
  <c r="T31" i="28"/>
  <c r="O31" i="28"/>
  <c r="I31" i="28"/>
  <c r="S30" i="28"/>
  <c r="M30" i="28"/>
  <c r="H30" i="28"/>
  <c r="C30" i="28"/>
  <c r="U28" i="28"/>
  <c r="T27" i="28"/>
  <c r="D27" i="28"/>
  <c r="F28" i="28"/>
  <c r="J28" i="28"/>
  <c r="N28" i="28"/>
  <c r="R28" i="28"/>
  <c r="V28" i="28"/>
  <c r="C28" i="28"/>
  <c r="G28" i="28"/>
  <c r="K28" i="28"/>
  <c r="O28" i="28"/>
  <c r="E28" i="28"/>
  <c r="I28" i="28"/>
  <c r="M28" i="28"/>
  <c r="P40" i="28"/>
  <c r="D40" i="28"/>
  <c r="F31" i="28"/>
  <c r="J31" i="28"/>
  <c r="N31" i="28"/>
  <c r="R31" i="28"/>
  <c r="S40" i="28"/>
  <c r="S36" i="28"/>
  <c r="S35" i="28"/>
  <c r="O35" i="28"/>
  <c r="K35" i="28"/>
  <c r="O34" i="28"/>
  <c r="K34" i="28"/>
  <c r="G34" i="28"/>
  <c r="S32" i="28"/>
  <c r="O32" i="28"/>
  <c r="K32" i="28"/>
  <c r="G32" i="28"/>
  <c r="S31" i="28"/>
  <c r="M31" i="28"/>
  <c r="H31" i="28"/>
  <c r="C31" i="28"/>
  <c r="Q30" i="28"/>
  <c r="L30" i="28"/>
  <c r="G30" i="28"/>
  <c r="T28" i="28"/>
  <c r="L28" i="28"/>
  <c r="P27" i="28"/>
  <c r="L117" i="26"/>
  <c r="L118" i="26"/>
  <c r="L119" i="26"/>
  <c r="L120" i="26"/>
  <c r="L121" i="26"/>
  <c r="L122" i="26"/>
  <c r="L123" i="26"/>
  <c r="L124" i="26"/>
  <c r="L125" i="26"/>
  <c r="L126" i="26"/>
  <c r="L127" i="26"/>
  <c r="L128" i="26"/>
  <c r="L129" i="26"/>
  <c r="W32" i="28" l="1"/>
  <c r="W38" i="28"/>
  <c r="W34" i="28"/>
  <c r="W35" i="28"/>
  <c r="W31" i="28"/>
  <c r="W26" i="28"/>
  <c r="W36" i="28"/>
  <c r="W29" i="28"/>
  <c r="W33" i="28"/>
  <c r="W37" i="28"/>
  <c r="W28" i="28"/>
  <c r="W30" i="28"/>
  <c r="W39" i="28"/>
  <c r="W40" i="28"/>
  <c r="W27" i="28"/>
  <c r="R22" i="16"/>
  <c r="AA32" i="27" l="1"/>
  <c r="Z45" i="27"/>
  <c r="X45" i="27"/>
  <c r="W45" i="27"/>
  <c r="V45" i="27"/>
  <c r="U45" i="27"/>
  <c r="T45" i="27"/>
  <c r="S45" i="27"/>
  <c r="R45" i="27"/>
  <c r="Q45" i="27"/>
  <c r="P45" i="27"/>
  <c r="O45" i="27"/>
  <c r="N45" i="27"/>
  <c r="M45" i="27"/>
  <c r="K45" i="27"/>
  <c r="J45" i="27"/>
  <c r="H45" i="27"/>
  <c r="V44" i="27"/>
  <c r="U44" i="27"/>
  <c r="S44" i="27"/>
  <c r="R44" i="27"/>
  <c r="O44" i="27"/>
  <c r="N44" i="27"/>
  <c r="K44" i="27"/>
  <c r="J44" i="27"/>
  <c r="AA39" i="27"/>
  <c r="AA38" i="27"/>
  <c r="AA37" i="27"/>
  <c r="AA36" i="27"/>
  <c r="AA35" i="27"/>
  <c r="AA34" i="27"/>
  <c r="AA33" i="27"/>
  <c r="AA31" i="27"/>
  <c r="AA30" i="27"/>
  <c r="AA29" i="27"/>
  <c r="AA28" i="27"/>
  <c r="AA27" i="27"/>
  <c r="AA26" i="27"/>
  <c r="AA25" i="27"/>
  <c r="AA24" i="27"/>
  <c r="AA23" i="27"/>
  <c r="AA22" i="27"/>
  <c r="AA21" i="27"/>
  <c r="AA20" i="27"/>
  <c r="AA19" i="27"/>
  <c r="AA18" i="27"/>
  <c r="AA17" i="27"/>
  <c r="AA16" i="27"/>
  <c r="AA15" i="27"/>
  <c r="AA14" i="27"/>
  <c r="AA13" i="27"/>
  <c r="AA12" i="27"/>
  <c r="AA11" i="27"/>
  <c r="AA10" i="27"/>
  <c r="AA9" i="27"/>
  <c r="AA8" i="27"/>
  <c r="AA7" i="27"/>
  <c r="AA1" i="27"/>
  <c r="M1" i="27"/>
  <c r="AA45" i="27" l="1"/>
  <c r="AA44" i="27"/>
  <c r="B43" i="11" l="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P42" i="10"/>
  <c r="U42" i="10" s="1"/>
  <c r="P43" i="11" l="1"/>
  <c r="U43" i="11" s="1"/>
  <c r="P45" i="11"/>
  <c r="U45" i="11" s="1"/>
  <c r="N45" i="11"/>
  <c r="O45" i="11" s="1"/>
  <c r="A46" i="6" l="1"/>
  <c r="M6" i="9"/>
  <c r="I6" i="9"/>
  <c r="E6" i="9"/>
  <c r="Z40" i="5"/>
  <c r="J44" i="5" l="1"/>
  <c r="R44" i="5"/>
  <c r="S44" i="5"/>
  <c r="U44" i="5"/>
  <c r="V44" i="5"/>
  <c r="H44" i="5"/>
  <c r="I44" i="5"/>
  <c r="K44" i="5"/>
  <c r="L44" i="5"/>
  <c r="O44" i="5"/>
  <c r="H136" i="24"/>
  <c r="E44" i="14"/>
  <c r="K49" i="25"/>
  <c r="K48" i="25"/>
  <c r="D48" i="25"/>
  <c r="K47" i="25"/>
  <c r="A49" i="25"/>
  <c r="A48" i="25"/>
  <c r="A47" i="25"/>
  <c r="F140" i="24"/>
  <c r="E140" i="24"/>
  <c r="C140" i="24"/>
  <c r="B140" i="24"/>
  <c r="B139" i="24"/>
  <c r="B138" i="24"/>
  <c r="B137" i="24"/>
  <c r="A135" i="24"/>
  <c r="C136" i="24"/>
  <c r="B21" i="16"/>
  <c r="C21" i="16"/>
  <c r="D21" i="16"/>
  <c r="E21" i="16"/>
  <c r="F21" i="16"/>
  <c r="L21" i="16"/>
  <c r="E48" i="25"/>
  <c r="F49" i="25"/>
  <c r="D49" i="25"/>
  <c r="B44" i="14"/>
  <c r="G21" i="16"/>
  <c r="D47" i="25" l="1"/>
  <c r="F48" i="25"/>
  <c r="E49" i="25"/>
  <c r="E47" i="25"/>
  <c r="F47" i="25"/>
  <c r="P21" i="16"/>
  <c r="F136" i="24"/>
  <c r="D53" i="16" l="1"/>
  <c r="B53" i="16"/>
  <c r="G42" i="25"/>
  <c r="J42" i="25" s="1"/>
  <c r="D131" i="24" l="1"/>
  <c r="I131" i="24" s="1"/>
  <c r="B40" i="6" l="1"/>
  <c r="E40" i="6" s="1"/>
  <c r="L140" i="24"/>
  <c r="K140" i="24"/>
  <c r="J140" i="24"/>
  <c r="H140" i="24"/>
  <c r="G140" i="24"/>
  <c r="K136" i="24"/>
  <c r="J136" i="24"/>
  <c r="L136" i="24"/>
  <c r="G136" i="24"/>
  <c r="E136" i="24"/>
  <c r="D39" i="31" l="1"/>
  <c r="E41" i="7"/>
  <c r="O15" i="2" l="1"/>
  <c r="D40" i="6" l="1"/>
  <c r="L40" i="6"/>
  <c r="K39" i="31" s="1"/>
  <c r="T40" i="6"/>
  <c r="H40" i="6"/>
  <c r="P40" i="6"/>
  <c r="O40" i="6"/>
  <c r="G40" i="6"/>
  <c r="R40" i="6"/>
  <c r="J40" i="6"/>
  <c r="U40" i="6"/>
  <c r="T36" i="7" s="1"/>
  <c r="M40" i="6"/>
  <c r="S40" i="6"/>
  <c r="K40" i="6"/>
  <c r="C40" i="6"/>
  <c r="N40" i="6"/>
  <c r="F40" i="6"/>
  <c r="Q40" i="6"/>
  <c r="I40" i="6"/>
  <c r="AC41" i="10"/>
  <c r="P42" i="11"/>
  <c r="U42" i="11" s="1"/>
  <c r="P41" i="10"/>
  <c r="U41" i="10" s="1"/>
  <c r="R21" i="16"/>
  <c r="N40" i="25"/>
  <c r="H45" i="5"/>
  <c r="G45" i="5"/>
  <c r="Z39" i="5"/>
  <c r="H39" i="31" l="1"/>
  <c r="I39" i="7"/>
  <c r="B39" i="31"/>
  <c r="C42" i="7"/>
  <c r="P39" i="31"/>
  <c r="P37" i="7"/>
  <c r="M39" i="31"/>
  <c r="M38" i="7"/>
  <c r="J39" i="31"/>
  <c r="K39" i="7"/>
  <c r="L39" i="31"/>
  <c r="L38" i="7"/>
  <c r="I39" i="31"/>
  <c r="J39" i="7"/>
  <c r="F39" i="31"/>
  <c r="G40" i="7"/>
  <c r="O39" i="31"/>
  <c r="O38" i="7"/>
  <c r="S39" i="31"/>
  <c r="S36" i="7"/>
  <c r="C39" i="31"/>
  <c r="D41" i="7"/>
  <c r="E39" i="31"/>
  <c r="F40" i="7"/>
  <c r="R39" i="31"/>
  <c r="R37" i="7"/>
  <c r="Q39" i="31"/>
  <c r="Q37" i="7"/>
  <c r="N39" i="31"/>
  <c r="N38" i="7"/>
  <c r="G39" i="31"/>
  <c r="H40" i="7"/>
  <c r="C43" i="14"/>
  <c r="E43" i="14"/>
  <c r="B20" i="16"/>
  <c r="C20" i="16"/>
  <c r="D20" i="16"/>
  <c r="E20" i="16"/>
  <c r="F20" i="16"/>
  <c r="G20" i="16"/>
  <c r="H20" i="16"/>
  <c r="L20" i="16"/>
  <c r="T39" i="31" l="1"/>
  <c r="C43" i="8"/>
  <c r="G42" i="8"/>
  <c r="O40" i="8"/>
  <c r="S39" i="8"/>
  <c r="T39" i="8"/>
  <c r="B43" i="8"/>
  <c r="P40" i="8"/>
  <c r="C42" i="9"/>
  <c r="D42" i="9" s="1"/>
  <c r="F42" i="8"/>
  <c r="G41" i="9"/>
  <c r="H41" i="9" s="1"/>
  <c r="D25" i="29" s="1"/>
  <c r="N25" i="29" s="1"/>
  <c r="J41" i="8"/>
  <c r="M40" i="8"/>
  <c r="K41" i="8"/>
  <c r="N40" i="8"/>
  <c r="K40" i="9"/>
  <c r="L40" i="9" s="1"/>
  <c r="R39" i="8"/>
  <c r="E42" i="8"/>
  <c r="I41" i="8"/>
  <c r="J20" i="16"/>
  <c r="P20" i="16"/>
  <c r="I20" i="16"/>
  <c r="N20" i="16" s="1"/>
  <c r="F43" i="14"/>
  <c r="G43" i="14" s="1"/>
  <c r="U39" i="8" l="1"/>
  <c r="H42" i="8"/>
  <c r="L41" i="8"/>
  <c r="Q40" i="8"/>
  <c r="AB25" i="29"/>
  <c r="O25" i="29"/>
  <c r="X25" i="29"/>
  <c r="S25" i="29"/>
  <c r="T25" i="29" s="1"/>
  <c r="R54" i="9"/>
  <c r="R55" i="9" s="1"/>
  <c r="D43" i="8"/>
  <c r="I41" i="9"/>
  <c r="E42" i="9"/>
  <c r="M40" i="9"/>
  <c r="T22" i="16"/>
  <c r="E52" i="16"/>
  <c r="S21" i="16"/>
  <c r="B52" i="16"/>
  <c r="D52" i="16"/>
  <c r="C52" i="16"/>
  <c r="Z28" i="29" l="1"/>
  <c r="AA28" i="29"/>
  <c r="Y25" i="29"/>
  <c r="AB43" i="11"/>
  <c r="X43" i="11"/>
  <c r="Y43" i="11" s="1"/>
  <c r="N43" i="11"/>
  <c r="O43" i="11" s="1"/>
  <c r="S43" i="11"/>
  <c r="T43" i="11" s="1"/>
  <c r="O42" i="10"/>
  <c r="AB42" i="10"/>
  <c r="S42" i="10"/>
  <c r="T42" i="10" s="1"/>
  <c r="X42" i="10"/>
  <c r="Y42" i="10" s="1"/>
  <c r="Y21" i="16"/>
  <c r="AE21" i="16" s="1"/>
  <c r="AK21" i="16" s="1"/>
  <c r="C128" i="26"/>
  <c r="B43" i="7" s="1"/>
  <c r="G40" i="25"/>
  <c r="J40" i="25" s="1"/>
  <c r="M40" i="25" s="1"/>
  <c r="G41" i="25"/>
  <c r="G39" i="25"/>
  <c r="J41" i="25" l="1"/>
  <c r="M41" i="25" s="1"/>
  <c r="L138" i="24"/>
  <c r="J139" i="24"/>
  <c r="C139" i="24"/>
  <c r="E139" i="24"/>
  <c r="F139" i="24"/>
  <c r="G139" i="24"/>
  <c r="H139" i="24"/>
  <c r="K139" i="24"/>
  <c r="N139" i="24"/>
  <c r="C138" i="24"/>
  <c r="E138" i="24"/>
  <c r="F138" i="24"/>
  <c r="G138" i="24"/>
  <c r="H138" i="24"/>
  <c r="J138" i="24"/>
  <c r="K138" i="24"/>
  <c r="N138" i="24"/>
  <c r="C137" i="24"/>
  <c r="E137" i="24"/>
  <c r="F137" i="24"/>
  <c r="G137" i="24"/>
  <c r="H137" i="24"/>
  <c r="J137" i="24"/>
  <c r="K137" i="24"/>
  <c r="L137" i="24"/>
  <c r="N137" i="24"/>
  <c r="L139" i="24" l="1"/>
  <c r="D130" i="24"/>
  <c r="I130" i="24" s="1"/>
  <c r="O130" i="24" l="1"/>
  <c r="B128" i="26" s="1"/>
  <c r="B39" i="6"/>
  <c r="B43" i="14"/>
  <c r="P29" i="16"/>
  <c r="Q18" i="24"/>
  <c r="Q17" i="24"/>
  <c r="R20" i="16"/>
  <c r="B19" i="16"/>
  <c r="C19" i="16"/>
  <c r="D19" i="16"/>
  <c r="E19" i="16"/>
  <c r="F19" i="16"/>
  <c r="G19" i="16"/>
  <c r="H19" i="16"/>
  <c r="L19" i="16"/>
  <c r="R19" i="16"/>
  <c r="B42" i="14"/>
  <c r="E42" i="14"/>
  <c r="B45" i="11"/>
  <c r="P41" i="11"/>
  <c r="U41" i="11" s="1"/>
  <c r="AC40" i="10"/>
  <c r="P40" i="10"/>
  <c r="Z38" i="5"/>
  <c r="P50" i="10" l="1"/>
  <c r="P19" i="16"/>
  <c r="C51" i="16" s="1"/>
  <c r="S130" i="24"/>
  <c r="D128" i="26"/>
  <c r="U19" i="30" s="1"/>
  <c r="I19" i="16"/>
  <c r="N19" i="16" s="1"/>
  <c r="J19" i="16"/>
  <c r="U40" i="10"/>
  <c r="N128" i="26" l="1"/>
  <c r="M128" i="26"/>
  <c r="E51" i="16"/>
  <c r="U22" i="16"/>
  <c r="B51" i="16"/>
  <c r="T21" i="16"/>
  <c r="Z21" i="16" s="1"/>
  <c r="AF21" i="16" s="1"/>
  <c r="AL21" i="16" s="1"/>
  <c r="D51" i="16"/>
  <c r="S20" i="16"/>
  <c r="Y20" i="16" s="1"/>
  <c r="C96" i="26"/>
  <c r="B11" i="7" s="1"/>
  <c r="C97" i="26"/>
  <c r="B12" i="7" s="1"/>
  <c r="C98" i="26"/>
  <c r="C99" i="26"/>
  <c r="C100" i="26"/>
  <c r="B15" i="7" s="1"/>
  <c r="C101" i="26"/>
  <c r="C102" i="26"/>
  <c r="B17" i="7" s="1"/>
  <c r="C103" i="26"/>
  <c r="B18" i="7" s="1"/>
  <c r="C104" i="26"/>
  <c r="B19" i="7" s="1"/>
  <c r="C105" i="26"/>
  <c r="C106" i="26"/>
  <c r="C107" i="26"/>
  <c r="C108" i="26"/>
  <c r="C109" i="26"/>
  <c r="C110" i="26"/>
  <c r="B25" i="7" s="1"/>
  <c r="C111" i="26"/>
  <c r="B26" i="7" s="1"/>
  <c r="C112" i="26"/>
  <c r="B27" i="7" s="1"/>
  <c r="C113" i="26"/>
  <c r="C114" i="26"/>
  <c r="F39" i="6" l="1"/>
  <c r="Q39" i="6"/>
  <c r="E39" i="6"/>
  <c r="S39" i="6"/>
  <c r="N39" i="6"/>
  <c r="O39" i="6"/>
  <c r="J39" i="6"/>
  <c r="K39" i="6"/>
  <c r="D39" i="6"/>
  <c r="R39" i="6"/>
  <c r="I39" i="6"/>
  <c r="U39" i="6"/>
  <c r="T35" i="7" s="1"/>
  <c r="M39" i="6"/>
  <c r="C39" i="6"/>
  <c r="T39" i="6"/>
  <c r="P39" i="6"/>
  <c r="L39" i="6"/>
  <c r="K38" i="31" s="1"/>
  <c r="H39" i="6"/>
  <c r="G39" i="6"/>
  <c r="B28" i="7"/>
  <c r="B20" i="7"/>
  <c r="B14" i="7"/>
  <c r="B22" i="7"/>
  <c r="B29" i="7"/>
  <c r="B21" i="7"/>
  <c r="B13" i="7"/>
  <c r="B23" i="7"/>
  <c r="B24" i="7"/>
  <c r="B16" i="7"/>
  <c r="S96" i="24"/>
  <c r="N39" i="25"/>
  <c r="G39" i="7" l="1"/>
  <c r="F38" i="31"/>
  <c r="I38" i="7"/>
  <c r="I40" i="8" s="1"/>
  <c r="H38" i="31"/>
  <c r="E40" i="7"/>
  <c r="C42" i="8" s="1"/>
  <c r="D38" i="31"/>
  <c r="H39" i="7"/>
  <c r="G41" i="8" s="1"/>
  <c r="G38" i="31"/>
  <c r="Q36" i="7"/>
  <c r="S38" i="8" s="1"/>
  <c r="Q38" i="31"/>
  <c r="P36" i="7"/>
  <c r="R38" i="8" s="1"/>
  <c r="P38" i="31"/>
  <c r="L37" i="7"/>
  <c r="M39" i="8" s="1"/>
  <c r="L38" i="31"/>
  <c r="D40" i="7"/>
  <c r="B42" i="8" s="1"/>
  <c r="C38" i="31"/>
  <c r="M37" i="7"/>
  <c r="K39" i="9" s="1"/>
  <c r="L39" i="9" s="1"/>
  <c r="D42" i="11" s="1"/>
  <c r="M38" i="31"/>
  <c r="F39" i="7"/>
  <c r="E41" i="8" s="1"/>
  <c r="E38" i="31"/>
  <c r="S35" i="7"/>
  <c r="S38" i="31"/>
  <c r="J38" i="7"/>
  <c r="J40" i="8" s="1"/>
  <c r="I38" i="31"/>
  <c r="C41" i="7"/>
  <c r="B38" i="31"/>
  <c r="N37" i="7"/>
  <c r="O39" i="8" s="1"/>
  <c r="N38" i="31"/>
  <c r="O37" i="7"/>
  <c r="P39" i="8" s="1"/>
  <c r="O38" i="31"/>
  <c r="K38" i="7"/>
  <c r="K40" i="8" s="1"/>
  <c r="J38" i="31"/>
  <c r="R36" i="7"/>
  <c r="T38" i="8" s="1"/>
  <c r="R38" i="31"/>
  <c r="F41" i="8"/>
  <c r="C41" i="9"/>
  <c r="D41" i="9" s="1"/>
  <c r="C25" i="29" s="1"/>
  <c r="AE20" i="16"/>
  <c r="AK20" i="16" s="1"/>
  <c r="C42" i="14"/>
  <c r="C127" i="26"/>
  <c r="C41" i="14"/>
  <c r="C126" i="26"/>
  <c r="G40" i="9" l="1"/>
  <c r="H40" i="9" s="1"/>
  <c r="U38" i="8"/>
  <c r="D42" i="8"/>
  <c r="Z25" i="29"/>
  <c r="AA25" i="29"/>
  <c r="T38" i="31"/>
  <c r="L40" i="8"/>
  <c r="D24" i="29"/>
  <c r="N39" i="8"/>
  <c r="Q39" i="8" s="1"/>
  <c r="H41" i="8"/>
  <c r="E41" i="9"/>
  <c r="C43" i="11"/>
  <c r="M39" i="9"/>
  <c r="I40" i="9"/>
  <c r="B41" i="7"/>
  <c r="B42" i="7"/>
  <c r="F42" i="14"/>
  <c r="G42" i="14" s="1"/>
  <c r="D129" i="24"/>
  <c r="I129" i="24" s="1"/>
  <c r="L9" i="16"/>
  <c r="L10" i="16"/>
  <c r="L11" i="16"/>
  <c r="L12" i="16"/>
  <c r="L13" i="16"/>
  <c r="L14" i="16"/>
  <c r="L15" i="16"/>
  <c r="L16" i="16"/>
  <c r="L17" i="16"/>
  <c r="L18" i="16"/>
  <c r="L8" i="16"/>
  <c r="L7" i="16"/>
  <c r="A1" i="26"/>
  <c r="J39" i="25"/>
  <c r="M39" i="25" s="1"/>
  <c r="G38" i="25"/>
  <c r="N37" i="25"/>
  <c r="G37" i="25"/>
  <c r="I37" i="25" s="1"/>
  <c r="J37" i="25" s="1"/>
  <c r="M37" i="25" s="1"/>
  <c r="N36" i="25"/>
  <c r="G36" i="25"/>
  <c r="I36" i="25" s="1"/>
  <c r="J36" i="25" s="1"/>
  <c r="M36" i="25" s="1"/>
  <c r="N35" i="25"/>
  <c r="G35" i="25"/>
  <c r="I35" i="25" s="1"/>
  <c r="J35" i="25" s="1"/>
  <c r="M35" i="25" s="1"/>
  <c r="N34" i="25"/>
  <c r="G34" i="25"/>
  <c r="I34" i="25" s="1"/>
  <c r="J34" i="25" s="1"/>
  <c r="M34" i="25" s="1"/>
  <c r="N33" i="25"/>
  <c r="G33" i="25"/>
  <c r="I33" i="25" s="1"/>
  <c r="J33" i="25" s="1"/>
  <c r="M33" i="25" s="1"/>
  <c r="N32" i="25"/>
  <c r="G32" i="25"/>
  <c r="I32" i="25" s="1"/>
  <c r="J32" i="25" s="1"/>
  <c r="M32" i="25" s="1"/>
  <c r="N31" i="25"/>
  <c r="G31" i="25"/>
  <c r="I31" i="25" s="1"/>
  <c r="J31" i="25" s="1"/>
  <c r="M31" i="25" s="1"/>
  <c r="N30" i="25"/>
  <c r="G30" i="25"/>
  <c r="I30" i="25" s="1"/>
  <c r="J30" i="25" s="1"/>
  <c r="M30" i="25" s="1"/>
  <c r="N29" i="25"/>
  <c r="G29" i="25"/>
  <c r="I29" i="25" s="1"/>
  <c r="J29" i="25" s="1"/>
  <c r="M29" i="25" s="1"/>
  <c r="N28" i="25"/>
  <c r="G28" i="25"/>
  <c r="G27" i="25"/>
  <c r="I27" i="25" s="1"/>
  <c r="J27" i="25" s="1"/>
  <c r="B25" i="28" s="1"/>
  <c r="G26" i="25"/>
  <c r="I26" i="25" s="1"/>
  <c r="J26" i="25" s="1"/>
  <c r="G25" i="25"/>
  <c r="I25" i="25" s="1"/>
  <c r="J25" i="25" s="1"/>
  <c r="G24" i="25"/>
  <c r="G23" i="25"/>
  <c r="I23" i="25" s="1"/>
  <c r="J23" i="25" s="1"/>
  <c r="G22" i="25"/>
  <c r="I22" i="25" s="1"/>
  <c r="J22" i="25" s="1"/>
  <c r="G21" i="25"/>
  <c r="I21" i="25" s="1"/>
  <c r="J21" i="25" s="1"/>
  <c r="G20" i="25"/>
  <c r="I20" i="25" s="1"/>
  <c r="J20" i="25" s="1"/>
  <c r="G19" i="25"/>
  <c r="I19" i="25" s="1"/>
  <c r="J19" i="25" s="1"/>
  <c r="G18" i="25"/>
  <c r="I18" i="25" s="1"/>
  <c r="J18" i="25" s="1"/>
  <c r="G17" i="25"/>
  <c r="I17" i="25" s="1"/>
  <c r="J17" i="25" s="1"/>
  <c r="G16" i="25"/>
  <c r="I16" i="25" s="1"/>
  <c r="J16" i="25" s="1"/>
  <c r="G15" i="25"/>
  <c r="I15" i="25" s="1"/>
  <c r="J15" i="25" s="1"/>
  <c r="G14" i="25"/>
  <c r="I14" i="25" s="1"/>
  <c r="J14" i="25" s="1"/>
  <c r="G13" i="25"/>
  <c r="I13" i="25" s="1"/>
  <c r="J13" i="25" s="1"/>
  <c r="G12" i="25"/>
  <c r="I12" i="25" s="1"/>
  <c r="J12" i="25" s="1"/>
  <c r="G11" i="25"/>
  <c r="I11" i="25" s="1"/>
  <c r="J11" i="25" s="1"/>
  <c r="G10" i="25"/>
  <c r="I10" i="25" s="1"/>
  <c r="J10" i="25" s="1"/>
  <c r="G9" i="25"/>
  <c r="G8" i="25"/>
  <c r="I8" i="25" s="1"/>
  <c r="J8" i="25" s="1"/>
  <c r="M8" i="25" s="1"/>
  <c r="I7" i="25"/>
  <c r="J7" i="25" s="1"/>
  <c r="M7" i="25" s="1"/>
  <c r="G7" i="25"/>
  <c r="A1" i="25"/>
  <c r="H11" i="16"/>
  <c r="H12" i="16"/>
  <c r="H13" i="16"/>
  <c r="H14" i="16"/>
  <c r="H15" i="16"/>
  <c r="H16" i="16"/>
  <c r="H18" i="16"/>
  <c r="H8" i="16"/>
  <c r="H9" i="16"/>
  <c r="H10" i="16"/>
  <c r="H7" i="16"/>
  <c r="G8" i="16"/>
  <c r="G9" i="16"/>
  <c r="G10" i="16"/>
  <c r="G11" i="16"/>
  <c r="G12" i="16"/>
  <c r="G13" i="16"/>
  <c r="G14" i="16"/>
  <c r="G15" i="16"/>
  <c r="G16" i="16"/>
  <c r="G17" i="16"/>
  <c r="G18" i="16"/>
  <c r="G7" i="16"/>
  <c r="E8" i="16"/>
  <c r="F8" i="16"/>
  <c r="E9" i="16"/>
  <c r="F9" i="16"/>
  <c r="E10" i="16"/>
  <c r="F10" i="16"/>
  <c r="E11" i="16"/>
  <c r="F11" i="16"/>
  <c r="E12" i="16"/>
  <c r="F12" i="16"/>
  <c r="E13" i="16"/>
  <c r="F13" i="16"/>
  <c r="E14" i="16"/>
  <c r="F14" i="16"/>
  <c r="E15" i="16"/>
  <c r="F15" i="16"/>
  <c r="E16" i="16"/>
  <c r="F16" i="16"/>
  <c r="E17" i="16"/>
  <c r="F17" i="16"/>
  <c r="E18" i="16"/>
  <c r="F18" i="16"/>
  <c r="F7" i="16"/>
  <c r="E7" i="16"/>
  <c r="D8" i="16"/>
  <c r="D9" i="16"/>
  <c r="D10" i="16"/>
  <c r="D11" i="16"/>
  <c r="D12" i="16"/>
  <c r="D13" i="16"/>
  <c r="D14" i="16"/>
  <c r="D15" i="16"/>
  <c r="D16" i="16"/>
  <c r="D17" i="16"/>
  <c r="D18" i="16"/>
  <c r="D7" i="16"/>
  <c r="C8" i="16"/>
  <c r="C9" i="16"/>
  <c r="C10" i="16"/>
  <c r="C11" i="16"/>
  <c r="C12" i="16"/>
  <c r="C13" i="16"/>
  <c r="C14" i="16"/>
  <c r="C15" i="16"/>
  <c r="C16" i="16"/>
  <c r="C17" i="16"/>
  <c r="C18" i="16"/>
  <c r="C7" i="16"/>
  <c r="B8" i="16"/>
  <c r="B9" i="16"/>
  <c r="B10" i="16"/>
  <c r="B11" i="16"/>
  <c r="B12" i="16"/>
  <c r="B13" i="16"/>
  <c r="B14" i="16"/>
  <c r="B15" i="16"/>
  <c r="B16" i="16"/>
  <c r="B17" i="16"/>
  <c r="B18" i="16"/>
  <c r="B7" i="16"/>
  <c r="A1" i="24"/>
  <c r="O1" i="24"/>
  <c r="D8" i="24"/>
  <c r="I8" i="24" s="1"/>
  <c r="O8" i="24" s="1"/>
  <c r="Q8" i="24"/>
  <c r="D9" i="24"/>
  <c r="Q9" i="24"/>
  <c r="D10" i="24"/>
  <c r="Q10" i="24"/>
  <c r="D11" i="24"/>
  <c r="Q11" i="24"/>
  <c r="D12" i="24"/>
  <c r="Q12" i="24"/>
  <c r="D13" i="24"/>
  <c r="Q13" i="24"/>
  <c r="D14" i="24"/>
  <c r="Q14" i="24"/>
  <c r="D15" i="24"/>
  <c r="Q15" i="24"/>
  <c r="D16" i="24"/>
  <c r="Q16" i="24"/>
  <c r="D17" i="24"/>
  <c r="D18" i="24"/>
  <c r="D19" i="24"/>
  <c r="Q19" i="24"/>
  <c r="D20" i="24"/>
  <c r="Q20" i="24"/>
  <c r="D21" i="24"/>
  <c r="Q21" i="24"/>
  <c r="D22" i="24"/>
  <c r="Q22" i="24"/>
  <c r="D23" i="24"/>
  <c r="Q23" i="24"/>
  <c r="D24" i="24"/>
  <c r="Q24" i="24"/>
  <c r="D25" i="24"/>
  <c r="Q25" i="24"/>
  <c r="D26" i="24"/>
  <c r="Q26" i="24"/>
  <c r="D27" i="24"/>
  <c r="I27" i="24" s="1"/>
  <c r="O27" i="24" s="1"/>
  <c r="Q27" i="24"/>
  <c r="D28" i="24"/>
  <c r="D29" i="24"/>
  <c r="D30" i="24"/>
  <c r="I30" i="24" s="1"/>
  <c r="O30" i="24" s="1"/>
  <c r="D31" i="24"/>
  <c r="D32" i="24"/>
  <c r="I32" i="24" s="1"/>
  <c r="O32" i="24" s="1"/>
  <c r="D33" i="24"/>
  <c r="D34" i="24"/>
  <c r="I34" i="24" s="1"/>
  <c r="O34" i="24" s="1"/>
  <c r="D35" i="24"/>
  <c r="D36" i="24"/>
  <c r="I36" i="24" s="1"/>
  <c r="O36" i="24" s="1"/>
  <c r="D37" i="24"/>
  <c r="D38" i="24"/>
  <c r="D39" i="24"/>
  <c r="I39" i="24" s="1"/>
  <c r="O39" i="24" s="1"/>
  <c r="D40" i="24"/>
  <c r="I40" i="24" s="1"/>
  <c r="O40" i="24" s="1"/>
  <c r="D41" i="24"/>
  <c r="D42" i="24"/>
  <c r="I42" i="24" s="1"/>
  <c r="O42" i="24" s="1"/>
  <c r="D43" i="24"/>
  <c r="D44" i="24"/>
  <c r="I44" i="24" s="1"/>
  <c r="O44" i="24" s="1"/>
  <c r="D45" i="24"/>
  <c r="D46" i="24"/>
  <c r="I46" i="24" s="1"/>
  <c r="O46" i="24" s="1"/>
  <c r="D47" i="24"/>
  <c r="D48" i="24"/>
  <c r="D49" i="24"/>
  <c r="D50" i="24"/>
  <c r="I50" i="24" s="1"/>
  <c r="O50" i="24" s="1"/>
  <c r="D51" i="24"/>
  <c r="D52" i="24"/>
  <c r="I52" i="24" s="1"/>
  <c r="O52" i="24" s="1"/>
  <c r="D53" i="24"/>
  <c r="D54" i="24"/>
  <c r="I54" i="24" s="1"/>
  <c r="O54" i="24" s="1"/>
  <c r="D55" i="24"/>
  <c r="D56" i="24"/>
  <c r="I56" i="24" s="1"/>
  <c r="O56" i="24" s="1"/>
  <c r="D57" i="24"/>
  <c r="D58" i="24"/>
  <c r="D59" i="24"/>
  <c r="D60" i="24"/>
  <c r="I60" i="24" s="1"/>
  <c r="O60" i="24" s="1"/>
  <c r="D61" i="24"/>
  <c r="I61" i="24" s="1"/>
  <c r="O61" i="24" s="1"/>
  <c r="D62" i="24"/>
  <c r="I62" i="24" s="1"/>
  <c r="O62" i="24" s="1"/>
  <c r="D63" i="24"/>
  <c r="D64" i="24"/>
  <c r="I64" i="24" s="1"/>
  <c r="O64" i="24" s="1"/>
  <c r="D65" i="24"/>
  <c r="D66" i="24"/>
  <c r="I66" i="24" s="1"/>
  <c r="O66" i="24" s="1"/>
  <c r="D67" i="24"/>
  <c r="D68" i="24"/>
  <c r="D69" i="24"/>
  <c r="D70" i="24"/>
  <c r="I70" i="24" s="1"/>
  <c r="O70" i="24" s="1"/>
  <c r="D71" i="24"/>
  <c r="D72" i="24"/>
  <c r="I72" i="24" s="1"/>
  <c r="O72" i="24" s="1"/>
  <c r="D73" i="24"/>
  <c r="D74" i="24"/>
  <c r="I74" i="24" s="1"/>
  <c r="O74" i="24" s="1"/>
  <c r="D75" i="24"/>
  <c r="D76" i="24"/>
  <c r="I76" i="24" s="1"/>
  <c r="O76" i="24" s="1"/>
  <c r="D77" i="24"/>
  <c r="D78" i="24"/>
  <c r="D79" i="24"/>
  <c r="D80" i="24"/>
  <c r="I80" i="24" s="1"/>
  <c r="O80" i="24" s="1"/>
  <c r="D81" i="24"/>
  <c r="D82" i="24"/>
  <c r="I82" i="24" s="1"/>
  <c r="O82" i="24" s="1"/>
  <c r="D83" i="24"/>
  <c r="D84" i="24"/>
  <c r="I84" i="24" s="1"/>
  <c r="N84" i="24"/>
  <c r="D85" i="24"/>
  <c r="I85" i="24" s="1"/>
  <c r="N85" i="24"/>
  <c r="D86" i="24"/>
  <c r="I86" i="24" s="1"/>
  <c r="N86" i="24"/>
  <c r="D87" i="24"/>
  <c r="I87" i="24" s="1"/>
  <c r="N87" i="24"/>
  <c r="D88" i="24"/>
  <c r="I88" i="24" s="1"/>
  <c r="N88" i="24"/>
  <c r="D89" i="24"/>
  <c r="I89" i="24" s="1"/>
  <c r="N89" i="24"/>
  <c r="D90" i="24"/>
  <c r="I90" i="24" s="1"/>
  <c r="N90" i="24"/>
  <c r="D91" i="24"/>
  <c r="I91" i="24" s="1"/>
  <c r="N91" i="24"/>
  <c r="D92" i="24"/>
  <c r="I92" i="24" s="1"/>
  <c r="N92" i="24"/>
  <c r="D93" i="24"/>
  <c r="I93" i="24" s="1"/>
  <c r="N93" i="24"/>
  <c r="D94" i="24"/>
  <c r="I94" i="24" s="1"/>
  <c r="N94" i="24"/>
  <c r="D95" i="24"/>
  <c r="D96" i="24"/>
  <c r="I96" i="24" s="1"/>
  <c r="O96" i="24" s="1"/>
  <c r="D97" i="24"/>
  <c r="I97" i="24" s="1"/>
  <c r="O97" i="24" s="1"/>
  <c r="D98" i="24"/>
  <c r="I98" i="24" s="1"/>
  <c r="D99" i="24"/>
  <c r="I99" i="24" s="1"/>
  <c r="D100" i="24"/>
  <c r="D101" i="24"/>
  <c r="I101" i="24" s="1"/>
  <c r="D102" i="24"/>
  <c r="D103" i="24"/>
  <c r="I103" i="24" s="1"/>
  <c r="D104" i="24"/>
  <c r="D105" i="24"/>
  <c r="I105" i="24" s="1"/>
  <c r="D106" i="24"/>
  <c r="D107" i="24"/>
  <c r="I107" i="24" s="1"/>
  <c r="D108" i="24"/>
  <c r="D109" i="24"/>
  <c r="I109" i="24" s="1"/>
  <c r="D110" i="24"/>
  <c r="D111" i="24"/>
  <c r="I111" i="24" s="1"/>
  <c r="D112" i="24"/>
  <c r="D113" i="24"/>
  <c r="I113" i="24" s="1"/>
  <c r="D114" i="24"/>
  <c r="D115" i="24"/>
  <c r="I115" i="24" s="1"/>
  <c r="D116" i="24"/>
  <c r="D117" i="24"/>
  <c r="I117" i="24" s="1"/>
  <c r="D118" i="24"/>
  <c r="I118" i="24" s="1"/>
  <c r="D119" i="24"/>
  <c r="I119" i="24" s="1"/>
  <c r="D120" i="24"/>
  <c r="I120" i="24" s="1"/>
  <c r="D121" i="24"/>
  <c r="I121" i="24" s="1"/>
  <c r="D122" i="24"/>
  <c r="I122" i="24" s="1"/>
  <c r="D123" i="24"/>
  <c r="I123" i="24" s="1"/>
  <c r="D124" i="24"/>
  <c r="I124" i="24" s="1"/>
  <c r="D125" i="24"/>
  <c r="I125" i="24" s="1"/>
  <c r="D126" i="24"/>
  <c r="I126" i="24" s="1"/>
  <c r="D127" i="24"/>
  <c r="I127" i="24" s="1"/>
  <c r="M127" i="24"/>
  <c r="D128" i="24"/>
  <c r="I128" i="24" s="1"/>
  <c r="O94" i="24" l="1"/>
  <c r="O92" i="24"/>
  <c r="O90" i="24"/>
  <c r="O88" i="24"/>
  <c r="O86" i="24"/>
  <c r="O84" i="24"/>
  <c r="B82" i="26" s="1"/>
  <c r="O93" i="24"/>
  <c r="O91" i="24"/>
  <c r="O89" i="24"/>
  <c r="O87" i="24"/>
  <c r="B85" i="26" s="1"/>
  <c r="M13" i="25"/>
  <c r="C15" i="14" s="1"/>
  <c r="B11" i="28"/>
  <c r="O126" i="24"/>
  <c r="B124" i="26" s="1"/>
  <c r="B35" i="6"/>
  <c r="O118" i="24"/>
  <c r="B116" i="26" s="1"/>
  <c r="B27" i="6"/>
  <c r="I114" i="24"/>
  <c r="I106" i="24"/>
  <c r="I102" i="24"/>
  <c r="I77" i="24"/>
  <c r="O77" i="24" s="1"/>
  <c r="B75" i="26" s="1"/>
  <c r="I49" i="24"/>
  <c r="O49" i="24" s="1"/>
  <c r="B47" i="26" s="1"/>
  <c r="I41" i="24"/>
  <c r="O41" i="24" s="1"/>
  <c r="B39" i="26" s="1"/>
  <c r="I33" i="24"/>
  <c r="O33" i="24" s="1"/>
  <c r="B31" i="26" s="1"/>
  <c r="I29" i="24"/>
  <c r="O29" i="24" s="1"/>
  <c r="B27" i="26" s="1"/>
  <c r="M12" i="25"/>
  <c r="C14" i="14" s="1"/>
  <c r="B10" i="28"/>
  <c r="M19" i="25"/>
  <c r="C21" i="14" s="1"/>
  <c r="B17" i="28"/>
  <c r="M23" i="25"/>
  <c r="C25" i="14" s="1"/>
  <c r="B21" i="28"/>
  <c r="O129" i="24"/>
  <c r="B38" i="6"/>
  <c r="O128" i="24"/>
  <c r="B126" i="26" s="1"/>
  <c r="B37" i="6"/>
  <c r="O121" i="24"/>
  <c r="B30" i="6"/>
  <c r="O113" i="24"/>
  <c r="B111" i="26" s="1"/>
  <c r="D111" i="26" s="1"/>
  <c r="B22" i="6"/>
  <c r="O105" i="24"/>
  <c r="B103" i="26" s="1"/>
  <c r="D103" i="26" s="1"/>
  <c r="B14" i="6"/>
  <c r="I9" i="25"/>
  <c r="G47" i="25"/>
  <c r="M16" i="25"/>
  <c r="C18" i="14" s="1"/>
  <c r="B14" i="28"/>
  <c r="I28" i="25"/>
  <c r="G49" i="25"/>
  <c r="AB24" i="29"/>
  <c r="N24" i="29"/>
  <c r="O24" i="29" s="1"/>
  <c r="X24" i="29"/>
  <c r="Y24" i="29" s="1"/>
  <c r="S24" i="29"/>
  <c r="T24" i="29" s="1"/>
  <c r="O127" i="24"/>
  <c r="B125" i="26" s="1"/>
  <c r="B36" i="6"/>
  <c r="O123" i="24"/>
  <c r="B121" i="26" s="1"/>
  <c r="B32" i="6"/>
  <c r="O119" i="24"/>
  <c r="B117" i="26" s="1"/>
  <c r="B28" i="6"/>
  <c r="O115" i="24"/>
  <c r="B113" i="26" s="1"/>
  <c r="D113" i="26" s="1"/>
  <c r="B24" i="6"/>
  <c r="O111" i="24"/>
  <c r="B109" i="26" s="1"/>
  <c r="D109" i="26" s="1"/>
  <c r="B20" i="6"/>
  <c r="O107" i="24"/>
  <c r="B105" i="26" s="1"/>
  <c r="D105" i="26" s="1"/>
  <c r="B16" i="6"/>
  <c r="O103" i="24"/>
  <c r="B101" i="26" s="1"/>
  <c r="D101" i="26" s="1"/>
  <c r="B12" i="6"/>
  <c r="O99" i="24"/>
  <c r="B97" i="26" s="1"/>
  <c r="B8" i="6"/>
  <c r="I95" i="24"/>
  <c r="O95" i="24" s="1"/>
  <c r="B93" i="26" s="1"/>
  <c r="I78" i="24"/>
  <c r="O78" i="24" s="1"/>
  <c r="B76" i="26" s="1"/>
  <c r="I58" i="24"/>
  <c r="O58" i="24" s="1"/>
  <c r="B56" i="26" s="1"/>
  <c r="I38" i="24"/>
  <c r="O38" i="24" s="1"/>
  <c r="B36" i="26" s="1"/>
  <c r="I25" i="24"/>
  <c r="O25" i="24" s="1"/>
  <c r="B23" i="26" s="1"/>
  <c r="I23" i="24"/>
  <c r="O23" i="24" s="1"/>
  <c r="B21" i="26" s="1"/>
  <c r="I21" i="24"/>
  <c r="O21" i="24" s="1"/>
  <c r="B19" i="26" s="1"/>
  <c r="I19" i="24"/>
  <c r="O19" i="24" s="1"/>
  <c r="B17" i="26" s="1"/>
  <c r="I16" i="24"/>
  <c r="O16" i="24" s="1"/>
  <c r="B14" i="26" s="1"/>
  <c r="I14" i="24"/>
  <c r="O14" i="24" s="1"/>
  <c r="B12" i="26" s="1"/>
  <c r="I12" i="24"/>
  <c r="O12" i="24" s="1"/>
  <c r="B10" i="26" s="1"/>
  <c r="I10" i="24"/>
  <c r="O10" i="24" s="1"/>
  <c r="B8" i="26" s="1"/>
  <c r="M11" i="25"/>
  <c r="C13" i="14" s="1"/>
  <c r="B9" i="28"/>
  <c r="M14" i="25"/>
  <c r="C16" i="14" s="1"/>
  <c r="B12" i="28"/>
  <c r="M18" i="25"/>
  <c r="C20" i="14" s="1"/>
  <c r="B16" i="28"/>
  <c r="M22" i="25"/>
  <c r="C24" i="14" s="1"/>
  <c r="B20" i="28"/>
  <c r="M26" i="25"/>
  <c r="C28" i="14" s="1"/>
  <c r="B24" i="28"/>
  <c r="O122" i="24"/>
  <c r="B120" i="26" s="1"/>
  <c r="B31" i="6"/>
  <c r="I110" i="24"/>
  <c r="O98" i="24"/>
  <c r="B96" i="26" s="1"/>
  <c r="D96" i="26" s="1"/>
  <c r="B7" i="6"/>
  <c r="I81" i="24"/>
  <c r="O81" i="24" s="1"/>
  <c r="B79" i="26" s="1"/>
  <c r="I73" i="24"/>
  <c r="O73" i="24" s="1"/>
  <c r="B71" i="26" s="1"/>
  <c r="I69" i="24"/>
  <c r="O69" i="24" s="1"/>
  <c r="B67" i="26" s="1"/>
  <c r="I65" i="24"/>
  <c r="O65" i="24" s="1"/>
  <c r="B63" i="26" s="1"/>
  <c r="I57" i="24"/>
  <c r="O57" i="24" s="1"/>
  <c r="B55" i="26" s="1"/>
  <c r="I53" i="24"/>
  <c r="O53" i="24" s="1"/>
  <c r="B51" i="26" s="1"/>
  <c r="I45" i="24"/>
  <c r="O45" i="24" s="1"/>
  <c r="B43" i="26" s="1"/>
  <c r="I37" i="24"/>
  <c r="O37" i="24" s="1"/>
  <c r="B35" i="26" s="1"/>
  <c r="I18" i="24"/>
  <c r="O18" i="24" s="1"/>
  <c r="B16" i="26" s="1"/>
  <c r="M15" i="25"/>
  <c r="C17" i="14" s="1"/>
  <c r="B13" i="28"/>
  <c r="F25" i="28"/>
  <c r="J25" i="28"/>
  <c r="N25" i="28"/>
  <c r="R25" i="28"/>
  <c r="V25" i="28"/>
  <c r="C25" i="28"/>
  <c r="G25" i="28"/>
  <c r="K25" i="28"/>
  <c r="O25" i="28"/>
  <c r="S25" i="28"/>
  <c r="E25" i="28"/>
  <c r="I25" i="28"/>
  <c r="M25" i="28"/>
  <c r="Q25" i="28"/>
  <c r="U25" i="28"/>
  <c r="H25" i="28"/>
  <c r="L25" i="28"/>
  <c r="D25" i="28"/>
  <c r="T25" i="28"/>
  <c r="P25" i="28"/>
  <c r="O125" i="24"/>
  <c r="B34" i="6"/>
  <c r="O117" i="24"/>
  <c r="B26" i="6"/>
  <c r="O109" i="24"/>
  <c r="B18" i="6"/>
  <c r="O101" i="24"/>
  <c r="B99" i="26" s="1"/>
  <c r="D99" i="26" s="1"/>
  <c r="B10" i="6"/>
  <c r="I68" i="24"/>
  <c r="O68" i="24" s="1"/>
  <c r="B66" i="26" s="1"/>
  <c r="I48" i="24"/>
  <c r="O48" i="24" s="1"/>
  <c r="B46" i="26" s="1"/>
  <c r="I28" i="24"/>
  <c r="O28" i="24" s="1"/>
  <c r="B26" i="26" s="1"/>
  <c r="I26" i="24"/>
  <c r="O26" i="24" s="1"/>
  <c r="B24" i="26" s="1"/>
  <c r="I24" i="24"/>
  <c r="O24" i="24" s="1"/>
  <c r="B22" i="26" s="1"/>
  <c r="I22" i="24"/>
  <c r="O22" i="24" s="1"/>
  <c r="B20" i="26" s="1"/>
  <c r="I20" i="24"/>
  <c r="O20" i="24" s="1"/>
  <c r="B18" i="26" s="1"/>
  <c r="I17" i="24"/>
  <c r="O17" i="24" s="1"/>
  <c r="B15" i="26" s="1"/>
  <c r="I15" i="24"/>
  <c r="O15" i="24" s="1"/>
  <c r="B13" i="26" s="1"/>
  <c r="I13" i="24"/>
  <c r="O13" i="24" s="1"/>
  <c r="B11" i="26" s="1"/>
  <c r="I11" i="24"/>
  <c r="O11" i="24" s="1"/>
  <c r="B9" i="26" s="1"/>
  <c r="I9" i="24"/>
  <c r="O9" i="24" s="1"/>
  <c r="B7" i="26" s="1"/>
  <c r="M20" i="25"/>
  <c r="C22" i="14" s="1"/>
  <c r="B18" i="28"/>
  <c r="I24" i="25"/>
  <c r="G48" i="25"/>
  <c r="N38" i="25"/>
  <c r="M139" i="24"/>
  <c r="O124" i="24"/>
  <c r="B33" i="6"/>
  <c r="O120" i="24"/>
  <c r="B118" i="26" s="1"/>
  <c r="B29" i="6"/>
  <c r="I116" i="24"/>
  <c r="I112" i="24"/>
  <c r="I108" i="24"/>
  <c r="I104" i="24"/>
  <c r="I100" i="24"/>
  <c r="O85" i="24"/>
  <c r="B83" i="26" s="1"/>
  <c r="I83" i="24"/>
  <c r="O83" i="24" s="1"/>
  <c r="B81" i="26" s="1"/>
  <c r="I79" i="24"/>
  <c r="O79" i="24" s="1"/>
  <c r="B77" i="26" s="1"/>
  <c r="I75" i="24"/>
  <c r="O75" i="24" s="1"/>
  <c r="B73" i="26" s="1"/>
  <c r="I71" i="24"/>
  <c r="O71" i="24" s="1"/>
  <c r="B69" i="26" s="1"/>
  <c r="I67" i="24"/>
  <c r="O67" i="24" s="1"/>
  <c r="B65" i="26" s="1"/>
  <c r="I63" i="24"/>
  <c r="O63" i="24" s="1"/>
  <c r="B61" i="26" s="1"/>
  <c r="I59" i="24"/>
  <c r="O59" i="24" s="1"/>
  <c r="B57" i="26" s="1"/>
  <c r="I55" i="24"/>
  <c r="O55" i="24" s="1"/>
  <c r="B53" i="26" s="1"/>
  <c r="I51" i="24"/>
  <c r="O51" i="24" s="1"/>
  <c r="B49" i="26" s="1"/>
  <c r="I47" i="24"/>
  <c r="O47" i="24" s="1"/>
  <c r="B45" i="26" s="1"/>
  <c r="I43" i="24"/>
  <c r="O43" i="24" s="1"/>
  <c r="B41" i="26" s="1"/>
  <c r="I35" i="24"/>
  <c r="O35" i="24" s="1"/>
  <c r="B33" i="26" s="1"/>
  <c r="I31" i="24"/>
  <c r="O31" i="24" s="1"/>
  <c r="B29" i="26" s="1"/>
  <c r="M10" i="25"/>
  <c r="C12" i="14" s="1"/>
  <c r="B8" i="28"/>
  <c r="M17" i="25"/>
  <c r="C19" i="14" s="1"/>
  <c r="B15" i="28"/>
  <c r="M21" i="25"/>
  <c r="C23" i="14" s="1"/>
  <c r="B19" i="28"/>
  <c r="M25" i="25"/>
  <c r="C27" i="14" s="1"/>
  <c r="B23" i="28"/>
  <c r="X28" i="29"/>
  <c r="Y28" i="29" s="1"/>
  <c r="S28" i="29"/>
  <c r="T28" i="29" s="1"/>
  <c r="AA43" i="11"/>
  <c r="Z43" i="11"/>
  <c r="Z42" i="10"/>
  <c r="AA42" i="10"/>
  <c r="B25" i="26"/>
  <c r="D140" i="24"/>
  <c r="M27" i="25"/>
  <c r="C29" i="14" s="1"/>
  <c r="D146" i="24"/>
  <c r="D137" i="24"/>
  <c r="D139" i="24"/>
  <c r="D138" i="24"/>
  <c r="D144" i="24"/>
  <c r="D145" i="24"/>
  <c r="D136" i="24"/>
  <c r="N41" i="10"/>
  <c r="O41" i="10" s="1"/>
  <c r="X41" i="10"/>
  <c r="Y41" i="10" s="1"/>
  <c r="S41" i="10"/>
  <c r="T41" i="10" s="1"/>
  <c r="AB41" i="10"/>
  <c r="N42" i="11"/>
  <c r="O42" i="11" s="1"/>
  <c r="AB42" i="11"/>
  <c r="S42" i="11"/>
  <c r="T42" i="11" s="1"/>
  <c r="X42" i="11"/>
  <c r="Y42" i="11" s="1"/>
  <c r="N136" i="24"/>
  <c r="N140" i="24"/>
  <c r="P15" i="16"/>
  <c r="P11" i="16"/>
  <c r="P14" i="16"/>
  <c r="P17" i="16"/>
  <c r="P13" i="16"/>
  <c r="P9" i="16"/>
  <c r="P8" i="16"/>
  <c r="P18" i="16"/>
  <c r="P10" i="16"/>
  <c r="P7" i="16"/>
  <c r="P16" i="16"/>
  <c r="P12" i="16"/>
  <c r="C125" i="26"/>
  <c r="C31" i="14"/>
  <c r="C116" i="26"/>
  <c r="C35" i="14"/>
  <c r="C120" i="26"/>
  <c r="C39" i="14"/>
  <c r="C124" i="26"/>
  <c r="C32" i="14"/>
  <c r="C117" i="26"/>
  <c r="C36" i="14"/>
  <c r="C121" i="26"/>
  <c r="H17" i="16"/>
  <c r="C30" i="14"/>
  <c r="C115" i="26"/>
  <c r="C34" i="14"/>
  <c r="C119" i="26"/>
  <c r="C38" i="14"/>
  <c r="C123" i="26"/>
  <c r="Q124" i="24"/>
  <c r="C33" i="14"/>
  <c r="C118" i="26"/>
  <c r="C37" i="14"/>
  <c r="C122" i="26"/>
  <c r="F26" i="16"/>
  <c r="G26" i="16"/>
  <c r="L26" i="16"/>
  <c r="D26" i="16"/>
  <c r="E26" i="16"/>
  <c r="C26" i="16"/>
  <c r="J38" i="25"/>
  <c r="Q46" i="24"/>
  <c r="Q84" i="24"/>
  <c r="Q65" i="24"/>
  <c r="B92" i="26"/>
  <c r="Q67" i="24"/>
  <c r="Q41" i="24"/>
  <c r="Q89" i="24"/>
  <c r="Q69" i="24"/>
  <c r="Q56" i="24"/>
  <c r="Q97" i="24"/>
  <c r="B88" i="26"/>
  <c r="Q57" i="24"/>
  <c r="B122" i="26"/>
  <c r="Q118" i="24"/>
  <c r="Q108" i="24"/>
  <c r="Q98" i="24"/>
  <c r="Q79" i="24"/>
  <c r="Q75" i="24"/>
  <c r="Q66" i="24"/>
  <c r="B59" i="26"/>
  <c r="Q51" i="24"/>
  <c r="Q37" i="24"/>
  <c r="Q123" i="24"/>
  <c r="Q113" i="24"/>
  <c r="Q103" i="24"/>
  <c r="B89" i="26"/>
  <c r="Q87" i="24"/>
  <c r="Q76" i="24"/>
  <c r="Q61" i="24"/>
  <c r="Q47" i="24"/>
  <c r="Q33" i="24"/>
  <c r="Q71" i="24"/>
  <c r="Q99" i="24"/>
  <c r="B86" i="26"/>
  <c r="Q53" i="24"/>
  <c r="B37" i="26"/>
  <c r="Q125" i="24"/>
  <c r="Q105" i="24"/>
  <c r="Q77" i="24"/>
  <c r="Q39" i="24"/>
  <c r="Q35" i="24"/>
  <c r="Q109" i="24"/>
  <c r="Q85" i="24"/>
  <c r="I7" i="16"/>
  <c r="Q115" i="24"/>
  <c r="Q63" i="24"/>
  <c r="B91" i="26"/>
  <c r="B87" i="26"/>
  <c r="B84" i="26"/>
  <c r="Q73" i="24"/>
  <c r="Q49" i="24"/>
  <c r="Q45" i="24"/>
  <c r="Q36" i="24"/>
  <c r="Q43" i="24"/>
  <c r="Q119" i="24"/>
  <c r="B90" i="26"/>
  <c r="Q81" i="24"/>
  <c r="Q29" i="24"/>
  <c r="Q96" i="24"/>
  <c r="Q107" i="24"/>
  <c r="Q121" i="24"/>
  <c r="Q111" i="24"/>
  <c r="Q101" i="24"/>
  <c r="Q88" i="24"/>
  <c r="Q86" i="24"/>
  <c r="Q83" i="24"/>
  <c r="Q59" i="24"/>
  <c r="Q55" i="24"/>
  <c r="Q31" i="24"/>
  <c r="Q126" i="24"/>
  <c r="B123" i="26"/>
  <c r="Q122" i="24"/>
  <c r="Q120" i="24"/>
  <c r="Q116" i="24"/>
  <c r="Q114" i="24"/>
  <c r="Q112" i="24"/>
  <c r="Q110" i="24"/>
  <c r="B107" i="26"/>
  <c r="D107" i="26" s="1"/>
  <c r="Q106" i="24"/>
  <c r="Q104" i="24"/>
  <c r="Q102" i="24"/>
  <c r="Q100" i="24"/>
  <c r="B95" i="26"/>
  <c r="B94" i="26"/>
  <c r="Q95" i="24"/>
  <c r="Q82" i="24"/>
  <c r="Q80" i="24"/>
  <c r="Q78" i="24"/>
  <c r="Q74" i="24"/>
  <c r="Q72" i="24"/>
  <c r="Q70" i="24"/>
  <c r="Q68" i="24"/>
  <c r="Q64" i="24"/>
  <c r="Q62" i="24"/>
  <c r="Q60" i="24"/>
  <c r="Q58" i="24"/>
  <c r="Q54" i="24"/>
  <c r="Q52" i="24"/>
  <c r="Q50" i="24"/>
  <c r="Q48" i="24"/>
  <c r="Q44" i="24"/>
  <c r="Q42" i="24"/>
  <c r="Q40" i="24"/>
  <c r="Q38" i="24"/>
  <c r="Q34" i="24"/>
  <c r="Q32" i="24"/>
  <c r="Q30" i="24"/>
  <c r="Q28" i="24"/>
  <c r="Q94" i="24"/>
  <c r="Q93" i="24"/>
  <c r="Q92" i="24"/>
  <c r="Q91" i="24"/>
  <c r="Q90" i="24"/>
  <c r="B80" i="26"/>
  <c r="B78" i="26"/>
  <c r="B74" i="26"/>
  <c r="B72" i="26"/>
  <c r="B70" i="26"/>
  <c r="B68" i="26"/>
  <c r="B64" i="26"/>
  <c r="B62" i="26"/>
  <c r="B60" i="26"/>
  <c r="B58" i="26"/>
  <c r="B54" i="26"/>
  <c r="B52" i="26"/>
  <c r="B50" i="26"/>
  <c r="B48" i="26"/>
  <c r="B44" i="26"/>
  <c r="B42" i="26"/>
  <c r="B40" i="26"/>
  <c r="B38" i="26"/>
  <c r="B34" i="26"/>
  <c r="B32" i="26"/>
  <c r="B30" i="26"/>
  <c r="B28" i="26"/>
  <c r="B115" i="26" l="1"/>
  <c r="O136" i="24"/>
  <c r="F8" i="28"/>
  <c r="J8" i="28"/>
  <c r="N8" i="28"/>
  <c r="R8" i="28"/>
  <c r="V8" i="28"/>
  <c r="C8" i="28"/>
  <c r="G8" i="28"/>
  <c r="K8" i="28"/>
  <c r="O8" i="28"/>
  <c r="S8" i="28"/>
  <c r="E8" i="28"/>
  <c r="I8" i="28"/>
  <c r="M8" i="28"/>
  <c r="Q8" i="28"/>
  <c r="U8" i="28"/>
  <c r="L8" i="28"/>
  <c r="T8" i="28"/>
  <c r="P8" i="28"/>
  <c r="D8" i="28"/>
  <c r="H8" i="28"/>
  <c r="H21" i="16"/>
  <c r="N42" i="25"/>
  <c r="M42" i="25"/>
  <c r="O131" i="24"/>
  <c r="O139" i="24" s="1"/>
  <c r="F13" i="28"/>
  <c r="J13" i="28"/>
  <c r="N13" i="28"/>
  <c r="R13" i="28"/>
  <c r="V13" i="28"/>
  <c r="C13" i="28"/>
  <c r="G13" i="28"/>
  <c r="K13" i="28"/>
  <c r="O13" i="28"/>
  <c r="S13" i="28"/>
  <c r="E13" i="28"/>
  <c r="I13" i="28"/>
  <c r="M13" i="28"/>
  <c r="Q13" i="28"/>
  <c r="U13" i="28"/>
  <c r="H13" i="28"/>
  <c r="P13" i="28"/>
  <c r="L13" i="28"/>
  <c r="D13" i="28"/>
  <c r="T13" i="28"/>
  <c r="F12" i="28"/>
  <c r="J12" i="28"/>
  <c r="N12" i="28"/>
  <c r="R12" i="28"/>
  <c r="V12" i="28"/>
  <c r="C12" i="28"/>
  <c r="G12" i="28"/>
  <c r="K12" i="28"/>
  <c r="O12" i="28"/>
  <c r="S12" i="28"/>
  <c r="E12" i="28"/>
  <c r="I12" i="28"/>
  <c r="M12" i="28"/>
  <c r="Q12" i="28"/>
  <c r="U12" i="28"/>
  <c r="L12" i="28"/>
  <c r="P12" i="28"/>
  <c r="D12" i="28"/>
  <c r="H12" i="28"/>
  <c r="T12" i="28"/>
  <c r="F21" i="28"/>
  <c r="J21" i="28"/>
  <c r="N21" i="28"/>
  <c r="R21" i="28"/>
  <c r="V21" i="28"/>
  <c r="C21" i="28"/>
  <c r="G21" i="28"/>
  <c r="K21" i="28"/>
  <c r="O21" i="28"/>
  <c r="S21" i="28"/>
  <c r="E21" i="28"/>
  <c r="I21" i="28"/>
  <c r="M21" i="28"/>
  <c r="Q21" i="28"/>
  <c r="U21" i="28"/>
  <c r="H21" i="28"/>
  <c r="P21" i="28"/>
  <c r="L21" i="28"/>
  <c r="D21" i="28"/>
  <c r="T21" i="28"/>
  <c r="O102" i="24"/>
  <c r="B100" i="26" s="1"/>
  <c r="D100" i="26" s="1"/>
  <c r="B11" i="6"/>
  <c r="O108" i="24"/>
  <c r="B106" i="26" s="1"/>
  <c r="D106" i="26" s="1"/>
  <c r="B17" i="6"/>
  <c r="M137" i="24"/>
  <c r="J24" i="25"/>
  <c r="I48" i="25"/>
  <c r="J28" i="25"/>
  <c r="I49" i="25"/>
  <c r="C40" i="14"/>
  <c r="F23" i="28"/>
  <c r="J23" i="28"/>
  <c r="N23" i="28"/>
  <c r="R23" i="28"/>
  <c r="V23" i="28"/>
  <c r="C23" i="28"/>
  <c r="G23" i="28"/>
  <c r="K23" i="28"/>
  <c r="O23" i="28"/>
  <c r="S23" i="28"/>
  <c r="E23" i="28"/>
  <c r="I23" i="28"/>
  <c r="M23" i="28"/>
  <c r="Q23" i="28"/>
  <c r="U23" i="28"/>
  <c r="P23" i="28"/>
  <c r="D23" i="28"/>
  <c r="T23" i="28"/>
  <c r="H23" i="28"/>
  <c r="L23" i="28"/>
  <c r="F15" i="28"/>
  <c r="J15" i="28"/>
  <c r="N15" i="28"/>
  <c r="R15" i="28"/>
  <c r="V15" i="28"/>
  <c r="C15" i="28"/>
  <c r="G15" i="28"/>
  <c r="K15" i="28"/>
  <c r="O15" i="28"/>
  <c r="S15" i="28"/>
  <c r="E15" i="28"/>
  <c r="I15" i="28"/>
  <c r="M15" i="28"/>
  <c r="Q15" i="28"/>
  <c r="U15" i="28"/>
  <c r="P15" i="28"/>
  <c r="D15" i="28"/>
  <c r="T15" i="28"/>
  <c r="L15" i="28"/>
  <c r="H15" i="28"/>
  <c r="M136" i="24"/>
  <c r="F18" i="28"/>
  <c r="J18" i="28"/>
  <c r="N18" i="28"/>
  <c r="R18" i="28"/>
  <c r="V18" i="28"/>
  <c r="C18" i="28"/>
  <c r="G18" i="28"/>
  <c r="K18" i="28"/>
  <c r="O18" i="28"/>
  <c r="S18" i="28"/>
  <c r="E18" i="28"/>
  <c r="I18" i="28"/>
  <c r="M18" i="28"/>
  <c r="Q18" i="28"/>
  <c r="U18" i="28"/>
  <c r="D18" i="28"/>
  <c r="T18" i="28"/>
  <c r="H18" i="28"/>
  <c r="P18" i="28"/>
  <c r="L18" i="28"/>
  <c r="W25" i="28"/>
  <c r="O110" i="24"/>
  <c r="B108" i="26" s="1"/>
  <c r="D108" i="26" s="1"/>
  <c r="B19" i="6"/>
  <c r="F24" i="28"/>
  <c r="J24" i="28"/>
  <c r="N24" i="28"/>
  <c r="R24" i="28"/>
  <c r="V24" i="28"/>
  <c r="C24" i="28"/>
  <c r="G24" i="28"/>
  <c r="K24" i="28"/>
  <c r="O24" i="28"/>
  <c r="S24" i="28"/>
  <c r="E24" i="28"/>
  <c r="I24" i="28"/>
  <c r="M24" i="28"/>
  <c r="Q24" i="28"/>
  <c r="U24" i="28"/>
  <c r="L24" i="28"/>
  <c r="T24" i="28"/>
  <c r="P24" i="28"/>
  <c r="H24" i="28"/>
  <c r="D24" i="28"/>
  <c r="F16" i="28"/>
  <c r="J16" i="28"/>
  <c r="N16" i="28"/>
  <c r="R16" i="28"/>
  <c r="V16" i="28"/>
  <c r="C16" i="28"/>
  <c r="G16" i="28"/>
  <c r="K16" i="28"/>
  <c r="O16" i="28"/>
  <c r="S16" i="28"/>
  <c r="E16" i="28"/>
  <c r="I16" i="28"/>
  <c r="M16" i="28"/>
  <c r="Q16" i="28"/>
  <c r="U16" i="28"/>
  <c r="L16" i="28"/>
  <c r="D16" i="28"/>
  <c r="P16" i="28"/>
  <c r="H16" i="28"/>
  <c r="T16" i="28"/>
  <c r="F9" i="28"/>
  <c r="J9" i="28"/>
  <c r="N9" i="28"/>
  <c r="R9" i="28"/>
  <c r="V9" i="28"/>
  <c r="C9" i="28"/>
  <c r="G9" i="28"/>
  <c r="K9" i="28"/>
  <c r="O9" i="28"/>
  <c r="S9" i="28"/>
  <c r="E9" i="28"/>
  <c r="I9" i="28"/>
  <c r="M9" i="28"/>
  <c r="Q9" i="28"/>
  <c r="U9" i="28"/>
  <c r="H9" i="28"/>
  <c r="L9" i="28"/>
  <c r="D9" i="28"/>
  <c r="T9" i="28"/>
  <c r="P9" i="28"/>
  <c r="F14" i="28"/>
  <c r="J14" i="28"/>
  <c r="N14" i="28"/>
  <c r="R14" i="28"/>
  <c r="V14" i="28"/>
  <c r="C14" i="28"/>
  <c r="G14" i="28"/>
  <c r="K14" i="28"/>
  <c r="O14" i="28"/>
  <c r="S14" i="28"/>
  <c r="E14" i="28"/>
  <c r="I14" i="28"/>
  <c r="M14" i="28"/>
  <c r="Q14" i="28"/>
  <c r="U14" i="28"/>
  <c r="D14" i="28"/>
  <c r="T14" i="28"/>
  <c r="H14" i="28"/>
  <c r="L14" i="28"/>
  <c r="P14" i="28"/>
  <c r="F17" i="28"/>
  <c r="J17" i="28"/>
  <c r="N17" i="28"/>
  <c r="R17" i="28"/>
  <c r="V17" i="28"/>
  <c r="C17" i="28"/>
  <c r="G17" i="28"/>
  <c r="K17" i="28"/>
  <c r="O17" i="28"/>
  <c r="S17" i="28"/>
  <c r="E17" i="28"/>
  <c r="I17" i="28"/>
  <c r="M17" i="28"/>
  <c r="Q17" i="28"/>
  <c r="U17" i="28"/>
  <c r="H17" i="28"/>
  <c r="L17" i="28"/>
  <c r="P17" i="28"/>
  <c r="D17" i="28"/>
  <c r="T17" i="28"/>
  <c r="O106" i="24"/>
  <c r="B104" i="26" s="1"/>
  <c r="D104" i="26" s="1"/>
  <c r="B15" i="6"/>
  <c r="F11" i="28"/>
  <c r="J11" i="28"/>
  <c r="N11" i="28"/>
  <c r="R11" i="28"/>
  <c r="V11" i="28"/>
  <c r="C11" i="28"/>
  <c r="G11" i="28"/>
  <c r="K11" i="28"/>
  <c r="O11" i="28"/>
  <c r="S11" i="28"/>
  <c r="E11" i="28"/>
  <c r="I11" i="28"/>
  <c r="M11" i="28"/>
  <c r="Q11" i="28"/>
  <c r="U11" i="28"/>
  <c r="P11" i="28"/>
  <c r="H11" i="28"/>
  <c r="D11" i="28"/>
  <c r="T11" i="28"/>
  <c r="L11" i="28"/>
  <c r="F19" i="28"/>
  <c r="J19" i="28"/>
  <c r="N19" i="28"/>
  <c r="R19" i="28"/>
  <c r="V19" i="28"/>
  <c r="C19" i="28"/>
  <c r="G19" i="28"/>
  <c r="K19" i="28"/>
  <c r="O19" i="28"/>
  <c r="S19" i="28"/>
  <c r="E19" i="28"/>
  <c r="I19" i="28"/>
  <c r="M19" i="28"/>
  <c r="Q19" i="28"/>
  <c r="U19" i="28"/>
  <c r="P19" i="28"/>
  <c r="H19" i="28"/>
  <c r="D19" i="28"/>
  <c r="T19" i="28"/>
  <c r="L19" i="28"/>
  <c r="F20" i="28"/>
  <c r="J20" i="28"/>
  <c r="N20" i="28"/>
  <c r="R20" i="28"/>
  <c r="V20" i="28"/>
  <c r="C20" i="28"/>
  <c r="G20" i="28"/>
  <c r="K20" i="28"/>
  <c r="O20" i="28"/>
  <c r="S20" i="28"/>
  <c r="E20" i="28"/>
  <c r="I20" i="28"/>
  <c r="M20" i="28"/>
  <c r="Q20" i="28"/>
  <c r="U20" i="28"/>
  <c r="L20" i="28"/>
  <c r="P20" i="28"/>
  <c r="T20" i="28"/>
  <c r="H20" i="28"/>
  <c r="D20" i="28"/>
  <c r="F10" i="28"/>
  <c r="J10" i="28"/>
  <c r="N10" i="28"/>
  <c r="R10" i="28"/>
  <c r="V10" i="28"/>
  <c r="C10" i="28"/>
  <c r="G10" i="28"/>
  <c r="K10" i="28"/>
  <c r="O10" i="28"/>
  <c r="S10" i="28"/>
  <c r="E10" i="28"/>
  <c r="I10" i="28"/>
  <c r="M10" i="28"/>
  <c r="Q10" i="28"/>
  <c r="U10" i="28"/>
  <c r="D10" i="28"/>
  <c r="T10" i="28"/>
  <c r="H10" i="28"/>
  <c r="P10" i="28"/>
  <c r="L10" i="28"/>
  <c r="O114" i="24"/>
  <c r="B112" i="26" s="1"/>
  <c r="D112" i="26" s="1"/>
  <c r="B23" i="6"/>
  <c r="H26" i="16"/>
  <c r="O100" i="24"/>
  <c r="B98" i="26" s="1"/>
  <c r="D98" i="26" s="1"/>
  <c r="B9" i="6"/>
  <c r="O116" i="24"/>
  <c r="B114" i="26" s="1"/>
  <c r="D114" i="26" s="1"/>
  <c r="B25" i="6"/>
  <c r="J9" i="25"/>
  <c r="I47" i="25"/>
  <c r="O104" i="24"/>
  <c r="B102" i="26" s="1"/>
  <c r="D102" i="26" s="1"/>
  <c r="B13" i="6"/>
  <c r="O112" i="24"/>
  <c r="B110" i="26" s="1"/>
  <c r="D110" i="26" s="1"/>
  <c r="B21" i="6"/>
  <c r="M138" i="24"/>
  <c r="M140" i="24"/>
  <c r="G19" i="6"/>
  <c r="P26" i="16"/>
  <c r="Q7" i="16"/>
  <c r="Q20" i="16"/>
  <c r="Q19" i="16"/>
  <c r="Q10" i="16"/>
  <c r="Q15" i="16"/>
  <c r="Q12" i="16"/>
  <c r="V22" i="16"/>
  <c r="Q18" i="16"/>
  <c r="W22" i="16"/>
  <c r="Q17" i="16"/>
  <c r="Q9" i="16"/>
  <c r="Q11" i="16"/>
  <c r="Q13" i="16"/>
  <c r="Q16" i="16"/>
  <c r="Q8" i="16"/>
  <c r="Q14" i="16"/>
  <c r="D118" i="26"/>
  <c r="U9" i="30" s="1"/>
  <c r="D124" i="26"/>
  <c r="U15" i="30" s="1"/>
  <c r="D116" i="26"/>
  <c r="M38" i="25"/>
  <c r="R41" i="16"/>
  <c r="U21" i="16"/>
  <c r="AA21" i="16" s="1"/>
  <c r="AG21" i="16" s="1"/>
  <c r="AM21" i="16" s="1"/>
  <c r="V21" i="16"/>
  <c r="AB21" i="16" s="1"/>
  <c r="AH21" i="16" s="1"/>
  <c r="AN21" i="16" s="1"/>
  <c r="B6" i="26"/>
  <c r="B119" i="26"/>
  <c r="D119" i="26" s="1"/>
  <c r="U10" i="30" s="1"/>
  <c r="D120" i="26"/>
  <c r="U11" i="30" s="1"/>
  <c r="W21" i="16"/>
  <c r="AC21" i="16" s="1"/>
  <c r="AI21" i="16" s="1"/>
  <c r="AO21" i="16" s="1"/>
  <c r="B127" i="26"/>
  <c r="S122" i="24"/>
  <c r="S121" i="24"/>
  <c r="S120" i="24"/>
  <c r="S124" i="24"/>
  <c r="S128" i="24"/>
  <c r="B33" i="7"/>
  <c r="B35" i="7"/>
  <c r="B34" i="7"/>
  <c r="B32" i="7"/>
  <c r="B40" i="7"/>
  <c r="B38" i="7"/>
  <c r="B30" i="7"/>
  <c r="B36" i="7"/>
  <c r="X36" i="7" s="1"/>
  <c r="B37" i="7"/>
  <c r="B39" i="7"/>
  <c r="B31" i="7"/>
  <c r="S129" i="24"/>
  <c r="D126" i="26"/>
  <c r="U17" i="30" s="1"/>
  <c r="S126" i="24"/>
  <c r="S125" i="24"/>
  <c r="S127" i="24"/>
  <c r="S123" i="24"/>
  <c r="D122" i="26"/>
  <c r="U13" i="30" s="1"/>
  <c r="D125" i="26"/>
  <c r="U16" i="30" s="1"/>
  <c r="D117" i="26"/>
  <c r="U8" i="30" s="1"/>
  <c r="D123" i="26"/>
  <c r="U14" i="30" s="1"/>
  <c r="D121" i="26"/>
  <c r="U12" i="30" s="1"/>
  <c r="D115" i="26"/>
  <c r="D97" i="26"/>
  <c r="U6" i="30" l="1"/>
  <c r="U7" i="30"/>
  <c r="M116" i="26"/>
  <c r="Y37" i="7"/>
  <c r="X37" i="7"/>
  <c r="O138" i="24"/>
  <c r="F18" i="31"/>
  <c r="W23" i="28"/>
  <c r="C44" i="14"/>
  <c r="F44" i="14" s="1"/>
  <c r="C129" i="26"/>
  <c r="N47" i="25"/>
  <c r="B7" i="28"/>
  <c r="J47" i="25"/>
  <c r="M9" i="25"/>
  <c r="C11" i="14" s="1"/>
  <c r="W10" i="28"/>
  <c r="W20" i="28"/>
  <c r="W17" i="28"/>
  <c r="W14" i="28"/>
  <c r="W9" i="28"/>
  <c r="W16" i="28"/>
  <c r="W24" i="28"/>
  <c r="W18" i="28"/>
  <c r="N118" i="26"/>
  <c r="W19" i="28"/>
  <c r="W11" i="28"/>
  <c r="M28" i="25"/>
  <c r="M49" i="25" s="1"/>
  <c r="J49" i="25"/>
  <c r="B22" i="28"/>
  <c r="J48" i="25"/>
  <c r="M24" i="25"/>
  <c r="C26" i="14" s="1"/>
  <c r="W21" i="28"/>
  <c r="W12" i="28"/>
  <c r="W13" i="28"/>
  <c r="I21" i="16"/>
  <c r="N21" i="16" s="1"/>
  <c r="J21" i="16"/>
  <c r="E53" i="16" s="1"/>
  <c r="C53" i="16"/>
  <c r="W15" i="28"/>
  <c r="W8" i="28"/>
  <c r="O140" i="24"/>
  <c r="O137" i="24"/>
  <c r="G19" i="7"/>
  <c r="N48" i="25"/>
  <c r="B129" i="26"/>
  <c r="B148" i="26" s="1"/>
  <c r="S131" i="24"/>
  <c r="N49" i="25"/>
  <c r="M121" i="26"/>
  <c r="M117" i="26"/>
  <c r="M123" i="26"/>
  <c r="M125" i="26"/>
  <c r="M126" i="26"/>
  <c r="M119" i="26"/>
  <c r="M124" i="26"/>
  <c r="M118" i="26"/>
  <c r="N115" i="26"/>
  <c r="M122" i="26"/>
  <c r="M120" i="26"/>
  <c r="N116" i="26"/>
  <c r="D127" i="26"/>
  <c r="U18" i="30" s="1"/>
  <c r="N124" i="26"/>
  <c r="N119" i="26"/>
  <c r="N120" i="26"/>
  <c r="N117" i="26"/>
  <c r="N126" i="26"/>
  <c r="R43" i="16"/>
  <c r="N123" i="26"/>
  <c r="N125" i="26"/>
  <c r="N122" i="26"/>
  <c r="N121" i="26"/>
  <c r="AC39" i="10"/>
  <c r="AC38" i="10"/>
  <c r="AC37" i="10"/>
  <c r="AC36" i="10"/>
  <c r="AC35" i="10"/>
  <c r="AC31" i="10"/>
  <c r="AC30" i="10"/>
  <c r="AC29" i="10"/>
  <c r="AC27" i="10"/>
  <c r="AC26" i="10"/>
  <c r="AC23" i="10"/>
  <c r="AC22" i="10"/>
  <c r="AC21" i="10"/>
  <c r="AC20" i="10"/>
  <c r="AC19" i="10"/>
  <c r="AC15" i="10"/>
  <c r="AC14" i="10"/>
  <c r="AC13" i="10"/>
  <c r="AC12" i="10"/>
  <c r="P38" i="10"/>
  <c r="U38" i="10" s="1"/>
  <c r="P37" i="10"/>
  <c r="U37" i="10" s="1"/>
  <c r="P35" i="10"/>
  <c r="U35" i="10" s="1"/>
  <c r="P34" i="10"/>
  <c r="U34" i="10" s="1"/>
  <c r="AC34" i="10"/>
  <c r="P33" i="10"/>
  <c r="U33" i="10" s="1"/>
  <c r="AC33" i="10"/>
  <c r="AC32" i="10"/>
  <c r="P31" i="10"/>
  <c r="P30" i="10"/>
  <c r="P29" i="10"/>
  <c r="P28" i="10"/>
  <c r="AC28" i="10"/>
  <c r="P27" i="10"/>
  <c r="U27" i="10" s="1"/>
  <c r="P26" i="10"/>
  <c r="U26" i="10" s="1"/>
  <c r="P25" i="10"/>
  <c r="U25" i="10" s="1"/>
  <c r="AC25" i="10"/>
  <c r="P24" i="10"/>
  <c r="AC24" i="10"/>
  <c r="P23" i="10"/>
  <c r="P22" i="10"/>
  <c r="P19" i="10"/>
  <c r="U19" i="10" s="1"/>
  <c r="AC18" i="10"/>
  <c r="AC17" i="10"/>
  <c r="P16" i="10"/>
  <c r="AC16" i="10"/>
  <c r="P15" i="10"/>
  <c r="P14" i="10"/>
  <c r="P13" i="10"/>
  <c r="U13" i="10" s="1"/>
  <c r="P12" i="10"/>
  <c r="AC11" i="10"/>
  <c r="P36" i="10"/>
  <c r="U36" i="10" s="1"/>
  <c r="P21" i="10"/>
  <c r="U21" i="10" s="1"/>
  <c r="P20" i="10"/>
  <c r="U20" i="10" s="1"/>
  <c r="P18" i="10"/>
  <c r="U18" i="10" s="1"/>
  <c r="P17" i="10"/>
  <c r="U17" i="10" s="1"/>
  <c r="P11" i="10"/>
  <c r="U11" i="10" s="1"/>
  <c r="P32" i="10"/>
  <c r="M48" i="25" l="1"/>
  <c r="B135" i="26"/>
  <c r="B138" i="26"/>
  <c r="B136" i="26"/>
  <c r="B139" i="26"/>
  <c r="B140" i="26"/>
  <c r="B137" i="26"/>
  <c r="B144" i="26"/>
  <c r="G42" i="2"/>
  <c r="F22" i="28"/>
  <c r="J22" i="28"/>
  <c r="N22" i="28"/>
  <c r="R22" i="28"/>
  <c r="V22" i="28"/>
  <c r="C22" i="28"/>
  <c r="G22" i="28"/>
  <c r="K22" i="28"/>
  <c r="O22" i="28"/>
  <c r="S22" i="28"/>
  <c r="E22" i="28"/>
  <c r="I22" i="28"/>
  <c r="M22" i="28"/>
  <c r="Q22" i="28"/>
  <c r="U22" i="28"/>
  <c r="D22" i="28"/>
  <c r="T22" i="28"/>
  <c r="H22" i="28"/>
  <c r="P22" i="28"/>
  <c r="L22" i="28"/>
  <c r="B146" i="26"/>
  <c r="P7" i="28"/>
  <c r="M7" i="28"/>
  <c r="E7" i="28"/>
  <c r="U7" i="28"/>
  <c r="G7" i="28"/>
  <c r="K7" i="28"/>
  <c r="O7" i="28"/>
  <c r="S7" i="28"/>
  <c r="C7" i="28"/>
  <c r="D7" i="28"/>
  <c r="H7" i="28"/>
  <c r="L7" i="28"/>
  <c r="T7" i="28"/>
  <c r="I7" i="28"/>
  <c r="Q7" i="28"/>
  <c r="N7" i="28"/>
  <c r="R7" i="28"/>
  <c r="J7" i="28"/>
  <c r="F7" i="28"/>
  <c r="V7" i="28"/>
  <c r="D129" i="26"/>
  <c r="N129" i="26" s="1"/>
  <c r="B147" i="26"/>
  <c r="B143" i="26"/>
  <c r="M47" i="25"/>
  <c r="B44" i="7"/>
  <c r="C144" i="26"/>
  <c r="C146" i="26"/>
  <c r="C140" i="26"/>
  <c r="C143" i="26"/>
  <c r="C137" i="26"/>
  <c r="C139" i="26"/>
  <c r="C147" i="26"/>
  <c r="C138" i="26"/>
  <c r="C136" i="26"/>
  <c r="C145" i="26"/>
  <c r="C135" i="26"/>
  <c r="C148" i="26"/>
  <c r="B145" i="26"/>
  <c r="G41" i="2"/>
  <c r="R36" i="30"/>
  <c r="G38" i="6"/>
  <c r="M127" i="26"/>
  <c r="P38" i="6"/>
  <c r="M38" i="6"/>
  <c r="Q38" i="6"/>
  <c r="F38" i="6"/>
  <c r="E38" i="6"/>
  <c r="C38" i="6"/>
  <c r="S38" i="6"/>
  <c r="D38" i="6"/>
  <c r="N127" i="26"/>
  <c r="T38" i="6"/>
  <c r="R38" i="6"/>
  <c r="O38" i="6"/>
  <c r="I38" i="6"/>
  <c r="L38" i="6"/>
  <c r="K37" i="31" s="1"/>
  <c r="K38" i="6"/>
  <c r="U38" i="6"/>
  <c r="T34" i="7" s="1"/>
  <c r="N38" i="6"/>
  <c r="H38" i="6"/>
  <c r="J38" i="6"/>
  <c r="P39" i="10"/>
  <c r="U39" i="10" s="1"/>
  <c r="U28" i="10"/>
  <c r="U12" i="10"/>
  <c r="U29" i="10"/>
  <c r="U30" i="10"/>
  <c r="U14" i="10"/>
  <c r="U31" i="10"/>
  <c r="U23" i="10"/>
  <c r="U15" i="10"/>
  <c r="U32" i="10"/>
  <c r="U24" i="10"/>
  <c r="U16" i="10"/>
  <c r="U22" i="10"/>
  <c r="D137" i="26" l="1"/>
  <c r="D140" i="26"/>
  <c r="D135" i="26"/>
  <c r="D138" i="26"/>
  <c r="D139" i="26"/>
  <c r="J132" i="26"/>
  <c r="D136" i="26"/>
  <c r="M36" i="7"/>
  <c r="K38" i="9" s="1"/>
  <c r="L38" i="9" s="1"/>
  <c r="M37" i="31"/>
  <c r="Q35" i="7"/>
  <c r="S37" i="8" s="1"/>
  <c r="Q37" i="31"/>
  <c r="C40" i="7"/>
  <c r="B37" i="31"/>
  <c r="S34" i="7"/>
  <c r="S37" i="31"/>
  <c r="E39" i="7"/>
  <c r="C41" i="8" s="1"/>
  <c r="D37" i="31"/>
  <c r="J37" i="7"/>
  <c r="G39" i="9" s="1"/>
  <c r="H39" i="9" s="1"/>
  <c r="I37" i="31"/>
  <c r="K37" i="7"/>
  <c r="K39" i="8" s="1"/>
  <c r="J37" i="31"/>
  <c r="I37" i="7"/>
  <c r="I39" i="8" s="1"/>
  <c r="H37" i="31"/>
  <c r="D39" i="7"/>
  <c r="B41" i="8" s="1"/>
  <c r="C37" i="31"/>
  <c r="L36" i="7"/>
  <c r="M38" i="8" s="1"/>
  <c r="L37" i="31"/>
  <c r="G38" i="7"/>
  <c r="F37" i="31"/>
  <c r="M129" i="26"/>
  <c r="U20" i="30"/>
  <c r="Y2" i="30" s="1"/>
  <c r="Y3" i="30" s="1"/>
  <c r="W22" i="28"/>
  <c r="F38" i="7"/>
  <c r="E40" i="8" s="1"/>
  <c r="E37" i="31"/>
  <c r="P35" i="7"/>
  <c r="R37" i="8" s="1"/>
  <c r="P37" i="31"/>
  <c r="W7" i="28"/>
  <c r="H38" i="7"/>
  <c r="G40" i="8" s="1"/>
  <c r="G37" i="31"/>
  <c r="N36" i="7"/>
  <c r="O38" i="8" s="1"/>
  <c r="N37" i="31"/>
  <c r="R35" i="7"/>
  <c r="T37" i="8" s="1"/>
  <c r="R37" i="31"/>
  <c r="O36" i="7"/>
  <c r="P38" i="8" s="1"/>
  <c r="O37" i="31"/>
  <c r="B46" i="6"/>
  <c r="B45" i="6"/>
  <c r="P40" i="11"/>
  <c r="U40" i="11" s="1"/>
  <c r="J39" i="8" l="1"/>
  <c r="D23" i="29"/>
  <c r="I39" i="9"/>
  <c r="C42" i="11"/>
  <c r="AA42" i="11" s="1"/>
  <c r="AB40" i="10"/>
  <c r="U37" i="8"/>
  <c r="D41" i="8"/>
  <c r="D41" i="11"/>
  <c r="N41" i="11" s="1"/>
  <c r="O41" i="11" s="1"/>
  <c r="M38" i="9"/>
  <c r="N38" i="8"/>
  <c r="Q38" i="8" s="1"/>
  <c r="C40" i="9"/>
  <c r="D40" i="9" s="1"/>
  <c r="F40" i="8"/>
  <c r="H40" i="8" s="1"/>
  <c r="L39" i="8"/>
  <c r="T37" i="31"/>
  <c r="N45" i="5"/>
  <c r="I45" i="5"/>
  <c r="Z37" i="5"/>
  <c r="N40" i="10" l="1"/>
  <c r="O40" i="10" s="1"/>
  <c r="S40" i="10"/>
  <c r="T40" i="10" s="1"/>
  <c r="S41" i="11"/>
  <c r="T41" i="11" s="1"/>
  <c r="X40" i="10"/>
  <c r="Y40" i="10" s="1"/>
  <c r="C24" i="29"/>
  <c r="E40" i="9"/>
  <c r="Z42" i="11"/>
  <c r="X41" i="11"/>
  <c r="Y41" i="11" s="1"/>
  <c r="AB23" i="29"/>
  <c r="N23" i="29"/>
  <c r="O23" i="29" s="1"/>
  <c r="S23" i="29"/>
  <c r="T23" i="29" s="1"/>
  <c r="X23" i="29"/>
  <c r="Y23" i="29" s="1"/>
  <c r="AB41" i="11"/>
  <c r="C37" i="6"/>
  <c r="G37" i="6"/>
  <c r="L37" i="6"/>
  <c r="K36" i="31" s="1"/>
  <c r="U37" i="6"/>
  <c r="M37" i="6"/>
  <c r="E37" i="6"/>
  <c r="T37" i="6"/>
  <c r="D37" i="6"/>
  <c r="N37" i="6"/>
  <c r="F37" i="6"/>
  <c r="O37" i="6"/>
  <c r="P37" i="6"/>
  <c r="H37" i="6"/>
  <c r="Q37" i="6"/>
  <c r="I37" i="6"/>
  <c r="R37" i="6"/>
  <c r="J37" i="6"/>
  <c r="S37" i="6"/>
  <c r="K37" i="6"/>
  <c r="B4" i="2"/>
  <c r="E41" i="14"/>
  <c r="B41" i="14"/>
  <c r="J18" i="16"/>
  <c r="I18" i="16"/>
  <c r="N18" i="16" s="1"/>
  <c r="R34" i="7" l="1"/>
  <c r="T36" i="8" s="1"/>
  <c r="R36" i="31"/>
  <c r="P34" i="7"/>
  <c r="R36" i="8" s="1"/>
  <c r="P36" i="31"/>
  <c r="P22" i="30" s="1"/>
  <c r="F37" i="7"/>
  <c r="E39" i="8" s="1"/>
  <c r="E36" i="31"/>
  <c r="E38" i="7"/>
  <c r="C40" i="8" s="1"/>
  <c r="D36" i="31"/>
  <c r="D22" i="30" s="1"/>
  <c r="G37" i="7"/>
  <c r="C39" i="9" s="1"/>
  <c r="D39" i="9" s="1"/>
  <c r="F36" i="31"/>
  <c r="F22" i="30" s="1"/>
  <c r="J36" i="7"/>
  <c r="G38" i="9" s="1"/>
  <c r="H38" i="9" s="1"/>
  <c r="D22" i="29" s="1"/>
  <c r="I36" i="31"/>
  <c r="H37" i="7"/>
  <c r="G39" i="8" s="1"/>
  <c r="G36" i="31"/>
  <c r="M35" i="7"/>
  <c r="N37" i="8" s="1"/>
  <c r="M36" i="31"/>
  <c r="M22" i="30" s="1"/>
  <c r="L35" i="7"/>
  <c r="M37" i="8" s="1"/>
  <c r="L36" i="31"/>
  <c r="C39" i="7"/>
  <c r="B36" i="31"/>
  <c r="Q34" i="7"/>
  <c r="S36" i="8" s="1"/>
  <c r="Q36" i="31"/>
  <c r="Q22" i="30" s="1"/>
  <c r="O35" i="7"/>
  <c r="P37" i="8" s="1"/>
  <c r="O36" i="31"/>
  <c r="D38" i="7"/>
  <c r="B40" i="8" s="1"/>
  <c r="C36" i="31"/>
  <c r="T33" i="7"/>
  <c r="Z24" i="29"/>
  <c r="AA24" i="29"/>
  <c r="K36" i="7"/>
  <c r="K38" i="8" s="1"/>
  <c r="J36" i="31"/>
  <c r="J22" i="30" s="1"/>
  <c r="I36" i="7"/>
  <c r="I38" i="8" s="1"/>
  <c r="H36" i="31"/>
  <c r="N35" i="7"/>
  <c r="O37" i="8" s="1"/>
  <c r="N36" i="31"/>
  <c r="N22" i="30" s="1"/>
  <c r="S33" i="7"/>
  <c r="S36" i="31"/>
  <c r="Z41" i="10"/>
  <c r="AA41" i="10"/>
  <c r="F39" i="8"/>
  <c r="F41" i="14"/>
  <c r="G41" i="14" s="1"/>
  <c r="T22" i="30" l="1"/>
  <c r="J38" i="8"/>
  <c r="K37" i="9"/>
  <c r="L37" i="9" s="1"/>
  <c r="D40" i="11" s="1"/>
  <c r="U36" i="8"/>
  <c r="AA40" i="10"/>
  <c r="C23" i="29"/>
  <c r="Q37" i="8"/>
  <c r="AB22" i="29"/>
  <c r="N22" i="29"/>
  <c r="O22" i="29" s="1"/>
  <c r="S22" i="29"/>
  <c r="T22" i="29" s="1"/>
  <c r="X22" i="29"/>
  <c r="Y22" i="29" s="1"/>
  <c r="D40" i="8"/>
  <c r="H39" i="8"/>
  <c r="L38" i="8"/>
  <c r="T36" i="31"/>
  <c r="C41" i="11"/>
  <c r="Z41" i="11" s="1"/>
  <c r="N39" i="10"/>
  <c r="B50" i="16"/>
  <c r="C50" i="16"/>
  <c r="D50" i="16"/>
  <c r="E50" i="16"/>
  <c r="T20" i="16"/>
  <c r="Z20" i="16" s="1"/>
  <c r="S19" i="16"/>
  <c r="E39" i="9"/>
  <c r="I38" i="9"/>
  <c r="Z45" i="11"/>
  <c r="M37" i="9"/>
  <c r="R18" i="16"/>
  <c r="AC28" i="11"/>
  <c r="AC20" i="11"/>
  <c r="P38" i="11"/>
  <c r="U38" i="11" s="1"/>
  <c r="F47" i="11"/>
  <c r="Q47" i="11" s="1"/>
  <c r="P39" i="11"/>
  <c r="F47" i="10"/>
  <c r="Q47" i="10" s="1"/>
  <c r="P37" i="11"/>
  <c r="T45" i="5"/>
  <c r="S45" i="5"/>
  <c r="R45" i="5"/>
  <c r="Q45" i="5"/>
  <c r="M45" i="5"/>
  <c r="J45" i="5"/>
  <c r="Z36" i="5"/>
  <c r="E40" i="14"/>
  <c r="A1" i="23"/>
  <c r="Z35" i="5"/>
  <c r="B33" i="14"/>
  <c r="B34" i="14"/>
  <c r="B35" i="14"/>
  <c r="B36" i="14"/>
  <c r="B37" i="14"/>
  <c r="B38" i="14"/>
  <c r="B39" i="14"/>
  <c r="B40" i="14"/>
  <c r="R17" i="16"/>
  <c r="R16" i="16"/>
  <c r="A1" i="21"/>
  <c r="I13" i="16"/>
  <c r="R8" i="16"/>
  <c r="R9" i="16"/>
  <c r="R10" i="16"/>
  <c r="R11" i="16"/>
  <c r="R12" i="16"/>
  <c r="R13" i="16"/>
  <c r="R14" i="16"/>
  <c r="R15" i="16"/>
  <c r="R7" i="16"/>
  <c r="P29" i="11"/>
  <c r="U29" i="11" s="1"/>
  <c r="P30" i="11"/>
  <c r="U30" i="11" s="1"/>
  <c r="P31" i="11"/>
  <c r="U31" i="11" s="1"/>
  <c r="P32" i="11"/>
  <c r="U32" i="11" s="1"/>
  <c r="P33" i="11"/>
  <c r="P34" i="11"/>
  <c r="U34" i="11" s="1"/>
  <c r="P35" i="11"/>
  <c r="U35" i="11" s="1"/>
  <c r="P36" i="11"/>
  <c r="U36" i="11" s="1"/>
  <c r="P11" i="11"/>
  <c r="U11" i="11" s="1"/>
  <c r="P12" i="11"/>
  <c r="U12" i="11" s="1"/>
  <c r="P13" i="11"/>
  <c r="U13" i="11" s="1"/>
  <c r="P14" i="11"/>
  <c r="U14" i="11" s="1"/>
  <c r="P15" i="11"/>
  <c r="U15" i="11" s="1"/>
  <c r="P16" i="11"/>
  <c r="U16" i="11" s="1"/>
  <c r="P17" i="11"/>
  <c r="U17" i="11" s="1"/>
  <c r="P18" i="11"/>
  <c r="U18" i="11" s="1"/>
  <c r="P19" i="11"/>
  <c r="U19" i="11" s="1"/>
  <c r="P20" i="11"/>
  <c r="U20" i="11" s="1"/>
  <c r="P21" i="11"/>
  <c r="U21" i="11" s="1"/>
  <c r="P22" i="11"/>
  <c r="U22" i="11" s="1"/>
  <c r="P23" i="11"/>
  <c r="U23" i="11" s="1"/>
  <c r="P24" i="11"/>
  <c r="U24" i="11" s="1"/>
  <c r="P25" i="11"/>
  <c r="U25" i="11" s="1"/>
  <c r="P26" i="11"/>
  <c r="U26" i="11" s="1"/>
  <c r="P27" i="11"/>
  <c r="U27" i="11" s="1"/>
  <c r="P28" i="11"/>
  <c r="U28" i="11" s="1"/>
  <c r="B31" i="14"/>
  <c r="B32" i="14"/>
  <c r="Z25" i="5"/>
  <c r="Z26" i="5"/>
  <c r="Z27" i="5"/>
  <c r="Z28" i="5"/>
  <c r="Z29" i="5"/>
  <c r="Z30" i="5"/>
  <c r="Z31" i="5"/>
  <c r="Z32" i="5"/>
  <c r="Z33" i="5"/>
  <c r="Z34" i="5"/>
  <c r="F48" i="11"/>
  <c r="Q48" i="11" s="1"/>
  <c r="F48" i="10"/>
  <c r="Q48" i="10" s="1"/>
  <c r="A1" i="16"/>
  <c r="R67" i="14"/>
  <c r="O18" i="2"/>
  <c r="B8" i="8"/>
  <c r="B9" i="8"/>
  <c r="C8" i="8"/>
  <c r="C9" i="8"/>
  <c r="E8" i="8"/>
  <c r="F8" i="8"/>
  <c r="G8" i="8"/>
  <c r="A1" i="8"/>
  <c r="Z7" i="5"/>
  <c r="Z8" i="5"/>
  <c r="Z9" i="5"/>
  <c r="Z10" i="5"/>
  <c r="Z11" i="5"/>
  <c r="Z12" i="5"/>
  <c r="Z13" i="5"/>
  <c r="Z14" i="5"/>
  <c r="Z15" i="5"/>
  <c r="Z16" i="5"/>
  <c r="Z17" i="5"/>
  <c r="Z18" i="5"/>
  <c r="Z19" i="5"/>
  <c r="Z20" i="5"/>
  <c r="Z21" i="5"/>
  <c r="Z22" i="5"/>
  <c r="Z23" i="5"/>
  <c r="Z24" i="5"/>
  <c r="K45" i="5"/>
  <c r="L45" i="5"/>
  <c r="O45" i="5"/>
  <c r="P45" i="5"/>
  <c r="U45" i="5"/>
  <c r="V45" i="5"/>
  <c r="W45" i="5"/>
  <c r="X45" i="5"/>
  <c r="Y45" i="5"/>
  <c r="I1" i="7"/>
  <c r="I1" i="6"/>
  <c r="Z1" i="5"/>
  <c r="M1" i="5"/>
  <c r="A1" i="9"/>
  <c r="D8" i="9"/>
  <c r="E8" i="9" s="1"/>
  <c r="A22" i="2"/>
  <c r="A21" i="2"/>
  <c r="A19" i="2"/>
  <c r="A18" i="2"/>
  <c r="A16" i="2"/>
  <c r="A15" i="2"/>
  <c r="B1" i="2"/>
  <c r="AC11" i="11"/>
  <c r="AC12" i="11"/>
  <c r="AC29" i="11"/>
  <c r="AC27" i="11"/>
  <c r="AC26" i="11"/>
  <c r="AC25" i="11"/>
  <c r="AC24" i="11"/>
  <c r="AC23" i="11"/>
  <c r="AC22" i="11"/>
  <c r="AC21" i="11"/>
  <c r="AC19" i="11"/>
  <c r="AC18" i="11"/>
  <c r="AC17" i="11"/>
  <c r="AC16" i="11"/>
  <c r="AC15" i="11"/>
  <c r="AC14" i="11"/>
  <c r="AC13" i="11"/>
  <c r="H2" i="12"/>
  <c r="G2" i="12"/>
  <c r="E2" i="12"/>
  <c r="D2" i="12"/>
  <c r="C2" i="12"/>
  <c r="B2" i="12"/>
  <c r="A2" i="12"/>
  <c r="A1" i="14"/>
  <c r="B12" i="14"/>
  <c r="B13" i="14"/>
  <c r="B14" i="14"/>
  <c r="B15" i="14"/>
  <c r="B16" i="14"/>
  <c r="B17" i="14"/>
  <c r="B18" i="14"/>
  <c r="B19" i="14"/>
  <c r="B20" i="14"/>
  <c r="B21" i="14"/>
  <c r="B22" i="14"/>
  <c r="B23" i="14"/>
  <c r="B24" i="14"/>
  <c r="B25" i="14"/>
  <c r="B26" i="14"/>
  <c r="B27" i="14"/>
  <c r="B28" i="14"/>
  <c r="B29" i="14"/>
  <c r="B30" i="14"/>
  <c r="B11" i="14"/>
  <c r="Z40" i="10" l="1"/>
  <c r="Z23" i="29"/>
  <c r="AA23" i="29"/>
  <c r="H44" i="14"/>
  <c r="H43" i="14"/>
  <c r="AA41" i="11"/>
  <c r="Z44" i="5"/>
  <c r="Y19" i="16"/>
  <c r="AE19" i="16" s="1"/>
  <c r="AK19" i="16" s="1"/>
  <c r="AF20" i="16"/>
  <c r="AL20" i="16" s="1"/>
  <c r="D8" i="8"/>
  <c r="H42" i="14"/>
  <c r="H41" i="14"/>
  <c r="P46" i="16"/>
  <c r="N40" i="11"/>
  <c r="O40" i="11" s="1"/>
  <c r="AB40" i="11"/>
  <c r="S40" i="11"/>
  <c r="T40" i="11" s="1"/>
  <c r="X40" i="11"/>
  <c r="Y40" i="11" s="1"/>
  <c r="AB39" i="10"/>
  <c r="O39" i="10"/>
  <c r="X39" i="10"/>
  <c r="Y39" i="10" s="1"/>
  <c r="J10" i="16"/>
  <c r="H8" i="8"/>
  <c r="I10" i="16"/>
  <c r="N10" i="16" s="1"/>
  <c r="J15" i="16"/>
  <c r="I12" i="16"/>
  <c r="N12" i="16" s="1"/>
  <c r="I9" i="16"/>
  <c r="N9" i="16" s="1"/>
  <c r="N7" i="16"/>
  <c r="J9" i="16"/>
  <c r="I14" i="16"/>
  <c r="N14" i="16" s="1"/>
  <c r="I15" i="16"/>
  <c r="N15" i="16" s="1"/>
  <c r="I8" i="16"/>
  <c r="K27" i="6"/>
  <c r="AA80" i="14"/>
  <c r="AB80" i="14" s="1"/>
  <c r="Q17" i="14"/>
  <c r="AA33" i="14"/>
  <c r="AB33" i="14" s="1"/>
  <c r="AA66" i="14"/>
  <c r="AB66" i="14" s="1"/>
  <c r="H31" i="14"/>
  <c r="AA79" i="14"/>
  <c r="AB79" i="14" s="1"/>
  <c r="I7" i="14"/>
  <c r="Q14" i="14"/>
  <c r="Q15" i="14" s="1"/>
  <c r="AA16" i="14"/>
  <c r="AB16" i="14" s="1"/>
  <c r="AA83" i="14"/>
  <c r="AB83" i="14" s="1"/>
  <c r="AA12" i="14"/>
  <c r="AB12" i="14" s="1"/>
  <c r="AA95" i="14"/>
  <c r="AB95" i="14" s="1"/>
  <c r="AA34" i="14"/>
  <c r="AB34" i="14" s="1"/>
  <c r="AA38" i="14"/>
  <c r="AB38" i="14" s="1"/>
  <c r="U33" i="11"/>
  <c r="I31" i="14"/>
  <c r="J31" i="14" s="1"/>
  <c r="N13" i="16"/>
  <c r="I11" i="16"/>
  <c r="N11" i="16" s="1"/>
  <c r="Z45" i="5"/>
  <c r="U39" i="11"/>
  <c r="D9" i="8"/>
  <c r="U37" i="11"/>
  <c r="B64" i="16"/>
  <c r="B65" i="16" s="1"/>
  <c r="K26" i="7" l="1"/>
  <c r="K28" i="8" s="1"/>
  <c r="J26" i="31"/>
  <c r="AA28" i="14"/>
  <c r="AB28" i="14" s="1"/>
  <c r="I44" i="14"/>
  <c r="J44" i="14" s="1"/>
  <c r="Q16" i="14"/>
  <c r="I43" i="14"/>
  <c r="J43" i="14" s="1"/>
  <c r="AA29" i="14"/>
  <c r="AB29" i="14" s="1"/>
  <c r="I42" i="14"/>
  <c r="J42" i="14" s="1"/>
  <c r="AA73" i="14"/>
  <c r="AB73" i="14" s="1"/>
  <c r="AA49" i="14"/>
  <c r="AB49" i="14" s="1"/>
  <c r="D42" i="16"/>
  <c r="N8" i="16"/>
  <c r="B48" i="16"/>
  <c r="AA42" i="14"/>
  <c r="AB42" i="14" s="1"/>
  <c r="I41" i="14"/>
  <c r="J41" i="14" s="1"/>
  <c r="I32" i="14"/>
  <c r="J32" i="14" s="1"/>
  <c r="G27" i="6"/>
  <c r="D40" i="16"/>
  <c r="C40" i="16"/>
  <c r="B40" i="16"/>
  <c r="J8" i="16"/>
  <c r="E40" i="16" s="1"/>
  <c r="J14" i="16"/>
  <c r="E46" i="16" s="1"/>
  <c r="B42" i="16"/>
  <c r="P35" i="6"/>
  <c r="AA78" i="14"/>
  <c r="AB78" i="14" s="1"/>
  <c r="AA68" i="14"/>
  <c r="AB68" i="14" s="1"/>
  <c r="AA81" i="14"/>
  <c r="AB81" i="14" s="1"/>
  <c r="AA91" i="14"/>
  <c r="AB91" i="14" s="1"/>
  <c r="AA55" i="14"/>
  <c r="AB55" i="14" s="1"/>
  <c r="AA88" i="14"/>
  <c r="AB88" i="14" s="1"/>
  <c r="AA13" i="14"/>
  <c r="AB13" i="14" s="1"/>
  <c r="AA52" i="14"/>
  <c r="AB52" i="14" s="1"/>
  <c r="AA85" i="14"/>
  <c r="AB85" i="14" s="1"/>
  <c r="AA14" i="14"/>
  <c r="AB14" i="14" s="1"/>
  <c r="AA54" i="14"/>
  <c r="AB54" i="14" s="1"/>
  <c r="AA72" i="14"/>
  <c r="AB72" i="14" s="1"/>
  <c r="AA92" i="14"/>
  <c r="AB92" i="14" s="1"/>
  <c r="AA87" i="14"/>
  <c r="AB87" i="14" s="1"/>
  <c r="I8" i="14"/>
  <c r="J8" i="14" s="1"/>
  <c r="AA7" i="14"/>
  <c r="AB7" i="14" s="1"/>
  <c r="AA93" i="14"/>
  <c r="AB93" i="14" s="1"/>
  <c r="AA22" i="14"/>
  <c r="AB22" i="14" s="1"/>
  <c r="AA57" i="14"/>
  <c r="AB57" i="14" s="1"/>
  <c r="AA94" i="14"/>
  <c r="AB94" i="14" s="1"/>
  <c r="AA19" i="14"/>
  <c r="AB19" i="14" s="1"/>
  <c r="AA30" i="14"/>
  <c r="AB30" i="14" s="1"/>
  <c r="AA17" i="14"/>
  <c r="AB17" i="14" s="1"/>
  <c r="AA21" i="14"/>
  <c r="AB21" i="14" s="1"/>
  <c r="AA75" i="14"/>
  <c r="AB75" i="14" s="1"/>
  <c r="AA26" i="14"/>
  <c r="AB26" i="14" s="1"/>
  <c r="AD26" i="14" s="1"/>
  <c r="AD25" i="14" s="1"/>
  <c r="AA96" i="14"/>
  <c r="AB96" i="14" s="1"/>
  <c r="AA15" i="14"/>
  <c r="AB15" i="14" s="1"/>
  <c r="AA27" i="14"/>
  <c r="AB27" i="14" s="1"/>
  <c r="AA31" i="14"/>
  <c r="AB31" i="14" s="1"/>
  <c r="AA56" i="14"/>
  <c r="AB56" i="14" s="1"/>
  <c r="AA8" i="14"/>
  <c r="AB8" i="14" s="1"/>
  <c r="AA53" i="14"/>
  <c r="AB53" i="14" s="1"/>
  <c r="AA64" i="14"/>
  <c r="AB64" i="14" s="1"/>
  <c r="AA36" i="14"/>
  <c r="AB36" i="14" s="1"/>
  <c r="AA51" i="14"/>
  <c r="AB51" i="14" s="1"/>
  <c r="AA59" i="14"/>
  <c r="AB59" i="14" s="1"/>
  <c r="AA44" i="14"/>
  <c r="AB44" i="14" s="1"/>
  <c r="AA40" i="14"/>
  <c r="AB40" i="14" s="1"/>
  <c r="AA32" i="14"/>
  <c r="AB32" i="14" s="1"/>
  <c r="AA61" i="14"/>
  <c r="AB61" i="14" s="1"/>
  <c r="AA89" i="14"/>
  <c r="AB89" i="14" s="1"/>
  <c r="AA18" i="14"/>
  <c r="AB18" i="14" s="1"/>
  <c r="AA62" i="14"/>
  <c r="AB62" i="14" s="1"/>
  <c r="AA90" i="14"/>
  <c r="AB90" i="14" s="1"/>
  <c r="AA45" i="14"/>
  <c r="AB45" i="14" s="1"/>
  <c r="AA20" i="14"/>
  <c r="AB20" i="14" s="1"/>
  <c r="AA24" i="14"/>
  <c r="AB24" i="14" s="1"/>
  <c r="AA37" i="14"/>
  <c r="AB37" i="14" s="1"/>
  <c r="AA48" i="14"/>
  <c r="AB48" i="14" s="1"/>
  <c r="AA46" i="14"/>
  <c r="AB46" i="14" s="1"/>
  <c r="AA9" i="14"/>
  <c r="AB9" i="14" s="1"/>
  <c r="AA84" i="14"/>
  <c r="AB84" i="14" s="1"/>
  <c r="AA50" i="14"/>
  <c r="AB50" i="14" s="1"/>
  <c r="AA25" i="14"/>
  <c r="AB25" i="14" s="1"/>
  <c r="AA97" i="14"/>
  <c r="AB97" i="14" s="1"/>
  <c r="AA82" i="14"/>
  <c r="AB82" i="14" s="1"/>
  <c r="AA65" i="14"/>
  <c r="AB65" i="14" s="1"/>
  <c r="AA69" i="14"/>
  <c r="AB69" i="14" s="1"/>
  <c r="AA41" i="14"/>
  <c r="AB41" i="14" s="1"/>
  <c r="AA70" i="14"/>
  <c r="AB70" i="14" s="1"/>
  <c r="AA10" i="14"/>
  <c r="AB10" i="14" s="1"/>
  <c r="AA23" i="14"/>
  <c r="AB23" i="14" s="1"/>
  <c r="AA71" i="14"/>
  <c r="AB71" i="14" s="1"/>
  <c r="S9" i="16"/>
  <c r="Y9" i="16" s="1"/>
  <c r="B63" i="16"/>
  <c r="S28" i="6"/>
  <c r="U13" i="16"/>
  <c r="AA13" i="16" s="1"/>
  <c r="I27" i="6"/>
  <c r="P27" i="6"/>
  <c r="D27" i="6"/>
  <c r="M27" i="6"/>
  <c r="R27" i="6"/>
  <c r="L35" i="6"/>
  <c r="K34" i="31" s="1"/>
  <c r="S27" i="6"/>
  <c r="C27" i="6"/>
  <c r="U27" i="6"/>
  <c r="T23" i="7" s="1"/>
  <c r="E42" i="16"/>
  <c r="H35" i="6"/>
  <c r="L27" i="6"/>
  <c r="K26" i="31" s="1"/>
  <c r="J27" i="6"/>
  <c r="N27" i="6"/>
  <c r="S11" i="16"/>
  <c r="Q27" i="6"/>
  <c r="T27" i="6"/>
  <c r="O27" i="6"/>
  <c r="C42" i="16"/>
  <c r="H27" i="6"/>
  <c r="H32" i="14"/>
  <c r="F27" i="6"/>
  <c r="E27" i="6"/>
  <c r="S13" i="16"/>
  <c r="Y13" i="16" s="1"/>
  <c r="D44" i="16"/>
  <c r="C44" i="16"/>
  <c r="I16" i="16"/>
  <c r="C48" i="16"/>
  <c r="J11" i="16"/>
  <c r="E43" i="16" s="1"/>
  <c r="B43" i="16"/>
  <c r="J13" i="16"/>
  <c r="AD27" i="14"/>
  <c r="T12" i="16"/>
  <c r="S17" i="16"/>
  <c r="Y17" i="16" s="1"/>
  <c r="D48" i="16"/>
  <c r="J7" i="16"/>
  <c r="B41" i="16"/>
  <c r="AA86" i="14"/>
  <c r="AB86" i="14" s="1"/>
  <c r="AA60" i="14"/>
  <c r="AB60" i="14" s="1"/>
  <c r="AA76" i="14"/>
  <c r="AB76" i="14" s="1"/>
  <c r="I9" i="14"/>
  <c r="J9" i="14" s="1"/>
  <c r="J16" i="16"/>
  <c r="E48" i="16" s="1"/>
  <c r="I18" i="2"/>
  <c r="S45" i="11"/>
  <c r="T45" i="11" s="1"/>
  <c r="T13" i="16"/>
  <c r="Z13" i="16" s="1"/>
  <c r="D43" i="16"/>
  <c r="S12" i="16"/>
  <c r="C43" i="16"/>
  <c r="B44" i="16"/>
  <c r="J12" i="16"/>
  <c r="E44" i="16" s="1"/>
  <c r="G33" i="6"/>
  <c r="J33" i="6"/>
  <c r="E33" i="6"/>
  <c r="K33" i="6"/>
  <c r="R33" i="6"/>
  <c r="O33" i="6"/>
  <c r="N33" i="6"/>
  <c r="S33" i="6"/>
  <c r="U33" i="6"/>
  <c r="T29" i="7" s="1"/>
  <c r="C33" i="6"/>
  <c r="L33" i="6"/>
  <c r="K32" i="31" s="1"/>
  <c r="Q33" i="6"/>
  <c r="M33" i="6"/>
  <c r="T33" i="6"/>
  <c r="P33" i="6"/>
  <c r="I33" i="6"/>
  <c r="F33" i="6"/>
  <c r="D33" i="6"/>
  <c r="H33" i="6"/>
  <c r="S15" i="16"/>
  <c r="Y15" i="16" s="1"/>
  <c r="D46" i="16"/>
  <c r="B46" i="16"/>
  <c r="C46" i="16"/>
  <c r="J17" i="16"/>
  <c r="AA74" i="14"/>
  <c r="AB74" i="14" s="1"/>
  <c r="AA58" i="14"/>
  <c r="AB58" i="14" s="1"/>
  <c r="AA11" i="14"/>
  <c r="AB11" i="14" s="1"/>
  <c r="AA35" i="14"/>
  <c r="AB35" i="14" s="1"/>
  <c r="AA77" i="14"/>
  <c r="AB77" i="14" s="1"/>
  <c r="AA63" i="14"/>
  <c r="AB63" i="14" s="1"/>
  <c r="AA47" i="14"/>
  <c r="AB47" i="14" s="1"/>
  <c r="AA43" i="14"/>
  <c r="AB43" i="14" s="1"/>
  <c r="AA39" i="14"/>
  <c r="AB39" i="14" s="1"/>
  <c r="AA67" i="14"/>
  <c r="AB67" i="14" s="1"/>
  <c r="I10" i="14"/>
  <c r="J10" i="14" s="1"/>
  <c r="R30" i="7" l="1"/>
  <c r="T32" i="8" s="1"/>
  <c r="R32" i="31"/>
  <c r="N25" i="7"/>
  <c r="O27" i="8" s="1"/>
  <c r="N26" i="31"/>
  <c r="M25" i="7"/>
  <c r="K27" i="9" s="1"/>
  <c r="L27" i="9" s="1"/>
  <c r="D30" i="11" s="1"/>
  <c r="M26" i="31"/>
  <c r="O25" i="7"/>
  <c r="P27" i="8" s="1"/>
  <c r="O26" i="31"/>
  <c r="E34" i="7"/>
  <c r="C36" i="8" s="1"/>
  <c r="D32" i="31"/>
  <c r="S23" i="7"/>
  <c r="S26" i="31"/>
  <c r="J26" i="7"/>
  <c r="J28" i="8" s="1"/>
  <c r="I26" i="31"/>
  <c r="Q24" i="7"/>
  <c r="S26" i="8" s="1"/>
  <c r="Q26" i="31"/>
  <c r="D34" i="7"/>
  <c r="B36" i="8" s="1"/>
  <c r="D36" i="8" s="1"/>
  <c r="C32" i="31"/>
  <c r="S29" i="7"/>
  <c r="S32" i="31"/>
  <c r="C35" i="7"/>
  <c r="B32" i="31"/>
  <c r="N31" i="7"/>
  <c r="O33" i="8" s="1"/>
  <c r="N32" i="31"/>
  <c r="J32" i="7"/>
  <c r="G34" i="9" s="1"/>
  <c r="H34" i="9" s="1"/>
  <c r="D18" i="29" s="1"/>
  <c r="I32" i="31"/>
  <c r="H27" i="7"/>
  <c r="G29" i="8" s="1"/>
  <c r="G26" i="31"/>
  <c r="P24" i="7"/>
  <c r="R26" i="8" s="1"/>
  <c r="P26" i="31"/>
  <c r="C29" i="7"/>
  <c r="B26" i="31"/>
  <c r="L25" i="7"/>
  <c r="M27" i="8" s="1"/>
  <c r="L26" i="31"/>
  <c r="O33" i="7"/>
  <c r="P35" i="8" s="1"/>
  <c r="O34" i="31"/>
  <c r="I32" i="7"/>
  <c r="I34" i="8" s="1"/>
  <c r="H32" i="31"/>
  <c r="P30" i="7"/>
  <c r="R32" i="8" s="1"/>
  <c r="P32" i="31"/>
  <c r="K32" i="7"/>
  <c r="K34" i="8" s="1"/>
  <c r="J32" i="31"/>
  <c r="F27" i="7"/>
  <c r="E29" i="8" s="1"/>
  <c r="E26" i="31"/>
  <c r="H33" i="7"/>
  <c r="G35" i="8" s="1"/>
  <c r="G32" i="31"/>
  <c r="O31" i="7"/>
  <c r="P33" i="8" s="1"/>
  <c r="O32" i="31"/>
  <c r="M31" i="7"/>
  <c r="N33" i="8" s="1"/>
  <c r="M32" i="31"/>
  <c r="I26" i="7"/>
  <c r="I28" i="8" s="1"/>
  <c r="H26" i="31"/>
  <c r="G27" i="7"/>
  <c r="F26" i="31"/>
  <c r="F33" i="7"/>
  <c r="E35" i="8" s="1"/>
  <c r="E32" i="31"/>
  <c r="L31" i="7"/>
  <c r="M33" i="8" s="1"/>
  <c r="L32" i="31"/>
  <c r="Q30" i="7"/>
  <c r="S32" i="8" s="1"/>
  <c r="Q32" i="31"/>
  <c r="G33" i="7"/>
  <c r="C35" i="9" s="1"/>
  <c r="D35" i="9" s="1"/>
  <c r="F32" i="31"/>
  <c r="E28" i="7"/>
  <c r="C30" i="8" s="1"/>
  <c r="D26" i="31"/>
  <c r="H35" i="7"/>
  <c r="G37" i="8" s="1"/>
  <c r="G34" i="31"/>
  <c r="R24" i="7"/>
  <c r="T26" i="8" s="1"/>
  <c r="R26" i="31"/>
  <c r="D28" i="7"/>
  <c r="B30" i="8" s="1"/>
  <c r="C26" i="31"/>
  <c r="R25" i="7"/>
  <c r="T27" i="8" s="1"/>
  <c r="R27" i="31"/>
  <c r="Z12" i="16"/>
  <c r="AF12" i="16" s="1"/>
  <c r="AL12" i="16" s="1"/>
  <c r="Y11" i="16"/>
  <c r="AE11" i="16" s="1"/>
  <c r="AK11" i="16" s="1"/>
  <c r="Y12" i="16"/>
  <c r="AE12" i="16" s="1"/>
  <c r="AK12" i="16" s="1"/>
  <c r="V20" i="16"/>
  <c r="P3" i="16"/>
  <c r="W19" i="16"/>
  <c r="AE15" i="16"/>
  <c r="AK15" i="16" s="1"/>
  <c r="W20" i="16"/>
  <c r="S42" i="16"/>
  <c r="AE17" i="16"/>
  <c r="AK17" i="16" s="1"/>
  <c r="U20" i="16"/>
  <c r="AF13" i="16"/>
  <c r="AL13" i="16" s="1"/>
  <c r="AE13" i="16"/>
  <c r="AK13" i="16" s="1"/>
  <c r="AG13" i="16"/>
  <c r="AM13" i="16" s="1"/>
  <c r="U11" i="16"/>
  <c r="AE9" i="16"/>
  <c r="J26" i="16"/>
  <c r="U19" i="16"/>
  <c r="T19" i="16"/>
  <c r="T42" i="16"/>
  <c r="V19" i="16"/>
  <c r="D49" i="16"/>
  <c r="S18" i="16"/>
  <c r="U15" i="16"/>
  <c r="W18" i="16"/>
  <c r="C47" i="16"/>
  <c r="U18" i="16"/>
  <c r="V18" i="16"/>
  <c r="T18" i="16"/>
  <c r="B39" i="16"/>
  <c r="E35" i="6"/>
  <c r="W15" i="16"/>
  <c r="AC15" i="16" s="1"/>
  <c r="B47" i="16"/>
  <c r="G35" i="6"/>
  <c r="Q35" i="6"/>
  <c r="D28" i="6"/>
  <c r="F35" i="6"/>
  <c r="E47" i="16"/>
  <c r="T16" i="16"/>
  <c r="Z16" i="16" s="1"/>
  <c r="T17" i="16"/>
  <c r="D47" i="16"/>
  <c r="S16" i="16"/>
  <c r="U17" i="16"/>
  <c r="AA17" i="16" s="1"/>
  <c r="J35" i="6"/>
  <c r="O35" i="6"/>
  <c r="I35" i="6"/>
  <c r="E28" i="6"/>
  <c r="Q28" i="6"/>
  <c r="K35" i="6"/>
  <c r="D35" i="6"/>
  <c r="N35" i="6"/>
  <c r="S35" i="6"/>
  <c r="T35" i="6"/>
  <c r="L28" i="6"/>
  <c r="K27" i="31" s="1"/>
  <c r="V15" i="16"/>
  <c r="B45" i="16"/>
  <c r="R35" i="6"/>
  <c r="C35" i="6"/>
  <c r="P28" i="6"/>
  <c r="E45" i="16"/>
  <c r="U35" i="6"/>
  <c r="T31" i="7" s="1"/>
  <c r="M35" i="6"/>
  <c r="H28" i="6"/>
  <c r="K28" i="6"/>
  <c r="O28" i="6"/>
  <c r="F28" i="6"/>
  <c r="R28" i="6"/>
  <c r="N28" i="6"/>
  <c r="T28" i="6"/>
  <c r="G28" i="6"/>
  <c r="C28" i="6"/>
  <c r="J28" i="6"/>
  <c r="U28" i="6"/>
  <c r="T24" i="7" s="1"/>
  <c r="M28" i="6"/>
  <c r="I28" i="6"/>
  <c r="E41" i="16"/>
  <c r="V12" i="16"/>
  <c r="AB12" i="16" s="1"/>
  <c r="V13" i="16"/>
  <c r="T11" i="16"/>
  <c r="T10" i="16"/>
  <c r="Z10" i="16" s="1"/>
  <c r="S10" i="16"/>
  <c r="W14" i="16"/>
  <c r="U12" i="16"/>
  <c r="AA12" i="16" s="1"/>
  <c r="C41" i="16"/>
  <c r="W13" i="16"/>
  <c r="D41" i="16"/>
  <c r="E49" i="16"/>
  <c r="B49" i="16"/>
  <c r="U14" i="16"/>
  <c r="W17" i="16"/>
  <c r="W16" i="16"/>
  <c r="AC16" i="16" s="1"/>
  <c r="K30" i="6"/>
  <c r="R30" i="6"/>
  <c r="E30" i="6"/>
  <c r="Q30" i="6"/>
  <c r="N30" i="6"/>
  <c r="G30" i="6"/>
  <c r="S30" i="6"/>
  <c r="J30" i="6"/>
  <c r="U30" i="6"/>
  <c r="T26" i="7" s="1"/>
  <c r="H30" i="6"/>
  <c r="O30" i="6"/>
  <c r="C30" i="6"/>
  <c r="M30" i="6"/>
  <c r="F30" i="6"/>
  <c r="D30" i="6"/>
  <c r="L30" i="6"/>
  <c r="K29" i="31" s="1"/>
  <c r="T30" i="6"/>
  <c r="P30" i="6"/>
  <c r="I30" i="6"/>
  <c r="G28" i="9"/>
  <c r="H28" i="9" s="1"/>
  <c r="D12" i="29" s="1"/>
  <c r="B32" i="21"/>
  <c r="I36" i="14"/>
  <c r="J36" i="14" s="1"/>
  <c r="H36" i="14"/>
  <c r="E39" i="16"/>
  <c r="I39" i="14"/>
  <c r="J39" i="14" s="1"/>
  <c r="F39" i="14"/>
  <c r="G39" i="14" s="1"/>
  <c r="H39" i="14"/>
  <c r="V17" i="16"/>
  <c r="S14" i="16"/>
  <c r="T15" i="16"/>
  <c r="U16" i="16"/>
  <c r="C45" i="16"/>
  <c r="D45" i="16"/>
  <c r="I35" i="14"/>
  <c r="J35" i="14" s="1"/>
  <c r="H35" i="14"/>
  <c r="J34" i="8"/>
  <c r="E36" i="6"/>
  <c r="O36" i="6"/>
  <c r="J36" i="6"/>
  <c r="G36" i="6"/>
  <c r="N36" i="6"/>
  <c r="Q36" i="6"/>
  <c r="H36" i="6"/>
  <c r="I36" i="6"/>
  <c r="R36" i="6"/>
  <c r="F36" i="6"/>
  <c r="T36" i="6"/>
  <c r="K36" i="6"/>
  <c r="L36" i="6"/>
  <c r="K35" i="31" s="1"/>
  <c r="S36" i="6"/>
  <c r="D36" i="6"/>
  <c r="U36" i="6"/>
  <c r="T32" i="7" s="1"/>
  <c r="C36" i="6"/>
  <c r="P36" i="6"/>
  <c r="M36" i="6"/>
  <c r="Q31" i="6"/>
  <c r="O31" i="6"/>
  <c r="J31" i="6"/>
  <c r="K31" i="6"/>
  <c r="R31" i="6"/>
  <c r="E31" i="6"/>
  <c r="P31" i="6"/>
  <c r="D31" i="6"/>
  <c r="N31" i="6"/>
  <c r="M31" i="6"/>
  <c r="H31" i="6"/>
  <c r="C31" i="6"/>
  <c r="U31" i="6"/>
  <c r="T27" i="7" s="1"/>
  <c r="I31" i="6"/>
  <c r="S31" i="6"/>
  <c r="G31" i="6"/>
  <c r="T31" i="6"/>
  <c r="F31" i="6"/>
  <c r="L31" i="6"/>
  <c r="K30" i="31" s="1"/>
  <c r="V14" i="16"/>
  <c r="V16" i="16"/>
  <c r="I17" i="16"/>
  <c r="N17" i="16" s="1"/>
  <c r="C49" i="16"/>
  <c r="S8" i="16"/>
  <c r="Y8" i="16" s="1"/>
  <c r="AE8" i="16" s="1"/>
  <c r="U10" i="16"/>
  <c r="V11" i="16"/>
  <c r="W12" i="16"/>
  <c r="T9" i="16"/>
  <c r="C39" i="16"/>
  <c r="D39" i="16"/>
  <c r="O32" i="6"/>
  <c r="J32" i="6"/>
  <c r="G32" i="6"/>
  <c r="N32" i="6"/>
  <c r="Q32" i="6"/>
  <c r="I32" i="6"/>
  <c r="D32" i="6"/>
  <c r="T32" i="6"/>
  <c r="C32" i="6"/>
  <c r="S32" i="6"/>
  <c r="E32" i="6"/>
  <c r="K32" i="6"/>
  <c r="H32" i="6"/>
  <c r="U32" i="6"/>
  <c r="T28" i="7" s="1"/>
  <c r="R32" i="6"/>
  <c r="P32" i="6"/>
  <c r="F32" i="6"/>
  <c r="L32" i="6"/>
  <c r="K31" i="31" s="1"/>
  <c r="M32" i="6"/>
  <c r="I33" i="14"/>
  <c r="J33" i="14" s="1"/>
  <c r="H33" i="14"/>
  <c r="I38" i="14"/>
  <c r="J38" i="14" s="1"/>
  <c r="H38" i="14"/>
  <c r="K26" i="6"/>
  <c r="R26" i="6"/>
  <c r="Q26" i="6"/>
  <c r="E26" i="6"/>
  <c r="G26" i="6"/>
  <c r="I26" i="6"/>
  <c r="P26" i="6"/>
  <c r="C26" i="6"/>
  <c r="L26" i="6"/>
  <c r="K25" i="31" s="1"/>
  <c r="N26" i="6"/>
  <c r="H26" i="6"/>
  <c r="U26" i="6"/>
  <c r="T22" i="7" s="1"/>
  <c r="J26" i="6"/>
  <c r="T26" i="6"/>
  <c r="M26" i="6"/>
  <c r="S26" i="6"/>
  <c r="F26" i="6"/>
  <c r="O26" i="6"/>
  <c r="D26" i="6"/>
  <c r="T14" i="16"/>
  <c r="F35" i="8"/>
  <c r="N27" i="8"/>
  <c r="I34" i="14"/>
  <c r="J34" i="14" s="1"/>
  <c r="H34" i="14"/>
  <c r="K34" i="6"/>
  <c r="R34" i="6"/>
  <c r="Q34" i="6"/>
  <c r="E34" i="6"/>
  <c r="G34" i="6"/>
  <c r="D34" i="6"/>
  <c r="M34" i="6"/>
  <c r="L34" i="6"/>
  <c r="K33" i="31" s="1"/>
  <c r="S34" i="6"/>
  <c r="I34" i="6"/>
  <c r="N34" i="6"/>
  <c r="J34" i="6"/>
  <c r="U34" i="6"/>
  <c r="T30" i="7" s="1"/>
  <c r="F34" i="6"/>
  <c r="T34" i="6"/>
  <c r="P34" i="6"/>
  <c r="O34" i="6"/>
  <c r="H34" i="6"/>
  <c r="C34" i="6"/>
  <c r="C29" i="9"/>
  <c r="D29" i="9" s="1"/>
  <c r="F29" i="8"/>
  <c r="G29" i="6"/>
  <c r="K29" i="6"/>
  <c r="R29" i="6"/>
  <c r="N29" i="6"/>
  <c r="E29" i="6"/>
  <c r="O29" i="6"/>
  <c r="T29" i="6"/>
  <c r="F29" i="6"/>
  <c r="C29" i="6"/>
  <c r="I29" i="6"/>
  <c r="P29" i="6"/>
  <c r="S29" i="6"/>
  <c r="M29" i="6"/>
  <c r="U29" i="6"/>
  <c r="T25" i="7" s="1"/>
  <c r="H29" i="6"/>
  <c r="Q29" i="6"/>
  <c r="D29" i="6"/>
  <c r="J29" i="6"/>
  <c r="L29" i="6"/>
  <c r="K28" i="31" s="1"/>
  <c r="N16" i="16"/>
  <c r="K33" i="9" l="1"/>
  <c r="L33" i="9" s="1"/>
  <c r="D36" i="11" s="1"/>
  <c r="U26" i="8"/>
  <c r="U32" i="8"/>
  <c r="Q33" i="8"/>
  <c r="F29" i="7"/>
  <c r="E31" i="8" s="1"/>
  <c r="E28" i="31"/>
  <c r="C28" i="7"/>
  <c r="B25" i="31"/>
  <c r="H29" i="7"/>
  <c r="G31" i="8" s="1"/>
  <c r="G28" i="31"/>
  <c r="O27" i="7"/>
  <c r="P29" i="8" s="1"/>
  <c r="O28" i="31"/>
  <c r="Q26" i="7"/>
  <c r="S28" i="8" s="1"/>
  <c r="Q28" i="31"/>
  <c r="C30" i="10"/>
  <c r="AA30" i="10" s="1"/>
  <c r="C13" i="29"/>
  <c r="P34" i="8"/>
  <c r="O32" i="7"/>
  <c r="O33" i="31"/>
  <c r="J33" i="7"/>
  <c r="J35" i="8" s="1"/>
  <c r="I33" i="31"/>
  <c r="E35" i="7"/>
  <c r="C37" i="8" s="1"/>
  <c r="D33" i="31"/>
  <c r="J28" i="7"/>
  <c r="I28" i="31"/>
  <c r="I28" i="7"/>
  <c r="I30" i="8" s="1"/>
  <c r="H28" i="31"/>
  <c r="N27" i="7"/>
  <c r="O29" i="8" s="1"/>
  <c r="N28" i="31"/>
  <c r="K28" i="7"/>
  <c r="J28" i="31"/>
  <c r="C36" i="7"/>
  <c r="B33" i="31"/>
  <c r="S30" i="7"/>
  <c r="S33" i="31"/>
  <c r="M32" i="7"/>
  <c r="K34" i="9" s="1"/>
  <c r="L34" i="9" s="1"/>
  <c r="D37" i="11" s="1"/>
  <c r="M33" i="31"/>
  <c r="L32" i="7"/>
  <c r="M34" i="8" s="1"/>
  <c r="L33" i="31"/>
  <c r="P31" i="7"/>
  <c r="R33" i="8" s="1"/>
  <c r="P33" i="31"/>
  <c r="Z36" i="10"/>
  <c r="C19" i="29"/>
  <c r="N24" i="7"/>
  <c r="O26" i="8" s="1"/>
  <c r="N25" i="31"/>
  <c r="S22" i="7"/>
  <c r="S25" i="31"/>
  <c r="M24" i="7"/>
  <c r="K26" i="9" s="1"/>
  <c r="L26" i="9" s="1"/>
  <c r="D29" i="11" s="1"/>
  <c r="M25" i="31"/>
  <c r="I25" i="7"/>
  <c r="I27" i="8" s="1"/>
  <c r="H25" i="31"/>
  <c r="Q23" i="7"/>
  <c r="S25" i="8" s="1"/>
  <c r="Q25" i="31"/>
  <c r="F32" i="7"/>
  <c r="E34" i="8" s="1"/>
  <c r="E31" i="31"/>
  <c r="H32" i="7"/>
  <c r="G34" i="8" s="1"/>
  <c r="G31" i="31"/>
  <c r="C34" i="7"/>
  <c r="B31" i="31"/>
  <c r="P29" i="7"/>
  <c r="R31" i="8" s="1"/>
  <c r="P31" i="31"/>
  <c r="N30" i="7"/>
  <c r="O32" i="8" s="1"/>
  <c r="N31" i="31"/>
  <c r="R28" i="7"/>
  <c r="T30" i="8" s="1"/>
  <c r="R30" i="31"/>
  <c r="H31" i="7"/>
  <c r="G33" i="8" s="1"/>
  <c r="G30" i="31"/>
  <c r="O29" i="7"/>
  <c r="P31" i="8" s="1"/>
  <c r="O30" i="31"/>
  <c r="J30" i="7"/>
  <c r="G32" i="9" s="1"/>
  <c r="H32" i="9" s="1"/>
  <c r="D16" i="29" s="1"/>
  <c r="I30" i="31"/>
  <c r="O34" i="7"/>
  <c r="O35" i="31"/>
  <c r="R33" i="7"/>
  <c r="T35" i="8" s="1"/>
  <c r="R35" i="31"/>
  <c r="F36" i="7"/>
  <c r="E35" i="31"/>
  <c r="P33" i="7"/>
  <c r="P35" i="31"/>
  <c r="N34" i="7"/>
  <c r="O36" i="8" s="1"/>
  <c r="N35" i="31"/>
  <c r="S12" i="29"/>
  <c r="T12" i="29" s="1"/>
  <c r="X12" i="29"/>
  <c r="Y12" i="29" s="1"/>
  <c r="AB12" i="29"/>
  <c r="N12" i="29"/>
  <c r="O12" i="29" s="1"/>
  <c r="O28" i="7"/>
  <c r="O29" i="31"/>
  <c r="F30" i="7"/>
  <c r="E32" i="8" s="1"/>
  <c r="E29" i="31"/>
  <c r="H30" i="7"/>
  <c r="G29" i="31"/>
  <c r="G30" i="7"/>
  <c r="C32" i="9" s="1"/>
  <c r="D32" i="9" s="1"/>
  <c r="F29" i="31"/>
  <c r="Q27" i="7"/>
  <c r="Q29" i="31"/>
  <c r="S24" i="7"/>
  <c r="S27" i="31"/>
  <c r="N26" i="7"/>
  <c r="O28" i="8" s="1"/>
  <c r="N27" i="31"/>
  <c r="Q32" i="7"/>
  <c r="S34" i="8" s="1"/>
  <c r="Q34" i="31"/>
  <c r="S31" i="7"/>
  <c r="S34" i="31"/>
  <c r="K34" i="7"/>
  <c r="K36" i="8" s="1"/>
  <c r="J34" i="31"/>
  <c r="N33" i="7"/>
  <c r="O35" i="8" s="1"/>
  <c r="N34" i="31"/>
  <c r="G35" i="7"/>
  <c r="F37" i="8" s="1"/>
  <c r="F34" i="31"/>
  <c r="P26" i="7"/>
  <c r="R28" i="8" s="1"/>
  <c r="P28" i="31"/>
  <c r="H29" i="8"/>
  <c r="R31" i="7"/>
  <c r="T33" i="8" s="1"/>
  <c r="R33" i="31"/>
  <c r="K33" i="7"/>
  <c r="K35" i="8" s="1"/>
  <c r="J33" i="31"/>
  <c r="R23" i="7"/>
  <c r="T25" i="8" s="1"/>
  <c r="R25" i="31"/>
  <c r="D30" i="7"/>
  <c r="B32" i="8" s="1"/>
  <c r="C28" i="31"/>
  <c r="L27" i="7"/>
  <c r="M29" i="8" s="1"/>
  <c r="L28" i="31"/>
  <c r="C31" i="7"/>
  <c r="B28" i="31"/>
  <c r="E30" i="7"/>
  <c r="C32" i="8" s="1"/>
  <c r="D28" i="31"/>
  <c r="G29" i="7"/>
  <c r="F28" i="31"/>
  <c r="H34" i="7"/>
  <c r="G36" i="8" s="1"/>
  <c r="G33" i="31"/>
  <c r="F34" i="7"/>
  <c r="E36" i="8" s="1"/>
  <c r="E33" i="31"/>
  <c r="I33" i="7"/>
  <c r="I35" i="8" s="1"/>
  <c r="H33" i="31"/>
  <c r="D35" i="7"/>
  <c r="C33" i="31"/>
  <c r="Q31" i="7"/>
  <c r="S33" i="8" s="1"/>
  <c r="Q33" i="31"/>
  <c r="Q27" i="8"/>
  <c r="F26" i="7"/>
  <c r="E28" i="8" s="1"/>
  <c r="E25" i="31"/>
  <c r="J25" i="7"/>
  <c r="I25" i="31"/>
  <c r="G26" i="7"/>
  <c r="C28" i="9" s="1"/>
  <c r="D28" i="9" s="1"/>
  <c r="F25" i="31"/>
  <c r="K25" i="7"/>
  <c r="K27" i="8" s="1"/>
  <c r="J25" i="31"/>
  <c r="O30" i="7"/>
  <c r="P32" i="8" s="1"/>
  <c r="O31" i="31"/>
  <c r="K31" i="7"/>
  <c r="K33" i="8" s="1"/>
  <c r="J31" i="31"/>
  <c r="S28" i="7"/>
  <c r="S31" i="31"/>
  <c r="M30" i="7"/>
  <c r="M31" i="31"/>
  <c r="F31" i="7"/>
  <c r="E33" i="8" s="1"/>
  <c r="E30" i="31"/>
  <c r="I30" i="7"/>
  <c r="H30" i="31"/>
  <c r="L29" i="7"/>
  <c r="M31" i="8" s="1"/>
  <c r="L30" i="31"/>
  <c r="E32" i="7"/>
  <c r="D30" i="31"/>
  <c r="N29" i="7"/>
  <c r="O31" i="8" s="1"/>
  <c r="N30" i="31"/>
  <c r="C38" i="7"/>
  <c r="B35" i="31"/>
  <c r="K43" i="31"/>
  <c r="K47" i="31"/>
  <c r="K46" i="31"/>
  <c r="K48" i="31" s="1"/>
  <c r="Q33" i="7"/>
  <c r="Q35" i="31"/>
  <c r="M34" i="7"/>
  <c r="M35" i="31"/>
  <c r="E37" i="7"/>
  <c r="D35" i="31"/>
  <c r="S26" i="7"/>
  <c r="S29" i="31"/>
  <c r="L28" i="7"/>
  <c r="M30" i="8" s="1"/>
  <c r="L29" i="31"/>
  <c r="M28" i="7"/>
  <c r="N30" i="8" s="1"/>
  <c r="M29" i="31"/>
  <c r="K29" i="7"/>
  <c r="K31" i="8" s="1"/>
  <c r="J29" i="31"/>
  <c r="J27" i="7"/>
  <c r="J29" i="8" s="1"/>
  <c r="I27" i="31"/>
  <c r="M26" i="7"/>
  <c r="N28" i="8" s="1"/>
  <c r="M27" i="31"/>
  <c r="K27" i="7"/>
  <c r="K29" i="8" s="1"/>
  <c r="J27" i="31"/>
  <c r="R32" i="7"/>
  <c r="T34" i="8" s="1"/>
  <c r="R34" i="31"/>
  <c r="P25" i="7"/>
  <c r="R27" i="8" s="1"/>
  <c r="P27" i="31"/>
  <c r="J34" i="7"/>
  <c r="J36" i="8" s="1"/>
  <c r="I34" i="31"/>
  <c r="F35" i="7"/>
  <c r="E37" i="8" s="1"/>
  <c r="E34" i="31"/>
  <c r="E27" i="7"/>
  <c r="C29" i="8" s="1"/>
  <c r="D25" i="31"/>
  <c r="L30" i="7"/>
  <c r="M32" i="8" s="1"/>
  <c r="L31" i="31"/>
  <c r="Q29" i="7"/>
  <c r="S31" i="8" s="1"/>
  <c r="Q31" i="31"/>
  <c r="E33" i="7"/>
  <c r="C35" i="8" s="1"/>
  <c r="D31" i="31"/>
  <c r="D33" i="7"/>
  <c r="B35" i="8" s="1"/>
  <c r="C31" i="31"/>
  <c r="G32" i="7"/>
  <c r="F34" i="8" s="1"/>
  <c r="F31" i="31"/>
  <c r="S27" i="7"/>
  <c r="S30" i="31"/>
  <c r="M29" i="7"/>
  <c r="K31" i="9" s="1"/>
  <c r="L31" i="9" s="1"/>
  <c r="D34" i="11" s="1"/>
  <c r="M30" i="31"/>
  <c r="Q28" i="7"/>
  <c r="S30" i="8" s="1"/>
  <c r="Q30" i="31"/>
  <c r="P28" i="7"/>
  <c r="R30" i="8" s="1"/>
  <c r="P30" i="31"/>
  <c r="K35" i="7"/>
  <c r="K37" i="8" s="1"/>
  <c r="J35" i="31"/>
  <c r="I35" i="7"/>
  <c r="I37" i="8" s="1"/>
  <c r="H35" i="31"/>
  <c r="G36" i="7"/>
  <c r="F38" i="8" s="1"/>
  <c r="F35" i="31"/>
  <c r="L34" i="8"/>
  <c r="C32" i="7"/>
  <c r="B29" i="31"/>
  <c r="J29" i="7"/>
  <c r="G31" i="9" s="1"/>
  <c r="H31" i="9" s="1"/>
  <c r="D15" i="29" s="1"/>
  <c r="I29" i="31"/>
  <c r="P27" i="7"/>
  <c r="R29" i="8" s="1"/>
  <c r="P29" i="31"/>
  <c r="I27" i="7"/>
  <c r="I29" i="8" s="1"/>
  <c r="H27" i="31"/>
  <c r="C30" i="7"/>
  <c r="B27" i="31"/>
  <c r="Q25" i="7"/>
  <c r="S27" i="8" s="1"/>
  <c r="Q27" i="31"/>
  <c r="H28" i="7"/>
  <c r="G30" i="8" s="1"/>
  <c r="G27" i="31"/>
  <c r="O26" i="7"/>
  <c r="P28" i="8" s="1"/>
  <c r="O27" i="31"/>
  <c r="M33" i="7"/>
  <c r="K35" i="9" s="1"/>
  <c r="L35" i="9" s="1"/>
  <c r="D38" i="11" s="1"/>
  <c r="M34" i="31"/>
  <c r="M20" i="30" s="1"/>
  <c r="E29" i="7"/>
  <c r="C31" i="8" s="1"/>
  <c r="D27" i="31"/>
  <c r="D29" i="7"/>
  <c r="B31" i="8" s="1"/>
  <c r="C27" i="31"/>
  <c r="D30" i="8"/>
  <c r="T26" i="31"/>
  <c r="R26" i="7"/>
  <c r="T28" i="8" s="1"/>
  <c r="R28" i="31"/>
  <c r="M27" i="7"/>
  <c r="M28" i="31"/>
  <c r="N32" i="7"/>
  <c r="O34" i="8" s="1"/>
  <c r="N33" i="31"/>
  <c r="G34" i="7"/>
  <c r="F36" i="8" s="1"/>
  <c r="F33" i="31"/>
  <c r="S25" i="7"/>
  <c r="S28" i="31"/>
  <c r="H35" i="8"/>
  <c r="D27" i="7"/>
  <c r="B29" i="8" s="1"/>
  <c r="C25" i="31"/>
  <c r="L24" i="7"/>
  <c r="M26" i="8" s="1"/>
  <c r="L25" i="31"/>
  <c r="H26" i="7"/>
  <c r="G28" i="8" s="1"/>
  <c r="G25" i="31"/>
  <c r="O24" i="7"/>
  <c r="P26" i="8" s="1"/>
  <c r="O25" i="31"/>
  <c r="P23" i="7"/>
  <c r="R25" i="8" s="1"/>
  <c r="P25" i="31"/>
  <c r="R29" i="7"/>
  <c r="T31" i="8" s="1"/>
  <c r="R31" i="31"/>
  <c r="I31" i="7"/>
  <c r="I33" i="8" s="1"/>
  <c r="H31" i="31"/>
  <c r="J31" i="7"/>
  <c r="J33" i="8" s="1"/>
  <c r="I31" i="31"/>
  <c r="G31" i="7"/>
  <c r="F33" i="8" s="1"/>
  <c r="F30" i="31"/>
  <c r="C33" i="7"/>
  <c r="B30" i="31"/>
  <c r="D32" i="7"/>
  <c r="B34" i="8" s="1"/>
  <c r="C30" i="31"/>
  <c r="K30" i="7"/>
  <c r="K32" i="8" s="1"/>
  <c r="J30" i="31"/>
  <c r="L34" i="7"/>
  <c r="M36" i="8" s="1"/>
  <c r="L35" i="31"/>
  <c r="D37" i="7"/>
  <c r="C35" i="31"/>
  <c r="S32" i="7"/>
  <c r="S35" i="31"/>
  <c r="H36" i="7"/>
  <c r="G35" i="31"/>
  <c r="J35" i="7"/>
  <c r="I35" i="31"/>
  <c r="S18" i="29"/>
  <c r="T18" i="29" s="1"/>
  <c r="AB18" i="29"/>
  <c r="X18" i="29"/>
  <c r="Y18" i="29" s="1"/>
  <c r="N18" i="29"/>
  <c r="O18" i="29" s="1"/>
  <c r="L28" i="8"/>
  <c r="I29" i="7"/>
  <c r="I31" i="8" s="1"/>
  <c r="H29" i="31"/>
  <c r="D31" i="7"/>
  <c r="C29" i="31"/>
  <c r="N28" i="7"/>
  <c r="O30" i="8" s="1"/>
  <c r="N29" i="31"/>
  <c r="R27" i="7"/>
  <c r="T29" i="8" s="1"/>
  <c r="R29" i="31"/>
  <c r="E31" i="7"/>
  <c r="C33" i="8" s="1"/>
  <c r="D29" i="31"/>
  <c r="L26" i="7"/>
  <c r="M28" i="8" s="1"/>
  <c r="L27" i="31"/>
  <c r="G28" i="7"/>
  <c r="C30" i="9" s="1"/>
  <c r="D30" i="9" s="1"/>
  <c r="F27" i="31"/>
  <c r="F28" i="7"/>
  <c r="E30" i="8" s="1"/>
  <c r="E27" i="31"/>
  <c r="L33" i="7"/>
  <c r="M35" i="8" s="1"/>
  <c r="L34" i="31"/>
  <c r="C37" i="7"/>
  <c r="B34" i="31"/>
  <c r="D36" i="7"/>
  <c r="B38" i="8" s="1"/>
  <c r="C34" i="31"/>
  <c r="I34" i="7"/>
  <c r="I36" i="8" s="1"/>
  <c r="H34" i="31"/>
  <c r="P32" i="7"/>
  <c r="R34" i="8" s="1"/>
  <c r="P34" i="31"/>
  <c r="P20" i="30" s="1"/>
  <c r="E36" i="7"/>
  <c r="D34" i="31"/>
  <c r="T32" i="31"/>
  <c r="L46" i="6"/>
  <c r="T46" i="6"/>
  <c r="S46" i="6"/>
  <c r="U46" i="6"/>
  <c r="H46" i="6"/>
  <c r="N46" i="6"/>
  <c r="P46" i="6"/>
  <c r="R46" i="6"/>
  <c r="J46" i="6"/>
  <c r="Q46" i="6"/>
  <c r="R35" i="8"/>
  <c r="F46" i="6"/>
  <c r="G46" i="6"/>
  <c r="I32" i="8"/>
  <c r="I46" i="6"/>
  <c r="C46" i="6"/>
  <c r="M46" i="6"/>
  <c r="D46" i="6"/>
  <c r="C34" i="8"/>
  <c r="E46" i="6"/>
  <c r="K46" i="6"/>
  <c r="O46" i="6"/>
  <c r="S35" i="8"/>
  <c r="C31" i="11"/>
  <c r="D29" i="10"/>
  <c r="C37" i="11"/>
  <c r="D35" i="10"/>
  <c r="D60" i="16"/>
  <c r="AC12" i="16"/>
  <c r="AI12" i="16" s="1"/>
  <c r="AA10" i="16"/>
  <c r="AG10" i="16" s="1"/>
  <c r="AB16" i="16"/>
  <c r="AH16" i="16" s="1"/>
  <c r="AN16" i="16" s="1"/>
  <c r="AA16" i="16"/>
  <c r="AG16" i="16" s="1"/>
  <c r="AM16" i="16" s="1"/>
  <c r="Y14" i="16"/>
  <c r="AE14" i="16" s="1"/>
  <c r="AK14" i="16" s="1"/>
  <c r="P30" i="8"/>
  <c r="G32" i="8"/>
  <c r="S29" i="8"/>
  <c r="AA14" i="16"/>
  <c r="AG14" i="16" s="1"/>
  <c r="AM14" i="16" s="1"/>
  <c r="AC13" i="16"/>
  <c r="AI13" i="16" s="1"/>
  <c r="AO13" i="16" s="1"/>
  <c r="Y10" i="16"/>
  <c r="AE10" i="16" s="1"/>
  <c r="Z11" i="16"/>
  <c r="AF11" i="16" s="1"/>
  <c r="AL11" i="16" s="1"/>
  <c r="Y16" i="16"/>
  <c r="AE16" i="16" s="1"/>
  <c r="AK16" i="16" s="1"/>
  <c r="Z17" i="16"/>
  <c r="AF17" i="16" s="1"/>
  <c r="AL17" i="16" s="1"/>
  <c r="Z18" i="16"/>
  <c r="AF18" i="16" s="1"/>
  <c r="AL18" i="16" s="1"/>
  <c r="AA18" i="16"/>
  <c r="AG18" i="16" s="1"/>
  <c r="AM18" i="16" s="1"/>
  <c r="AC18" i="16"/>
  <c r="AI18" i="16" s="1"/>
  <c r="AO18" i="16" s="1"/>
  <c r="Y18" i="16"/>
  <c r="AE18" i="16" s="1"/>
  <c r="AK18" i="16" s="1"/>
  <c r="AA19" i="16"/>
  <c r="AG19" i="16" s="1"/>
  <c r="AM19" i="16" s="1"/>
  <c r="AC20" i="16"/>
  <c r="AI20" i="16" s="1"/>
  <c r="AO20" i="16" s="1"/>
  <c r="AC19" i="16"/>
  <c r="AI19" i="16" s="1"/>
  <c r="AO19" i="16" s="1"/>
  <c r="Z14" i="16"/>
  <c r="AF14" i="16" s="1"/>
  <c r="AL14" i="16" s="1"/>
  <c r="Z9" i="16"/>
  <c r="AF9" i="16" s="1"/>
  <c r="AB11" i="16"/>
  <c r="AH11" i="16" s="1"/>
  <c r="AN11" i="16" s="1"/>
  <c r="AB14" i="16"/>
  <c r="AH14" i="16" s="1"/>
  <c r="AN14" i="16" s="1"/>
  <c r="Z15" i="16"/>
  <c r="AF15" i="16" s="1"/>
  <c r="AL15" i="16" s="1"/>
  <c r="AB17" i="16"/>
  <c r="AH17" i="16" s="1"/>
  <c r="AN17" i="16" s="1"/>
  <c r="B33" i="8"/>
  <c r="AC17" i="16"/>
  <c r="AI17" i="16" s="1"/>
  <c r="AO17" i="16" s="1"/>
  <c r="AC14" i="16"/>
  <c r="AI14" i="16" s="1"/>
  <c r="AO14" i="16" s="1"/>
  <c r="AB13" i="16"/>
  <c r="AH13" i="16" s="1"/>
  <c r="AN13" i="16" s="1"/>
  <c r="AB15" i="16"/>
  <c r="AH15" i="16" s="1"/>
  <c r="AN15" i="16" s="1"/>
  <c r="AB18" i="16"/>
  <c r="AH18" i="16" s="1"/>
  <c r="AN18" i="16" s="1"/>
  <c r="AA15" i="16"/>
  <c r="AG15" i="16" s="1"/>
  <c r="AM15" i="16" s="1"/>
  <c r="AB19" i="16"/>
  <c r="AH19" i="16" s="1"/>
  <c r="AN19" i="16" s="1"/>
  <c r="Z19" i="16"/>
  <c r="AF19" i="16" s="1"/>
  <c r="AL19" i="16" s="1"/>
  <c r="AA11" i="16"/>
  <c r="AG11" i="16" s="1"/>
  <c r="AM11" i="16" s="1"/>
  <c r="AA20" i="16"/>
  <c r="AG20" i="16" s="1"/>
  <c r="AM20" i="16" s="1"/>
  <c r="AB20" i="16"/>
  <c r="AH20" i="16" s="1"/>
  <c r="AN20" i="16" s="1"/>
  <c r="AK9" i="16"/>
  <c r="E60" i="16"/>
  <c r="C60" i="16"/>
  <c r="B60" i="16"/>
  <c r="N26" i="16"/>
  <c r="AG12" i="16"/>
  <c r="AM12" i="16" s="1"/>
  <c r="AH12" i="16"/>
  <c r="AN12" i="16" s="1"/>
  <c r="AF16" i="16"/>
  <c r="AL16" i="16" s="1"/>
  <c r="AK8" i="16"/>
  <c r="AI16" i="16"/>
  <c r="AO16" i="16" s="1"/>
  <c r="AF10" i="16"/>
  <c r="AL10" i="16" s="1"/>
  <c r="AG17" i="16"/>
  <c r="AM17" i="16" s="1"/>
  <c r="AI15" i="16"/>
  <c r="AO15" i="16" s="1"/>
  <c r="I26" i="16"/>
  <c r="S41" i="16"/>
  <c r="AA36" i="10"/>
  <c r="T43" i="16"/>
  <c r="T41" i="16"/>
  <c r="P47" i="16"/>
  <c r="B31" i="21"/>
  <c r="N35" i="8"/>
  <c r="S43" i="16"/>
  <c r="S46" i="16"/>
  <c r="E35" i="9"/>
  <c r="I34" i="9"/>
  <c r="E29" i="9"/>
  <c r="M33" i="9"/>
  <c r="M27" i="9"/>
  <c r="I28" i="9"/>
  <c r="C38" i="9"/>
  <c r="D38" i="9" s="1"/>
  <c r="K30" i="8"/>
  <c r="I30" i="14"/>
  <c r="J30" i="14" s="1"/>
  <c r="H30" i="14"/>
  <c r="R46" i="16"/>
  <c r="J32" i="8"/>
  <c r="T46" i="16"/>
  <c r="K32" i="9"/>
  <c r="L32" i="9" s="1"/>
  <c r="D35" i="11" s="1"/>
  <c r="N32" i="8"/>
  <c r="I40" i="14"/>
  <c r="J40" i="14" s="1"/>
  <c r="H40" i="14"/>
  <c r="F40" i="14"/>
  <c r="G40" i="14" s="1"/>
  <c r="C37" i="9" l="1"/>
  <c r="D37" i="9" s="1"/>
  <c r="AA38" i="7"/>
  <c r="E38" i="14"/>
  <c r="F38" i="14" s="1"/>
  <c r="G38" i="14" s="1"/>
  <c r="K25" i="30"/>
  <c r="K28" i="30" s="1"/>
  <c r="K26" i="30"/>
  <c r="K29" i="30" s="1"/>
  <c r="M18" i="30"/>
  <c r="C34" i="9"/>
  <c r="D34" i="9" s="1"/>
  <c r="C18" i="29" s="1"/>
  <c r="N31" i="8"/>
  <c r="Q31" i="8" s="1"/>
  <c r="C33" i="9"/>
  <c r="D33" i="9" s="1"/>
  <c r="C34" i="10" s="1"/>
  <c r="Z34" i="10" s="1"/>
  <c r="K30" i="9"/>
  <c r="L30" i="9" s="1"/>
  <c r="D33" i="11" s="1"/>
  <c r="N26" i="8"/>
  <c r="G33" i="9"/>
  <c r="H33" i="9" s="1"/>
  <c r="D17" i="29" s="1"/>
  <c r="S17" i="29" s="1"/>
  <c r="T17" i="29" s="1"/>
  <c r="G29" i="9"/>
  <c r="H29" i="9" s="1"/>
  <c r="D13" i="29" s="1"/>
  <c r="X13" i="29" s="1"/>
  <c r="Y13" i="29" s="1"/>
  <c r="G35" i="9"/>
  <c r="H35" i="9" s="1"/>
  <c r="D19" i="29" s="1"/>
  <c r="S19" i="29" s="1"/>
  <c r="T19" i="29" s="1"/>
  <c r="N19" i="30"/>
  <c r="N34" i="8"/>
  <c r="Q34" i="8" s="1"/>
  <c r="C36" i="9"/>
  <c r="D36" i="9" s="1"/>
  <c r="C20" i="29" s="1"/>
  <c r="Q16" i="30"/>
  <c r="F28" i="8"/>
  <c r="H28" i="8" s="1"/>
  <c r="G38" i="8"/>
  <c r="M14" i="30"/>
  <c r="D35" i="8"/>
  <c r="P17" i="30"/>
  <c r="N36" i="8"/>
  <c r="J37" i="8"/>
  <c r="L37" i="8" s="1"/>
  <c r="F30" i="8"/>
  <c r="H30" i="8" s="1"/>
  <c r="Z30" i="10"/>
  <c r="U36" i="7"/>
  <c r="Y36" i="7" s="1"/>
  <c r="U30" i="8"/>
  <c r="D11" i="30"/>
  <c r="N20" i="30"/>
  <c r="U32" i="7"/>
  <c r="AA32" i="7" s="1"/>
  <c r="C39" i="8"/>
  <c r="F16" i="30"/>
  <c r="U27" i="8"/>
  <c r="P12" i="30"/>
  <c r="U35" i="8"/>
  <c r="L32" i="8"/>
  <c r="U33" i="7"/>
  <c r="AA33" i="7" s="1"/>
  <c r="H36" i="8"/>
  <c r="L29" i="8"/>
  <c r="G37" i="9"/>
  <c r="H37" i="9" s="1"/>
  <c r="D21" i="29" s="1"/>
  <c r="AB21" i="29" s="1"/>
  <c r="K28" i="9"/>
  <c r="L28" i="9" s="1"/>
  <c r="D31" i="11" s="1"/>
  <c r="X31" i="11" s="1"/>
  <c r="Y31" i="11" s="1"/>
  <c r="D12" i="30"/>
  <c r="L36" i="8"/>
  <c r="M12" i="30"/>
  <c r="U35" i="7"/>
  <c r="Y35" i="7" s="1"/>
  <c r="U34" i="7"/>
  <c r="X34" i="7" s="1"/>
  <c r="U34" i="8"/>
  <c r="K36" i="9"/>
  <c r="L36" i="9" s="1"/>
  <c r="D39" i="11" s="1"/>
  <c r="N39" i="11" s="1"/>
  <c r="Q35" i="8"/>
  <c r="D34" i="8"/>
  <c r="D15" i="30"/>
  <c r="N15" i="30"/>
  <c r="H37" i="8"/>
  <c r="J15" i="30"/>
  <c r="N13" i="30"/>
  <c r="U31" i="8"/>
  <c r="C31" i="10"/>
  <c r="C14" i="29"/>
  <c r="E30" i="9"/>
  <c r="C33" i="10"/>
  <c r="AA33" i="10" s="1"/>
  <c r="C16" i="29"/>
  <c r="Q28" i="8"/>
  <c r="U33" i="8"/>
  <c r="AA39" i="10"/>
  <c r="C22" i="29"/>
  <c r="S15" i="29"/>
  <c r="T15" i="29" s="1"/>
  <c r="N15" i="29"/>
  <c r="O15" i="29" s="1"/>
  <c r="X15" i="29"/>
  <c r="Y15" i="29" s="1"/>
  <c r="AB15" i="29"/>
  <c r="I46" i="31"/>
  <c r="I48" i="31" s="1"/>
  <c r="I47" i="31"/>
  <c r="I43" i="31"/>
  <c r="L46" i="31"/>
  <c r="L48" i="31" s="1"/>
  <c r="L47" i="31"/>
  <c r="L43" i="31"/>
  <c r="T27" i="31"/>
  <c r="Q21" i="30"/>
  <c r="Q46" i="31"/>
  <c r="Q48" i="31" s="1"/>
  <c r="Q47" i="31"/>
  <c r="Q43" i="31"/>
  <c r="J19" i="30"/>
  <c r="L33" i="8"/>
  <c r="D31" i="8"/>
  <c r="P36" i="8"/>
  <c r="D20" i="30"/>
  <c r="T34" i="31"/>
  <c r="F13" i="30"/>
  <c r="F19" i="30"/>
  <c r="Q12" i="30"/>
  <c r="D17" i="30"/>
  <c r="J13" i="30"/>
  <c r="J12" i="30"/>
  <c r="N16" i="30"/>
  <c r="J11" i="30"/>
  <c r="F14" i="30"/>
  <c r="T28" i="31"/>
  <c r="P14" i="30"/>
  <c r="F15" i="30"/>
  <c r="N21" i="30"/>
  <c r="N47" i="31"/>
  <c r="N43" i="31"/>
  <c r="N46" i="31"/>
  <c r="N48" i="31" s="1"/>
  <c r="E46" i="31"/>
  <c r="E48" i="31" s="1"/>
  <c r="E47" i="31"/>
  <c r="E43" i="31"/>
  <c r="O47" i="31"/>
  <c r="O46" i="31"/>
  <c r="O48" i="31" s="1"/>
  <c r="O43" i="31"/>
  <c r="T31" i="31"/>
  <c r="Q11" i="30"/>
  <c r="M11" i="30"/>
  <c r="N11" i="30"/>
  <c r="P19" i="30"/>
  <c r="J14" i="30"/>
  <c r="Q14" i="30"/>
  <c r="H33" i="8"/>
  <c r="D46" i="31"/>
  <c r="D48" i="31" s="1"/>
  <c r="D47" i="31"/>
  <c r="D43" i="31"/>
  <c r="D21" i="30"/>
  <c r="C29" i="10"/>
  <c r="AA29" i="10" s="1"/>
  <c r="C12" i="29"/>
  <c r="J30" i="8"/>
  <c r="L30" i="8" s="1"/>
  <c r="AA38" i="10"/>
  <c r="C21" i="29"/>
  <c r="E38" i="8"/>
  <c r="J18" i="30"/>
  <c r="C38" i="8"/>
  <c r="D38" i="8" s="1"/>
  <c r="N12" i="30"/>
  <c r="P18" i="30"/>
  <c r="Q13" i="30"/>
  <c r="P15" i="30"/>
  <c r="T29" i="31"/>
  <c r="P13" i="30"/>
  <c r="B46" i="31"/>
  <c r="B48" i="31" s="1"/>
  <c r="B47" i="31"/>
  <c r="B43" i="31"/>
  <c r="T35" i="31"/>
  <c r="D16" i="30"/>
  <c r="M17" i="30"/>
  <c r="J17" i="30"/>
  <c r="F11" i="30"/>
  <c r="B37" i="8"/>
  <c r="D37" i="8" s="1"/>
  <c r="D14" i="30"/>
  <c r="F18" i="30"/>
  <c r="Q20" i="30"/>
  <c r="Q15" i="30"/>
  <c r="P21" i="30"/>
  <c r="P46" i="31"/>
  <c r="P48" i="31" s="1"/>
  <c r="P47" i="31"/>
  <c r="P43" i="31"/>
  <c r="R47" i="31"/>
  <c r="R43" i="31"/>
  <c r="R46" i="31"/>
  <c r="R48" i="31" s="1"/>
  <c r="N17" i="30"/>
  <c r="AA19" i="29"/>
  <c r="Z19" i="29"/>
  <c r="M19" i="30"/>
  <c r="T33" i="31"/>
  <c r="N14" i="30"/>
  <c r="D19" i="30"/>
  <c r="AA13" i="29"/>
  <c r="Z13" i="29"/>
  <c r="S43" i="31"/>
  <c r="S46" i="31"/>
  <c r="S48" i="31" s="1"/>
  <c r="S47" i="31"/>
  <c r="F21" i="30"/>
  <c r="F47" i="31"/>
  <c r="F43" i="31"/>
  <c r="F46" i="31"/>
  <c r="F48" i="31" s="1"/>
  <c r="J21" i="30"/>
  <c r="J47" i="31"/>
  <c r="J43" i="31"/>
  <c r="J46" i="31"/>
  <c r="J48" i="31" s="1"/>
  <c r="Q19" i="30"/>
  <c r="J20" i="30"/>
  <c r="J27" i="8"/>
  <c r="L27" i="8" s="1"/>
  <c r="Q32" i="8"/>
  <c r="D32" i="8"/>
  <c r="S16" i="29"/>
  <c r="T16" i="29" s="1"/>
  <c r="AB16" i="29"/>
  <c r="X16" i="29"/>
  <c r="Y16" i="29" s="1"/>
  <c r="N16" i="29"/>
  <c r="O16" i="29" s="1"/>
  <c r="G30" i="9"/>
  <c r="H30" i="9" s="1"/>
  <c r="D14" i="29" s="1"/>
  <c r="G27" i="9"/>
  <c r="H27" i="9" s="1"/>
  <c r="D11" i="29" s="1"/>
  <c r="H34" i="8"/>
  <c r="L35" i="8"/>
  <c r="G36" i="9"/>
  <c r="H36" i="9" s="1"/>
  <c r="D20" i="29" s="1"/>
  <c r="F12" i="30"/>
  <c r="G47" i="31"/>
  <c r="G43" i="31"/>
  <c r="G46" i="31"/>
  <c r="G48" i="31" s="1"/>
  <c r="C47" i="31"/>
  <c r="C46" i="31"/>
  <c r="C48" i="31" s="1"/>
  <c r="C43" i="31"/>
  <c r="J16" i="30"/>
  <c r="T30" i="31"/>
  <c r="P11" i="30"/>
  <c r="Q18" i="30"/>
  <c r="D13" i="30"/>
  <c r="H46" i="31"/>
  <c r="H48" i="31" s="1"/>
  <c r="H47" i="31"/>
  <c r="H43" i="31"/>
  <c r="P16" i="30"/>
  <c r="M16" i="30"/>
  <c r="F17" i="30"/>
  <c r="Q17" i="30"/>
  <c r="D18" i="30"/>
  <c r="M13" i="30"/>
  <c r="M15" i="30"/>
  <c r="M46" i="31"/>
  <c r="M48" i="31" s="1"/>
  <c r="M47" i="31"/>
  <c r="M43" i="31"/>
  <c r="M21" i="30"/>
  <c r="N18" i="30"/>
  <c r="F20" i="30"/>
  <c r="T25" i="31"/>
  <c r="E34" i="14"/>
  <c r="F34" i="14" s="1"/>
  <c r="G34" i="14" s="1"/>
  <c r="B39" i="8"/>
  <c r="E120" i="26"/>
  <c r="E123" i="26"/>
  <c r="D36" i="10"/>
  <c r="C34" i="11"/>
  <c r="D32" i="10"/>
  <c r="C35" i="11"/>
  <c r="D33" i="10"/>
  <c r="AA37" i="7"/>
  <c r="U29" i="8"/>
  <c r="F32" i="8"/>
  <c r="H32" i="8" s="1"/>
  <c r="D33" i="8"/>
  <c r="Q30" i="8"/>
  <c r="J31" i="8"/>
  <c r="L31" i="8" s="1"/>
  <c r="U31" i="7"/>
  <c r="AA31" i="7" s="1"/>
  <c r="AK10" i="16"/>
  <c r="D29" i="8"/>
  <c r="AO12" i="16"/>
  <c r="AN27" i="16"/>
  <c r="AN26" i="16"/>
  <c r="AM10" i="16"/>
  <c r="AL9" i="16"/>
  <c r="U30" i="7"/>
  <c r="AA30" i="7" s="1"/>
  <c r="U29" i="7"/>
  <c r="AA29" i="7" s="1"/>
  <c r="N29" i="10"/>
  <c r="O29" i="10" s="1"/>
  <c r="AB29" i="10"/>
  <c r="X29" i="10"/>
  <c r="Y29" i="10" s="1"/>
  <c r="N35" i="10"/>
  <c r="O35" i="10" s="1"/>
  <c r="X35" i="10"/>
  <c r="Y35" i="10" s="1"/>
  <c r="AB35" i="10"/>
  <c r="Q26" i="8"/>
  <c r="U25" i="8"/>
  <c r="E37" i="9"/>
  <c r="M35" i="9"/>
  <c r="R47" i="16"/>
  <c r="U28" i="7"/>
  <c r="AA28" i="7" s="1"/>
  <c r="S47" i="16"/>
  <c r="U28" i="8"/>
  <c r="B67" i="16"/>
  <c r="B68" i="16" s="1"/>
  <c r="T47" i="16"/>
  <c r="N36" i="11"/>
  <c r="O36" i="11" s="1"/>
  <c r="X36" i="11"/>
  <c r="Y36" i="11" s="1"/>
  <c r="AB36" i="11"/>
  <c r="S36" i="11"/>
  <c r="T36" i="11" s="1"/>
  <c r="M34" i="9"/>
  <c r="I32" i="9"/>
  <c r="E28" i="9"/>
  <c r="AA31" i="11"/>
  <c r="Z31" i="11"/>
  <c r="E38" i="9"/>
  <c r="M31" i="9"/>
  <c r="F31" i="8"/>
  <c r="H31" i="8" s="1"/>
  <c r="C31" i="9"/>
  <c r="D31" i="9" s="1"/>
  <c r="Z37" i="11"/>
  <c r="AA37" i="11"/>
  <c r="I31" i="9"/>
  <c r="N30" i="11"/>
  <c r="O30" i="11" s="1"/>
  <c r="S30" i="11"/>
  <c r="T30" i="11" s="1"/>
  <c r="AB30" i="11"/>
  <c r="X30" i="11"/>
  <c r="Y30" i="11" s="1"/>
  <c r="M26" i="9"/>
  <c r="K29" i="9"/>
  <c r="L29" i="9" s="1"/>
  <c r="D32" i="11" s="1"/>
  <c r="N29" i="8"/>
  <c r="Q29" i="8" s="1"/>
  <c r="E32" i="9"/>
  <c r="M32" i="9"/>
  <c r="D34" i="10" l="1"/>
  <c r="X34" i="10" s="1"/>
  <c r="Y34" i="10" s="1"/>
  <c r="E36" i="14"/>
  <c r="F36" i="14" s="1"/>
  <c r="G36" i="14" s="1"/>
  <c r="X32" i="7"/>
  <c r="M28" i="9"/>
  <c r="Y32" i="7"/>
  <c r="I33" i="9"/>
  <c r="E119" i="26"/>
  <c r="G26" i="30"/>
  <c r="G29" i="30" s="1"/>
  <c r="G25" i="30"/>
  <c r="G28" i="30" s="1"/>
  <c r="N26" i="30"/>
  <c r="N29" i="30" s="1"/>
  <c r="N25" i="30"/>
  <c r="N28" i="30" s="1"/>
  <c r="M26" i="30"/>
  <c r="M29" i="30" s="1"/>
  <c r="M25" i="30"/>
  <c r="M28" i="30" s="1"/>
  <c r="D26" i="30"/>
  <c r="D29" i="30" s="1"/>
  <c r="D25" i="30"/>
  <c r="D28" i="30" s="1"/>
  <c r="AB13" i="29"/>
  <c r="Q25" i="30"/>
  <c r="Q28" i="30" s="1"/>
  <c r="Q26" i="30"/>
  <c r="Q29" i="30" s="1"/>
  <c r="I35" i="9"/>
  <c r="C39" i="11"/>
  <c r="AA39" i="11" s="1"/>
  <c r="C36" i="11"/>
  <c r="Z36" i="11" s="1"/>
  <c r="C38" i="11"/>
  <c r="Z38" i="11" s="1"/>
  <c r="E117" i="26"/>
  <c r="G117" i="26" s="1"/>
  <c r="AA36" i="7"/>
  <c r="C25" i="30"/>
  <c r="C28" i="30" s="1"/>
  <c r="C26" i="30"/>
  <c r="C29" i="30" s="1"/>
  <c r="X17" i="29"/>
  <c r="Y17" i="29" s="1"/>
  <c r="C17" i="29"/>
  <c r="AA17" i="29" s="1"/>
  <c r="J26" i="30"/>
  <c r="J29" i="30" s="1"/>
  <c r="J25" i="30"/>
  <c r="J28" i="30" s="1"/>
  <c r="F26" i="30"/>
  <c r="F29" i="30" s="1"/>
  <c r="F25" i="30"/>
  <c r="F28" i="30" s="1"/>
  <c r="R25" i="30"/>
  <c r="R28" i="30" s="1"/>
  <c r="R26" i="30"/>
  <c r="R29" i="30" s="1"/>
  <c r="Q36" i="8"/>
  <c r="AB19" i="29"/>
  <c r="L26" i="30"/>
  <c r="L29" i="30" s="1"/>
  <c r="L25" i="30"/>
  <c r="L28" i="30" s="1"/>
  <c r="I36" i="9"/>
  <c r="I29" i="9"/>
  <c r="B26" i="30"/>
  <c r="B29" i="30" s="1"/>
  <c r="B25" i="30"/>
  <c r="B28" i="30" s="1"/>
  <c r="I25" i="30"/>
  <c r="I28" i="30" s="1"/>
  <c r="I26" i="30"/>
  <c r="I29" i="30" s="1"/>
  <c r="E33" i="9"/>
  <c r="E121" i="26"/>
  <c r="F121" i="26" s="1"/>
  <c r="E32" i="14"/>
  <c r="F32" i="14" s="1"/>
  <c r="G32" i="14" s="1"/>
  <c r="H25" i="30"/>
  <c r="H28" i="30" s="1"/>
  <c r="H26" i="30"/>
  <c r="H29" i="30" s="1"/>
  <c r="N17" i="29"/>
  <c r="O17" i="29" s="1"/>
  <c r="S26" i="30"/>
  <c r="S29" i="30" s="1"/>
  <c r="S25" i="30"/>
  <c r="S28" i="30" s="1"/>
  <c r="P26" i="30"/>
  <c r="P29" i="30" s="1"/>
  <c r="P25" i="30"/>
  <c r="P28" i="30" s="1"/>
  <c r="H38" i="8"/>
  <c r="O26" i="30"/>
  <c r="O29" i="30" s="1"/>
  <c r="O25" i="30"/>
  <c r="O28" i="30" s="1"/>
  <c r="E26" i="30"/>
  <c r="E29" i="30" s="1"/>
  <c r="E25" i="30"/>
  <c r="E28" i="30" s="1"/>
  <c r="X19" i="29"/>
  <c r="Y19" i="29" s="1"/>
  <c r="E34" i="9"/>
  <c r="C35" i="10"/>
  <c r="Z35" i="10" s="1"/>
  <c r="X35" i="7"/>
  <c r="AB17" i="29"/>
  <c r="N19" i="29"/>
  <c r="O19" i="29" s="1"/>
  <c r="S13" i="29"/>
  <c r="T13" i="29" s="1"/>
  <c r="I30" i="9"/>
  <c r="D31" i="10"/>
  <c r="X31" i="10" s="1"/>
  <c r="Y31" i="10" s="1"/>
  <c r="D30" i="10"/>
  <c r="N30" i="10" s="1"/>
  <c r="O30" i="10" s="1"/>
  <c r="E118" i="26"/>
  <c r="G118" i="26" s="1"/>
  <c r="D39" i="8"/>
  <c r="D28" i="10"/>
  <c r="X28" i="10" s="1"/>
  <c r="M36" i="9"/>
  <c r="M30" i="9"/>
  <c r="D37" i="10"/>
  <c r="AB37" i="10" s="1"/>
  <c r="C33" i="11"/>
  <c r="AA33" i="11" s="1"/>
  <c r="C32" i="11"/>
  <c r="Z32" i="11" s="1"/>
  <c r="I37" i="9"/>
  <c r="E36" i="9"/>
  <c r="Z38" i="10"/>
  <c r="C37" i="10"/>
  <c r="AA37" i="10" s="1"/>
  <c r="N13" i="29"/>
  <c r="O13" i="29" s="1"/>
  <c r="Z39" i="10"/>
  <c r="S21" i="29"/>
  <c r="T21" i="29" s="1"/>
  <c r="Z33" i="10"/>
  <c r="E35" i="14"/>
  <c r="F35" i="14" s="1"/>
  <c r="G35" i="14" s="1"/>
  <c r="AA35" i="7"/>
  <c r="AA34" i="10"/>
  <c r="C30" i="11"/>
  <c r="Z30" i="11" s="1"/>
  <c r="T15" i="30"/>
  <c r="Y15" i="30" s="1"/>
  <c r="Y34" i="7"/>
  <c r="AA34" i="7"/>
  <c r="E33" i="14"/>
  <c r="F33" i="14" s="1"/>
  <c r="G33" i="14" s="1"/>
  <c r="T12" i="30"/>
  <c r="V12" i="30" s="1"/>
  <c r="X21" i="29"/>
  <c r="Y21" i="29" s="1"/>
  <c r="T11" i="30"/>
  <c r="W11" i="30" s="1"/>
  <c r="X11" i="30" s="1"/>
  <c r="N38" i="10"/>
  <c r="O38" i="10" s="1"/>
  <c r="X33" i="7"/>
  <c r="N21" i="29"/>
  <c r="O21" i="29" s="1"/>
  <c r="I27" i="9"/>
  <c r="C40" i="11"/>
  <c r="AA40" i="11" s="1"/>
  <c r="Y33" i="7"/>
  <c r="Z17" i="29"/>
  <c r="S20" i="29"/>
  <c r="T20" i="29" s="1"/>
  <c r="N20" i="29"/>
  <c r="O20" i="29" s="1"/>
  <c r="AB20" i="29"/>
  <c r="X20" i="29"/>
  <c r="Y20" i="29" s="1"/>
  <c r="X14" i="29"/>
  <c r="Y14" i="29" s="1"/>
  <c r="N14" i="29"/>
  <c r="O14" i="29" s="1"/>
  <c r="S14" i="29"/>
  <c r="T14" i="29" s="1"/>
  <c r="AB14" i="29"/>
  <c r="T19" i="30"/>
  <c r="T43" i="31"/>
  <c r="H45" i="31" s="1"/>
  <c r="AA12" i="29"/>
  <c r="Z12" i="29"/>
  <c r="T20" i="30"/>
  <c r="AA22" i="29"/>
  <c r="Z22" i="29"/>
  <c r="T16" i="30"/>
  <c r="T21" i="30"/>
  <c r="T17" i="30"/>
  <c r="AA18" i="29"/>
  <c r="Z18" i="29"/>
  <c r="AA16" i="29"/>
  <c r="Z16" i="29"/>
  <c r="AA14" i="29"/>
  <c r="Z14" i="29"/>
  <c r="C32" i="10"/>
  <c r="AA32" i="10" s="1"/>
  <c r="C15" i="29"/>
  <c r="T14" i="30"/>
  <c r="AA21" i="29"/>
  <c r="Z21" i="29"/>
  <c r="Z29" i="10"/>
  <c r="T18" i="30"/>
  <c r="T13" i="30"/>
  <c r="X11" i="29"/>
  <c r="N11" i="29"/>
  <c r="O11" i="29" s="1"/>
  <c r="AB11" i="29"/>
  <c r="S11" i="29"/>
  <c r="T11" i="29" s="1"/>
  <c r="AA20" i="29"/>
  <c r="Z20" i="29"/>
  <c r="AA31" i="10"/>
  <c r="Z31" i="10"/>
  <c r="E28" i="14"/>
  <c r="E113" i="26"/>
  <c r="Y28" i="7"/>
  <c r="X28" i="7"/>
  <c r="E115" i="26"/>
  <c r="Y30" i="7"/>
  <c r="X30" i="7"/>
  <c r="G120" i="26"/>
  <c r="F120" i="26"/>
  <c r="G119" i="26"/>
  <c r="F119" i="26"/>
  <c r="E29" i="14"/>
  <c r="E114" i="26"/>
  <c r="Y29" i="7"/>
  <c r="X29" i="7"/>
  <c r="E31" i="14"/>
  <c r="F31" i="14" s="1"/>
  <c r="G31" i="14" s="1"/>
  <c r="E116" i="26"/>
  <c r="Y31" i="7"/>
  <c r="X31" i="7"/>
  <c r="E37" i="14"/>
  <c r="E122" i="26"/>
  <c r="AM26" i="16"/>
  <c r="AM27" i="16"/>
  <c r="N36" i="10"/>
  <c r="O36" i="10" s="1"/>
  <c r="X36" i="10"/>
  <c r="Y36" i="10" s="1"/>
  <c r="AB36" i="10"/>
  <c r="N32" i="10"/>
  <c r="O32" i="10" s="1"/>
  <c r="AB32" i="10"/>
  <c r="X32" i="10"/>
  <c r="Y32" i="10" s="1"/>
  <c r="N33" i="10"/>
  <c r="O33" i="10" s="1"/>
  <c r="AB33" i="10"/>
  <c r="X33" i="10"/>
  <c r="Y33" i="10" s="1"/>
  <c r="S31" i="11"/>
  <c r="T31" i="11" s="1"/>
  <c r="AB31" i="11"/>
  <c r="N31" i="11"/>
  <c r="O31" i="11" s="1"/>
  <c r="E30" i="14"/>
  <c r="F30" i="14" s="1"/>
  <c r="G30" i="14" s="1"/>
  <c r="X38" i="11"/>
  <c r="Y38" i="11" s="1"/>
  <c r="S38" i="11"/>
  <c r="T38" i="11" s="1"/>
  <c r="AB38" i="11"/>
  <c r="N38" i="11"/>
  <c r="O38" i="11" s="1"/>
  <c r="B66" i="16"/>
  <c r="N33" i="11"/>
  <c r="O33" i="11" s="1"/>
  <c r="S33" i="11"/>
  <c r="T33" i="11" s="1"/>
  <c r="AB33" i="11"/>
  <c r="X33" i="11"/>
  <c r="Y33" i="11" s="1"/>
  <c r="O39" i="11"/>
  <c r="AB39" i="11"/>
  <c r="S39" i="11"/>
  <c r="T39" i="11" s="1"/>
  <c r="X39" i="11"/>
  <c r="Y39" i="11" s="1"/>
  <c r="M29" i="9"/>
  <c r="N34" i="11"/>
  <c r="O34" i="11" s="1"/>
  <c r="S34" i="11"/>
  <c r="T34" i="11" s="1"/>
  <c r="X34" i="11"/>
  <c r="Y34" i="11" s="1"/>
  <c r="AB34" i="11"/>
  <c r="N37" i="11"/>
  <c r="O37" i="11" s="1"/>
  <c r="S37" i="11"/>
  <c r="T37" i="11" s="1"/>
  <c r="AB37" i="11"/>
  <c r="X37" i="11"/>
  <c r="Y37" i="11" s="1"/>
  <c r="N35" i="11"/>
  <c r="O35" i="11" s="1"/>
  <c r="AB35" i="11"/>
  <c r="X35" i="11"/>
  <c r="Y35" i="11" s="1"/>
  <c r="S35" i="11"/>
  <c r="T35" i="11" s="1"/>
  <c r="N29" i="11"/>
  <c r="O29" i="11" s="1"/>
  <c r="AB29" i="11"/>
  <c r="S29" i="11"/>
  <c r="T29" i="11" s="1"/>
  <c r="X29" i="11"/>
  <c r="E31" i="9"/>
  <c r="AA45" i="11"/>
  <c r="AF45" i="11" s="1"/>
  <c r="AA34" i="11"/>
  <c r="Z34" i="11"/>
  <c r="Z35" i="11"/>
  <c r="AA35" i="11"/>
  <c r="G121" i="26" l="1"/>
  <c r="N34" i="10"/>
  <c r="O34" i="10" s="1"/>
  <c r="AB34" i="10"/>
  <c r="AA35" i="10"/>
  <c r="Z39" i="11"/>
  <c r="X37" i="10"/>
  <c r="Y37" i="10" s="1"/>
  <c r="AB30" i="10"/>
  <c r="AA32" i="11"/>
  <c r="Z33" i="11"/>
  <c r="AB28" i="10"/>
  <c r="AA36" i="11"/>
  <c r="AB31" i="10"/>
  <c r="N28" i="10"/>
  <c r="O28" i="10" s="1"/>
  <c r="N31" i="10"/>
  <c r="O31" i="10" s="1"/>
  <c r="F117" i="26"/>
  <c r="T28" i="30"/>
  <c r="AA38" i="11"/>
  <c r="T29" i="30"/>
  <c r="F118" i="26"/>
  <c r="B33" i="30"/>
  <c r="C33" i="30" s="1"/>
  <c r="H33" i="30" s="1"/>
  <c r="M33" i="30" s="1"/>
  <c r="N33" i="30" s="1"/>
  <c r="Y21" i="30"/>
  <c r="V21" i="30"/>
  <c r="W21" i="30"/>
  <c r="X21" i="30" s="1"/>
  <c r="N37" i="10"/>
  <c r="O37" i="10" s="1"/>
  <c r="X30" i="10"/>
  <c r="Y30" i="10" s="1"/>
  <c r="Q45" i="31"/>
  <c r="V15" i="30"/>
  <c r="Z37" i="10"/>
  <c r="Y12" i="30"/>
  <c r="Z40" i="11"/>
  <c r="W15" i="30"/>
  <c r="X15" i="30" s="1"/>
  <c r="AA30" i="11"/>
  <c r="D45" i="31"/>
  <c r="M45" i="31"/>
  <c r="I45" i="31"/>
  <c r="N45" i="31"/>
  <c r="S45" i="31"/>
  <c r="W12" i="30"/>
  <c r="X12" i="30" s="1"/>
  <c r="Z32" i="10"/>
  <c r="E45" i="31"/>
  <c r="L45" i="31"/>
  <c r="F45" i="31"/>
  <c r="AB38" i="10"/>
  <c r="X38" i="10"/>
  <c r="Y38" i="10" s="1"/>
  <c r="O45" i="31"/>
  <c r="R45" i="31"/>
  <c r="B45" i="31"/>
  <c r="C45" i="31"/>
  <c r="J45" i="31"/>
  <c r="V11" i="30"/>
  <c r="Y11" i="30"/>
  <c r="W14" i="30"/>
  <c r="X14" i="30" s="1"/>
  <c r="Y14" i="30"/>
  <c r="V14" i="30"/>
  <c r="Y11" i="29"/>
  <c r="W18" i="30"/>
  <c r="X18" i="30" s="1"/>
  <c r="V18" i="30"/>
  <c r="Y18" i="30"/>
  <c r="V16" i="30"/>
  <c r="Y16" i="30"/>
  <c r="W16" i="30"/>
  <c r="X16" i="30" s="1"/>
  <c r="V19" i="30"/>
  <c r="Y19" i="30"/>
  <c r="W19" i="30"/>
  <c r="X19" i="30" s="1"/>
  <c r="AA15" i="29"/>
  <c r="Z15" i="29"/>
  <c r="W20" i="30"/>
  <c r="X20" i="30" s="1"/>
  <c r="Y20" i="30"/>
  <c r="V20" i="30"/>
  <c r="AD16" i="29"/>
  <c r="W13" i="30"/>
  <c r="X13" i="30" s="1"/>
  <c r="V13" i="30"/>
  <c r="Y13" i="30"/>
  <c r="E135" i="26"/>
  <c r="V17" i="30"/>
  <c r="W17" i="30"/>
  <c r="X17" i="30" s="1"/>
  <c r="Y17" i="30"/>
  <c r="P45" i="31"/>
  <c r="K45" i="31"/>
  <c r="G45" i="31"/>
  <c r="G113" i="26"/>
  <c r="F113" i="26"/>
  <c r="G116" i="26"/>
  <c r="F116" i="26"/>
  <c r="F114" i="26"/>
  <c r="G114" i="26"/>
  <c r="F115" i="26"/>
  <c r="G115" i="26"/>
  <c r="E139" i="26"/>
  <c r="E137" i="26"/>
  <c r="E136" i="26"/>
  <c r="E140" i="26"/>
  <c r="E138" i="26"/>
  <c r="Y28" i="10"/>
  <c r="I12" i="14"/>
  <c r="J12" i="14" s="1"/>
  <c r="H12" i="14"/>
  <c r="I17" i="14"/>
  <c r="J17" i="14" s="1"/>
  <c r="H17" i="14"/>
  <c r="O24" i="6"/>
  <c r="J24" i="6"/>
  <c r="G24" i="6"/>
  <c r="N24" i="6"/>
  <c r="E24" i="6"/>
  <c r="Q24" i="6"/>
  <c r="R24" i="6"/>
  <c r="T24" i="6"/>
  <c r="F24" i="6"/>
  <c r="I24" i="6"/>
  <c r="H24" i="6"/>
  <c r="C24" i="6"/>
  <c r="L24" i="6"/>
  <c r="K23" i="31" s="1"/>
  <c r="U24" i="6"/>
  <c r="T20" i="7" s="1"/>
  <c r="P24" i="6"/>
  <c r="D24" i="6"/>
  <c r="M24" i="6"/>
  <c r="S24" i="6"/>
  <c r="K24" i="6"/>
  <c r="G17" i="6"/>
  <c r="E17" i="6"/>
  <c r="K17" i="6"/>
  <c r="R17" i="6"/>
  <c r="O17" i="6"/>
  <c r="N17" i="6"/>
  <c r="M17" i="6"/>
  <c r="Q17" i="6"/>
  <c r="S17" i="6"/>
  <c r="D17" i="6"/>
  <c r="U17" i="6"/>
  <c r="T13" i="7" s="1"/>
  <c r="H17" i="6"/>
  <c r="L17" i="6"/>
  <c r="K16" i="31" s="1"/>
  <c r="T17" i="6"/>
  <c r="C17" i="6"/>
  <c r="F17" i="6"/>
  <c r="P17" i="6"/>
  <c r="I17" i="6"/>
  <c r="J17" i="6"/>
  <c r="I24" i="14"/>
  <c r="J24" i="14" s="1"/>
  <c r="H24" i="14"/>
  <c r="Q19" i="6"/>
  <c r="N19" i="6"/>
  <c r="O19" i="6"/>
  <c r="J19" i="6"/>
  <c r="K19" i="6"/>
  <c r="R19" i="6"/>
  <c r="E19" i="6"/>
  <c r="U19" i="6"/>
  <c r="T15" i="7" s="1"/>
  <c r="H19" i="6"/>
  <c r="L19" i="6"/>
  <c r="K18" i="31" s="1"/>
  <c r="T19" i="6"/>
  <c r="F19" i="6"/>
  <c r="M19" i="6"/>
  <c r="C19" i="6"/>
  <c r="D19" i="6"/>
  <c r="S19" i="6"/>
  <c r="P19" i="6"/>
  <c r="I19" i="6"/>
  <c r="I28" i="14"/>
  <c r="J28" i="14" s="1"/>
  <c r="H28" i="14"/>
  <c r="F28" i="14"/>
  <c r="G28" i="14" s="1"/>
  <c r="I15" i="14"/>
  <c r="J15" i="14" s="1"/>
  <c r="H15" i="14"/>
  <c r="I21" i="14"/>
  <c r="J21" i="14" s="1"/>
  <c r="H21" i="14"/>
  <c r="I22" i="14"/>
  <c r="J22" i="14" s="1"/>
  <c r="H22" i="14"/>
  <c r="O20" i="6"/>
  <c r="N20" i="6"/>
  <c r="E20" i="6"/>
  <c r="G20" i="6"/>
  <c r="Q20" i="6"/>
  <c r="R20" i="6"/>
  <c r="M20" i="6"/>
  <c r="S20" i="6"/>
  <c r="D20" i="6"/>
  <c r="J20" i="6"/>
  <c r="U20" i="6"/>
  <c r="T16" i="7" s="1"/>
  <c r="I20" i="6"/>
  <c r="F20" i="6"/>
  <c r="K20" i="6"/>
  <c r="C20" i="6"/>
  <c r="P20" i="6"/>
  <c r="T20" i="6"/>
  <c r="H20" i="6"/>
  <c r="L20" i="6"/>
  <c r="K19" i="31" s="1"/>
  <c r="I23" i="14"/>
  <c r="J23" i="14" s="1"/>
  <c r="H23" i="14"/>
  <c r="I27" i="14"/>
  <c r="J27" i="14" s="1"/>
  <c r="H27" i="14"/>
  <c r="I18" i="14"/>
  <c r="J18" i="14" s="1"/>
  <c r="H18" i="14"/>
  <c r="K18" i="6"/>
  <c r="R18" i="6"/>
  <c r="Q18" i="6"/>
  <c r="G18" i="6"/>
  <c r="N18" i="6"/>
  <c r="O18" i="6"/>
  <c r="I18" i="6"/>
  <c r="E18" i="6"/>
  <c r="P18" i="6"/>
  <c r="C18" i="6"/>
  <c r="L18" i="6"/>
  <c r="K17" i="31" s="1"/>
  <c r="J18" i="6"/>
  <c r="S18" i="6"/>
  <c r="F18" i="6"/>
  <c r="T18" i="6"/>
  <c r="M18" i="6"/>
  <c r="D18" i="6"/>
  <c r="U18" i="6"/>
  <c r="T14" i="7" s="1"/>
  <c r="H18" i="6"/>
  <c r="O12" i="6"/>
  <c r="N12" i="6"/>
  <c r="E12" i="6"/>
  <c r="G12" i="6"/>
  <c r="I12" i="6"/>
  <c r="Q12" i="6"/>
  <c r="K12" i="6"/>
  <c r="U12" i="6"/>
  <c r="T8" i="7" s="1"/>
  <c r="P12" i="6"/>
  <c r="S12" i="6"/>
  <c r="H12" i="6"/>
  <c r="D12" i="6"/>
  <c r="J12" i="6"/>
  <c r="M12" i="6"/>
  <c r="R12" i="6"/>
  <c r="L12" i="6"/>
  <c r="K11" i="31" s="1"/>
  <c r="F12" i="6"/>
  <c r="T12" i="6"/>
  <c r="C12" i="6"/>
  <c r="I29" i="14"/>
  <c r="J29" i="14" s="1"/>
  <c r="H29" i="14"/>
  <c r="F29" i="14"/>
  <c r="G29" i="14" s="1"/>
  <c r="G21" i="6"/>
  <c r="K21" i="6"/>
  <c r="R21" i="6"/>
  <c r="N21" i="6"/>
  <c r="E21" i="6"/>
  <c r="O21" i="6"/>
  <c r="Q21" i="6"/>
  <c r="T21" i="6"/>
  <c r="F21" i="6"/>
  <c r="I21" i="6"/>
  <c r="P21" i="6"/>
  <c r="C21" i="6"/>
  <c r="S21" i="6"/>
  <c r="D21" i="6"/>
  <c r="L21" i="6"/>
  <c r="K20" i="31" s="1"/>
  <c r="M21" i="6"/>
  <c r="U21" i="6"/>
  <c r="T17" i="7" s="1"/>
  <c r="J21" i="6"/>
  <c r="H21" i="6"/>
  <c r="I37" i="14"/>
  <c r="J37" i="14" s="1"/>
  <c r="H37" i="14"/>
  <c r="F37" i="14"/>
  <c r="G37" i="14" s="1"/>
  <c r="O16" i="6"/>
  <c r="J16" i="6"/>
  <c r="G16" i="6"/>
  <c r="N16" i="6"/>
  <c r="E16" i="6"/>
  <c r="Q16" i="6"/>
  <c r="K16" i="6"/>
  <c r="T16" i="6"/>
  <c r="F16" i="6"/>
  <c r="R16" i="6"/>
  <c r="I16" i="6"/>
  <c r="M16" i="6"/>
  <c r="H16" i="6"/>
  <c r="C16" i="6"/>
  <c r="L16" i="6"/>
  <c r="K15" i="31" s="1"/>
  <c r="D16" i="6"/>
  <c r="S16" i="6"/>
  <c r="P16" i="6"/>
  <c r="U16" i="6"/>
  <c r="T12" i="7" s="1"/>
  <c r="G9" i="6"/>
  <c r="E9" i="6"/>
  <c r="K9" i="6"/>
  <c r="R9" i="6"/>
  <c r="M9" i="6"/>
  <c r="C9" i="6"/>
  <c r="O9" i="6"/>
  <c r="N9" i="6"/>
  <c r="H9" i="6"/>
  <c r="I9" i="6"/>
  <c r="D9" i="6"/>
  <c r="U9" i="6"/>
  <c r="Q9" i="6"/>
  <c r="J9" i="6"/>
  <c r="P9" i="6"/>
  <c r="T9" i="6"/>
  <c r="S8" i="31" s="1"/>
  <c r="L9" i="6"/>
  <c r="K8" i="31" s="1"/>
  <c r="F9" i="6"/>
  <c r="S9" i="6"/>
  <c r="I25" i="14"/>
  <c r="J25" i="14" s="1"/>
  <c r="H25" i="14"/>
  <c r="I14" i="14"/>
  <c r="J14" i="14" s="1"/>
  <c r="H14" i="14"/>
  <c r="I20" i="14"/>
  <c r="J20" i="14" s="1"/>
  <c r="H20" i="14"/>
  <c r="I13" i="14"/>
  <c r="J13" i="14" s="1"/>
  <c r="H13" i="14"/>
  <c r="Y29" i="11"/>
  <c r="K10" i="6"/>
  <c r="R10" i="6"/>
  <c r="Q10" i="6"/>
  <c r="G10" i="6"/>
  <c r="N10" i="6"/>
  <c r="M10" i="6"/>
  <c r="F10" i="6"/>
  <c r="D10" i="6"/>
  <c r="L10" i="6"/>
  <c r="K9" i="31" s="1"/>
  <c r="O10" i="6"/>
  <c r="U10" i="6"/>
  <c r="T6" i="7" s="1"/>
  <c r="E10" i="6"/>
  <c r="S10" i="6"/>
  <c r="C10" i="6"/>
  <c r="J10" i="6"/>
  <c r="T10" i="6"/>
  <c r="I10" i="6"/>
  <c r="P10" i="6"/>
  <c r="H10" i="6"/>
  <c r="Q15" i="6"/>
  <c r="J15" i="6"/>
  <c r="O15" i="6"/>
  <c r="E15" i="6"/>
  <c r="T15" i="6"/>
  <c r="K15" i="6"/>
  <c r="R15" i="6"/>
  <c r="G15" i="6"/>
  <c r="P15" i="6"/>
  <c r="C15" i="6"/>
  <c r="U15" i="6"/>
  <c r="T11" i="7" s="1"/>
  <c r="M15" i="6"/>
  <c r="N15" i="6"/>
  <c r="H15" i="6"/>
  <c r="D15" i="6"/>
  <c r="F15" i="6"/>
  <c r="S15" i="6"/>
  <c r="L15" i="6"/>
  <c r="K14" i="31" s="1"/>
  <c r="I15" i="6"/>
  <c r="Q11" i="6"/>
  <c r="N11" i="6"/>
  <c r="O11" i="6"/>
  <c r="J11" i="6"/>
  <c r="U11" i="6"/>
  <c r="T7" i="7" s="1"/>
  <c r="M11" i="6"/>
  <c r="K11" i="6"/>
  <c r="R11" i="6"/>
  <c r="E11" i="6"/>
  <c r="L11" i="6"/>
  <c r="K10" i="31" s="1"/>
  <c r="G11" i="6"/>
  <c r="F11" i="6"/>
  <c r="S11" i="6"/>
  <c r="D11" i="6"/>
  <c r="C11" i="6"/>
  <c r="I11" i="6"/>
  <c r="T11" i="6"/>
  <c r="P11" i="6"/>
  <c r="H11" i="6"/>
  <c r="I16" i="14"/>
  <c r="J16" i="14" s="1"/>
  <c r="H16" i="14"/>
  <c r="G25" i="6"/>
  <c r="E25" i="6"/>
  <c r="K25" i="6"/>
  <c r="R25" i="6"/>
  <c r="O25" i="6"/>
  <c r="N25" i="6"/>
  <c r="M25" i="6"/>
  <c r="S25" i="6"/>
  <c r="D25" i="6"/>
  <c r="U25" i="6"/>
  <c r="T21" i="7" s="1"/>
  <c r="H25" i="6"/>
  <c r="L25" i="6"/>
  <c r="K24" i="31" s="1"/>
  <c r="T25" i="6"/>
  <c r="P25" i="6"/>
  <c r="C25" i="6"/>
  <c r="I25" i="6"/>
  <c r="Q25" i="6"/>
  <c r="F25" i="6"/>
  <c r="J25" i="6"/>
  <c r="O8" i="6"/>
  <c r="G8" i="6"/>
  <c r="N8" i="6"/>
  <c r="D8" i="6"/>
  <c r="E8" i="6"/>
  <c r="R8" i="6"/>
  <c r="Q7" i="31" s="1"/>
  <c r="M8" i="6"/>
  <c r="Q8" i="6"/>
  <c r="P7" i="31" s="1"/>
  <c r="K8" i="6"/>
  <c r="J8" i="6"/>
  <c r="L8" i="6"/>
  <c r="K7" i="31" s="1"/>
  <c r="H8" i="6"/>
  <c r="T8" i="6"/>
  <c r="S7" i="31" s="1"/>
  <c r="P8" i="6"/>
  <c r="C8" i="6"/>
  <c r="U8" i="6"/>
  <c r="S8" i="6"/>
  <c r="R7" i="31" s="1"/>
  <c r="F8" i="6"/>
  <c r="I8" i="6"/>
  <c r="Q23" i="6"/>
  <c r="J23" i="6"/>
  <c r="O23" i="6"/>
  <c r="E23" i="6"/>
  <c r="K23" i="6"/>
  <c r="R23" i="6"/>
  <c r="P23" i="6"/>
  <c r="C23" i="6"/>
  <c r="M23" i="6"/>
  <c r="U23" i="6"/>
  <c r="T19" i="7" s="1"/>
  <c r="I23" i="6"/>
  <c r="D23" i="6"/>
  <c r="L23" i="6"/>
  <c r="K22" i="31" s="1"/>
  <c r="N23" i="6"/>
  <c r="G23" i="6"/>
  <c r="S23" i="6"/>
  <c r="T23" i="6"/>
  <c r="H23" i="6"/>
  <c r="F23" i="6"/>
  <c r="E14" i="6"/>
  <c r="K14" i="6"/>
  <c r="R14" i="6"/>
  <c r="Q14" i="6"/>
  <c r="J14" i="6"/>
  <c r="N14" i="6"/>
  <c r="G14" i="6"/>
  <c r="D14" i="6"/>
  <c r="O14" i="6"/>
  <c r="H14" i="6"/>
  <c r="P14" i="6"/>
  <c r="F14" i="6"/>
  <c r="U14" i="6"/>
  <c r="T10" i="7" s="1"/>
  <c r="C14" i="6"/>
  <c r="L14" i="6"/>
  <c r="K13" i="31" s="1"/>
  <c r="T14" i="6"/>
  <c r="M14" i="6"/>
  <c r="S14" i="6"/>
  <c r="I14" i="6"/>
  <c r="N32" i="11"/>
  <c r="O32" i="11" s="1"/>
  <c r="AB32" i="11"/>
  <c r="S32" i="11"/>
  <c r="T32" i="11" s="1"/>
  <c r="X32" i="11"/>
  <c r="Y32" i="11" s="1"/>
  <c r="G13" i="6"/>
  <c r="K13" i="6"/>
  <c r="R13" i="6"/>
  <c r="N13" i="6"/>
  <c r="E13" i="6"/>
  <c r="U13" i="6"/>
  <c r="T9" i="7" s="1"/>
  <c r="O13" i="6"/>
  <c r="T13" i="6"/>
  <c r="S13" i="6"/>
  <c r="I13" i="6"/>
  <c r="F13" i="6"/>
  <c r="M13" i="6"/>
  <c r="Q13" i="6"/>
  <c r="C13" i="6"/>
  <c r="J13" i="6"/>
  <c r="H13" i="6"/>
  <c r="L13" i="6"/>
  <c r="K12" i="31" s="1"/>
  <c r="P13" i="6"/>
  <c r="D13" i="6"/>
  <c r="I19" i="14"/>
  <c r="J19" i="14" s="1"/>
  <c r="H19" i="14"/>
  <c r="Q26" i="29" l="1"/>
  <c r="V26" i="29" s="1"/>
  <c r="R26" i="29"/>
  <c r="W26" i="29" s="1"/>
  <c r="X51" i="11"/>
  <c r="AE17" i="29"/>
  <c r="F138" i="26"/>
  <c r="G140" i="26"/>
  <c r="F136" i="26"/>
  <c r="T45" i="31"/>
  <c r="P10" i="7"/>
  <c r="R12" i="8" s="1"/>
  <c r="P12" i="31"/>
  <c r="R10" i="7"/>
  <c r="T12" i="8" s="1"/>
  <c r="R12" i="31"/>
  <c r="G13" i="7"/>
  <c r="C15" i="9" s="1"/>
  <c r="D15" i="9" s="1"/>
  <c r="C16" i="10" s="1"/>
  <c r="F12" i="31"/>
  <c r="S10" i="7"/>
  <c r="S13" i="31"/>
  <c r="F14" i="7"/>
  <c r="E16" i="8" s="1"/>
  <c r="E13" i="31"/>
  <c r="P11" i="7"/>
  <c r="R13" i="8" s="1"/>
  <c r="P13" i="31"/>
  <c r="F23" i="7"/>
  <c r="E25" i="8" s="1"/>
  <c r="E22" i="31"/>
  <c r="G23" i="7"/>
  <c r="C25" i="9" s="1"/>
  <c r="D25" i="9" s="1"/>
  <c r="C26" i="10" s="1"/>
  <c r="F22" i="31"/>
  <c r="I22" i="7"/>
  <c r="I24" i="8" s="1"/>
  <c r="H22" i="31"/>
  <c r="O21" i="7"/>
  <c r="P23" i="8" s="1"/>
  <c r="O22" i="31"/>
  <c r="N21" i="7"/>
  <c r="O23" i="8" s="1"/>
  <c r="N22" i="31"/>
  <c r="F8" i="7"/>
  <c r="E10" i="8" s="1"/>
  <c r="E7" i="31"/>
  <c r="O6" i="7"/>
  <c r="P8" i="8" s="1"/>
  <c r="O7" i="31"/>
  <c r="G8" i="7"/>
  <c r="C10" i="9" s="1"/>
  <c r="D10" i="9" s="1"/>
  <c r="F7" i="31"/>
  <c r="P22" i="7"/>
  <c r="R24" i="8" s="1"/>
  <c r="P24" i="31"/>
  <c r="P10" i="30" s="1"/>
  <c r="D26" i="7"/>
  <c r="B28" i="8" s="1"/>
  <c r="C24" i="31"/>
  <c r="O9" i="7"/>
  <c r="P11" i="8" s="1"/>
  <c r="O10" i="31"/>
  <c r="D12" i="7"/>
  <c r="B14" i="8" s="1"/>
  <c r="C10" i="31"/>
  <c r="L9" i="7"/>
  <c r="M11" i="8" s="1"/>
  <c r="L10" i="31"/>
  <c r="R12" i="7"/>
  <c r="T14" i="8" s="1"/>
  <c r="R14" i="31"/>
  <c r="M13" i="7"/>
  <c r="K15" i="9" s="1"/>
  <c r="L15" i="9" s="1"/>
  <c r="D18" i="11" s="1"/>
  <c r="M14" i="31"/>
  <c r="O13" i="7"/>
  <c r="P15" i="8" s="1"/>
  <c r="O14" i="31"/>
  <c r="P12" i="7"/>
  <c r="R14" i="8" s="1"/>
  <c r="P14" i="31"/>
  <c r="S6" i="7"/>
  <c r="S9" i="31"/>
  <c r="E11" i="7"/>
  <c r="C13" i="8" s="1"/>
  <c r="D9" i="31"/>
  <c r="G10" i="7"/>
  <c r="F12" i="8" s="1"/>
  <c r="F9" i="31"/>
  <c r="M7" i="7"/>
  <c r="K9" i="9" s="1"/>
  <c r="L9" i="9" s="1"/>
  <c r="M8" i="31"/>
  <c r="Q6" i="7"/>
  <c r="S8" i="8" s="1"/>
  <c r="Q8" i="31"/>
  <c r="I15" i="7"/>
  <c r="I17" i="8" s="1"/>
  <c r="H15" i="31"/>
  <c r="K15" i="7"/>
  <c r="K17" i="8" s="1"/>
  <c r="J15" i="31"/>
  <c r="R18" i="7"/>
  <c r="T20" i="8" s="1"/>
  <c r="R20" i="31"/>
  <c r="F21" i="7"/>
  <c r="E23" i="8" s="1"/>
  <c r="E20" i="31"/>
  <c r="E22" i="7"/>
  <c r="C24" i="8" s="1"/>
  <c r="D20" i="31"/>
  <c r="G21" i="7"/>
  <c r="F23" i="8" s="1"/>
  <c r="F20" i="31"/>
  <c r="C14" i="7"/>
  <c r="B11" i="31"/>
  <c r="H12" i="7"/>
  <c r="G14" i="8" s="1"/>
  <c r="G11" i="31"/>
  <c r="K11" i="7"/>
  <c r="K13" i="8" s="1"/>
  <c r="J11" i="31"/>
  <c r="E13" i="7"/>
  <c r="C15" i="8" s="1"/>
  <c r="D11" i="31"/>
  <c r="F18" i="7"/>
  <c r="E20" i="8" s="1"/>
  <c r="E17" i="31"/>
  <c r="C20" i="7"/>
  <c r="B17" i="31"/>
  <c r="Q15" i="7"/>
  <c r="S17" i="8" s="1"/>
  <c r="Q17" i="31"/>
  <c r="C22" i="7"/>
  <c r="B19" i="31"/>
  <c r="L18" i="7"/>
  <c r="M20" i="8" s="1"/>
  <c r="L19" i="31"/>
  <c r="E21" i="7"/>
  <c r="C23" i="8" s="1"/>
  <c r="D19" i="31"/>
  <c r="I18" i="7"/>
  <c r="I20" i="8" s="1"/>
  <c r="H18" i="31"/>
  <c r="Q16" i="7"/>
  <c r="S18" i="8" s="1"/>
  <c r="Q18" i="31"/>
  <c r="M17" i="7"/>
  <c r="K19" i="9" s="1"/>
  <c r="L19" i="9" s="1"/>
  <c r="D22" i="11" s="1"/>
  <c r="M18" i="31"/>
  <c r="J16" i="7"/>
  <c r="G18" i="9" s="1"/>
  <c r="H18" i="9" s="1"/>
  <c r="I16" i="31"/>
  <c r="L15" i="7"/>
  <c r="M17" i="8" s="1"/>
  <c r="L16" i="31"/>
  <c r="K16" i="7"/>
  <c r="K18" i="8" s="1"/>
  <c r="J16" i="31"/>
  <c r="R21" i="7"/>
  <c r="T23" i="8" s="1"/>
  <c r="R23" i="31"/>
  <c r="I23" i="7"/>
  <c r="I25" i="8" s="1"/>
  <c r="H23" i="31"/>
  <c r="P21" i="7"/>
  <c r="R23" i="8" s="1"/>
  <c r="P23" i="31"/>
  <c r="AF25" i="29"/>
  <c r="AD25" i="29"/>
  <c r="AE25" i="29"/>
  <c r="AF24" i="29"/>
  <c r="AF23" i="29"/>
  <c r="AD24" i="29"/>
  <c r="AE24" i="29"/>
  <c r="AF22" i="29"/>
  <c r="AE23" i="29"/>
  <c r="AD23" i="29"/>
  <c r="AF12" i="29"/>
  <c r="AF18" i="29"/>
  <c r="AF15" i="29"/>
  <c r="AE13" i="29"/>
  <c r="AE19" i="29"/>
  <c r="AF13" i="29"/>
  <c r="AF16" i="29"/>
  <c r="AD13" i="29"/>
  <c r="AD19" i="29"/>
  <c r="AF19" i="29"/>
  <c r="AF17" i="29"/>
  <c r="AF21" i="29"/>
  <c r="AD18" i="29"/>
  <c r="AE22" i="29"/>
  <c r="H13" i="7"/>
  <c r="G15" i="8" s="1"/>
  <c r="G12" i="31"/>
  <c r="S9" i="7"/>
  <c r="S12" i="31"/>
  <c r="I13" i="7"/>
  <c r="I15" i="8" s="1"/>
  <c r="H13" i="31"/>
  <c r="G14" i="7"/>
  <c r="C16" i="9" s="1"/>
  <c r="D16" i="9" s="1"/>
  <c r="C17" i="10" s="1"/>
  <c r="F13" i="31"/>
  <c r="Q11" i="7"/>
  <c r="S13" i="8" s="1"/>
  <c r="Q13" i="31"/>
  <c r="H23" i="7"/>
  <c r="G25" i="8" s="1"/>
  <c r="G22" i="31"/>
  <c r="M21" i="7"/>
  <c r="N23" i="8" s="1"/>
  <c r="M22" i="31"/>
  <c r="Q20" i="7"/>
  <c r="S22" i="8" s="1"/>
  <c r="Q22" i="31"/>
  <c r="K7" i="7"/>
  <c r="K9" i="8" s="1"/>
  <c r="J7" i="31"/>
  <c r="C11" i="8"/>
  <c r="E9" i="7"/>
  <c r="D7" i="31"/>
  <c r="N6" i="7"/>
  <c r="O8" i="8" s="1"/>
  <c r="N7" i="31"/>
  <c r="I24" i="7"/>
  <c r="I26" i="8" s="1"/>
  <c r="H24" i="31"/>
  <c r="R22" i="7"/>
  <c r="T24" i="8" s="1"/>
  <c r="R24" i="31"/>
  <c r="Q22" i="7"/>
  <c r="S24" i="8" s="1"/>
  <c r="Q24" i="31"/>
  <c r="Q10" i="30" s="1"/>
  <c r="S7" i="7"/>
  <c r="S10" i="31"/>
  <c r="R8" i="7"/>
  <c r="T10" i="8" s="1"/>
  <c r="R10" i="31"/>
  <c r="P8" i="7"/>
  <c r="R10" i="8" s="1"/>
  <c r="P10" i="31"/>
  <c r="F15" i="7"/>
  <c r="E17" i="8" s="1"/>
  <c r="E14" i="31"/>
  <c r="G15" i="7"/>
  <c r="C17" i="9" s="1"/>
  <c r="D17" i="9" s="1"/>
  <c r="C18" i="10" s="1"/>
  <c r="F14" i="31"/>
  <c r="E16" i="7"/>
  <c r="C18" i="8" s="1"/>
  <c r="D14" i="31"/>
  <c r="H10" i="7"/>
  <c r="G12" i="8" s="1"/>
  <c r="G9" i="31"/>
  <c r="J9" i="7"/>
  <c r="J11" i="8" s="1"/>
  <c r="I9" i="31"/>
  <c r="P7" i="7"/>
  <c r="R9" i="8" s="1"/>
  <c r="P9" i="31"/>
  <c r="O7" i="7"/>
  <c r="P9" i="8" s="1"/>
  <c r="O8" i="31"/>
  <c r="D10" i="7"/>
  <c r="B12" i="8" s="1"/>
  <c r="C8" i="31"/>
  <c r="N7" i="7"/>
  <c r="O9" i="8" s="1"/>
  <c r="N8" i="31"/>
  <c r="K8" i="7"/>
  <c r="K10" i="8" s="1"/>
  <c r="J8" i="31"/>
  <c r="O14" i="7"/>
  <c r="P16" i="8" s="1"/>
  <c r="O15" i="31"/>
  <c r="Q13" i="7"/>
  <c r="S15" i="8" s="1"/>
  <c r="Q15" i="31"/>
  <c r="P13" i="7"/>
  <c r="R15" i="8" s="1"/>
  <c r="P15" i="31"/>
  <c r="L19" i="7"/>
  <c r="M21" i="8" s="1"/>
  <c r="L20" i="31"/>
  <c r="C23" i="7"/>
  <c r="B20" i="31"/>
  <c r="S17" i="7"/>
  <c r="S20" i="31"/>
  <c r="S8" i="7"/>
  <c r="S11" i="31"/>
  <c r="R9" i="7"/>
  <c r="T11" i="8" s="1"/>
  <c r="R11" i="31"/>
  <c r="P9" i="7"/>
  <c r="R11" i="8" s="1"/>
  <c r="P11" i="31"/>
  <c r="D19" i="7"/>
  <c r="B21" i="8" s="1"/>
  <c r="C17" i="31"/>
  <c r="R15" i="7"/>
  <c r="T17" i="8" s="1"/>
  <c r="R17" i="31"/>
  <c r="O16" i="7"/>
  <c r="P18" i="8" s="1"/>
  <c r="O17" i="31"/>
  <c r="K17" i="7"/>
  <c r="K19" i="8" s="1"/>
  <c r="J17" i="31"/>
  <c r="K19" i="7"/>
  <c r="K21" i="8" s="1"/>
  <c r="J19" i="31"/>
  <c r="Q17" i="7"/>
  <c r="S19" i="8" s="1"/>
  <c r="Q19" i="31"/>
  <c r="O17" i="7"/>
  <c r="P19" i="8" s="1"/>
  <c r="O18" i="31"/>
  <c r="H19" i="7"/>
  <c r="G21" i="8" s="1"/>
  <c r="G18" i="31"/>
  <c r="K18" i="7"/>
  <c r="K20" i="8" s="1"/>
  <c r="J18" i="31"/>
  <c r="P16" i="7"/>
  <c r="R18" i="8" s="1"/>
  <c r="P18" i="31"/>
  <c r="I16" i="7"/>
  <c r="I18" i="8" s="1"/>
  <c r="H16" i="31"/>
  <c r="S13" i="7"/>
  <c r="S16" i="31"/>
  <c r="D18" i="7"/>
  <c r="B20" i="8" s="1"/>
  <c r="C16" i="31"/>
  <c r="M15" i="7"/>
  <c r="K17" i="9" s="1"/>
  <c r="L17" i="9" s="1"/>
  <c r="D20" i="11" s="1"/>
  <c r="M16" i="31"/>
  <c r="E18" i="7"/>
  <c r="C20" i="8" s="1"/>
  <c r="D16" i="31"/>
  <c r="L22" i="7"/>
  <c r="M24" i="8" s="1"/>
  <c r="L23" i="31"/>
  <c r="F24" i="7"/>
  <c r="E26" i="8" s="1"/>
  <c r="E23" i="31"/>
  <c r="N22" i="7"/>
  <c r="O24" i="8" s="1"/>
  <c r="N23" i="31"/>
  <c r="F139" i="26"/>
  <c r="AD21" i="29"/>
  <c r="AD12" i="29"/>
  <c r="AE20" i="29"/>
  <c r="AE18" i="29"/>
  <c r="AD22" i="29"/>
  <c r="D14" i="7"/>
  <c r="B16" i="8" s="1"/>
  <c r="C12" i="31"/>
  <c r="J12" i="7"/>
  <c r="G14" i="9" s="1"/>
  <c r="H14" i="9" s="1"/>
  <c r="I12" i="31"/>
  <c r="F13" i="7"/>
  <c r="E15" i="8" s="1"/>
  <c r="E12" i="31"/>
  <c r="Q10" i="7"/>
  <c r="S12" i="8" s="1"/>
  <c r="Q12" i="31"/>
  <c r="R11" i="7"/>
  <c r="T13" i="8" s="1"/>
  <c r="R13" i="31"/>
  <c r="C16" i="7"/>
  <c r="B13" i="31"/>
  <c r="O11" i="7"/>
  <c r="P13" i="8" s="1"/>
  <c r="O12" i="31"/>
  <c r="C15" i="7"/>
  <c r="B12" i="31"/>
  <c r="I12" i="7"/>
  <c r="I14" i="8" s="1"/>
  <c r="H12" i="31"/>
  <c r="K12" i="7"/>
  <c r="K14" i="8" s="1"/>
  <c r="J12" i="31"/>
  <c r="L12" i="7"/>
  <c r="M14" i="8" s="1"/>
  <c r="L13" i="31"/>
  <c r="N12" i="7"/>
  <c r="O14" i="8" s="1"/>
  <c r="N13" i="31"/>
  <c r="J13" i="7"/>
  <c r="J15" i="8" s="1"/>
  <c r="I13" i="31"/>
  <c r="E15" i="7"/>
  <c r="C17" i="8" s="1"/>
  <c r="D13" i="31"/>
  <c r="R20" i="7"/>
  <c r="T22" i="8" s="1"/>
  <c r="R22" i="31"/>
  <c r="D24" i="7"/>
  <c r="B26" i="8" s="1"/>
  <c r="C22" i="31"/>
  <c r="C25" i="7"/>
  <c r="B22" i="31"/>
  <c r="E24" i="7"/>
  <c r="C26" i="8" s="1"/>
  <c r="D22" i="31"/>
  <c r="I7" i="7"/>
  <c r="I9" i="8" s="1"/>
  <c r="H7" i="31"/>
  <c r="C10" i="7"/>
  <c r="B7" i="31"/>
  <c r="L6" i="7"/>
  <c r="M8" i="8" s="1"/>
  <c r="L7" i="31"/>
  <c r="M6" i="7"/>
  <c r="K8" i="9" s="1"/>
  <c r="L8" i="9" s="1"/>
  <c r="D11" i="11" s="1"/>
  <c r="M7" i="31"/>
  <c r="F25" i="7"/>
  <c r="E27" i="8" s="1"/>
  <c r="E24" i="31"/>
  <c r="O23" i="7"/>
  <c r="P25" i="8" s="1"/>
  <c r="O24" i="31"/>
  <c r="M23" i="7"/>
  <c r="N25" i="8" s="1"/>
  <c r="M24" i="31"/>
  <c r="M10" i="30" s="1"/>
  <c r="E26" i="7"/>
  <c r="C28" i="8" s="1"/>
  <c r="D24" i="31"/>
  <c r="D10" i="30" s="1"/>
  <c r="H11" i="7"/>
  <c r="G13" i="8" s="1"/>
  <c r="G10" i="31"/>
  <c r="C13" i="7"/>
  <c r="B10" i="31"/>
  <c r="G11" i="7"/>
  <c r="F13" i="8" s="1"/>
  <c r="F10" i="31"/>
  <c r="K10" i="7"/>
  <c r="K12" i="8" s="1"/>
  <c r="J10" i="31"/>
  <c r="N9" i="7"/>
  <c r="O11" i="8" s="1"/>
  <c r="N10" i="31"/>
  <c r="H15" i="7"/>
  <c r="G17" i="8" s="1"/>
  <c r="G14" i="31"/>
  <c r="C17" i="7"/>
  <c r="B14" i="31"/>
  <c r="K14" i="7"/>
  <c r="K16" i="8" s="1"/>
  <c r="J14" i="31"/>
  <c r="J14" i="7"/>
  <c r="G16" i="9" s="1"/>
  <c r="H16" i="9" s="1"/>
  <c r="I14" i="31"/>
  <c r="I9" i="7"/>
  <c r="I11" i="8" s="1"/>
  <c r="H9" i="31"/>
  <c r="R7" i="7"/>
  <c r="T9" i="8" s="1"/>
  <c r="R9" i="31"/>
  <c r="M8" i="7"/>
  <c r="K10" i="9" s="1"/>
  <c r="L10" i="9" s="1"/>
  <c r="M9" i="31"/>
  <c r="K9" i="7"/>
  <c r="K11" i="8" s="1"/>
  <c r="J9" i="31"/>
  <c r="P6" i="7"/>
  <c r="R8" i="8" s="1"/>
  <c r="P8" i="31"/>
  <c r="H9" i="7"/>
  <c r="G11" i="8" s="1"/>
  <c r="G8" i="31"/>
  <c r="L7" i="7"/>
  <c r="M9" i="8" s="1"/>
  <c r="L8" i="31"/>
  <c r="G9" i="7"/>
  <c r="F11" i="8" s="1"/>
  <c r="F8" i="31"/>
  <c r="D17" i="7"/>
  <c r="B19" i="8" s="1"/>
  <c r="C15" i="31"/>
  <c r="L14" i="7"/>
  <c r="M16" i="8" s="1"/>
  <c r="L15" i="31"/>
  <c r="S12" i="7"/>
  <c r="S15" i="31"/>
  <c r="M14" i="7"/>
  <c r="N16" i="8" s="1"/>
  <c r="M15" i="31"/>
  <c r="J20" i="7"/>
  <c r="G22" i="9" s="1"/>
  <c r="H22" i="9" s="1"/>
  <c r="I20" i="31"/>
  <c r="D22" i="7"/>
  <c r="B24" i="8" s="1"/>
  <c r="C20" i="31"/>
  <c r="I20" i="7"/>
  <c r="I22" i="8" s="1"/>
  <c r="H20" i="31"/>
  <c r="N19" i="7"/>
  <c r="O21" i="8" s="1"/>
  <c r="N20" i="31"/>
  <c r="K20" i="7"/>
  <c r="K22" i="8" s="1"/>
  <c r="J20" i="31"/>
  <c r="D13" i="7"/>
  <c r="B15" i="8" s="1"/>
  <c r="C11" i="31"/>
  <c r="G12" i="7"/>
  <c r="C14" i="9" s="1"/>
  <c r="D14" i="9" s="1"/>
  <c r="C15" i="10" s="1"/>
  <c r="F11" i="31"/>
  <c r="H18" i="7"/>
  <c r="G20" i="8" s="1"/>
  <c r="G17" i="31"/>
  <c r="S14" i="7"/>
  <c r="S17" i="31"/>
  <c r="I17" i="7"/>
  <c r="I19" i="8" s="1"/>
  <c r="H17" i="31"/>
  <c r="P15" i="7"/>
  <c r="R17" i="8" s="1"/>
  <c r="P17" i="31"/>
  <c r="O18" i="7"/>
  <c r="P20" i="8" s="1"/>
  <c r="O19" i="31"/>
  <c r="I19" i="7"/>
  <c r="I21" i="8" s="1"/>
  <c r="H19" i="31"/>
  <c r="R17" i="7"/>
  <c r="T19" i="8" s="1"/>
  <c r="R19" i="31"/>
  <c r="G20" i="7"/>
  <c r="C22" i="9" s="1"/>
  <c r="D22" i="9" s="1"/>
  <c r="C23" i="10" s="1"/>
  <c r="F19" i="31"/>
  <c r="D20" i="7"/>
  <c r="B22" i="8" s="1"/>
  <c r="C18" i="31"/>
  <c r="S15" i="7"/>
  <c r="S18" i="31"/>
  <c r="E20" i="7"/>
  <c r="C22" i="8" s="1"/>
  <c r="D18" i="31"/>
  <c r="N17" i="7"/>
  <c r="O19" i="8" s="1"/>
  <c r="N18" i="31"/>
  <c r="F17" i="7"/>
  <c r="E19" i="8" s="1"/>
  <c r="E16" i="31"/>
  <c r="H17" i="7"/>
  <c r="G19" i="8" s="1"/>
  <c r="G16" i="31"/>
  <c r="P14" i="7"/>
  <c r="R16" i="8" s="1"/>
  <c r="P16" i="31"/>
  <c r="Q14" i="7"/>
  <c r="S16" i="8" s="1"/>
  <c r="Q16" i="31"/>
  <c r="K23" i="7"/>
  <c r="K25" i="8" s="1"/>
  <c r="J23" i="31"/>
  <c r="O22" i="7"/>
  <c r="P24" i="8" s="1"/>
  <c r="O23" i="31"/>
  <c r="H24" i="7"/>
  <c r="G26" i="8" s="1"/>
  <c r="G23" i="31"/>
  <c r="Q21" i="7"/>
  <c r="S23" i="8" s="1"/>
  <c r="Q23" i="31"/>
  <c r="G24" i="7"/>
  <c r="C26" i="9" s="1"/>
  <c r="D26" i="9" s="1"/>
  <c r="C27" i="10" s="1"/>
  <c r="F23" i="31"/>
  <c r="F140" i="26"/>
  <c r="G137" i="26"/>
  <c r="AE16" i="29"/>
  <c r="AF11" i="29"/>
  <c r="AF20" i="29"/>
  <c r="Q12" i="29"/>
  <c r="V12" i="29" s="1"/>
  <c r="R12" i="29"/>
  <c r="W12" i="29" s="1"/>
  <c r="Q11" i="29"/>
  <c r="V11" i="29" s="1"/>
  <c r="R11" i="29"/>
  <c r="W11" i="29" s="1"/>
  <c r="R23" i="29"/>
  <c r="W23" i="29" s="1"/>
  <c r="Q22" i="29"/>
  <c r="V22" i="29" s="1"/>
  <c r="Q25" i="29"/>
  <c r="V25" i="29" s="1"/>
  <c r="R22" i="29"/>
  <c r="W22" i="29" s="1"/>
  <c r="R16" i="29"/>
  <c r="W16" i="29" s="1"/>
  <c r="R21" i="29"/>
  <c r="W21" i="29" s="1"/>
  <c r="Q17" i="29"/>
  <c r="V17" i="29" s="1"/>
  <c r="Q20" i="29"/>
  <c r="V20" i="29" s="1"/>
  <c r="Q15" i="29"/>
  <c r="V15" i="29" s="1"/>
  <c r="Q18" i="29"/>
  <c r="V18" i="29" s="1"/>
  <c r="R18" i="29"/>
  <c r="W18" i="29" s="1"/>
  <c r="R25" i="29"/>
  <c r="W25" i="29" s="1"/>
  <c r="Q24" i="29"/>
  <c r="V24" i="29" s="1"/>
  <c r="Q23" i="29"/>
  <c r="V23" i="29" s="1"/>
  <c r="R13" i="29"/>
  <c r="W13" i="29" s="1"/>
  <c r="Q14" i="29"/>
  <c r="V14" i="29" s="1"/>
  <c r="R20" i="29"/>
  <c r="W20" i="29" s="1"/>
  <c r="Q13" i="29"/>
  <c r="V13" i="29" s="1"/>
  <c r="R17" i="29"/>
  <c r="W17" i="29" s="1"/>
  <c r="R14" i="29"/>
  <c r="W14" i="29" s="1"/>
  <c r="R19" i="29"/>
  <c r="W19" i="29" s="1"/>
  <c r="R15" i="29"/>
  <c r="W15" i="29" s="1"/>
  <c r="R24" i="29"/>
  <c r="W24" i="29" s="1"/>
  <c r="Q19" i="29"/>
  <c r="V19" i="29" s="1"/>
  <c r="R28" i="29"/>
  <c r="Q21" i="29"/>
  <c r="V21" i="29" s="1"/>
  <c r="Q16" i="29"/>
  <c r="V16" i="29" s="1"/>
  <c r="AD17" i="29"/>
  <c r="J107" i="26"/>
  <c r="J122" i="26"/>
  <c r="J112" i="26"/>
  <c r="J124" i="26"/>
  <c r="J121" i="26"/>
  <c r="J116" i="26"/>
  <c r="J105" i="26"/>
  <c r="J102" i="26"/>
  <c r="J126" i="26"/>
  <c r="D148" i="26"/>
  <c r="D147" i="26"/>
  <c r="J123" i="26"/>
  <c r="J106" i="26"/>
  <c r="J115" i="26"/>
  <c r="J130" i="26"/>
  <c r="J101" i="26"/>
  <c r="J119" i="26"/>
  <c r="D143" i="26"/>
  <c r="D144" i="26"/>
  <c r="J111" i="26"/>
  <c r="J103" i="26"/>
  <c r="J114" i="26"/>
  <c r="J109" i="26"/>
  <c r="J110" i="26"/>
  <c r="J98" i="26"/>
  <c r="J125" i="26"/>
  <c r="D145" i="26"/>
  <c r="D146" i="26"/>
  <c r="J128" i="26"/>
  <c r="J108" i="26"/>
  <c r="J96" i="26"/>
  <c r="J113" i="26"/>
  <c r="J97" i="26"/>
  <c r="J129" i="26"/>
  <c r="J127" i="26"/>
  <c r="J120" i="26"/>
  <c r="J104" i="26"/>
  <c r="J118" i="26"/>
  <c r="J117" i="26"/>
  <c r="J100" i="26"/>
  <c r="J99" i="26"/>
  <c r="AD15" i="29"/>
  <c r="AE15" i="29"/>
  <c r="E14" i="7"/>
  <c r="C16" i="8" s="1"/>
  <c r="D12" i="31"/>
  <c r="D15" i="7"/>
  <c r="B17" i="8" s="1"/>
  <c r="C13" i="31"/>
  <c r="J7" i="7"/>
  <c r="J9" i="8" s="1"/>
  <c r="I7" i="31"/>
  <c r="S21" i="7"/>
  <c r="S24" i="31"/>
  <c r="N23" i="7"/>
  <c r="O25" i="8" s="1"/>
  <c r="N24" i="31"/>
  <c r="N10" i="30" s="1"/>
  <c r="G25" i="7"/>
  <c r="C27" i="9" s="1"/>
  <c r="D27" i="9" s="1"/>
  <c r="F24" i="31"/>
  <c r="F10" i="30" s="1"/>
  <c r="M9" i="7"/>
  <c r="K11" i="9" s="1"/>
  <c r="L11" i="9" s="1"/>
  <c r="M10" i="31"/>
  <c r="S11" i="7"/>
  <c r="S14" i="31"/>
  <c r="D11" i="7"/>
  <c r="B13" i="8" s="1"/>
  <c r="C9" i="31"/>
  <c r="G16" i="7"/>
  <c r="C18" i="9" s="1"/>
  <c r="D18" i="9" s="1"/>
  <c r="C19" i="10" s="1"/>
  <c r="F15" i="31"/>
  <c r="Q9" i="7"/>
  <c r="S11" i="8" s="1"/>
  <c r="Q11" i="31"/>
  <c r="N16" i="7"/>
  <c r="O18" i="8" s="1"/>
  <c r="N17" i="31"/>
  <c r="C21" i="7"/>
  <c r="B18" i="31"/>
  <c r="C19" i="7"/>
  <c r="B16" i="31"/>
  <c r="J23" i="7"/>
  <c r="G25" i="9" s="1"/>
  <c r="H25" i="9" s="1"/>
  <c r="I23" i="31"/>
  <c r="L11" i="7"/>
  <c r="M13" i="8" s="1"/>
  <c r="L12" i="31"/>
  <c r="M11" i="7"/>
  <c r="K13" i="9" s="1"/>
  <c r="L13" i="9" s="1"/>
  <c r="M12" i="31"/>
  <c r="O12" i="7"/>
  <c r="P14" i="8" s="1"/>
  <c r="O13" i="31"/>
  <c r="J22" i="7"/>
  <c r="G24" i="9" s="1"/>
  <c r="H24" i="9" s="1"/>
  <c r="I22" i="31"/>
  <c r="E12" i="7"/>
  <c r="C14" i="8" s="1"/>
  <c r="D10" i="31"/>
  <c r="L13" i="7"/>
  <c r="M15" i="8" s="1"/>
  <c r="L14" i="31"/>
  <c r="F10" i="7"/>
  <c r="E12" i="8" s="1"/>
  <c r="E9" i="31"/>
  <c r="R6" i="7"/>
  <c r="T8" i="8" s="1"/>
  <c r="R8" i="31"/>
  <c r="C18" i="7"/>
  <c r="B15" i="31"/>
  <c r="J15" i="7"/>
  <c r="I15" i="31"/>
  <c r="M19" i="7"/>
  <c r="K21" i="9" s="1"/>
  <c r="L21" i="9" s="1"/>
  <c r="D24" i="11" s="1"/>
  <c r="M20" i="31"/>
  <c r="L10" i="7"/>
  <c r="M12" i="8" s="1"/>
  <c r="L11" i="31"/>
  <c r="M10" i="7"/>
  <c r="K12" i="9" s="1"/>
  <c r="L12" i="9" s="1"/>
  <c r="M11" i="31"/>
  <c r="M16" i="7"/>
  <c r="K18" i="9" s="1"/>
  <c r="L18" i="9" s="1"/>
  <c r="D21" i="11" s="1"/>
  <c r="M17" i="31"/>
  <c r="H20" i="7"/>
  <c r="G22" i="8" s="1"/>
  <c r="G19" i="31"/>
  <c r="J19" i="7"/>
  <c r="G21" i="9" s="1"/>
  <c r="H21" i="9" s="1"/>
  <c r="I19" i="31"/>
  <c r="M18" i="7"/>
  <c r="K20" i="9" s="1"/>
  <c r="L20" i="9" s="1"/>
  <c r="D23" i="11" s="1"/>
  <c r="M19" i="31"/>
  <c r="L17" i="7"/>
  <c r="M19" i="8" s="1"/>
  <c r="L18" i="31"/>
  <c r="E25" i="7"/>
  <c r="C27" i="8" s="1"/>
  <c r="D23" i="31"/>
  <c r="AF14" i="29"/>
  <c r="AE14" i="29"/>
  <c r="N11" i="7"/>
  <c r="O13" i="8" s="1"/>
  <c r="N12" i="31"/>
  <c r="H14" i="7"/>
  <c r="G16" i="8" s="1"/>
  <c r="G13" i="31"/>
  <c r="M12" i="7"/>
  <c r="K14" i="9" s="1"/>
  <c r="L14" i="9" s="1"/>
  <c r="M13" i="31"/>
  <c r="K13" i="7"/>
  <c r="K15" i="8" s="1"/>
  <c r="J13" i="31"/>
  <c r="S19" i="7"/>
  <c r="S22" i="31"/>
  <c r="L21" i="7"/>
  <c r="M23" i="8" s="1"/>
  <c r="L22" i="31"/>
  <c r="K22" i="7"/>
  <c r="K24" i="8" s="1"/>
  <c r="J22" i="31"/>
  <c r="P20" i="7"/>
  <c r="R22" i="8" s="1"/>
  <c r="P22" i="31"/>
  <c r="H8" i="7"/>
  <c r="G10" i="8" s="1"/>
  <c r="G7" i="31"/>
  <c r="D9" i="7"/>
  <c r="B11" i="8" s="1"/>
  <c r="C7" i="31"/>
  <c r="J24" i="7"/>
  <c r="G26" i="9" s="1"/>
  <c r="H26" i="9" s="1"/>
  <c r="I24" i="31"/>
  <c r="C27" i="7"/>
  <c r="U27" i="7" s="1"/>
  <c r="B24" i="31"/>
  <c r="H25" i="7"/>
  <c r="G27" i="8" s="1"/>
  <c r="G24" i="31"/>
  <c r="L23" i="7"/>
  <c r="M25" i="8" s="1"/>
  <c r="L24" i="31"/>
  <c r="K24" i="7"/>
  <c r="K26" i="8" s="1"/>
  <c r="J24" i="31"/>
  <c r="J10" i="30" s="1"/>
  <c r="I10" i="7"/>
  <c r="I12" i="8" s="1"/>
  <c r="H10" i="31"/>
  <c r="F11" i="7"/>
  <c r="E13" i="8" s="1"/>
  <c r="E10" i="31"/>
  <c r="Q8" i="7"/>
  <c r="S10" i="8" s="1"/>
  <c r="Q10" i="31"/>
  <c r="J10" i="7"/>
  <c r="G12" i="9" s="1"/>
  <c r="H12" i="9" s="1"/>
  <c r="I10" i="31"/>
  <c r="I14" i="7"/>
  <c r="I16" i="8" s="1"/>
  <c r="H14" i="31"/>
  <c r="D16" i="7"/>
  <c r="B18" i="8" s="1"/>
  <c r="C14" i="31"/>
  <c r="Q12" i="7"/>
  <c r="S14" i="8" s="1"/>
  <c r="Q14" i="31"/>
  <c r="N13" i="7"/>
  <c r="O15" i="8" s="1"/>
  <c r="N14" i="31"/>
  <c r="O8" i="7"/>
  <c r="P10" i="8" s="1"/>
  <c r="O9" i="31"/>
  <c r="C12" i="7"/>
  <c r="B9" i="31"/>
  <c r="N8" i="7"/>
  <c r="O10" i="8" s="1"/>
  <c r="N9" i="31"/>
  <c r="L8" i="7"/>
  <c r="M10" i="8" s="1"/>
  <c r="L9" i="31"/>
  <c r="Q7" i="7"/>
  <c r="S9" i="8" s="1"/>
  <c r="Q9" i="31"/>
  <c r="F9" i="7"/>
  <c r="E11" i="8" s="1"/>
  <c r="E8" i="31"/>
  <c r="J8" i="7"/>
  <c r="G10" i="9" s="1"/>
  <c r="H10" i="9" s="1"/>
  <c r="I8" i="31"/>
  <c r="I8" i="7"/>
  <c r="I10" i="8" s="1"/>
  <c r="H8" i="31"/>
  <c r="C11" i="7"/>
  <c r="B8" i="31"/>
  <c r="E10" i="7"/>
  <c r="C12" i="8" s="1"/>
  <c r="D8" i="31"/>
  <c r="R13" i="7"/>
  <c r="T15" i="8" s="1"/>
  <c r="R15" i="31"/>
  <c r="H16" i="7"/>
  <c r="G18" i="8" s="1"/>
  <c r="G15" i="31"/>
  <c r="F16" i="7"/>
  <c r="E18" i="8" s="1"/>
  <c r="E15" i="31"/>
  <c r="E17" i="7"/>
  <c r="C19" i="8" s="1"/>
  <c r="D15" i="31"/>
  <c r="N14" i="7"/>
  <c r="O16" i="8" s="1"/>
  <c r="N15" i="31"/>
  <c r="H21" i="7"/>
  <c r="G23" i="8" s="1"/>
  <c r="G20" i="31"/>
  <c r="O19" i="7"/>
  <c r="P21" i="8" s="1"/>
  <c r="O20" i="31"/>
  <c r="P18" i="7"/>
  <c r="R20" i="8" s="1"/>
  <c r="P20" i="31"/>
  <c r="Q18" i="7"/>
  <c r="S20" i="8" s="1"/>
  <c r="Q20" i="31"/>
  <c r="F12" i="7"/>
  <c r="E14" i="8" s="1"/>
  <c r="E11" i="31"/>
  <c r="J11" i="7"/>
  <c r="J13" i="8" s="1"/>
  <c r="I11" i="31"/>
  <c r="O10" i="7"/>
  <c r="P12" i="8" s="1"/>
  <c r="O11" i="31"/>
  <c r="I11" i="7"/>
  <c r="I13" i="8" s="1"/>
  <c r="H11" i="31"/>
  <c r="N10" i="7"/>
  <c r="O12" i="8" s="1"/>
  <c r="N11" i="31"/>
  <c r="L16" i="7"/>
  <c r="M18" i="8" s="1"/>
  <c r="L17" i="31"/>
  <c r="J17" i="7"/>
  <c r="J19" i="8" s="1"/>
  <c r="I17" i="31"/>
  <c r="E19" i="7"/>
  <c r="C21" i="8" s="1"/>
  <c r="D17" i="31"/>
  <c r="G18" i="7"/>
  <c r="C20" i="9" s="1"/>
  <c r="D20" i="9" s="1"/>
  <c r="C21" i="10" s="1"/>
  <c r="F17" i="31"/>
  <c r="S16" i="7"/>
  <c r="S19" i="31"/>
  <c r="F20" i="7"/>
  <c r="E22" i="8" s="1"/>
  <c r="E19" i="31"/>
  <c r="D21" i="7"/>
  <c r="B23" i="8" s="1"/>
  <c r="C19" i="31"/>
  <c r="P17" i="7"/>
  <c r="R19" i="8" s="1"/>
  <c r="P19" i="31"/>
  <c r="N18" i="7"/>
  <c r="O20" i="8" s="1"/>
  <c r="N19" i="31"/>
  <c r="R16" i="7"/>
  <c r="T18" i="8" s="1"/>
  <c r="R18" i="31"/>
  <c r="F19" i="7"/>
  <c r="E21" i="8" s="1"/>
  <c r="E18" i="31"/>
  <c r="J18" i="7"/>
  <c r="J20" i="8" s="1"/>
  <c r="I18" i="31"/>
  <c r="O15" i="7"/>
  <c r="P17" i="8" s="1"/>
  <c r="O16" i="31"/>
  <c r="R14" i="7"/>
  <c r="T16" i="8" s="1"/>
  <c r="R16" i="31"/>
  <c r="N15" i="7"/>
  <c r="O17" i="8" s="1"/>
  <c r="N16" i="31"/>
  <c r="G17" i="7"/>
  <c r="C19" i="9" s="1"/>
  <c r="D19" i="9" s="1"/>
  <c r="C20" i="10" s="1"/>
  <c r="F16" i="31"/>
  <c r="D25" i="7"/>
  <c r="B27" i="8" s="1"/>
  <c r="C23" i="31"/>
  <c r="C26" i="7"/>
  <c r="B23" i="31"/>
  <c r="S20" i="7"/>
  <c r="S23" i="31"/>
  <c r="M22" i="7"/>
  <c r="K24" i="9" s="1"/>
  <c r="L24" i="9" s="1"/>
  <c r="D27" i="11" s="1"/>
  <c r="M23" i="31"/>
  <c r="AE21" i="29"/>
  <c r="AE12" i="29"/>
  <c r="AD20" i="29"/>
  <c r="AD14" i="29"/>
  <c r="F137" i="26"/>
  <c r="F135" i="26"/>
  <c r="G138" i="26"/>
  <c r="G139" i="26"/>
  <c r="G136" i="26"/>
  <c r="G135" i="26"/>
  <c r="C12" i="9"/>
  <c r="D12" i="9" s="1"/>
  <c r="E22" i="6"/>
  <c r="K22" i="6"/>
  <c r="R22" i="6"/>
  <c r="Q22" i="6"/>
  <c r="J22" i="6"/>
  <c r="N22" i="6"/>
  <c r="G22" i="6"/>
  <c r="S22" i="6"/>
  <c r="D22" i="6"/>
  <c r="U22" i="6"/>
  <c r="H22" i="6"/>
  <c r="O22" i="6"/>
  <c r="P22" i="6"/>
  <c r="I22" i="6"/>
  <c r="C22" i="6"/>
  <c r="L22" i="6"/>
  <c r="K21" i="31" s="1"/>
  <c r="M22" i="6"/>
  <c r="T22" i="6"/>
  <c r="F22" i="6"/>
  <c r="F21" i="8"/>
  <c r="C21" i="9"/>
  <c r="D21" i="9" s="1"/>
  <c r="C22" i="10" s="1"/>
  <c r="I26" i="14"/>
  <c r="J26" i="14" s="1"/>
  <c r="H26" i="14"/>
  <c r="G11" i="9"/>
  <c r="H11" i="9" s="1"/>
  <c r="I11" i="14"/>
  <c r="J11" i="14" s="1"/>
  <c r="H11" i="14"/>
  <c r="F10" i="8"/>
  <c r="F25" i="8"/>
  <c r="C23" i="9"/>
  <c r="D23" i="9" s="1"/>
  <c r="C24" i="10" s="1"/>
  <c r="N24" i="8"/>
  <c r="J10" i="8" l="1"/>
  <c r="N19" i="8"/>
  <c r="J26" i="8"/>
  <c r="J14" i="8"/>
  <c r="L14" i="8" s="1"/>
  <c r="J24" i="8"/>
  <c r="J25" i="8"/>
  <c r="L25" i="8" s="1"/>
  <c r="J21" i="8"/>
  <c r="N10" i="8"/>
  <c r="Q10" i="8" s="1"/>
  <c r="G20" i="9"/>
  <c r="H20" i="9" s="1"/>
  <c r="C23" i="11" s="1"/>
  <c r="C13" i="9"/>
  <c r="D13" i="9" s="1"/>
  <c r="C14" i="10" s="1"/>
  <c r="Z14" i="10" s="1"/>
  <c r="K16" i="9"/>
  <c r="L16" i="9" s="1"/>
  <c r="D19" i="11" s="1"/>
  <c r="G15" i="9"/>
  <c r="H15" i="9" s="1"/>
  <c r="C18" i="11" s="1"/>
  <c r="U15" i="8"/>
  <c r="F17" i="8"/>
  <c r="H17" i="8" s="1"/>
  <c r="P8" i="30"/>
  <c r="F26" i="8"/>
  <c r="H26" i="8" s="1"/>
  <c r="N15" i="8"/>
  <c r="Q15" i="8" s="1"/>
  <c r="C11" i="9"/>
  <c r="D11" i="9" s="1"/>
  <c r="Z12" i="10" s="1"/>
  <c r="D13" i="8"/>
  <c r="P9" i="30"/>
  <c r="J8" i="30"/>
  <c r="N21" i="8"/>
  <c r="Q21" i="8" s="1"/>
  <c r="J16" i="8"/>
  <c r="L16" i="8" s="1"/>
  <c r="J18" i="8"/>
  <c r="L18" i="8" s="1"/>
  <c r="N12" i="8"/>
  <c r="U26" i="7"/>
  <c r="AA26" i="7" s="1"/>
  <c r="Q9" i="30"/>
  <c r="D15" i="8"/>
  <c r="F19" i="8"/>
  <c r="G9" i="9"/>
  <c r="H9" i="9" s="1"/>
  <c r="C12" i="11" s="1"/>
  <c r="N17" i="8"/>
  <c r="F27" i="8"/>
  <c r="H27" i="8" s="1"/>
  <c r="D24" i="8"/>
  <c r="D21" i="8"/>
  <c r="F14" i="8"/>
  <c r="D23" i="8"/>
  <c r="D11" i="8"/>
  <c r="U15" i="7"/>
  <c r="E15" i="14" s="1"/>
  <c r="F15" i="14" s="1"/>
  <c r="G15" i="14" s="1"/>
  <c r="K23" i="9"/>
  <c r="L23" i="9" s="1"/>
  <c r="D26" i="11" s="1"/>
  <c r="U11" i="7"/>
  <c r="Y11" i="7" s="1"/>
  <c r="U25" i="7"/>
  <c r="AA25" i="7" s="1"/>
  <c r="Q8" i="30"/>
  <c r="D27" i="8"/>
  <c r="U19" i="8"/>
  <c r="U23" i="8"/>
  <c r="D22" i="8"/>
  <c r="T10" i="30"/>
  <c r="W10" i="30" s="1"/>
  <c r="X10" i="30" s="1"/>
  <c r="U22" i="8"/>
  <c r="U14" i="7"/>
  <c r="E14" i="14" s="1"/>
  <c r="F14" i="14" s="1"/>
  <c r="G14" i="14" s="1"/>
  <c r="U24" i="8"/>
  <c r="N8" i="30"/>
  <c r="U10" i="7"/>
  <c r="AA10" i="7" s="1"/>
  <c r="M9" i="30"/>
  <c r="U13" i="7"/>
  <c r="AA13" i="7" s="1"/>
  <c r="D26" i="8"/>
  <c r="U18" i="8"/>
  <c r="D19" i="8"/>
  <c r="AA27" i="7"/>
  <c r="E27" i="14"/>
  <c r="F27" i="14" s="1"/>
  <c r="G27" i="14" s="1"/>
  <c r="Y27" i="7"/>
  <c r="X27" i="7"/>
  <c r="E112" i="26"/>
  <c r="F112" i="26" s="1"/>
  <c r="U20" i="8"/>
  <c r="D18" i="8"/>
  <c r="D17" i="8"/>
  <c r="U16" i="8"/>
  <c r="H11" i="8"/>
  <c r="Q25" i="8"/>
  <c r="D16" i="8"/>
  <c r="D12" i="8"/>
  <c r="U9" i="8"/>
  <c r="U10" i="8"/>
  <c r="U14" i="8"/>
  <c r="U13" i="8"/>
  <c r="D20" i="8"/>
  <c r="U11" i="8"/>
  <c r="Q23" i="8"/>
  <c r="D14" i="8"/>
  <c r="D28" i="8"/>
  <c r="U12" i="8"/>
  <c r="Q24" i="8"/>
  <c r="Q19" i="8"/>
  <c r="H14" i="8"/>
  <c r="L10" i="8"/>
  <c r="L24" i="8"/>
  <c r="L9" i="8"/>
  <c r="L21" i="8"/>
  <c r="Q12" i="8"/>
  <c r="Q16" i="8"/>
  <c r="Q17" i="8"/>
  <c r="L19" i="8"/>
  <c r="R19" i="7"/>
  <c r="T21" i="8" s="1"/>
  <c r="T49" i="8" s="1"/>
  <c r="R21" i="31"/>
  <c r="H12" i="8"/>
  <c r="L15" i="8"/>
  <c r="V28" i="29"/>
  <c r="B32" i="30" s="1"/>
  <c r="C32" i="30" s="1"/>
  <c r="H32" i="30" s="1"/>
  <c r="M32" i="30" s="1"/>
  <c r="N32" i="30" s="1"/>
  <c r="Q33" i="29"/>
  <c r="D8" i="30"/>
  <c r="T12" i="31"/>
  <c r="F15" i="8"/>
  <c r="H15" i="8" s="1"/>
  <c r="U17" i="7"/>
  <c r="AA17" i="7" s="1"/>
  <c r="N8" i="8"/>
  <c r="Q8" i="8" s="1"/>
  <c r="F22" i="7"/>
  <c r="E24" i="8" s="1"/>
  <c r="E21" i="31"/>
  <c r="H22" i="7"/>
  <c r="G24" i="8" s="1"/>
  <c r="G21" i="31"/>
  <c r="G22" i="7"/>
  <c r="F24" i="8" s="1"/>
  <c r="F21" i="31"/>
  <c r="F7" i="30" s="1"/>
  <c r="Q19" i="7"/>
  <c r="S21" i="8" s="1"/>
  <c r="S49" i="8" s="1"/>
  <c r="Q21" i="31"/>
  <c r="Q7" i="30" s="1"/>
  <c r="F16" i="8"/>
  <c r="H16" i="8" s="1"/>
  <c r="T23" i="31"/>
  <c r="T18" i="31"/>
  <c r="T13" i="31"/>
  <c r="T20" i="31"/>
  <c r="T17" i="31"/>
  <c r="H19" i="8"/>
  <c r="F22" i="8"/>
  <c r="H22" i="8" s="1"/>
  <c r="N11" i="8"/>
  <c r="Q11" i="8" s="1"/>
  <c r="G13" i="9"/>
  <c r="H13" i="9" s="1"/>
  <c r="I13" i="9" s="1"/>
  <c r="H13" i="8"/>
  <c r="U16" i="7"/>
  <c r="X16" i="7" s="1"/>
  <c r="N13" i="8"/>
  <c r="Q13" i="8" s="1"/>
  <c r="L11" i="8"/>
  <c r="N20" i="8"/>
  <c r="Q20" i="8" s="1"/>
  <c r="N18" i="8"/>
  <c r="Q18" i="8" s="1"/>
  <c r="J22" i="8"/>
  <c r="L22" i="8" s="1"/>
  <c r="F20" i="8"/>
  <c r="H20" i="8" s="1"/>
  <c r="F18" i="8"/>
  <c r="H18" i="8" s="1"/>
  <c r="J17" i="8"/>
  <c r="L17" i="8" s="1"/>
  <c r="N14" i="8"/>
  <c r="Q14" i="8" s="1"/>
  <c r="K25" i="9"/>
  <c r="L25" i="9" s="1"/>
  <c r="D28" i="11" s="1"/>
  <c r="H21" i="8"/>
  <c r="I21" i="7"/>
  <c r="I23" i="8" s="1"/>
  <c r="H21" i="31"/>
  <c r="T18" i="7"/>
  <c r="T49" i="7" s="1"/>
  <c r="M20" i="7"/>
  <c r="M49" i="7" s="1"/>
  <c r="M21" i="31"/>
  <c r="M7" i="30" s="1"/>
  <c r="N9" i="8"/>
  <c r="Q9" i="8" s="1"/>
  <c r="J12" i="8"/>
  <c r="L12" i="8" s="1"/>
  <c r="T9" i="31"/>
  <c r="U12" i="7"/>
  <c r="AA12" i="7" s="1"/>
  <c r="H25" i="8"/>
  <c r="H10" i="8"/>
  <c r="G17" i="9"/>
  <c r="H17" i="9" s="1"/>
  <c r="D18" i="10" s="1"/>
  <c r="L20" i="7"/>
  <c r="M22" i="8" s="1"/>
  <c r="M49" i="8" s="1"/>
  <c r="L21" i="31"/>
  <c r="O20" i="7"/>
  <c r="P22" i="8" s="1"/>
  <c r="P49" i="8" s="1"/>
  <c r="O21" i="31"/>
  <c r="D23" i="7"/>
  <c r="B25" i="8" s="1"/>
  <c r="C21" i="31"/>
  <c r="J21" i="7"/>
  <c r="J23" i="8" s="1"/>
  <c r="I21" i="31"/>
  <c r="E23" i="7"/>
  <c r="C25" i="8" s="1"/>
  <c r="D21" i="31"/>
  <c r="D7" i="30" s="1"/>
  <c r="T8" i="31"/>
  <c r="T24" i="31"/>
  <c r="T16" i="31"/>
  <c r="W28" i="29"/>
  <c r="B34" i="30" s="1"/>
  <c r="C34" i="30" s="1"/>
  <c r="H34" i="30" s="1"/>
  <c r="M34" i="30" s="1"/>
  <c r="N34" i="30" s="1"/>
  <c r="R33" i="29"/>
  <c r="F9" i="30"/>
  <c r="T10" i="31"/>
  <c r="T7" i="31"/>
  <c r="T22" i="31"/>
  <c r="N9" i="30"/>
  <c r="M8" i="30"/>
  <c r="N20" i="7"/>
  <c r="O22" i="8" s="1"/>
  <c r="O49" i="8" s="1"/>
  <c r="N21" i="31"/>
  <c r="N7" i="30" s="1"/>
  <c r="P19" i="7"/>
  <c r="R21" i="8" s="1"/>
  <c r="P21" i="31"/>
  <c r="P7" i="30" s="1"/>
  <c r="L20" i="8"/>
  <c r="H23" i="8"/>
  <c r="L13" i="8"/>
  <c r="L26" i="8"/>
  <c r="G19" i="9"/>
  <c r="H19" i="9" s="1"/>
  <c r="D20" i="10" s="1"/>
  <c r="C28" i="10"/>
  <c r="AA28" i="10" s="1"/>
  <c r="C11" i="29"/>
  <c r="C24" i="7"/>
  <c r="U24" i="7" s="1"/>
  <c r="B21" i="31"/>
  <c r="T19" i="31"/>
  <c r="S18" i="7"/>
  <c r="S49" i="7" s="1"/>
  <c r="S21" i="31"/>
  <c r="K21" i="7"/>
  <c r="K23" i="8" s="1"/>
  <c r="J21" i="31"/>
  <c r="J7" i="30" s="1"/>
  <c r="D9" i="30"/>
  <c r="T15" i="31"/>
  <c r="J9" i="30"/>
  <c r="T14" i="31"/>
  <c r="T11" i="31"/>
  <c r="F8" i="30"/>
  <c r="U17" i="8"/>
  <c r="X26" i="7"/>
  <c r="D14" i="11"/>
  <c r="N14" i="11" s="1"/>
  <c r="C19" i="11"/>
  <c r="D17" i="10"/>
  <c r="C13" i="11"/>
  <c r="C27" i="11"/>
  <c r="D25" i="10"/>
  <c r="C28" i="11"/>
  <c r="D26" i="10"/>
  <c r="C24" i="11"/>
  <c r="D22" i="10"/>
  <c r="D15" i="11"/>
  <c r="N15" i="11" s="1"/>
  <c r="C17" i="11"/>
  <c r="D15" i="10"/>
  <c r="D16" i="11"/>
  <c r="N16" i="11" s="1"/>
  <c r="C14" i="11"/>
  <c r="C25" i="11"/>
  <c r="D23" i="10"/>
  <c r="D17" i="11"/>
  <c r="N17" i="11" s="1"/>
  <c r="C21" i="11"/>
  <c r="D19" i="10"/>
  <c r="D12" i="11"/>
  <c r="N12" i="11" s="1"/>
  <c r="O12" i="11" s="1"/>
  <c r="C15" i="11"/>
  <c r="D13" i="10"/>
  <c r="C29" i="11"/>
  <c r="D27" i="10"/>
  <c r="D13" i="11"/>
  <c r="N13" i="11" s="1"/>
  <c r="M53" i="7"/>
  <c r="E19" i="2"/>
  <c r="L53" i="7"/>
  <c r="AA15" i="10"/>
  <c r="Z15" i="10"/>
  <c r="AA24" i="10"/>
  <c r="Z24" i="10"/>
  <c r="AA26" i="10"/>
  <c r="Z26" i="10"/>
  <c r="AA16" i="10"/>
  <c r="Z16" i="10"/>
  <c r="AA11" i="10"/>
  <c r="Z11" i="10"/>
  <c r="AA18" i="10"/>
  <c r="Z18" i="10"/>
  <c r="N11" i="11"/>
  <c r="O11" i="11" s="1"/>
  <c r="S11" i="11"/>
  <c r="AA17" i="10"/>
  <c r="Z17" i="10"/>
  <c r="T53" i="7"/>
  <c r="E22" i="2"/>
  <c r="AA20" i="10"/>
  <c r="Z20" i="10"/>
  <c r="AA23" i="10"/>
  <c r="Z23" i="10"/>
  <c r="AA27" i="10"/>
  <c r="Z27" i="10"/>
  <c r="AA21" i="10"/>
  <c r="Z21" i="10"/>
  <c r="AA19" i="10"/>
  <c r="Z19" i="10"/>
  <c r="AA22" i="10"/>
  <c r="Z22" i="10"/>
  <c r="AA13" i="10"/>
  <c r="Z13" i="10"/>
  <c r="S53" i="7"/>
  <c r="N53" i="7"/>
  <c r="O53" i="7"/>
  <c r="E14" i="9"/>
  <c r="M14" i="9"/>
  <c r="E18" i="2"/>
  <c r="U8" i="8"/>
  <c r="I24" i="9"/>
  <c r="M20" i="9"/>
  <c r="I22" i="9"/>
  <c r="M9" i="9"/>
  <c r="E22" i="9"/>
  <c r="E10" i="9"/>
  <c r="E27" i="9"/>
  <c r="E21" i="9"/>
  <c r="R53" i="7"/>
  <c r="P53" i="7"/>
  <c r="M24" i="9"/>
  <c r="E18" i="9"/>
  <c r="I11" i="9"/>
  <c r="I25" i="9"/>
  <c r="M12" i="9"/>
  <c r="I10" i="9"/>
  <c r="E20" i="9"/>
  <c r="I16" i="9"/>
  <c r="E23" i="9"/>
  <c r="M18" i="9"/>
  <c r="M10" i="9"/>
  <c r="I18" i="9"/>
  <c r="I12" i="9"/>
  <c r="I20" i="9"/>
  <c r="I26" i="9"/>
  <c r="E19" i="9"/>
  <c r="M21" i="9"/>
  <c r="M11" i="9"/>
  <c r="E25" i="9"/>
  <c r="E17" i="9"/>
  <c r="M15" i="9"/>
  <c r="M17" i="9"/>
  <c r="I14" i="9"/>
  <c r="M8" i="9"/>
  <c r="Q53" i="7"/>
  <c r="E16" i="9"/>
  <c r="E26" i="9"/>
  <c r="M19" i="9"/>
  <c r="E15" i="9"/>
  <c r="M13" i="9"/>
  <c r="I21" i="9"/>
  <c r="E12" i="9"/>
  <c r="Y10" i="30" l="1"/>
  <c r="E11" i="9"/>
  <c r="N22" i="8"/>
  <c r="E13" i="9"/>
  <c r="E111" i="26"/>
  <c r="G111" i="26" s="1"/>
  <c r="AA15" i="7"/>
  <c r="E100" i="26"/>
  <c r="F100" i="26" s="1"/>
  <c r="AA14" i="10"/>
  <c r="AA12" i="10"/>
  <c r="E98" i="26"/>
  <c r="G98" i="26" s="1"/>
  <c r="D21" i="10"/>
  <c r="N21" i="10" s="1"/>
  <c r="O21" i="10" s="1"/>
  <c r="X14" i="7"/>
  <c r="X25" i="7"/>
  <c r="AA14" i="7"/>
  <c r="E101" i="26"/>
  <c r="F101" i="26" s="1"/>
  <c r="I17" i="9"/>
  <c r="M16" i="9"/>
  <c r="E16" i="14"/>
  <c r="F16" i="14" s="1"/>
  <c r="G16" i="14" s="1"/>
  <c r="I15" i="9"/>
  <c r="M23" i="9"/>
  <c r="C20" i="11"/>
  <c r="Z20" i="11" s="1"/>
  <c r="E17" i="14"/>
  <c r="F17" i="14" s="1"/>
  <c r="G17" i="14" s="1"/>
  <c r="D16" i="10"/>
  <c r="AB16" i="10" s="1"/>
  <c r="M25" i="9"/>
  <c r="E102" i="26"/>
  <c r="F102" i="26" s="1"/>
  <c r="N49" i="7"/>
  <c r="V10" i="30"/>
  <c r="U22" i="7"/>
  <c r="AA22" i="7" s="1"/>
  <c r="X15" i="7"/>
  <c r="E97" i="26"/>
  <c r="G97" i="26" s="1"/>
  <c r="E26" i="14"/>
  <c r="F26" i="14" s="1"/>
  <c r="G26" i="14" s="1"/>
  <c r="E96" i="26"/>
  <c r="F96" i="26" s="1"/>
  <c r="Y26" i="7"/>
  <c r="X13" i="7"/>
  <c r="C24" i="9"/>
  <c r="D24" i="9" s="1"/>
  <c r="C25" i="10" s="1"/>
  <c r="AA25" i="10" s="1"/>
  <c r="I9" i="9"/>
  <c r="K22" i="9"/>
  <c r="L22" i="9" s="1"/>
  <c r="D25" i="11" s="1"/>
  <c r="Y15" i="7"/>
  <c r="Q49" i="7"/>
  <c r="E13" i="14"/>
  <c r="F13" i="14" s="1"/>
  <c r="G13" i="14" s="1"/>
  <c r="T21" i="31"/>
  <c r="J6" i="30"/>
  <c r="R49" i="7"/>
  <c r="Y13" i="7"/>
  <c r="E11" i="14"/>
  <c r="F11" i="14" s="1"/>
  <c r="G11" i="14" s="1"/>
  <c r="I19" i="9"/>
  <c r="U18" i="7"/>
  <c r="AA18" i="7" s="1"/>
  <c r="Y14" i="7"/>
  <c r="F18" i="2"/>
  <c r="P18" i="2" s="1"/>
  <c r="U23" i="7"/>
  <c r="AA23" i="7" s="1"/>
  <c r="C16" i="11"/>
  <c r="AA16" i="11" s="1"/>
  <c r="X17" i="7"/>
  <c r="E99" i="26"/>
  <c r="G99" i="26" s="1"/>
  <c r="E110" i="26"/>
  <c r="F110" i="26" s="1"/>
  <c r="O49" i="7"/>
  <c r="X11" i="7"/>
  <c r="I51" i="31"/>
  <c r="AA11" i="7"/>
  <c r="U19" i="7"/>
  <c r="AA19" i="7" s="1"/>
  <c r="U20" i="7"/>
  <c r="AA20" i="7" s="1"/>
  <c r="D14" i="10"/>
  <c r="AB14" i="10" s="1"/>
  <c r="Y25" i="7"/>
  <c r="D6" i="30"/>
  <c r="Y17" i="7"/>
  <c r="E25" i="14"/>
  <c r="F25" i="14" s="1"/>
  <c r="G25" i="14" s="1"/>
  <c r="P49" i="7"/>
  <c r="M6" i="30"/>
  <c r="Q6" i="30"/>
  <c r="AA24" i="7"/>
  <c r="X24" i="7"/>
  <c r="E24" i="14"/>
  <c r="F24" i="14" s="1"/>
  <c r="G24" i="14" s="1"/>
  <c r="Y24" i="7"/>
  <c r="E109" i="26"/>
  <c r="F109" i="26" s="1"/>
  <c r="R49" i="8"/>
  <c r="U21" i="8"/>
  <c r="U49" i="8" s="1"/>
  <c r="D25" i="8"/>
  <c r="L23" i="8"/>
  <c r="U21" i="7"/>
  <c r="X21" i="7" s="1"/>
  <c r="G23" i="9"/>
  <c r="H23" i="9" s="1"/>
  <c r="D24" i="10" s="1"/>
  <c r="H24" i="8"/>
  <c r="Q22" i="8"/>
  <c r="Q49" i="8" s="1"/>
  <c r="C22" i="11"/>
  <c r="Z22" i="11" s="1"/>
  <c r="Y16" i="7"/>
  <c r="Y12" i="7"/>
  <c r="G112" i="26"/>
  <c r="L49" i="7"/>
  <c r="AA16" i="7"/>
  <c r="Z11" i="29"/>
  <c r="AA11" i="29"/>
  <c r="N6" i="30"/>
  <c r="T8" i="30"/>
  <c r="Z28" i="10"/>
  <c r="E12" i="14"/>
  <c r="F12" i="14" s="1"/>
  <c r="G12" i="14" s="1"/>
  <c r="T7" i="30"/>
  <c r="F6" i="30"/>
  <c r="P6" i="30"/>
  <c r="X12" i="7"/>
  <c r="T9" i="30"/>
  <c r="F111" i="26"/>
  <c r="F98" i="26"/>
  <c r="X20" i="7"/>
  <c r="G100" i="26"/>
  <c r="G101" i="26"/>
  <c r="F19" i="2"/>
  <c r="P19" i="2" s="1"/>
  <c r="F22" i="2"/>
  <c r="P22" i="2" s="1"/>
  <c r="N49" i="8"/>
  <c r="AB13" i="10"/>
  <c r="N13" i="10"/>
  <c r="O13" i="10" s="1"/>
  <c r="X13" i="10"/>
  <c r="Y13" i="10" s="1"/>
  <c r="N19" i="10"/>
  <c r="O19" i="10" s="1"/>
  <c r="X19" i="10"/>
  <c r="Y19" i="10" s="1"/>
  <c r="AB19" i="10"/>
  <c r="X17" i="10"/>
  <c r="Y17" i="10" s="1"/>
  <c r="AB17" i="10"/>
  <c r="N17" i="10"/>
  <c r="O17" i="10" s="1"/>
  <c r="X15" i="10"/>
  <c r="Y15" i="10" s="1"/>
  <c r="AB15" i="10"/>
  <c r="N15" i="10"/>
  <c r="O15" i="10" s="1"/>
  <c r="AB18" i="10"/>
  <c r="X18" i="10"/>
  <c r="Y18" i="10" s="1"/>
  <c r="N18" i="10"/>
  <c r="O18" i="10" s="1"/>
  <c r="N20" i="10"/>
  <c r="O20" i="10" s="1"/>
  <c r="AB20" i="10"/>
  <c r="X20" i="10"/>
  <c r="Y20" i="10" s="1"/>
  <c r="AB23" i="10"/>
  <c r="X23" i="10"/>
  <c r="Y23" i="10" s="1"/>
  <c r="N23" i="10"/>
  <c r="O23" i="10" s="1"/>
  <c r="N22" i="10"/>
  <c r="O22" i="10" s="1"/>
  <c r="AB22" i="10"/>
  <c r="X22" i="10"/>
  <c r="Y22" i="10" s="1"/>
  <c r="N26" i="10"/>
  <c r="O26" i="10" s="1"/>
  <c r="AB26" i="10"/>
  <c r="X26" i="10"/>
  <c r="Y26" i="10" s="1"/>
  <c r="AB12" i="10"/>
  <c r="X12" i="10"/>
  <c r="Y12" i="10" s="1"/>
  <c r="N12" i="10"/>
  <c r="O12" i="10" s="1"/>
  <c r="X25" i="10"/>
  <c r="Y25" i="10" s="1"/>
  <c r="AB25" i="10"/>
  <c r="N25" i="10"/>
  <c r="O25" i="10" s="1"/>
  <c r="AB27" i="10"/>
  <c r="N27" i="10"/>
  <c r="O27" i="10" s="1"/>
  <c r="X27" i="10"/>
  <c r="Y27" i="10" s="1"/>
  <c r="X11" i="10"/>
  <c r="AB11" i="10"/>
  <c r="N11" i="10"/>
  <c r="O11" i="10" s="1"/>
  <c r="AA21" i="11"/>
  <c r="Z21" i="11"/>
  <c r="G22" i="2"/>
  <c r="Q22" i="2" s="1"/>
  <c r="N20" i="11"/>
  <c r="O20" i="11" s="1"/>
  <c r="S20" i="11"/>
  <c r="T20" i="11" s="1"/>
  <c r="AB20" i="11"/>
  <c r="X20" i="11"/>
  <c r="Y20" i="11" s="1"/>
  <c r="S12" i="11"/>
  <c r="T12" i="11" s="1"/>
  <c r="X12" i="11"/>
  <c r="Y12" i="11" s="1"/>
  <c r="AB12" i="11"/>
  <c r="G18" i="2"/>
  <c r="Q18" i="2" s="1"/>
  <c r="AA12" i="11"/>
  <c r="Z12" i="11"/>
  <c r="O13" i="11"/>
  <c r="X13" i="11"/>
  <c r="Y13" i="11" s="1"/>
  <c r="S13" i="11"/>
  <c r="T13" i="11" s="1"/>
  <c r="AB13" i="11"/>
  <c r="Z13" i="11"/>
  <c r="AA13" i="11"/>
  <c r="AA14" i="11"/>
  <c r="Z14" i="11"/>
  <c r="AA27" i="11"/>
  <c r="Z27" i="11"/>
  <c r="N28" i="11"/>
  <c r="O28" i="11" s="1"/>
  <c r="X28" i="11"/>
  <c r="Y28" i="11" s="1"/>
  <c r="S28" i="11"/>
  <c r="T28" i="11" s="1"/>
  <c r="AB28" i="11"/>
  <c r="Z17" i="11"/>
  <c r="AA17" i="11"/>
  <c r="AA29" i="11"/>
  <c r="Z29" i="11"/>
  <c r="AA18" i="11"/>
  <c r="Z18" i="11"/>
  <c r="AA23" i="11"/>
  <c r="Z23" i="11"/>
  <c r="Z28" i="11"/>
  <c r="AA28" i="11"/>
  <c r="G19" i="2"/>
  <c r="Q19" i="2" s="1"/>
  <c r="Z24" i="11"/>
  <c r="AA24" i="11"/>
  <c r="N19" i="11"/>
  <c r="O19" i="11" s="1"/>
  <c r="S19" i="11"/>
  <c r="T19" i="11" s="1"/>
  <c r="AB19" i="11"/>
  <c r="X19" i="11"/>
  <c r="Y19" i="11" s="1"/>
  <c r="N21" i="11"/>
  <c r="O21" i="11" s="1"/>
  <c r="S21" i="11"/>
  <c r="T21" i="11" s="1"/>
  <c r="AB21" i="11"/>
  <c r="X21" i="11"/>
  <c r="Y21" i="11" s="1"/>
  <c r="AA19" i="11"/>
  <c r="Z19" i="11"/>
  <c r="O15" i="11"/>
  <c r="AB15" i="11"/>
  <c r="S15" i="11"/>
  <c r="T15" i="11" s="1"/>
  <c r="X15" i="11"/>
  <c r="Y15" i="11" s="1"/>
  <c r="N27" i="11"/>
  <c r="O27" i="11" s="1"/>
  <c r="X27" i="11"/>
  <c r="Y27" i="11" s="1"/>
  <c r="S27" i="11"/>
  <c r="T27" i="11" s="1"/>
  <c r="AB27" i="11"/>
  <c r="Z25" i="11"/>
  <c r="AA25" i="11"/>
  <c r="O17" i="11"/>
  <c r="S17" i="11"/>
  <c r="T17" i="11" s="1"/>
  <c r="AB17" i="11"/>
  <c r="X17" i="11"/>
  <c r="Y17" i="11" s="1"/>
  <c r="E21" i="2"/>
  <c r="N22" i="11"/>
  <c r="O22" i="11" s="1"/>
  <c r="AB22" i="11"/>
  <c r="S22" i="11"/>
  <c r="T22" i="11" s="1"/>
  <c r="X22" i="11"/>
  <c r="Y22" i="11" s="1"/>
  <c r="N24" i="11"/>
  <c r="O24" i="11" s="1"/>
  <c r="S24" i="11"/>
  <c r="T24" i="11" s="1"/>
  <c r="AB24" i="11"/>
  <c r="X24" i="11"/>
  <c r="Y24" i="11" s="1"/>
  <c r="Z15" i="11"/>
  <c r="AA15" i="11"/>
  <c r="N23" i="11"/>
  <c r="O23" i="11" s="1"/>
  <c r="S23" i="11"/>
  <c r="T23" i="11" s="1"/>
  <c r="AB23" i="11"/>
  <c r="X23" i="11"/>
  <c r="Y23" i="11" s="1"/>
  <c r="AB11" i="11"/>
  <c r="X11" i="11"/>
  <c r="T11" i="11"/>
  <c r="O16" i="11"/>
  <c r="S16" i="11"/>
  <c r="T16" i="11" s="1"/>
  <c r="X16" i="11"/>
  <c r="Y16" i="11" s="1"/>
  <c r="AB16" i="11"/>
  <c r="N18" i="11"/>
  <c r="O18" i="11" s="1"/>
  <c r="X18" i="11"/>
  <c r="Y18" i="11" s="1"/>
  <c r="S18" i="11"/>
  <c r="T18" i="11" s="1"/>
  <c r="AB18" i="11"/>
  <c r="O14" i="11"/>
  <c r="S14" i="11"/>
  <c r="T14" i="11" s="1"/>
  <c r="AB14" i="11"/>
  <c r="X14" i="11"/>
  <c r="Y14" i="11" s="1"/>
  <c r="N26" i="11"/>
  <c r="O26" i="11" s="1"/>
  <c r="S26" i="11"/>
  <c r="T26" i="11" s="1"/>
  <c r="X26" i="11"/>
  <c r="Y26" i="11" s="1"/>
  <c r="AB26" i="11"/>
  <c r="G51" i="10" a="1"/>
  <c r="G60" i="10" a="1"/>
  <c r="F97" i="26" l="1"/>
  <c r="E103" i="26"/>
  <c r="F103" i="26" s="1"/>
  <c r="E24" i="9"/>
  <c r="AB21" i="10"/>
  <c r="X16" i="10"/>
  <c r="Y16" i="10" s="1"/>
  <c r="X21" i="10"/>
  <c r="Y21" i="10" s="1"/>
  <c r="N16" i="10"/>
  <c r="O16" i="10" s="1"/>
  <c r="Z25" i="10"/>
  <c r="G102" i="26"/>
  <c r="Y22" i="7"/>
  <c r="X23" i="7"/>
  <c r="E105" i="26"/>
  <c r="F105" i="26" s="1"/>
  <c r="E107" i="26"/>
  <c r="G107" i="26" s="1"/>
  <c r="G96" i="26"/>
  <c r="AA20" i="11"/>
  <c r="E104" i="26"/>
  <c r="E106" i="26"/>
  <c r="G106" i="26" s="1"/>
  <c r="G110" i="26"/>
  <c r="E108" i="26"/>
  <c r="F108" i="26" s="1"/>
  <c r="AA22" i="11"/>
  <c r="G109" i="26"/>
  <c r="X22" i="7"/>
  <c r="M22" i="9"/>
  <c r="E22" i="14"/>
  <c r="F22" i="14" s="1"/>
  <c r="G22" i="14" s="1"/>
  <c r="N14" i="10"/>
  <c r="O14" i="10" s="1"/>
  <c r="Z16" i="11"/>
  <c r="X14" i="10"/>
  <c r="Y14" i="10" s="1"/>
  <c r="C26" i="11"/>
  <c r="Z26" i="11" s="1"/>
  <c r="X19" i="7"/>
  <c r="X18" i="7"/>
  <c r="F99" i="26"/>
  <c r="Y20" i="7"/>
  <c r="Y23" i="7"/>
  <c r="E20" i="14"/>
  <c r="F20" i="14" s="1"/>
  <c r="G20" i="14" s="1"/>
  <c r="E23" i="14"/>
  <c r="F23" i="14" s="1"/>
  <c r="G23" i="14" s="1"/>
  <c r="T6" i="30"/>
  <c r="V6" i="30" s="1"/>
  <c r="I23" i="9"/>
  <c r="E18" i="14"/>
  <c r="F18" i="14" s="1"/>
  <c r="G18" i="14" s="1"/>
  <c r="E19" i="14"/>
  <c r="F19" i="14" s="1"/>
  <c r="G19" i="14" s="1"/>
  <c r="Y18" i="7"/>
  <c r="Y19" i="7"/>
  <c r="E21" i="14"/>
  <c r="F21" i="14" s="1"/>
  <c r="G21" i="14" s="1"/>
  <c r="Y21" i="7"/>
  <c r="AA21" i="7"/>
  <c r="AD11" i="29"/>
  <c r="AE11" i="29"/>
  <c r="V9" i="30"/>
  <c r="Y9" i="30"/>
  <c r="W9" i="30"/>
  <c r="X9" i="30" s="1"/>
  <c r="V7" i="30"/>
  <c r="Y7" i="30"/>
  <c r="W7" i="30"/>
  <c r="X7" i="30" s="1"/>
  <c r="W8" i="30"/>
  <c r="X8" i="30" s="1"/>
  <c r="V8" i="30"/>
  <c r="Y8" i="30"/>
  <c r="H60" i="10"/>
  <c r="J64" i="10"/>
  <c r="K64" i="10"/>
  <c r="J63" i="10"/>
  <c r="J62" i="10"/>
  <c r="K63" i="10"/>
  <c r="I60" i="10"/>
  <c r="I64" i="10"/>
  <c r="I67" i="10"/>
  <c r="G63" i="10"/>
  <c r="I62" i="10"/>
  <c r="H65" i="10"/>
  <c r="G66" i="10"/>
  <c r="K65" i="10"/>
  <c r="H64" i="10"/>
  <c r="J65" i="10"/>
  <c r="G61" i="10"/>
  <c r="G65" i="10"/>
  <c r="G60" i="10"/>
  <c r="H63" i="10"/>
  <c r="I65" i="10"/>
  <c r="H62" i="10"/>
  <c r="H67" i="10"/>
  <c r="K62" i="10"/>
  <c r="H61" i="10"/>
  <c r="J61" i="10"/>
  <c r="J66" i="10"/>
  <c r="G62" i="10"/>
  <c r="I66" i="10"/>
  <c r="J60" i="10"/>
  <c r="J67" i="10"/>
  <c r="K67" i="10"/>
  <c r="K60" i="10"/>
  <c r="I63" i="10"/>
  <c r="H66" i="10"/>
  <c r="K61" i="10"/>
  <c r="K66" i="10"/>
  <c r="G64" i="10"/>
  <c r="G67" i="10"/>
  <c r="I61" i="10"/>
  <c r="G105" i="26"/>
  <c r="F21" i="2"/>
  <c r="P21" i="2" s="1"/>
  <c r="I52" i="10"/>
  <c r="K51" i="10"/>
  <c r="I58" i="10"/>
  <c r="I54" i="10"/>
  <c r="K56" i="10"/>
  <c r="J58" i="10"/>
  <c r="J57" i="10"/>
  <c r="J56" i="10"/>
  <c r="H58" i="10"/>
  <c r="H53" i="10"/>
  <c r="G56" i="10"/>
  <c r="J55" i="10"/>
  <c r="H56" i="10"/>
  <c r="G55" i="10"/>
  <c r="I56" i="10"/>
  <c r="H54" i="10"/>
  <c r="J53" i="10"/>
  <c r="J52" i="10"/>
  <c r="I51" i="10"/>
  <c r="K52" i="10"/>
  <c r="K53" i="10"/>
  <c r="G52" i="10"/>
  <c r="H51" i="10"/>
  <c r="J51" i="10"/>
  <c r="G58" i="10"/>
  <c r="H52" i="10"/>
  <c r="K57" i="10"/>
  <c r="I57" i="10"/>
  <c r="H55" i="10"/>
  <c r="K58" i="10"/>
  <c r="G57" i="10"/>
  <c r="K55" i="10"/>
  <c r="K54" i="10"/>
  <c r="J54" i="10"/>
  <c r="H57" i="10"/>
  <c r="I55" i="10"/>
  <c r="G54" i="10"/>
  <c r="G53" i="10"/>
  <c r="G51" i="10"/>
  <c r="I53" i="10"/>
  <c r="Y11" i="10"/>
  <c r="X24" i="10"/>
  <c r="Y24" i="10" s="1"/>
  <c r="AB24" i="10"/>
  <c r="N24" i="10"/>
  <c r="O24" i="10" s="1"/>
  <c r="N25" i="11"/>
  <c r="O25" i="11" s="1"/>
  <c r="O48" i="11" s="1"/>
  <c r="AB25" i="11"/>
  <c r="S25" i="11"/>
  <c r="T25" i="11" s="1"/>
  <c r="T48" i="11" s="1"/>
  <c r="X25" i="11"/>
  <c r="Y25" i="11" s="1"/>
  <c r="G21" i="2"/>
  <c r="Q21" i="2" s="1"/>
  <c r="Y11" i="11"/>
  <c r="G103" i="26" l="1"/>
  <c r="O47" i="10"/>
  <c r="AE27" i="10" s="1"/>
  <c r="O48" i="10"/>
  <c r="X51" i="10"/>
  <c r="Y53" i="10"/>
  <c r="Y51" i="10"/>
  <c r="X48" i="10"/>
  <c r="L15" i="2" s="1"/>
  <c r="E145" i="26"/>
  <c r="F104" i="26"/>
  <c r="E148" i="26"/>
  <c r="G104" i="26"/>
  <c r="G108" i="26"/>
  <c r="G144" i="26" s="1"/>
  <c r="F107" i="26"/>
  <c r="AA26" i="11"/>
  <c r="E144" i="26"/>
  <c r="E143" i="26"/>
  <c r="W6" i="30"/>
  <c r="W27" i="30" s="1"/>
  <c r="E147" i="26"/>
  <c r="F106" i="26"/>
  <c r="E146" i="26"/>
  <c r="Y6" i="30"/>
  <c r="Y32" i="30" s="1"/>
  <c r="Y33" i="30" s="1"/>
  <c r="Y34" i="30" s="1"/>
  <c r="V28" i="30"/>
  <c r="V27" i="30"/>
  <c r="V25" i="30"/>
  <c r="V26" i="30"/>
  <c r="Y48" i="11"/>
  <c r="M18" i="2" s="1"/>
  <c r="Y51" i="11"/>
  <c r="X48" i="11"/>
  <c r="L18" i="2" s="1"/>
  <c r="O47" i="11"/>
  <c r="Q45" i="11" s="1"/>
  <c r="V45" i="11" s="1"/>
  <c r="Y48" i="10"/>
  <c r="M15" i="2" s="1"/>
  <c r="N18" i="2"/>
  <c r="G148" i="26" l="1"/>
  <c r="W26" i="30"/>
  <c r="W25" i="30"/>
  <c r="X6" i="30"/>
  <c r="X27" i="30" s="1"/>
  <c r="AE43" i="10"/>
  <c r="AD43" i="10"/>
  <c r="AF43" i="10"/>
  <c r="AD42" i="10"/>
  <c r="AE42" i="10"/>
  <c r="AE34" i="10"/>
  <c r="Q45" i="10"/>
  <c r="V45" i="10" s="1"/>
  <c r="Q43" i="10"/>
  <c r="V43" i="10" s="1"/>
  <c r="R45" i="10"/>
  <c r="W45" i="10" s="1"/>
  <c r="R43" i="10"/>
  <c r="W43" i="10" s="1"/>
  <c r="R42" i="10"/>
  <c r="W42" i="10" s="1"/>
  <c r="AF34" i="10"/>
  <c r="AF13" i="10"/>
  <c r="AF23" i="10"/>
  <c r="AE17" i="10"/>
  <c r="AF41" i="10"/>
  <c r="G147" i="26"/>
  <c r="F143" i="26"/>
  <c r="G146" i="26"/>
  <c r="AD24" i="10"/>
  <c r="AE37" i="10"/>
  <c r="AD40" i="10"/>
  <c r="AF29" i="10"/>
  <c r="AD26" i="10"/>
  <c r="AD12" i="10"/>
  <c r="AD39" i="10"/>
  <c r="AF18" i="10"/>
  <c r="AD21" i="10"/>
  <c r="AD29" i="10"/>
  <c r="AE39" i="10"/>
  <c r="AF37" i="10"/>
  <c r="AF26" i="10"/>
  <c r="AF15" i="10"/>
  <c r="AE11" i="10"/>
  <c r="AD22" i="10"/>
  <c r="AE23" i="10"/>
  <c r="AE31" i="10"/>
  <c r="AD34" i="10"/>
  <c r="AF40" i="10"/>
  <c r="AE41" i="10"/>
  <c r="AF31" i="10"/>
  <c r="AF21" i="10"/>
  <c r="AD25" i="10"/>
  <c r="AE14" i="10"/>
  <c r="AE16" i="10"/>
  <c r="AE28" i="10"/>
  <c r="AD30" i="10"/>
  <c r="AD37" i="10"/>
  <c r="AF38" i="10"/>
  <c r="AF33" i="10"/>
  <c r="AF27" i="10"/>
  <c r="AF22" i="10"/>
  <c r="AF17" i="10"/>
  <c r="AF39" i="10"/>
  <c r="AD16" i="10"/>
  <c r="AE20" i="10"/>
  <c r="AD28" i="10"/>
  <c r="AE26" i="10"/>
  <c r="AD17" i="10"/>
  <c r="AE19" i="10"/>
  <c r="AD33" i="10"/>
  <c r="AE36" i="10"/>
  <c r="AE30" i="10"/>
  <c r="AE32" i="10"/>
  <c r="AF11" i="10"/>
  <c r="AF35" i="10"/>
  <c r="AF30" i="10"/>
  <c r="AF25" i="10"/>
  <c r="AF19" i="10"/>
  <c r="AF14" i="10"/>
  <c r="AD15" i="10"/>
  <c r="AE12" i="10"/>
  <c r="AD27" i="10"/>
  <c r="AE13" i="10"/>
  <c r="AD18" i="10"/>
  <c r="AD14" i="10"/>
  <c r="AE22" i="10"/>
  <c r="AD31" i="10"/>
  <c r="AD38" i="10"/>
  <c r="AE35" i="10"/>
  <c r="AE38" i="10"/>
  <c r="AE40" i="10"/>
  <c r="AD41" i="10"/>
  <c r="AF42" i="10"/>
  <c r="G145" i="26"/>
  <c r="G143" i="26"/>
  <c r="AF36" i="10"/>
  <c r="AF32" i="10"/>
  <c r="AF28" i="10"/>
  <c r="AF24" i="10"/>
  <c r="AF20" i="10"/>
  <c r="AF16" i="10"/>
  <c r="AF12" i="10"/>
  <c r="AE24" i="10"/>
  <c r="AE18" i="10"/>
  <c r="AD23" i="10"/>
  <c r="AD19" i="10"/>
  <c r="AE15" i="10"/>
  <c r="AD11" i="10"/>
  <c r="AD20" i="10"/>
  <c r="AE21" i="10"/>
  <c r="AD13" i="10"/>
  <c r="AE33" i="10"/>
  <c r="AD32" i="10"/>
  <c r="AE29" i="10"/>
  <c r="AD35" i="10"/>
  <c r="AD36" i="10"/>
  <c r="AE25" i="10"/>
  <c r="AD45" i="10"/>
  <c r="F144" i="26"/>
  <c r="W28" i="30"/>
  <c r="F145" i="26"/>
  <c r="F147" i="26"/>
  <c r="F148" i="26"/>
  <c r="F146" i="26"/>
  <c r="X25" i="30"/>
  <c r="Q42" i="10"/>
  <c r="V42" i="10" s="1"/>
  <c r="Q41" i="11"/>
  <c r="V41" i="11" s="1"/>
  <c r="AE43" i="11"/>
  <c r="AD43" i="11"/>
  <c r="Q43" i="11"/>
  <c r="V43" i="11" s="1"/>
  <c r="R43" i="11"/>
  <c r="W43" i="11" s="1"/>
  <c r="AD42" i="11"/>
  <c r="AE42" i="11"/>
  <c r="Q42" i="11"/>
  <c r="V42" i="11" s="1"/>
  <c r="R42" i="11"/>
  <c r="W42" i="11" s="1"/>
  <c r="AE45" i="10"/>
  <c r="Q41" i="10"/>
  <c r="V41" i="10" s="1"/>
  <c r="R41" i="10"/>
  <c r="W41" i="10" s="1"/>
  <c r="AE41" i="11"/>
  <c r="AE45" i="11"/>
  <c r="R41" i="11"/>
  <c r="W41" i="11" s="1"/>
  <c r="Q11" i="11"/>
  <c r="V11" i="11" s="1"/>
  <c r="AE40" i="11"/>
  <c r="AD45" i="11"/>
  <c r="Q12" i="11"/>
  <c r="V12" i="11" s="1"/>
  <c r="AD41" i="11"/>
  <c r="AD40" i="11"/>
  <c r="R40" i="10"/>
  <c r="W40" i="10" s="1"/>
  <c r="Q40" i="10"/>
  <c r="V40" i="10" s="1"/>
  <c r="Q27" i="10"/>
  <c r="V27" i="10" s="1"/>
  <c r="Q18" i="10"/>
  <c r="V18" i="10" s="1"/>
  <c r="Q34" i="10"/>
  <c r="V34" i="10" s="1"/>
  <c r="Q19" i="10"/>
  <c r="V19" i="10" s="1"/>
  <c r="Q35" i="10"/>
  <c r="V35" i="10" s="1"/>
  <c r="Q39" i="10"/>
  <c r="V39" i="10" s="1"/>
  <c r="Q26" i="10"/>
  <c r="V26" i="10" s="1"/>
  <c r="Q17" i="10"/>
  <c r="V17" i="10" s="1"/>
  <c r="Q14" i="10"/>
  <c r="V14" i="10" s="1"/>
  <c r="R28" i="10"/>
  <c r="W28" i="10" s="1"/>
  <c r="R14" i="10"/>
  <c r="W14" i="10" s="1"/>
  <c r="R25" i="10"/>
  <c r="W25" i="10" s="1"/>
  <c r="Q20" i="10"/>
  <c r="V20" i="10" s="1"/>
  <c r="Q25" i="10"/>
  <c r="V25" i="10" s="1"/>
  <c r="R22" i="10"/>
  <c r="W22" i="10" s="1"/>
  <c r="R30" i="10"/>
  <c r="W30" i="10" s="1"/>
  <c r="R15" i="10"/>
  <c r="W15" i="10" s="1"/>
  <c r="R16" i="10"/>
  <c r="W16" i="10" s="1"/>
  <c r="R33" i="10"/>
  <c r="W33" i="10" s="1"/>
  <c r="R13" i="10"/>
  <c r="W13" i="10" s="1"/>
  <c r="R38" i="10"/>
  <c r="W38" i="10" s="1"/>
  <c r="Q37" i="10"/>
  <c r="V37" i="10" s="1"/>
  <c r="R34" i="10"/>
  <c r="W34" i="10" s="1"/>
  <c r="Q33" i="10"/>
  <c r="V33" i="10" s="1"/>
  <c r="Q30" i="10"/>
  <c r="V30" i="10" s="1"/>
  <c r="Q15" i="10"/>
  <c r="V15" i="10" s="1"/>
  <c r="Q12" i="10"/>
  <c r="V12" i="10" s="1"/>
  <c r="R31" i="10"/>
  <c r="W31" i="10" s="1"/>
  <c r="R24" i="10"/>
  <c r="W24" i="10" s="1"/>
  <c r="Q23" i="10"/>
  <c r="V23" i="10" s="1"/>
  <c r="R20" i="10"/>
  <c r="W20" i="10" s="1"/>
  <c r="Q16" i="10"/>
  <c r="V16" i="10" s="1"/>
  <c r="R29" i="10"/>
  <c r="W29" i="10" s="1"/>
  <c r="R12" i="10"/>
  <c r="W12" i="10" s="1"/>
  <c r="R23" i="10"/>
  <c r="W23" i="10" s="1"/>
  <c r="Q36" i="10"/>
  <c r="V36" i="10" s="1"/>
  <c r="Q13" i="10"/>
  <c r="V13" i="10" s="1"/>
  <c r="R32" i="10"/>
  <c r="W32" i="10" s="1"/>
  <c r="Q11" i="10"/>
  <c r="V11" i="10" s="1"/>
  <c r="R36" i="10"/>
  <c r="W36" i="10" s="1"/>
  <c r="R18" i="10"/>
  <c r="W18" i="10" s="1"/>
  <c r="Q24" i="10"/>
  <c r="V24" i="10" s="1"/>
  <c r="Q28" i="10"/>
  <c r="V28" i="10" s="1"/>
  <c r="Q31" i="10"/>
  <c r="V31" i="10" s="1"/>
  <c r="Q29" i="10"/>
  <c r="V29" i="10" s="1"/>
  <c r="R11" i="10"/>
  <c r="W11" i="10" s="1"/>
  <c r="R26" i="10"/>
  <c r="W26" i="10" s="1"/>
  <c r="R39" i="10"/>
  <c r="W39" i="10" s="1"/>
  <c r="Q22" i="10"/>
  <c r="V22" i="10" s="1"/>
  <c r="R35" i="10"/>
  <c r="W35" i="10" s="1"/>
  <c r="R27" i="10"/>
  <c r="W27" i="10" s="1"/>
  <c r="R21" i="10"/>
  <c r="W21" i="10" s="1"/>
  <c r="Q38" i="10"/>
  <c r="V38" i="10" s="1"/>
  <c r="R19" i="10"/>
  <c r="W19" i="10" s="1"/>
  <c r="R37" i="10"/>
  <c r="W37" i="10" s="1"/>
  <c r="R17" i="10"/>
  <c r="W17" i="10" s="1"/>
  <c r="Q21" i="10"/>
  <c r="V21" i="10" s="1"/>
  <c r="Q32" i="10"/>
  <c r="V32" i="10" s="1"/>
  <c r="AD29" i="11"/>
  <c r="R40" i="11"/>
  <c r="W40" i="11" s="1"/>
  <c r="Q40" i="11"/>
  <c r="V40" i="11" s="1"/>
  <c r="Q39" i="11"/>
  <c r="V39" i="11" s="1"/>
  <c r="Q36" i="11"/>
  <c r="V36" i="11" s="1"/>
  <c r="Q17" i="11"/>
  <c r="V17" i="11" s="1"/>
  <c r="R36" i="11"/>
  <c r="W36" i="11" s="1"/>
  <c r="AD34" i="11"/>
  <c r="AE36" i="11"/>
  <c r="AE20" i="11"/>
  <c r="AD31" i="11"/>
  <c r="R45" i="11"/>
  <c r="W45" i="11" s="1"/>
  <c r="AE17" i="11"/>
  <c r="Q30" i="11"/>
  <c r="V30" i="11" s="1"/>
  <c r="Q24" i="11"/>
  <c r="V24" i="11" s="1"/>
  <c r="AE33" i="11"/>
  <c r="Q35" i="11"/>
  <c r="V35" i="11" s="1"/>
  <c r="Q38" i="11"/>
  <c r="V38" i="11" s="1"/>
  <c r="AE12" i="11"/>
  <c r="AD30" i="11"/>
  <c r="R23" i="11"/>
  <c r="W23" i="11" s="1"/>
  <c r="AE18" i="11"/>
  <c r="AD38" i="11"/>
  <c r="Q13" i="11"/>
  <c r="V13" i="11" s="1"/>
  <c r="Q22" i="11"/>
  <c r="V22" i="11" s="1"/>
  <c r="R16" i="11"/>
  <c r="W16" i="11" s="1"/>
  <c r="AE34" i="11"/>
  <c r="R22" i="11"/>
  <c r="W22" i="11" s="1"/>
  <c r="R31" i="11"/>
  <c r="W31" i="11" s="1"/>
  <c r="R20" i="11"/>
  <c r="W20" i="11" s="1"/>
  <c r="AE19" i="11"/>
  <c r="AD28" i="11"/>
  <c r="R33" i="11"/>
  <c r="W33" i="11" s="1"/>
  <c r="Q32" i="11"/>
  <c r="V32" i="11" s="1"/>
  <c r="Q29" i="11"/>
  <c r="V29" i="11" s="1"/>
  <c r="R24" i="11"/>
  <c r="W24" i="11" s="1"/>
  <c r="AD26" i="11"/>
  <c r="AD15" i="11"/>
  <c r="AD13" i="11"/>
  <c r="AD23" i="11"/>
  <c r="AE13" i="11"/>
  <c r="AE32" i="11"/>
  <c r="Q31" i="11"/>
  <c r="V31" i="11" s="1"/>
  <c r="R26" i="11"/>
  <c r="W26" i="11" s="1"/>
  <c r="R17" i="11"/>
  <c r="W17" i="11" s="1"/>
  <c r="AD22" i="11"/>
  <c r="AE27" i="11"/>
  <c r="AE14" i="11"/>
  <c r="AE31" i="11"/>
  <c r="R11" i="11"/>
  <c r="W11" i="11" s="1"/>
  <c r="R21" i="11"/>
  <c r="W21" i="11" s="1"/>
  <c r="Q18" i="11"/>
  <c r="V18" i="11" s="1"/>
  <c r="AE22" i="11"/>
  <c r="AE16" i="11"/>
  <c r="AD18" i="11"/>
  <c r="AD32" i="11"/>
  <c r="Q23" i="11"/>
  <c r="V23" i="11" s="1"/>
  <c r="R27" i="11"/>
  <c r="W27" i="11" s="1"/>
  <c r="AD21" i="11"/>
  <c r="AD27" i="11"/>
  <c r="AD16" i="11"/>
  <c r="AE29" i="11"/>
  <c r="AD37" i="11"/>
  <c r="Q34" i="11"/>
  <c r="V34" i="11" s="1"/>
  <c r="Q15" i="11"/>
  <c r="V15" i="11" s="1"/>
  <c r="AE26" i="11"/>
  <c r="AE28" i="11"/>
  <c r="AD33" i="11"/>
  <c r="AD39" i="11"/>
  <c r="Q21" i="11"/>
  <c r="V21" i="11" s="1"/>
  <c r="R19" i="11"/>
  <c r="W19" i="11" s="1"/>
  <c r="R25" i="11"/>
  <c r="W25" i="11" s="1"/>
  <c r="AE35" i="11"/>
  <c r="AD35" i="11"/>
  <c r="AE39" i="11"/>
  <c r="J18" i="2"/>
  <c r="Q20" i="11"/>
  <c r="V20" i="11" s="1"/>
  <c r="R30" i="11"/>
  <c r="W30" i="11" s="1"/>
  <c r="R18" i="11"/>
  <c r="W18" i="11" s="1"/>
  <c r="Q26" i="11"/>
  <c r="V26" i="11" s="1"/>
  <c r="R15" i="11"/>
  <c r="W15" i="11" s="1"/>
  <c r="R28" i="11"/>
  <c r="W28" i="11" s="1"/>
  <c r="AD20" i="11"/>
  <c r="AD24" i="11"/>
  <c r="AE25" i="11"/>
  <c r="AE15" i="11"/>
  <c r="AE21" i="11"/>
  <c r="AE23" i="11"/>
  <c r="AE38" i="11"/>
  <c r="Q33" i="11"/>
  <c r="V33" i="11" s="1"/>
  <c r="Q14" i="11"/>
  <c r="V14" i="11" s="1"/>
  <c r="AD14" i="11"/>
  <c r="AE24" i="11"/>
  <c r="R39" i="11"/>
  <c r="W39" i="11" s="1"/>
  <c r="Q27" i="11"/>
  <c r="V27" i="11" s="1"/>
  <c r="R12" i="11"/>
  <c r="W12" i="11" s="1"/>
  <c r="R37" i="11"/>
  <c r="W37" i="11" s="1"/>
  <c r="Q25" i="11"/>
  <c r="V25" i="11" s="1"/>
  <c r="R14" i="11"/>
  <c r="W14" i="11" s="1"/>
  <c r="R38" i="11"/>
  <c r="W38" i="11" s="1"/>
  <c r="R34" i="11"/>
  <c r="W34" i="11" s="1"/>
  <c r="Q28" i="11"/>
  <c r="V28" i="11" s="1"/>
  <c r="AD25" i="11"/>
  <c r="AE30" i="11"/>
  <c r="AD36" i="11"/>
  <c r="AE37" i="11"/>
  <c r="Q37" i="11"/>
  <c r="V37" i="11" s="1"/>
  <c r="R13" i="11"/>
  <c r="W13" i="11" s="1"/>
  <c r="Q19" i="11"/>
  <c r="V19" i="11" s="1"/>
  <c r="R29" i="11"/>
  <c r="W29" i="11" s="1"/>
  <c r="R35" i="11"/>
  <c r="W35" i="11" s="1"/>
  <c r="Q16" i="11"/>
  <c r="V16" i="11" s="1"/>
  <c r="R32" i="11"/>
  <c r="W32" i="11" s="1"/>
  <c r="AD17" i="11"/>
  <c r="AD19" i="11"/>
  <c r="AD12" i="11"/>
  <c r="X28" i="30" l="1"/>
  <c r="X26" i="30"/>
  <c r="Q50" i="10"/>
  <c r="K15" i="2"/>
  <c r="Q15" i="2" s="1"/>
  <c r="R50" i="10"/>
  <c r="K18" i="2"/>
  <c r="K25" i="2" l="1"/>
  <c r="J15" i="2"/>
  <c r="J25" i="2" l="1"/>
  <c r="P15" i="2"/>
  <c r="S11" i="10"/>
  <c r="T11" i="10" s="1"/>
  <c r="S27" i="10" l="1"/>
  <c r="S22" i="10"/>
  <c r="T22" i="10" s="1"/>
  <c r="S30" i="10"/>
  <c r="T30" i="10" s="1"/>
  <c r="S38" i="10"/>
  <c r="T38" i="10" s="1"/>
  <c r="S29" i="10"/>
  <c r="S37" i="10"/>
  <c r="T37" i="10" s="1"/>
  <c r="S14" i="10"/>
  <c r="T14" i="10" s="1"/>
  <c r="S21" i="10"/>
  <c r="T21" i="10" s="1"/>
  <c r="S16" i="10"/>
  <c r="T16" i="10" s="1"/>
  <c r="S35" i="10"/>
  <c r="T35" i="10" s="1"/>
  <c r="S15" i="10"/>
  <c r="T15" i="10" s="1"/>
  <c r="S12" i="10"/>
  <c r="T12" i="10" s="1"/>
  <c r="S19" i="10"/>
  <c r="S25" i="10"/>
  <c r="T25" i="10" s="1"/>
  <c r="S28" i="10"/>
  <c r="S31" i="10"/>
  <c r="S36" i="10"/>
  <c r="T36" i="10" s="1"/>
  <c r="S34" i="10"/>
  <c r="T34" i="10" s="1"/>
  <c r="S39" i="10"/>
  <c r="T39" i="10" s="1"/>
  <c r="S13" i="10"/>
  <c r="S18" i="10"/>
  <c r="T18" i="10" s="1"/>
  <c r="S32" i="10"/>
  <c r="S26" i="10"/>
  <c r="T26" i="10" s="1"/>
  <c r="S24" i="10"/>
  <c r="T24" i="10" s="1"/>
  <c r="S17" i="10"/>
  <c r="T17" i="10" s="1"/>
  <c r="S33" i="10"/>
  <c r="T33" i="10" s="1"/>
  <c r="S20" i="10"/>
  <c r="T20" i="10" s="1"/>
  <c r="S23" i="10"/>
  <c r="T23" i="10" s="1"/>
  <c r="T28" i="10" l="1"/>
  <c r="T32" i="10"/>
  <c r="T27" i="10"/>
  <c r="T13" i="10"/>
  <c r="T31" i="10"/>
  <c r="T29" i="10"/>
  <c r="T19" i="10"/>
  <c r="T48" i="10" l="1"/>
  <c r="N15" i="2" s="1"/>
  <c r="N7" i="6" l="1"/>
  <c r="P7" i="6"/>
  <c r="T7" i="6"/>
  <c r="L7" i="6"/>
  <c r="U7" i="6"/>
  <c r="U45" i="6" s="1"/>
  <c r="Q7" i="6"/>
  <c r="R7" i="6"/>
  <c r="O7" i="6"/>
  <c r="I7" i="6"/>
  <c r="M7" i="6"/>
  <c r="S7" i="6"/>
  <c r="H7" i="6"/>
  <c r="D7" i="6"/>
  <c r="K7" i="6"/>
  <c r="G7" i="6"/>
  <c r="J7" i="6"/>
  <c r="F7" i="6"/>
  <c r="C7" i="6"/>
  <c r="E7" i="6"/>
  <c r="E8" i="7" l="1"/>
  <c r="D6" i="31"/>
  <c r="D44" i="31" s="1"/>
  <c r="S45" i="6"/>
  <c r="R6" i="31"/>
  <c r="R44" i="31" s="1"/>
  <c r="F7" i="7"/>
  <c r="F49" i="7" s="1"/>
  <c r="E6" i="31"/>
  <c r="E44" i="31" s="1"/>
  <c r="D8" i="7"/>
  <c r="D49" i="7" s="1"/>
  <c r="C6" i="31"/>
  <c r="C44" i="31" s="1"/>
  <c r="I45" i="6"/>
  <c r="I6" i="7"/>
  <c r="I49" i="7" s="1"/>
  <c r="H6" i="31"/>
  <c r="H44" i="31" s="1"/>
  <c r="J45" i="6"/>
  <c r="J6" i="7"/>
  <c r="J8" i="8" s="1"/>
  <c r="J49" i="8" s="1"/>
  <c r="I6" i="31"/>
  <c r="I44" i="31" s="1"/>
  <c r="H7" i="7"/>
  <c r="G9" i="8" s="1"/>
  <c r="G49" i="8" s="1"/>
  <c r="G6" i="31"/>
  <c r="G44" i="31" s="1"/>
  <c r="O45" i="6"/>
  <c r="N6" i="31"/>
  <c r="N44" i="31" s="1"/>
  <c r="L45" i="6"/>
  <c r="K6" i="31"/>
  <c r="K44" i="31" s="1"/>
  <c r="G45" i="6"/>
  <c r="G7" i="7"/>
  <c r="F6" i="31"/>
  <c r="F44" i="31" s="1"/>
  <c r="R45" i="6"/>
  <c r="Q6" i="31"/>
  <c r="Q44" i="31" s="1"/>
  <c r="T45" i="6"/>
  <c r="S6" i="31"/>
  <c r="S44" i="31" s="1"/>
  <c r="C9" i="7"/>
  <c r="C49" i="7" s="1"/>
  <c r="B6" i="31"/>
  <c r="K45" i="6"/>
  <c r="K6" i="7"/>
  <c r="J6" i="31"/>
  <c r="J44" i="31" s="1"/>
  <c r="M45" i="6"/>
  <c r="L6" i="31"/>
  <c r="L44" i="31" s="1"/>
  <c r="Q45" i="6"/>
  <c r="P6" i="31"/>
  <c r="P44" i="31" s="1"/>
  <c r="P45" i="6"/>
  <c r="O6" i="31"/>
  <c r="O44" i="31" s="1"/>
  <c r="N45" i="6"/>
  <c r="M6" i="31"/>
  <c r="M44" i="31" s="1"/>
  <c r="J49" i="7"/>
  <c r="K49" i="7"/>
  <c r="F45" i="6"/>
  <c r="H53" i="7"/>
  <c r="E9" i="8"/>
  <c r="F53" i="7"/>
  <c r="D45" i="6"/>
  <c r="E49" i="7"/>
  <c r="E45" i="6"/>
  <c r="H45" i="6"/>
  <c r="J53" i="7"/>
  <c r="K8" i="8"/>
  <c r="K49" i="8" s="1"/>
  <c r="K53" i="7"/>
  <c r="G8" i="9"/>
  <c r="H8" i="9" s="1"/>
  <c r="C11" i="11" s="1"/>
  <c r="I53" i="7"/>
  <c r="G51" i="11" a="1"/>
  <c r="U9" i="7" l="1"/>
  <c r="AA9" i="7" s="1"/>
  <c r="H49" i="7"/>
  <c r="U7" i="7"/>
  <c r="F9" i="8"/>
  <c r="I8" i="8"/>
  <c r="I49" i="8" s="1"/>
  <c r="T6" i="31"/>
  <c r="B44" i="31"/>
  <c r="T44" i="31" s="1"/>
  <c r="E13" i="2"/>
  <c r="G49" i="7"/>
  <c r="H52" i="11"/>
  <c r="K53" i="11"/>
  <c r="I55" i="11"/>
  <c r="G57" i="11"/>
  <c r="J58" i="11"/>
  <c r="I52" i="11"/>
  <c r="G54" i="11"/>
  <c r="J55" i="11"/>
  <c r="H57" i="11"/>
  <c r="K58" i="11"/>
  <c r="K51" i="11"/>
  <c r="I53" i="11"/>
  <c r="G55" i="11"/>
  <c r="J56" i="11"/>
  <c r="H58" i="11"/>
  <c r="G52" i="11"/>
  <c r="J53" i="11"/>
  <c r="H55" i="11"/>
  <c r="K56" i="11"/>
  <c r="I58" i="11"/>
  <c r="I51" i="11"/>
  <c r="G53" i="11"/>
  <c r="J54" i="11"/>
  <c r="H56" i="11"/>
  <c r="K57" i="11"/>
  <c r="J51" i="11"/>
  <c r="H53" i="11"/>
  <c r="K54" i="11"/>
  <c r="I56" i="11"/>
  <c r="G58" i="11"/>
  <c r="G51" i="11"/>
  <c r="J52" i="11"/>
  <c r="H54" i="11"/>
  <c r="K55" i="11"/>
  <c r="I57" i="11"/>
  <c r="H51" i="11"/>
  <c r="K52" i="11"/>
  <c r="I54" i="11"/>
  <c r="G56" i="11"/>
  <c r="J57" i="11"/>
  <c r="G53" i="7"/>
  <c r="C9" i="9"/>
  <c r="D9" i="9" s="1"/>
  <c r="E9" i="9" s="1"/>
  <c r="U6" i="7"/>
  <c r="I8" i="9"/>
  <c r="C10" i="8"/>
  <c r="J50" i="7"/>
  <c r="E53" i="7"/>
  <c r="E16" i="2"/>
  <c r="E15" i="2"/>
  <c r="F15" i="2" s="1"/>
  <c r="D53" i="7"/>
  <c r="U8" i="7"/>
  <c r="B10" i="8"/>
  <c r="E49" i="8"/>
  <c r="L8" i="8" l="1"/>
  <c r="L49" i="8" s="1"/>
  <c r="G13" i="2"/>
  <c r="Q13" i="2" s="1"/>
  <c r="H9" i="8"/>
  <c r="H49" i="8" s="1"/>
  <c r="F13" i="2"/>
  <c r="P13" i="2" s="1"/>
  <c r="D50" i="7"/>
  <c r="E50" i="7"/>
  <c r="G16" i="2"/>
  <c r="Q16" i="2" s="1"/>
  <c r="F16" i="2"/>
  <c r="P16" i="2" s="1"/>
  <c r="Z11" i="11"/>
  <c r="AA11" i="11"/>
  <c r="G15" i="2"/>
  <c r="D10" i="8"/>
  <c r="D49" i="8" s="1"/>
  <c r="E11" i="2"/>
  <c r="E25" i="2" s="1"/>
  <c r="I27" i="2" l="1"/>
  <c r="H33" i="2" s="1"/>
  <c r="F11" i="2"/>
  <c r="F25" i="2" s="1"/>
  <c r="AD11" i="11"/>
  <c r="AE11" i="11"/>
  <c r="G11" i="2"/>
  <c r="S50" i="7"/>
  <c r="T50" i="7"/>
  <c r="N50" i="7"/>
  <c r="C19" i="2" s="1"/>
  <c r="L50" i="7"/>
  <c r="Q50" i="7"/>
  <c r="C22" i="2" s="1"/>
  <c r="R50" i="7"/>
  <c r="M50" i="7"/>
  <c r="C18" i="2" s="1"/>
  <c r="P50" i="7"/>
  <c r="C21" i="2" s="1"/>
  <c r="O50" i="7"/>
  <c r="C13" i="2"/>
  <c r="K50" i="7"/>
  <c r="C16" i="2" s="1"/>
  <c r="C15" i="2"/>
  <c r="I50" i="7"/>
  <c r="H50" i="7"/>
  <c r="F50" i="7"/>
  <c r="V49" i="8"/>
  <c r="D50" i="8" s="1"/>
  <c r="Q11" i="2" l="1"/>
  <c r="G25" i="2"/>
  <c r="P11" i="2"/>
  <c r="P27" i="2" s="1"/>
  <c r="J27" i="2" s="1"/>
  <c r="I33" i="2" s="1"/>
  <c r="H37" i="2"/>
  <c r="M50" i="8"/>
  <c r="O50" i="8"/>
  <c r="Q50" i="8"/>
  <c r="S50" i="8"/>
  <c r="T50" i="8"/>
  <c r="N50" i="8"/>
  <c r="U50" i="8"/>
  <c r="R50" i="8"/>
  <c r="P50" i="8"/>
  <c r="V50" i="8"/>
  <c r="J50" i="8"/>
  <c r="G50" i="8"/>
  <c r="K50" i="8"/>
  <c r="F50" i="8"/>
  <c r="I50" i="8"/>
  <c r="C50" i="8"/>
  <c r="L50" i="8"/>
  <c r="E50" i="8"/>
  <c r="H50" i="8"/>
  <c r="Q27" i="2" l="1"/>
  <c r="K27" i="2" s="1"/>
  <c r="J33" i="2" s="1"/>
  <c r="J37" i="2" s="1"/>
  <c r="H38" i="2"/>
  <c r="H41" i="2"/>
  <c r="H42" i="2"/>
  <c r="I37" i="2"/>
  <c r="J38" i="2" l="1"/>
  <c r="J42" i="2"/>
  <c r="J41" i="2"/>
  <c r="I38" i="2"/>
  <c r="I42" i="2"/>
  <c r="I41" i="2"/>
</calcChain>
</file>

<file path=xl/comments1.xml><?xml version="1.0" encoding="utf-8"?>
<comments xmlns="http://schemas.openxmlformats.org/spreadsheetml/2006/main">
  <authors>
    <author>Steve Moffitt</author>
    <author>Moffitt, Steve D (DFG)</author>
    <author>Richard Merizon</author>
    <author>rebrenner</author>
  </authors>
  <commentList>
    <comment ref="F7" authorId="0">
      <text>
        <r>
          <rPr>
            <b/>
            <sz val="8"/>
            <color indexed="81"/>
            <rFont val="Tahoma"/>
            <family val="2"/>
          </rPr>
          <t>Steve Moffitt:</t>
        </r>
        <r>
          <rPr>
            <sz val="8"/>
            <color indexed="81"/>
            <rFont val="Tahoma"/>
            <family val="2"/>
          </rPr>
          <t xml:space="preserve">
</t>
        </r>
        <r>
          <rPr>
            <sz val="12"/>
            <color indexed="81"/>
            <rFont val="Tahoma"/>
            <family val="2"/>
          </rPr>
          <t>Data from Mark Sommerville database and AMRs. Includes both state and federal subsistence harvests.</t>
        </r>
      </text>
    </comment>
    <comment ref="G7" authorId="1">
      <text>
        <r>
          <rPr>
            <b/>
            <sz val="8"/>
            <color indexed="81"/>
            <rFont val="Tahoma"/>
            <family val="2"/>
          </rPr>
          <t>Moffitt, Steve D (DFG):</t>
        </r>
        <r>
          <rPr>
            <sz val="8"/>
            <color indexed="81"/>
            <rFont val="Tahoma"/>
            <family val="2"/>
          </rPr>
          <t xml:space="preserve">
Data from Commercial harvest reports.</t>
        </r>
      </text>
    </comment>
    <comment ref="H7" authorId="0">
      <text>
        <r>
          <rPr>
            <b/>
            <sz val="8"/>
            <color indexed="81"/>
            <rFont val="Tahoma"/>
            <family val="2"/>
          </rPr>
          <t>Steve Moffitt:</t>
        </r>
        <r>
          <rPr>
            <sz val="8"/>
            <color indexed="81"/>
            <rFont val="Tahoma"/>
            <family val="2"/>
          </rPr>
          <t xml:space="preserve">
</t>
        </r>
        <r>
          <rPr>
            <sz val="12"/>
            <color indexed="81"/>
            <rFont val="Tahoma"/>
            <family val="2"/>
          </rPr>
          <t>Confiscated, donated, discarded.
Data from Commercial harvest reports.</t>
        </r>
      </text>
    </comment>
    <comment ref="J7" authorId="2">
      <text>
        <r>
          <rPr>
            <sz val="11"/>
            <color indexed="81"/>
            <rFont val="Tahoma"/>
            <family val="2"/>
          </rPr>
          <t xml:space="preserve">Data in black font from Mark Sommerville in 2011. Data expanded to reflect unreported state harvest and include reported federal harvest (2002-2004) and expanded federal harvest beginning in 2005. Data in red need to be source checked. </t>
        </r>
      </text>
    </comment>
    <comment ref="N7" authorId="2">
      <text>
        <r>
          <rPr>
            <sz val="12"/>
            <color indexed="81"/>
            <rFont val="Tahoma"/>
            <family val="2"/>
          </rPr>
          <t xml:space="preserve">Data from Mark Sommerville in 2011. Except numbers in red font that need to be source checked. </t>
        </r>
      </text>
    </comment>
    <comment ref="B8" authorId="3">
      <text>
        <r>
          <rPr>
            <b/>
            <sz val="9"/>
            <color indexed="81"/>
            <rFont val="Tahoma"/>
            <family val="2"/>
          </rPr>
          <t>rebrenner:</t>
        </r>
        <r>
          <rPr>
            <sz val="9"/>
            <color indexed="81"/>
            <rFont val="Tahoma"/>
            <family val="2"/>
          </rPr>
          <t xml:space="preserve">
SEE column T for the source.</t>
        </r>
      </text>
    </comment>
    <comment ref="J78" authorId="1">
      <text>
        <r>
          <rPr>
            <b/>
            <sz val="8"/>
            <color indexed="81"/>
            <rFont val="Tahoma"/>
            <family val="2"/>
          </rPr>
          <t>Moffitt, Steve D (DFG):</t>
        </r>
        <r>
          <rPr>
            <sz val="8"/>
            <color indexed="81"/>
            <rFont val="Tahoma"/>
            <family val="2"/>
          </rPr>
          <t xml:space="preserve">
From Mark Sommerville Database, December 2011.  
</t>
        </r>
        <r>
          <rPr>
            <b/>
            <sz val="8"/>
            <color indexed="81"/>
            <rFont val="Tahoma"/>
            <family val="2"/>
          </rPr>
          <t>The 1960-1983 Chinook harvests are reported only (not expanded).</t>
        </r>
      </text>
    </comment>
    <comment ref="L78" authorId="1">
      <text>
        <r>
          <rPr>
            <b/>
            <sz val="8"/>
            <color indexed="81"/>
            <rFont val="Tahoma"/>
            <family val="2"/>
          </rPr>
          <t>Moffitt, Steve D (DFG):</t>
        </r>
        <r>
          <rPr>
            <sz val="8"/>
            <color indexed="81"/>
            <rFont val="Tahoma"/>
            <family val="2"/>
          </rPr>
          <t xml:space="preserve">
From Mark Sommerville Database, December 2011.  
</t>
        </r>
        <r>
          <rPr>
            <b/>
            <sz val="8"/>
            <color indexed="81"/>
            <rFont val="Tahoma"/>
            <family val="2"/>
          </rPr>
          <t>The 1960-1983 Chinook harvests are reported only (not expanded).</t>
        </r>
      </text>
    </comment>
    <comment ref="L95" authorId="1">
      <text>
        <r>
          <rPr>
            <b/>
            <sz val="8"/>
            <color indexed="81"/>
            <rFont val="Tahoma"/>
            <family val="2"/>
          </rPr>
          <t>Moffitt, Steve D (DFG):</t>
        </r>
        <r>
          <rPr>
            <sz val="8"/>
            <color indexed="81"/>
            <rFont val="Tahoma"/>
            <family val="2"/>
          </rPr>
          <t xml:space="preserve">
From Mark Sommerville database, 2011. 
</t>
        </r>
        <r>
          <rPr>
            <b/>
            <sz val="8"/>
            <color indexed="81"/>
            <rFont val="Tahoma"/>
            <family val="2"/>
          </rPr>
          <t>Expanded harvest 1976-present.</t>
        </r>
      </text>
    </comment>
    <comment ref="N95" authorId="1">
      <text>
        <r>
          <rPr>
            <b/>
            <sz val="8"/>
            <color indexed="81"/>
            <rFont val="Tahoma"/>
            <family val="2"/>
          </rPr>
          <t>Moffitt, Steve D (DFG):</t>
        </r>
        <r>
          <rPr>
            <sz val="8"/>
            <color indexed="81"/>
            <rFont val="Tahoma"/>
            <family val="2"/>
          </rPr>
          <t xml:space="preserve">
From Mark Sommerville database, 2011.</t>
        </r>
      </text>
    </comment>
    <comment ref="J102" authorId="1">
      <text>
        <r>
          <rPr>
            <b/>
            <sz val="8"/>
            <color indexed="81"/>
            <rFont val="Tahoma"/>
            <family val="2"/>
          </rPr>
          <t>Moffitt, Steve D (DFG):</t>
        </r>
        <r>
          <rPr>
            <sz val="8"/>
            <color indexed="81"/>
            <rFont val="Tahoma"/>
            <family val="2"/>
          </rPr>
          <t xml:space="preserve">
From Mark Sommerville database, 2011. 
</t>
        </r>
        <r>
          <rPr>
            <b/>
            <sz val="8"/>
            <color indexed="81"/>
            <rFont val="Tahoma"/>
            <family val="2"/>
          </rPr>
          <t>Expanded harvest 1984-present.</t>
        </r>
      </text>
    </comment>
    <comment ref="K120" authorId="1">
      <text>
        <r>
          <rPr>
            <b/>
            <sz val="8"/>
            <color indexed="81"/>
            <rFont val="Tahoma"/>
            <family val="2"/>
          </rPr>
          <t>Moffitt, Steve D (DFG):</t>
        </r>
        <r>
          <rPr>
            <sz val="8"/>
            <color indexed="81"/>
            <rFont val="Tahoma"/>
            <family val="2"/>
          </rPr>
          <t xml:space="preserve">
Per Mark Sommerville database December 2011.  
2002-2004 are reported only.
2005-2009 are expanded.</t>
        </r>
      </text>
    </comment>
    <comment ref="M120" authorId="1">
      <text>
        <r>
          <rPr>
            <b/>
            <sz val="8"/>
            <color indexed="81"/>
            <rFont val="Tahoma"/>
            <family val="2"/>
          </rPr>
          <t>Moffitt, Steve D (DFG):</t>
        </r>
        <r>
          <rPr>
            <sz val="8"/>
            <color indexed="81"/>
            <rFont val="Tahoma"/>
            <family val="2"/>
          </rPr>
          <t xml:space="preserve">
Per Mark Sommerville database December 2011.  
2002-2004 are reported only.
2005-2009 are expanded.</t>
        </r>
      </text>
    </comment>
    <comment ref="K123" authorId="1">
      <text>
        <r>
          <rPr>
            <b/>
            <sz val="8"/>
            <color indexed="81"/>
            <rFont val="Tahoma"/>
            <family val="2"/>
          </rPr>
          <t>Moffitt, Steve D (DFG):</t>
        </r>
        <r>
          <rPr>
            <sz val="8"/>
            <color indexed="81"/>
            <rFont val="Tahoma"/>
            <family val="2"/>
          </rPr>
          <t xml:space="preserve">
Per Mark Sommerville database December 2011.  
2002-2004 are reported only.
2005-2009 are expanded.</t>
        </r>
      </text>
    </comment>
    <comment ref="M123" authorId="1">
      <text>
        <r>
          <rPr>
            <b/>
            <sz val="8"/>
            <color indexed="81"/>
            <rFont val="Tahoma"/>
            <family val="2"/>
          </rPr>
          <t>Moffitt, Steve D (DFG):</t>
        </r>
        <r>
          <rPr>
            <sz val="8"/>
            <color indexed="81"/>
            <rFont val="Tahoma"/>
            <family val="2"/>
          </rPr>
          <t xml:space="preserve">
Per Mark Sommerville database December 2011.  
2002-2004 are reported only.
2005-2009 are expanded.</t>
        </r>
      </text>
    </comment>
    <comment ref="B127" authorId="3">
      <text>
        <r>
          <rPr>
            <b/>
            <sz val="9"/>
            <color indexed="81"/>
            <rFont val="Tahoma"/>
            <family val="2"/>
          </rPr>
          <t>rebrenner:</t>
        </r>
        <r>
          <rPr>
            <sz val="9"/>
            <color indexed="81"/>
            <rFont val="Tahoma"/>
            <family val="2"/>
          </rPr>
          <t xml:space="preserve">
From 2009 AMR</t>
        </r>
      </text>
    </comment>
    <comment ref="E127" authorId="3">
      <text>
        <r>
          <rPr>
            <b/>
            <sz val="9"/>
            <color indexed="81"/>
            <rFont val="Tahoma"/>
            <family val="2"/>
          </rPr>
          <t>rebrenner:</t>
        </r>
        <r>
          <rPr>
            <sz val="9"/>
            <color indexed="81"/>
            <rFont val="Tahoma"/>
            <family val="2"/>
          </rPr>
          <t xml:space="preserve">
From 2009 AMR</t>
        </r>
      </text>
    </comment>
    <comment ref="F127" authorId="3">
      <text>
        <r>
          <rPr>
            <b/>
            <sz val="9"/>
            <color indexed="81"/>
            <rFont val="Tahoma"/>
            <family val="2"/>
          </rPr>
          <t>rebrenner:</t>
        </r>
        <r>
          <rPr>
            <sz val="9"/>
            <color indexed="81"/>
            <rFont val="Tahoma"/>
            <family val="2"/>
          </rPr>
          <t xml:space="preserve">
From 2009 AMR</t>
        </r>
      </text>
    </comment>
    <comment ref="G127" authorId="3">
      <text>
        <r>
          <rPr>
            <b/>
            <sz val="9"/>
            <color indexed="81"/>
            <rFont val="Tahoma"/>
            <family val="2"/>
          </rPr>
          <t>rebrenner:</t>
        </r>
        <r>
          <rPr>
            <sz val="9"/>
            <color indexed="81"/>
            <rFont val="Tahoma"/>
            <family val="2"/>
          </rPr>
          <t xml:space="preserve">
From 2009 AMR</t>
        </r>
      </text>
    </comment>
    <comment ref="F128" authorId="3">
      <text>
        <r>
          <rPr>
            <b/>
            <sz val="9"/>
            <color indexed="81"/>
            <rFont val="Tahoma"/>
            <family val="2"/>
          </rPr>
          <t>rebrenner:</t>
        </r>
        <r>
          <rPr>
            <sz val="9"/>
            <color indexed="81"/>
            <rFont val="Tahoma"/>
            <family val="2"/>
          </rPr>
          <t xml:space="preserve">
Given to r. brenner by Lisa Laird on 15 December 2011:
2010 totals:
278 Chinook
2010 sockeye</t>
        </r>
      </text>
    </comment>
    <comment ref="G128" authorId="3">
      <text>
        <r>
          <rPr>
            <b/>
            <sz val="9"/>
            <color indexed="81"/>
            <rFont val="Tahoma"/>
            <family val="2"/>
          </rPr>
          <t>rebrenner:</t>
        </r>
        <r>
          <rPr>
            <sz val="9"/>
            <color indexed="81"/>
            <rFont val="Tahoma"/>
            <family val="2"/>
          </rPr>
          <t xml:space="preserve">
Possibly correct??
From Mark Somerville's master document:
UCUSMA Fishery Summary 1960-present_20Dec2010.xls</t>
        </r>
      </text>
    </comment>
    <comment ref="J128" authorId="3">
      <text>
        <r>
          <rPr>
            <b/>
            <sz val="9"/>
            <color indexed="81"/>
            <rFont val="Tahoma"/>
            <family val="2"/>
          </rPr>
          <t>rebrenner:</t>
        </r>
        <r>
          <rPr>
            <sz val="9"/>
            <color indexed="81"/>
            <rFont val="Tahoma"/>
            <family val="2"/>
          </rPr>
          <t xml:space="preserve">
EXPANDED HARVEST. 
From here: 
O:\DCF\Salmon\CBRSalmon\CATCH\UCR PU_SU Harvests\2010\2010 State CHITNA FINALS.XLS</t>
        </r>
      </text>
    </comment>
    <comment ref="K128" authorId="3">
      <text>
        <r>
          <rPr>
            <b/>
            <sz val="9"/>
            <color indexed="81"/>
            <rFont val="Tahoma"/>
            <family val="2"/>
          </rPr>
          <t>rebrenner:</t>
        </r>
        <r>
          <rPr>
            <sz val="9"/>
            <color indexed="81"/>
            <rFont val="Tahoma"/>
            <family val="2"/>
          </rPr>
          <t xml:space="preserve">
M. Somerville gave to J. Botz on 28 Sept. 2011 in preparation for the BOF.</t>
        </r>
      </text>
    </comment>
    <comment ref="L128" authorId="3">
      <text>
        <r>
          <rPr>
            <b/>
            <sz val="9"/>
            <color indexed="81"/>
            <rFont val="Tahoma"/>
            <family val="2"/>
          </rPr>
          <t>rebrenner:</t>
        </r>
        <r>
          <rPr>
            <sz val="9"/>
            <color indexed="81"/>
            <rFont val="Tahoma"/>
            <family val="2"/>
          </rPr>
          <t xml:space="preserve">
I got this from here:
O:\DCF\Salmon\CBRSalmon\CATCH\UCR PU_SU Harvests\2010
According to M. Somerville, this is the FINAL for 2010.
</t>
        </r>
      </text>
    </comment>
    <comment ref="M128" authorId="3">
      <text>
        <r>
          <rPr>
            <b/>
            <sz val="9"/>
            <color indexed="81"/>
            <rFont val="Tahoma"/>
            <family val="2"/>
          </rPr>
          <t>rebrenner:</t>
        </r>
        <r>
          <rPr>
            <sz val="9"/>
            <color indexed="81"/>
            <rFont val="Tahoma"/>
            <family val="2"/>
          </rPr>
          <t xml:space="preserve">
M. Somerville gave to J. Botz on 28 Sept. 2011 in preparation for the BOF.</t>
        </r>
      </text>
    </comment>
    <comment ref="N128" authorId="1">
      <text>
        <r>
          <rPr>
            <b/>
            <sz val="8"/>
            <color indexed="81"/>
            <rFont val="Tahoma"/>
            <family val="2"/>
          </rPr>
          <t>Moffitt, Steve D (DFG):</t>
        </r>
        <r>
          <rPr>
            <sz val="8"/>
            <color indexed="81"/>
            <rFont val="Tahoma"/>
            <family val="2"/>
          </rPr>
          <t xml:space="preserve">
Final from Mark Sommerville on 9-1-2011.  From here:
O:\DCF\Salmon\CBRSalmon\CATCH\SPORT</t>
        </r>
      </text>
    </comment>
    <comment ref="B129" authorId="3">
      <text>
        <r>
          <rPr>
            <b/>
            <sz val="9"/>
            <color indexed="81"/>
            <rFont val="Tahoma"/>
            <family val="2"/>
          </rPr>
          <t>rebrenner:</t>
        </r>
        <r>
          <rPr>
            <sz val="9"/>
            <color indexed="81"/>
            <rFont val="Tahoma"/>
            <family val="2"/>
          </rPr>
          <t xml:space="preserve">
From 2011 Catch Report</t>
        </r>
      </text>
    </comment>
    <comment ref="E129" authorId="3">
      <text>
        <r>
          <rPr>
            <b/>
            <sz val="9"/>
            <color indexed="81"/>
            <rFont val="Tahoma"/>
            <family val="2"/>
          </rPr>
          <t>rebrenner:</t>
        </r>
        <r>
          <rPr>
            <sz val="9"/>
            <color indexed="81"/>
            <rFont val="Tahoma"/>
            <family val="2"/>
          </rPr>
          <t xml:space="preserve">
From 2011 Catch Report</t>
        </r>
      </text>
    </comment>
    <comment ref="F129" authorId="3">
      <text>
        <r>
          <rPr>
            <b/>
            <sz val="9"/>
            <color indexed="81"/>
            <rFont val="Tahoma"/>
            <family val="2"/>
          </rPr>
          <t>rebrenner:</t>
        </r>
        <r>
          <rPr>
            <sz val="9"/>
            <color indexed="81"/>
            <rFont val="Tahoma"/>
            <family val="2"/>
          </rPr>
          <t xml:space="preserve">
From:
O:\DCF\SALMON\CATCH\111_Research_Catch_Analysis\111_CBR\112_CRD_SUB\State</t>
        </r>
      </text>
    </comment>
    <comment ref="G129" authorId="3">
      <text>
        <r>
          <rPr>
            <b/>
            <sz val="9"/>
            <color indexed="81"/>
            <rFont val="Tahoma"/>
            <family val="2"/>
          </rPr>
          <t>Smoffitt:
Catch report May 2012</t>
        </r>
        <r>
          <rPr>
            <sz val="9"/>
            <color indexed="81"/>
            <rFont val="Tahoma"/>
            <family val="2"/>
          </rPr>
          <t xml:space="preserve">
</t>
        </r>
      </text>
    </comment>
    <comment ref="J129" authorId="3">
      <text>
        <r>
          <rPr>
            <b/>
            <sz val="9"/>
            <color indexed="81"/>
            <rFont val="Tahoma"/>
            <family val="2"/>
          </rPr>
          <t>rebrenner:</t>
        </r>
        <r>
          <rPr>
            <sz val="9"/>
            <color indexed="81"/>
            <rFont val="Tahoma"/>
            <family val="2"/>
          </rPr>
          <t xml:space="preserve">
From MAS on 4/17/2012. Located here: O:\DCF\SALMON\CATCH\111_Research_Catch_Analysis\111_CBR\113_UCR\UCR PU_SU Harvests\2011\Emails</t>
        </r>
      </text>
    </comment>
    <comment ref="K129" authorId="3">
      <text>
        <r>
          <rPr>
            <b/>
            <sz val="9"/>
            <color indexed="81"/>
            <rFont val="Tahoma"/>
            <family val="2"/>
          </rPr>
          <t>rebrenner:</t>
        </r>
        <r>
          <rPr>
            <sz val="9"/>
            <color indexed="81"/>
            <rFont val="Tahoma"/>
            <family val="2"/>
          </rPr>
          <t xml:space="preserve">
Final EXPANDED Harvest. From MAS 5/16/2012:
O:\DCF\SALMON\CATCH\111_Research_Catch_Analysis\111_CBR\113_UCR\UCR PU_SU Harvests\2011</t>
        </r>
      </text>
    </comment>
    <comment ref="L129" authorId="3">
      <text>
        <r>
          <rPr>
            <b/>
            <sz val="9"/>
            <color indexed="81"/>
            <rFont val="Tahoma"/>
            <family val="2"/>
          </rPr>
          <t>rebrenner:</t>
        </r>
        <r>
          <rPr>
            <sz val="9"/>
            <color indexed="81"/>
            <rFont val="Tahoma"/>
            <family val="2"/>
          </rPr>
          <t xml:space="preserve">
From here: O:\DCF\SALMON\CATCH\111_Research_Catch_Analysis\111_CBR\113_UCR\UCR PU_SU Harvests\2011\UCUSMA Fishery Summary 1960-present.xls</t>
        </r>
      </text>
    </comment>
    <comment ref="M129" authorId="3">
      <text>
        <r>
          <rPr>
            <b/>
            <sz val="9"/>
            <color indexed="81"/>
            <rFont val="Tahoma"/>
            <family val="2"/>
          </rPr>
          <t>rebrenner:</t>
        </r>
        <r>
          <rPr>
            <sz val="9"/>
            <color indexed="81"/>
            <rFont val="Tahoma"/>
            <family val="2"/>
          </rPr>
          <t xml:space="preserve">
From MAS on 5/17/2012. Located here: O:\DCF\SALMON\CATCH\111_Research_Catch_Analysis\111_CBR\113_UCR\UCR PU_SU Harvests\2011</t>
        </r>
      </text>
    </comment>
    <comment ref="N129" authorId="3">
      <text>
        <r>
          <rPr>
            <b/>
            <sz val="9"/>
            <color indexed="81"/>
            <rFont val="Tahoma"/>
            <family val="2"/>
          </rPr>
          <t>rebrenner:</t>
        </r>
        <r>
          <rPr>
            <sz val="9"/>
            <color indexed="81"/>
            <rFont val="Tahoma"/>
            <family val="2"/>
          </rPr>
          <t xml:space="preserve">
From area I sportfish harvest. Located here:
O:\DCF\SALMON\CATCH\111_Research_Catch_Analysis\111_CBR\114_SPORT</t>
        </r>
      </text>
    </comment>
    <comment ref="B130" authorId="3">
      <text>
        <r>
          <rPr>
            <b/>
            <sz val="9"/>
            <color indexed="81"/>
            <rFont val="Tahoma"/>
            <family val="2"/>
          </rPr>
          <t>rebrenner:</t>
        </r>
        <r>
          <rPr>
            <sz val="9"/>
            <color indexed="81"/>
            <rFont val="Tahoma"/>
            <family val="2"/>
          </rPr>
          <t xml:space="preserve">
From 2012 catch report.</t>
        </r>
      </text>
    </comment>
    <comment ref="E130" authorId="3">
      <text>
        <r>
          <rPr>
            <b/>
            <sz val="9"/>
            <color indexed="81"/>
            <rFont val="Tahoma"/>
            <family val="2"/>
          </rPr>
          <t>rebrenner:</t>
        </r>
        <r>
          <rPr>
            <sz val="9"/>
            <color indexed="81"/>
            <rFont val="Tahoma"/>
            <family val="2"/>
          </rPr>
          <t xml:space="preserve">
From preliminary catch report</t>
        </r>
      </text>
    </comment>
    <comment ref="F130" authorId="3">
      <text>
        <r>
          <rPr>
            <b/>
            <sz val="9"/>
            <color indexed="81"/>
            <rFont val="Tahoma"/>
            <family val="2"/>
          </rPr>
          <t>rebrenner:</t>
        </r>
        <r>
          <rPr>
            <sz val="9"/>
            <color indexed="81"/>
            <rFont val="Tahoma"/>
            <family val="2"/>
          </rPr>
          <t xml:space="preserve">
</t>
        </r>
        <r>
          <rPr>
            <sz val="14"/>
            <color indexed="81"/>
            <rFont val="Tahoma"/>
            <family val="2"/>
          </rPr>
          <t>From:
O:\DCF\SALMON\CATCH\111_Research_Catch_Analysis\111_CBR\112_CRD_SUB\State</t>
        </r>
      </text>
    </comment>
    <comment ref="G130" authorId="3">
      <text>
        <r>
          <rPr>
            <b/>
            <sz val="9"/>
            <color indexed="81"/>
            <rFont val="Tahoma"/>
            <family val="2"/>
          </rPr>
          <t>rebrenner:</t>
        </r>
        <r>
          <rPr>
            <sz val="9"/>
            <color indexed="81"/>
            <rFont val="Tahoma"/>
            <family val="2"/>
          </rPr>
          <t xml:space="preserve">
Preliminary Catch Report:  5 Chinook from NVE, 1 from Taititlek.</t>
        </r>
      </text>
    </comment>
    <comment ref="J130" authorId="3">
      <text>
        <r>
          <rPr>
            <b/>
            <sz val="9"/>
            <color indexed="81"/>
            <rFont val="Tahoma"/>
            <family val="2"/>
          </rPr>
          <t>rebrenner:</t>
        </r>
        <r>
          <rPr>
            <sz val="9"/>
            <color indexed="81"/>
            <rFont val="Tahoma"/>
            <family val="2"/>
          </rPr>
          <t xml:space="preserve">
</t>
        </r>
        <r>
          <rPr>
            <sz val="16"/>
            <color indexed="81"/>
            <rFont val="Tahoma"/>
            <family val="2"/>
          </rPr>
          <t>From here:
O:\DCF\SALMON\CATCH\111_Research_Catch_Analysis\111_CBR\113_UCR\UCR PU_SU Harvests\2012</t>
        </r>
      </text>
    </comment>
    <comment ref="K130" authorId="3">
      <text>
        <r>
          <rPr>
            <b/>
            <sz val="9"/>
            <color indexed="81"/>
            <rFont val="Tahoma"/>
            <family val="2"/>
          </rPr>
          <t>rebrenner:</t>
        </r>
        <r>
          <rPr>
            <sz val="9"/>
            <color indexed="81"/>
            <rFont val="Tahoma"/>
            <family val="2"/>
          </rPr>
          <t xml:space="preserve">
From here:
O:\DCF\SALMON\CATCH\111_Research_Catch_Analysis\111_CBR\113_UCR\UCR PU_SU Harvests\2012</t>
        </r>
      </text>
    </comment>
    <comment ref="L130" authorId="3">
      <text>
        <r>
          <rPr>
            <b/>
            <sz val="9"/>
            <color indexed="81"/>
            <rFont val="Tahoma"/>
            <family val="2"/>
          </rPr>
          <t>rebrenner:</t>
        </r>
        <r>
          <rPr>
            <sz val="9"/>
            <color indexed="81"/>
            <rFont val="Tahoma"/>
            <family val="2"/>
          </rPr>
          <t xml:space="preserve">
From here:
O:\DCF\SALMON\CATCH\111_Research_Catch_Analysis\111_CBR\113_UCR\UCR PU_SU Harvests\2012</t>
        </r>
      </text>
    </comment>
    <comment ref="M130" authorId="3">
      <text>
        <r>
          <rPr>
            <b/>
            <sz val="9"/>
            <color indexed="81"/>
            <rFont val="Tahoma"/>
            <family val="2"/>
          </rPr>
          <t>rebrenner:</t>
        </r>
        <r>
          <rPr>
            <sz val="9"/>
            <color indexed="81"/>
            <rFont val="Tahoma"/>
            <family val="2"/>
          </rPr>
          <t xml:space="preserve">
From here:
O:\DCF\SALMON\CATCH\111_Research_Catch_Analysis\111_CBR\113_UCR\UCR PU_SU Harvests\2012
</t>
        </r>
      </text>
    </comment>
    <comment ref="N130" authorId="3">
      <text>
        <r>
          <rPr>
            <b/>
            <sz val="9"/>
            <color indexed="81"/>
            <rFont val="Tahoma"/>
            <family val="2"/>
          </rPr>
          <t>rebrenner:</t>
        </r>
        <r>
          <rPr>
            <sz val="9"/>
            <color indexed="81"/>
            <rFont val="Tahoma"/>
            <family val="2"/>
          </rPr>
          <t xml:space="preserve">
From here:
O:\DCF\SALMON\CATCH\111_Research_Catch_Analysis\111_CBR\114_SPORT</t>
        </r>
      </text>
    </comment>
    <comment ref="B131" authorId="3">
      <text>
        <r>
          <rPr>
            <b/>
            <sz val="9"/>
            <color indexed="81"/>
            <rFont val="Tahoma"/>
            <family val="2"/>
          </rPr>
          <t>rebrenner:</t>
        </r>
        <r>
          <rPr>
            <sz val="9"/>
            <color indexed="81"/>
            <rFont val="Tahoma"/>
            <family val="2"/>
          </rPr>
          <t xml:space="preserve">
</t>
        </r>
        <r>
          <rPr>
            <sz val="16"/>
            <color indexed="81"/>
            <rFont val="Tahoma"/>
            <family val="2"/>
          </rPr>
          <t>As of 2013, all Catch Report data has been moved
to the OCEAN AK database. Within OCEAN AK it can
be found by going to Catalog and then:
Shared Folders/Region II/ Salmon/User Reports/
Fish Ticket Reports/2013 Catch Report/
District and stat area harvests by date, period, or stat week</t>
        </r>
      </text>
    </comment>
    <comment ref="C131" authorId="3">
      <text>
        <r>
          <rPr>
            <b/>
            <sz val="9"/>
            <color indexed="81"/>
            <rFont val="Tahoma"/>
            <family val="2"/>
          </rPr>
          <t>rebrenner:</t>
        </r>
        <r>
          <rPr>
            <sz val="9"/>
            <color indexed="81"/>
            <rFont val="Tahoma"/>
            <family val="2"/>
          </rPr>
          <t xml:space="preserve">
</t>
        </r>
        <r>
          <rPr>
            <sz val="16"/>
            <color indexed="81"/>
            <rFont val="Tahoma"/>
            <family val="2"/>
          </rPr>
          <t>As of 2013, all Catch Report data has been moved
to the OCEAN AK database. Within OCEAN AK it can
be found by going to Catalog and then:
Shared Folders/Region II/ Salmon/User Reports/
Fish Ticket Reports/2013 Catch Report/
District and stat area harvests by date, period, or stat week</t>
        </r>
      </text>
    </comment>
    <comment ref="E131" authorId="3">
      <text>
        <r>
          <rPr>
            <b/>
            <sz val="9"/>
            <color indexed="81"/>
            <rFont val="Tahoma"/>
            <family val="2"/>
          </rPr>
          <t>rebrenner:</t>
        </r>
        <r>
          <rPr>
            <sz val="9"/>
            <color indexed="81"/>
            <rFont val="Tahoma"/>
            <family val="2"/>
          </rPr>
          <t xml:space="preserve">
</t>
        </r>
        <r>
          <rPr>
            <sz val="16"/>
            <color indexed="81"/>
            <rFont val="Tahoma"/>
            <family val="2"/>
          </rPr>
          <t xml:space="preserve">As of 2013, all Catch Report data has been moved
to the OCEAN AK database. Within OCEAN AK it can
be found by going to Catalog and then:
Shared Folders/Region II/ Salmon/User Reports/
Fish Ticket Reports/2013 Catch Report/
District and stat area harvests by date, period, or stat week
</t>
        </r>
        <r>
          <rPr>
            <sz val="9"/>
            <color indexed="81"/>
            <rFont val="Tahoma"/>
            <family val="2"/>
          </rPr>
          <t xml:space="preserve">
</t>
        </r>
      </text>
    </comment>
    <comment ref="F131" authorId="3">
      <text>
        <r>
          <rPr>
            <b/>
            <sz val="9"/>
            <color indexed="81"/>
            <rFont val="Tahoma"/>
            <family val="2"/>
          </rPr>
          <t>rebrenner:</t>
        </r>
        <r>
          <rPr>
            <sz val="9"/>
            <color indexed="81"/>
            <rFont val="Tahoma"/>
            <family val="2"/>
          </rPr>
          <t xml:space="preserve">
</t>
        </r>
        <r>
          <rPr>
            <sz val="14"/>
            <color indexed="81"/>
            <rFont val="Tahoma"/>
            <family val="2"/>
          </rPr>
          <t>From:
O:\DCF\SALMON\CATCH\111_Research_Catch_Analysis\111_CBR\112_CRD_SUB\State</t>
        </r>
      </text>
    </comment>
    <comment ref="G131" authorId="3">
      <text>
        <r>
          <rPr>
            <b/>
            <sz val="9"/>
            <color indexed="81"/>
            <rFont val="Tahoma"/>
            <family val="2"/>
          </rPr>
          <t>rebrenner:</t>
        </r>
        <r>
          <rPr>
            <sz val="9"/>
            <color indexed="81"/>
            <rFont val="Tahoma"/>
            <family val="2"/>
          </rPr>
          <t xml:space="preserve">
</t>
        </r>
        <r>
          <rPr>
            <sz val="14"/>
            <color indexed="81"/>
            <rFont val="Tahoma"/>
            <family val="2"/>
          </rPr>
          <t>O:\DCF\SALMON\CATCH\111_Research_Catch_Analysis\111_CBR\115_Educational</t>
        </r>
      </text>
    </comment>
    <comment ref="J131" authorId="3">
      <text>
        <r>
          <rPr>
            <b/>
            <sz val="9"/>
            <color indexed="81"/>
            <rFont val="Tahoma"/>
            <family val="2"/>
          </rPr>
          <t>rebrenner:</t>
        </r>
        <r>
          <rPr>
            <sz val="9"/>
            <color indexed="81"/>
            <rFont val="Tahoma"/>
            <family val="2"/>
          </rPr>
          <t xml:space="preserve">
EXPANDED harvest from here:  
O:\DCF\SALMON\CATCH\111_Research_Catch_Analysis\111_CBR\113_UCR\UCR PU_SU Harvests\2013</t>
        </r>
      </text>
    </comment>
    <comment ref="K131" authorId="3">
      <text>
        <r>
          <rPr>
            <b/>
            <sz val="9"/>
            <color indexed="81"/>
            <rFont val="Tahoma"/>
            <family val="2"/>
          </rPr>
          <t>rebrenner:</t>
        </r>
        <r>
          <rPr>
            <sz val="9"/>
            <color indexed="81"/>
            <rFont val="Tahoma"/>
            <family val="2"/>
          </rPr>
          <t xml:space="preserve">
EXPANDED total harvest estimate, from here: 
O:\DCF\SALMON\CATCH\111_Research_Catch_Analysis\111_CBR\113_UCR\UCR PU_SU Harvests\2013</t>
        </r>
      </text>
    </comment>
    <comment ref="L131" authorId="3">
      <text>
        <r>
          <rPr>
            <b/>
            <sz val="9"/>
            <color indexed="81"/>
            <rFont val="Tahoma"/>
            <family val="2"/>
          </rPr>
          <t>rebrenner:</t>
        </r>
        <r>
          <rPr>
            <sz val="9"/>
            <color indexed="81"/>
            <rFont val="Tahoma"/>
            <family val="2"/>
          </rPr>
          <t xml:space="preserve">
EXPANDED total harvest estimate, from here: 
O:\DCF\SALMON\CATCH\111_Research_Catch_Analysis\111_CBR\113_UCR\UCR PU_SU Harvests\2013</t>
        </r>
      </text>
    </comment>
    <comment ref="M131" authorId="3">
      <text>
        <r>
          <rPr>
            <b/>
            <sz val="9"/>
            <color indexed="81"/>
            <rFont val="Tahoma"/>
            <family val="2"/>
          </rPr>
          <t>rebrenner:</t>
        </r>
        <r>
          <rPr>
            <sz val="9"/>
            <color indexed="81"/>
            <rFont val="Tahoma"/>
            <family val="2"/>
          </rPr>
          <t xml:space="preserve">
EXPANDED total harvest estimate, from here: 
O:\DCF\SALMON\CATCH\111_Research_Catch_Analysis\111_CBR\113_UCR\UCR PU_SU Harvests\2013</t>
        </r>
      </text>
    </comment>
    <comment ref="N131" authorId="3">
      <text>
        <r>
          <rPr>
            <b/>
            <sz val="9"/>
            <color indexed="81"/>
            <rFont val="Tahoma"/>
            <family val="2"/>
          </rPr>
          <t>rebrenner:</t>
        </r>
        <r>
          <rPr>
            <sz val="9"/>
            <color indexed="81"/>
            <rFont val="Tahoma"/>
            <family val="2"/>
          </rPr>
          <t xml:space="preserve">
O:\DCF\SALMON\CATCH\111_Research_Catch_Analysis\111_CBR\114_SPORT</t>
        </r>
      </text>
    </comment>
    <comment ref="B132" authorId="3">
      <text>
        <r>
          <rPr>
            <b/>
            <sz val="9"/>
            <color indexed="81"/>
            <rFont val="Tahoma"/>
            <family val="2"/>
          </rPr>
          <t>rebrenner:</t>
        </r>
        <r>
          <rPr>
            <sz val="9"/>
            <color indexed="81"/>
            <rFont val="Tahoma"/>
            <family val="2"/>
          </rPr>
          <t xml:space="preserve">
</t>
        </r>
        <r>
          <rPr>
            <sz val="16"/>
            <color indexed="81"/>
            <rFont val="Tahoma"/>
            <family val="2"/>
          </rPr>
          <t>As of 2013, all Catch Report data has been moved
to the OCEAN AK database. Within OCEAN AK it can
be found by going to Catalog and then:
Shared Folders/Region II/ Salmon/User Reports/
Fish Ticket Reports/2013 Catch Report/
District and stat area harvests by date, period, or stat week</t>
        </r>
      </text>
    </comment>
    <comment ref="E132" authorId="3">
      <text>
        <r>
          <rPr>
            <b/>
            <sz val="9"/>
            <color indexed="81"/>
            <rFont val="Tahoma"/>
            <family val="2"/>
          </rPr>
          <t>rebrenner:</t>
        </r>
        <r>
          <rPr>
            <sz val="9"/>
            <color indexed="81"/>
            <rFont val="Tahoma"/>
            <family val="2"/>
          </rPr>
          <t xml:space="preserve">
</t>
        </r>
        <r>
          <rPr>
            <sz val="16"/>
            <color indexed="81"/>
            <rFont val="Tahoma"/>
            <family val="2"/>
          </rPr>
          <t xml:space="preserve">As of 2013, all Catch Report data has been moved
to the OCEAN AK database. Within OCEAN AK it can
be found by going to Catalog and then:
Shared Folders/Region II/ Salmon/User Reports/
Fish Ticket Reports/2013 Catch Report/
District and stat area harvests by date, period, or stat week
</t>
        </r>
        <r>
          <rPr>
            <sz val="9"/>
            <color indexed="81"/>
            <rFont val="Tahoma"/>
            <family val="2"/>
          </rPr>
          <t xml:space="preserve">
</t>
        </r>
      </text>
    </comment>
    <comment ref="F132" authorId="3">
      <text>
        <r>
          <rPr>
            <b/>
            <sz val="9"/>
            <color indexed="81"/>
            <rFont val="Tahoma"/>
            <family val="2"/>
          </rPr>
          <t>rebrenner:</t>
        </r>
        <r>
          <rPr>
            <sz val="9"/>
            <color indexed="81"/>
            <rFont val="Tahoma"/>
            <family val="2"/>
          </rPr>
          <t xml:space="preserve">
</t>
        </r>
        <r>
          <rPr>
            <sz val="16"/>
            <color indexed="81"/>
            <rFont val="Tahoma"/>
            <family val="2"/>
          </rPr>
          <t>NEED TO UPDATE FOR 2016 FORECAST!!!</t>
        </r>
      </text>
    </comment>
    <comment ref="G132" authorId="3">
      <text>
        <r>
          <rPr>
            <b/>
            <sz val="9"/>
            <color indexed="81"/>
            <rFont val="Tahoma"/>
            <family val="2"/>
          </rPr>
          <t>rebrenner:</t>
        </r>
        <r>
          <rPr>
            <sz val="9"/>
            <color indexed="81"/>
            <rFont val="Tahoma"/>
            <family val="2"/>
          </rPr>
          <t xml:space="preserve">
O:\DCF\SALMON\CATCH\111_Research_Catch_Analysis\111_CBR\115_Educational
31 from NVE + 5 from Tatitlek.</t>
        </r>
      </text>
    </comment>
    <comment ref="J132" authorId="3">
      <text>
        <r>
          <rPr>
            <b/>
            <sz val="9"/>
            <color indexed="81"/>
            <rFont val="Tahoma"/>
            <family val="2"/>
          </rPr>
          <t>rebrenner:</t>
        </r>
        <r>
          <rPr>
            <sz val="9"/>
            <color indexed="81"/>
            <rFont val="Tahoma"/>
            <family val="2"/>
          </rPr>
          <t xml:space="preserve">
</t>
        </r>
        <r>
          <rPr>
            <sz val="16"/>
            <color indexed="81"/>
            <rFont val="Tahoma"/>
            <family val="2"/>
          </rPr>
          <t>NEED TO UPDATE ALL SUB AND PU DATA FOR THE 2016 FORECAST!!!!!</t>
        </r>
      </text>
    </comment>
    <comment ref="R135" authorId="1">
      <text>
        <r>
          <rPr>
            <b/>
            <sz val="8"/>
            <color indexed="81"/>
            <rFont val="Tahoma"/>
            <family val="2"/>
          </rPr>
          <t>Moffitt, Steve D (DFG):</t>
        </r>
        <r>
          <rPr>
            <sz val="8"/>
            <color indexed="81"/>
            <rFont val="Tahoma"/>
            <family val="2"/>
          </rPr>
          <t xml:space="preserve">
commercial harvest exploitation as a percentage of the total exploitation.</t>
        </r>
      </text>
    </comment>
    <comment ref="B136" authorId="3">
      <text>
        <r>
          <rPr>
            <b/>
            <sz val="9"/>
            <color indexed="81"/>
            <rFont val="Tahoma"/>
            <family val="2"/>
          </rPr>
          <t>rebrenner:</t>
        </r>
        <r>
          <rPr>
            <sz val="9"/>
            <color indexed="81"/>
            <rFont val="Tahoma"/>
            <family val="2"/>
          </rPr>
          <t xml:space="preserve">
</t>
        </r>
        <r>
          <rPr>
            <sz val="16"/>
            <color indexed="81"/>
            <rFont val="Tahoma"/>
            <family val="2"/>
          </rPr>
          <t>Hey, use the OFFSET function so this doesn't have to be updated each year:  AVERAGE(OFFSET(B10,COUNT(B10:B55)-10,0,10,1))</t>
        </r>
      </text>
    </comment>
    <comment ref="B140" authorId="3">
      <text>
        <r>
          <rPr>
            <b/>
            <sz val="9"/>
            <color indexed="81"/>
            <rFont val="Tahoma"/>
            <family val="2"/>
          </rPr>
          <t>rebrenner:</t>
        </r>
        <r>
          <rPr>
            <sz val="9"/>
            <color indexed="81"/>
            <rFont val="Tahoma"/>
            <family val="2"/>
          </rPr>
          <t xml:space="preserve">
</t>
        </r>
        <r>
          <rPr>
            <sz val="16"/>
            <color indexed="81"/>
            <rFont val="Tahoma"/>
            <family val="2"/>
          </rPr>
          <t>Hey, use the OFFSET function so this doesn't have to be updated each year:  AVERAGE(OFFSET(B10,COUNT(B10:B55)-10,0,10,1))</t>
        </r>
      </text>
    </comment>
  </commentList>
</comments>
</file>

<file path=xl/comments2.xml><?xml version="1.0" encoding="utf-8"?>
<comments xmlns="http://schemas.openxmlformats.org/spreadsheetml/2006/main">
  <authors>
    <author>Moffitt, Steve D (DFG)</author>
    <author>Steve Moffitt</author>
    <author>rebrenner</author>
  </authors>
  <commentList>
    <comment ref="D5" authorId="0">
      <text>
        <r>
          <rPr>
            <b/>
            <sz val="14"/>
            <color indexed="81"/>
            <rFont val="Tahoma"/>
            <family val="2"/>
          </rPr>
          <t>Moffitt, Steve D (DFG):</t>
        </r>
        <r>
          <rPr>
            <sz val="14"/>
            <color indexed="81"/>
            <rFont val="Tahoma"/>
            <family val="2"/>
          </rPr>
          <t xml:space="preserve">
REPORTED harvests from Mark Sommerville database, December 2011. Includes all state and federal (2002 to present) harvests in the Chitina and Glennallen subdistricts.</t>
        </r>
      </text>
    </comment>
    <comment ref="B6" authorId="1">
      <text>
        <r>
          <rPr>
            <b/>
            <sz val="16"/>
            <color indexed="81"/>
            <rFont val="Tahoma"/>
            <family val="2"/>
          </rPr>
          <t>Steve Moffitt:</t>
        </r>
        <r>
          <rPr>
            <sz val="16"/>
            <color indexed="81"/>
            <rFont val="Tahoma"/>
            <family val="2"/>
          </rPr>
          <t xml:space="preserve">
Updated to DIDSON sonar equivalent numbers in 2011.</t>
        </r>
      </text>
    </comment>
    <comment ref="O6" authorId="0">
      <text>
        <r>
          <rPr>
            <b/>
            <sz val="12"/>
            <color indexed="81"/>
            <rFont val="Tahoma"/>
            <family val="2"/>
          </rPr>
          <t>Moffitt, Steve D (DFG):</t>
        </r>
        <r>
          <rPr>
            <sz val="12"/>
            <color indexed="81"/>
            <rFont val="Tahoma"/>
            <family val="2"/>
          </rPr>
          <t xml:space="preserve">
Estimated by age-structured model published in CJFAS by James Saveride and Dr. Terry Quinn.</t>
        </r>
      </text>
    </comment>
    <comment ref="K28" authorId="0">
      <text>
        <r>
          <rPr>
            <b/>
            <sz val="14"/>
            <color indexed="81"/>
            <rFont val="Tahoma"/>
            <family val="2"/>
          </rPr>
          <t>Moffitt, Steve D (DFG):</t>
        </r>
        <r>
          <rPr>
            <sz val="14"/>
            <color indexed="81"/>
            <rFont val="Tahoma"/>
            <family val="2"/>
          </rPr>
          <t xml:space="preserve">
See "O:\DCF\SALMON\ESCAPEMENT\116_TAGGING\111_CBR\111_Mark_Recap[CR Chinook salmon mark-recapture estimates 1999-2010.xls]Inriver Estimates and methods"  for citations of estimates.</t>
        </r>
      </text>
    </comment>
    <comment ref="E39" authorId="2">
      <text>
        <r>
          <rPr>
            <b/>
            <sz val="9"/>
            <color indexed="81"/>
            <rFont val="Tahoma"/>
            <family val="2"/>
          </rPr>
          <t>rebrenner:</t>
        </r>
        <r>
          <rPr>
            <sz val="9"/>
            <color indexed="81"/>
            <rFont val="Tahoma"/>
            <family val="2"/>
          </rPr>
          <t xml:space="preserve">
</t>
        </r>
        <r>
          <rPr>
            <sz val="20"/>
            <color indexed="81"/>
            <rFont val="Tahoma"/>
            <family val="2"/>
          </rPr>
          <t>Check that these are REPORTED numbers (not EXPANDED) and should no longer be used in escapement estimate calculations. They are only used to obtain estimates of Chinook:other salmon for the old escapement estimate calculation.</t>
        </r>
      </text>
    </comment>
    <comment ref="K39" authorId="2">
      <text>
        <r>
          <rPr>
            <b/>
            <sz val="9"/>
            <color indexed="81"/>
            <rFont val="Tahoma"/>
            <family val="2"/>
          </rPr>
          <t>rebrenner:</t>
        </r>
        <r>
          <rPr>
            <sz val="9"/>
            <color indexed="81"/>
            <rFont val="Tahoma"/>
            <family val="2"/>
          </rPr>
          <t xml:space="preserve">
</t>
        </r>
        <r>
          <rPr>
            <sz val="20"/>
            <color indexed="81"/>
            <rFont val="Tahoma"/>
            <family val="2"/>
          </rPr>
          <t>From:
O:\DCF\Salmon\CBRSalmon\ESCAPEMENT\Mark-recapture\CR_Chinook_mark-recapture_1999-2011.xls</t>
        </r>
      </text>
    </comment>
    <comment ref="B40" authorId="2">
      <text>
        <r>
          <rPr>
            <b/>
            <sz val="9"/>
            <color indexed="81"/>
            <rFont val="Tahoma"/>
            <family val="2"/>
          </rPr>
          <t>rebrenner:</t>
        </r>
        <r>
          <rPr>
            <sz val="9"/>
            <color indexed="81"/>
            <rFont val="Tahoma"/>
            <family val="2"/>
          </rPr>
          <t xml:space="preserve">
</t>
        </r>
        <r>
          <rPr>
            <sz val="18"/>
            <color indexed="81"/>
            <rFont val="Tahoma"/>
            <family val="2"/>
          </rPr>
          <t>Sonar count on 28 July 2011. Sonar was pulled the next morning.</t>
        </r>
      </text>
    </comment>
    <comment ref="D40" authorId="2">
      <text>
        <r>
          <rPr>
            <b/>
            <sz val="9"/>
            <color indexed="81"/>
            <rFont val="Tahoma"/>
            <family val="2"/>
          </rPr>
          <t>rebrenner:</t>
        </r>
        <r>
          <rPr>
            <sz val="9"/>
            <color indexed="81"/>
            <rFont val="Tahoma"/>
            <family val="2"/>
          </rPr>
          <t xml:space="preserve">
</t>
        </r>
        <r>
          <rPr>
            <sz val="14"/>
            <color indexed="81"/>
            <rFont val="Tahoma"/>
            <family val="2"/>
          </rPr>
          <t>From here: 
O:\DCF\SALMON\CATCH\111_Research_Catch_Analysis\111_CBR\113_UCR\UCR PU_SU Harvests\2011\[UCR_Harvest_by_day_and_week_State_Federal_2011.xls]</t>
        </r>
      </text>
    </comment>
    <comment ref="E40" authorId="2">
      <text>
        <r>
          <rPr>
            <b/>
            <sz val="9"/>
            <color indexed="81"/>
            <rFont val="Tahoma"/>
            <family val="2"/>
          </rPr>
          <t>rebrenner:</t>
        </r>
        <r>
          <rPr>
            <sz val="9"/>
            <color indexed="81"/>
            <rFont val="Tahoma"/>
            <family val="2"/>
          </rPr>
          <t xml:space="preserve">
</t>
        </r>
        <r>
          <rPr>
            <sz val="14"/>
            <color indexed="81"/>
            <rFont val="Tahoma"/>
            <family val="2"/>
          </rPr>
          <t>From here: 
O:\DCF\SALMON\CATCH\111_Research_Catch_Analysis\111_CBR\113_UCR\UCR PU_SU Harvests\2011\[UCR_Harvest_by_day_and_week_State_Federal_2011.xls]</t>
        </r>
      </text>
    </comment>
    <comment ref="F40" authorId="2">
      <text>
        <r>
          <rPr>
            <b/>
            <sz val="9"/>
            <color indexed="81"/>
            <rFont val="Tahoma"/>
            <family val="2"/>
          </rPr>
          <t>rebrenner:</t>
        </r>
        <r>
          <rPr>
            <sz val="9"/>
            <color indexed="81"/>
            <rFont val="Tahoma"/>
            <family val="2"/>
          </rPr>
          <t xml:space="preserve">
</t>
        </r>
        <r>
          <rPr>
            <sz val="14"/>
            <color indexed="81"/>
            <rFont val="Tahoma"/>
            <family val="2"/>
          </rPr>
          <t>From here: 
O:\DCF\SALMON\CATCH\111_Research_Catch_Analysis\111_CBR\113_UCR\UCR PU_SU Harvests\2011\[UCR_Harvest_by_day_and_week_State_Federal_2011.xls]</t>
        </r>
      </text>
    </comment>
    <comment ref="K40" authorId="2">
      <text>
        <r>
          <rPr>
            <b/>
            <sz val="9"/>
            <color indexed="81"/>
            <rFont val="Tahoma"/>
            <family val="2"/>
          </rPr>
          <t>rebrenner:</t>
        </r>
        <r>
          <rPr>
            <sz val="9"/>
            <color indexed="81"/>
            <rFont val="Tahoma"/>
            <family val="2"/>
          </rPr>
          <t xml:space="preserve">
</t>
        </r>
        <r>
          <rPr>
            <sz val="20"/>
            <color indexed="81"/>
            <rFont val="Tahoma"/>
            <family val="2"/>
          </rPr>
          <t xml:space="preserve">From here: O:\DCF\SALMON\ESCAPEMENT\116_TAGGING\111_CBR\111_Mark_Recap\NVE fishwheel project\2011
</t>
        </r>
      </text>
    </comment>
    <comment ref="N40" authorId="2">
      <text>
        <r>
          <rPr>
            <b/>
            <sz val="9"/>
            <color indexed="81"/>
            <rFont val="Tahoma"/>
            <family val="2"/>
          </rPr>
          <t>rebrenner:</t>
        </r>
        <r>
          <rPr>
            <sz val="9"/>
            <color indexed="81"/>
            <rFont val="Tahoma"/>
            <family val="2"/>
          </rPr>
          <t xml:space="preserve">
</t>
        </r>
        <r>
          <rPr>
            <sz val="20"/>
            <color indexed="81"/>
            <rFont val="Tahoma"/>
            <family val="2"/>
          </rPr>
          <t>This is derived from estimated inriver abundance (from NVE mark/recap.) - Expanded UCR harvest estimates.</t>
        </r>
      </text>
    </comment>
    <comment ref="B41" authorId="2">
      <text>
        <r>
          <rPr>
            <b/>
            <sz val="9"/>
            <color indexed="81"/>
            <rFont val="Tahoma"/>
            <family val="2"/>
          </rPr>
          <t>rebrenner:</t>
        </r>
        <r>
          <rPr>
            <sz val="9"/>
            <color indexed="81"/>
            <rFont val="Tahoma"/>
            <family val="2"/>
          </rPr>
          <t xml:space="preserve">
</t>
        </r>
        <r>
          <rPr>
            <sz val="14"/>
            <color indexed="81"/>
            <rFont val="Tahoma"/>
            <family val="2"/>
          </rPr>
          <t>From:
O:\DCF\INSEASON\2012</t>
        </r>
      </text>
    </comment>
    <comment ref="D41" authorId="2">
      <text>
        <r>
          <rPr>
            <b/>
            <sz val="9"/>
            <color indexed="81"/>
            <rFont val="Tahoma"/>
            <family val="2"/>
          </rPr>
          <t>rebrenner:</t>
        </r>
        <r>
          <rPr>
            <sz val="9"/>
            <color indexed="81"/>
            <rFont val="Tahoma"/>
            <family val="2"/>
          </rPr>
          <t xml:space="preserve">
</t>
        </r>
        <r>
          <rPr>
            <sz val="16"/>
            <color indexed="81"/>
            <rFont val="Tahoma"/>
            <family val="2"/>
          </rPr>
          <t>From:
O:\DCF\SALMON\CATCH\111_Research_Catch_Analysis\111_CBR\113_UCR\UCR PU_SU Harvests\2012\UCR_Harvest_by_day_and_week_State_Federal_2012.xlsx</t>
        </r>
      </text>
    </comment>
    <comment ref="E41" authorId="2">
      <text>
        <r>
          <rPr>
            <b/>
            <sz val="9"/>
            <color indexed="81"/>
            <rFont val="Tahoma"/>
            <family val="2"/>
          </rPr>
          <t>rebrenner:</t>
        </r>
        <r>
          <rPr>
            <sz val="9"/>
            <color indexed="81"/>
            <rFont val="Tahoma"/>
            <family val="2"/>
          </rPr>
          <t xml:space="preserve">
</t>
        </r>
        <r>
          <rPr>
            <sz val="16"/>
            <color indexed="81"/>
            <rFont val="Tahoma"/>
            <family val="2"/>
          </rPr>
          <t>From: From:
O:\DCF\SALMON\CATCH\111_Research_Catch_Analysis\111_CBR\113_UCR\UCR PU_SU Harvests\2012\UCR_Harvest_by_day_and_week_State_Federal_2012.xlsx</t>
        </r>
      </text>
    </comment>
    <comment ref="F41" authorId="2">
      <text>
        <r>
          <rPr>
            <b/>
            <sz val="9"/>
            <color indexed="81"/>
            <rFont val="Tahoma"/>
            <family val="2"/>
          </rPr>
          <t>rebrenner:</t>
        </r>
        <r>
          <rPr>
            <sz val="9"/>
            <color indexed="81"/>
            <rFont val="Tahoma"/>
            <family val="2"/>
          </rPr>
          <t xml:space="preserve">
</t>
        </r>
        <r>
          <rPr>
            <sz val="14"/>
            <color indexed="81"/>
            <rFont val="Tahoma"/>
            <family val="2"/>
          </rPr>
          <t xml:space="preserve">O:\DCF\SALMON\CATCH\111_Research_Catch_Analysis\111_CBR\113_UCR\UCR PU_SU Harvests\2012\UCR_Harvest_by_day_and_week_State_Federal_2012.xlsx
</t>
        </r>
      </text>
    </comment>
    <comment ref="K41" authorId="2">
      <text>
        <r>
          <rPr>
            <b/>
            <sz val="9"/>
            <color indexed="81"/>
            <rFont val="Tahoma"/>
            <family val="2"/>
          </rPr>
          <t>rebrenner:</t>
        </r>
        <r>
          <rPr>
            <sz val="9"/>
            <color indexed="81"/>
            <rFont val="Tahoma"/>
            <family val="2"/>
          </rPr>
          <t xml:space="preserve">
</t>
        </r>
        <r>
          <rPr>
            <sz val="14"/>
            <color indexed="81"/>
            <rFont val="Tahoma"/>
            <family val="2"/>
          </rPr>
          <t xml:space="preserve">
O:\DCF\SALMON\ESCAPEMENT\116_TAGGING\111_CBR\111_Mark_Recap\NVE fishwheel project\2012</t>
        </r>
      </text>
    </comment>
    <comment ref="B42" authorId="2">
      <text>
        <r>
          <rPr>
            <b/>
            <sz val="9"/>
            <color indexed="81"/>
            <rFont val="Tahoma"/>
            <family val="2"/>
          </rPr>
          <t>rebrenner:</t>
        </r>
        <r>
          <rPr>
            <sz val="9"/>
            <color indexed="81"/>
            <rFont val="Tahoma"/>
            <family val="2"/>
          </rPr>
          <t xml:space="preserve">
</t>
        </r>
        <r>
          <rPr>
            <sz val="16"/>
            <color indexed="81"/>
            <rFont val="Tahoma"/>
            <family val="2"/>
          </rPr>
          <t xml:space="preserve">From Inseason folder:
O:\DCF\INSEASON\2013
</t>
        </r>
      </text>
    </comment>
    <comment ref="D42" authorId="2">
      <text>
        <r>
          <rPr>
            <b/>
            <sz val="9"/>
            <color indexed="81"/>
            <rFont val="Tahoma"/>
            <family val="2"/>
          </rPr>
          <t>rebrenner:</t>
        </r>
        <r>
          <rPr>
            <sz val="9"/>
            <color indexed="81"/>
            <rFont val="Tahoma"/>
            <family val="2"/>
          </rPr>
          <t xml:space="preserve">
</t>
        </r>
        <r>
          <rPr>
            <sz val="14"/>
            <color indexed="81"/>
            <rFont val="Tahoma"/>
            <family val="2"/>
          </rPr>
          <t>From here:
O:\DCF\SALMON\CATCH\111_Research_Catch_Analysis\111_CBR\113_UCR\UCR PU_SU Harvests\2013\UCR_Harvest_by_dy_and_week_State_Federal_2013</t>
        </r>
      </text>
    </comment>
    <comment ref="E42" authorId="2">
      <text>
        <r>
          <rPr>
            <b/>
            <sz val="9"/>
            <color indexed="81"/>
            <rFont val="Tahoma"/>
            <family val="2"/>
          </rPr>
          <t>rebrenner:</t>
        </r>
        <r>
          <rPr>
            <sz val="9"/>
            <color indexed="81"/>
            <rFont val="Tahoma"/>
            <family val="2"/>
          </rPr>
          <t xml:space="preserve">
</t>
        </r>
        <r>
          <rPr>
            <sz val="14"/>
            <color indexed="81"/>
            <rFont val="Tahoma"/>
            <family val="2"/>
          </rPr>
          <t>From here:
O:\DCF\SALMON\CATCH\111_Research_Catch_Analysis\111_CBR\113_UCR\UCR PU_SU Harvests\2013\UCR_Harvest_by_dy_and_week_State_Federal_2013</t>
        </r>
      </text>
    </comment>
    <comment ref="F42" authorId="2">
      <text>
        <r>
          <rPr>
            <b/>
            <sz val="9"/>
            <color indexed="81"/>
            <rFont val="Tahoma"/>
            <family val="2"/>
          </rPr>
          <t>rebrenner:</t>
        </r>
        <r>
          <rPr>
            <sz val="9"/>
            <color indexed="81"/>
            <rFont val="Tahoma"/>
            <family val="2"/>
          </rPr>
          <t xml:space="preserve">
</t>
        </r>
        <r>
          <rPr>
            <sz val="14"/>
            <color indexed="81"/>
            <rFont val="Tahoma"/>
            <family val="2"/>
          </rPr>
          <t>From here:
O:\DCF\SALMON\CATCH\111_Research_Catch_Analysis\111_CBR\113_UCR\UCR PU_SU Harvests\2013\UCR_Harvest_by_dy_and_week_State_Federal_2013</t>
        </r>
      </text>
    </comment>
    <comment ref="K42" authorId="2">
      <text>
        <r>
          <rPr>
            <b/>
            <sz val="9"/>
            <color indexed="81"/>
            <rFont val="Tahoma"/>
            <family val="2"/>
          </rPr>
          <t>rebrenner:</t>
        </r>
        <r>
          <rPr>
            <sz val="14"/>
            <color indexed="81"/>
            <rFont val="Tahoma"/>
            <family val="2"/>
          </rPr>
          <t xml:space="preserve">
From here: 
O:\DCF\SALMON\ESCAPEMENT\116_TAGGING\111_CBR\111_Mark_Recap\NVE fishwheel project\2013</t>
        </r>
      </text>
    </comment>
    <comment ref="B43" authorId="2">
      <text>
        <r>
          <rPr>
            <b/>
            <sz val="9"/>
            <color indexed="81"/>
            <rFont val="Tahoma"/>
            <family val="2"/>
          </rPr>
          <t>rebrenner:</t>
        </r>
        <r>
          <rPr>
            <sz val="9"/>
            <color indexed="81"/>
            <rFont val="Tahoma"/>
            <family val="2"/>
          </rPr>
          <t xml:space="preserve">
</t>
        </r>
        <r>
          <rPr>
            <sz val="14"/>
            <color indexed="81"/>
            <rFont val="Tahoma"/>
            <family val="2"/>
          </rPr>
          <t>From: O:\DCF\INSEASON\2014</t>
        </r>
      </text>
    </comment>
    <comment ref="K43" authorId="2">
      <text>
        <r>
          <rPr>
            <b/>
            <sz val="9"/>
            <color indexed="81"/>
            <rFont val="Tahoma"/>
            <family val="2"/>
          </rPr>
          <t>rebrenner:</t>
        </r>
        <r>
          <rPr>
            <sz val="9"/>
            <color indexed="81"/>
            <rFont val="Tahoma"/>
            <family val="2"/>
          </rPr>
          <t xml:space="preserve">
</t>
        </r>
        <r>
          <rPr>
            <sz val="16"/>
            <color indexed="81"/>
            <rFont val="Tahoma"/>
            <family val="2"/>
          </rPr>
          <t>O:\DCF\SALMON\ESCAPEMENT\116_TAGGING\111_CBR\111_Mark_Recap\NVE fishwheel project\2014</t>
        </r>
      </text>
    </comment>
  </commentList>
</comments>
</file>

<file path=xl/comments3.xml><?xml version="1.0" encoding="utf-8"?>
<comments xmlns="http://schemas.openxmlformats.org/spreadsheetml/2006/main">
  <authors>
    <author>Moffitt, Steve D (DFG)</author>
    <author>rebrenner</author>
  </authors>
  <commentList>
    <comment ref="C5" authorId="0">
      <text>
        <r>
          <rPr>
            <b/>
            <sz val="14"/>
            <color indexed="81"/>
            <rFont val="Tahoma"/>
            <family val="2"/>
          </rPr>
          <t>Moffitt, Steve D (DFG):</t>
        </r>
        <r>
          <rPr>
            <sz val="14"/>
            <color indexed="81"/>
            <rFont val="Tahoma"/>
            <family val="2"/>
          </rPr>
          <t xml:space="preserve">
Spawning escapement from age structured model (1980-1998) and mark-recaptured projects (1999- present).</t>
        </r>
      </text>
    </comment>
    <comment ref="E5" authorId="1">
      <text>
        <r>
          <rPr>
            <b/>
            <sz val="9"/>
            <color indexed="81"/>
            <rFont val="Tahoma"/>
            <family val="2"/>
          </rPr>
          <t>rebrenner:</t>
        </r>
        <r>
          <rPr>
            <sz val="9"/>
            <color indexed="81"/>
            <rFont val="Tahoma"/>
            <family val="2"/>
          </rPr>
          <t xml:space="preserve">
</t>
        </r>
        <r>
          <rPr>
            <sz val="14"/>
            <color indexed="81"/>
            <rFont val="Tahoma"/>
            <family val="2"/>
          </rPr>
          <t>It is not clear what this means given the different age classes of Chinook returning.</t>
        </r>
      </text>
    </comment>
    <comment ref="M5" authorId="1">
      <text>
        <r>
          <rPr>
            <b/>
            <sz val="9"/>
            <color indexed="81"/>
            <rFont val="Tahoma"/>
            <family val="2"/>
          </rPr>
          <t>rebrenner:</t>
        </r>
        <r>
          <rPr>
            <sz val="9"/>
            <color indexed="81"/>
            <rFont val="Tahoma"/>
            <family val="2"/>
          </rPr>
          <t xml:space="preserve">
</t>
        </r>
        <r>
          <rPr>
            <sz val="16"/>
            <color indexed="81"/>
            <rFont val="Tahoma"/>
            <family val="2"/>
          </rPr>
          <t>CCP exploitation as a proportion of overall run size.</t>
        </r>
      </text>
    </comment>
    <comment ref="N5" authorId="1">
      <text>
        <r>
          <rPr>
            <b/>
            <sz val="9"/>
            <color indexed="81"/>
            <rFont val="Tahoma"/>
            <family val="2"/>
          </rPr>
          <t>rebrenner:</t>
        </r>
        <r>
          <rPr>
            <sz val="9"/>
            <color indexed="81"/>
            <rFont val="Tahoma"/>
            <family val="2"/>
          </rPr>
          <t xml:space="preserve">
</t>
        </r>
        <r>
          <rPr>
            <sz val="20"/>
            <color indexed="81"/>
            <rFont val="Tahoma"/>
            <family val="2"/>
          </rPr>
          <t xml:space="preserve">Total exploitation from all sources (comm., Sub, PU, sport, etc.)
</t>
        </r>
      </text>
    </comment>
    <comment ref="C96" authorId="0">
      <text>
        <r>
          <rPr>
            <b/>
            <sz val="8"/>
            <color indexed="81"/>
            <rFont val="Tahoma"/>
            <family val="2"/>
          </rPr>
          <t>Moffitt, Steve D (DFG):</t>
        </r>
        <r>
          <rPr>
            <sz val="8"/>
            <color indexed="81"/>
            <rFont val="Tahoma"/>
            <family val="2"/>
          </rPr>
          <t xml:space="preserve">
</t>
        </r>
        <r>
          <rPr>
            <sz val="12"/>
            <color indexed="81"/>
            <rFont val="Tahoma"/>
            <family val="2"/>
          </rPr>
          <t>1978-1998 estimated from age structured model reported in Canadian Journal of Fisheries and Aquat. Sci. by Saveride and Quinn.</t>
        </r>
      </text>
    </comment>
    <comment ref="C115" authorId="0">
      <text>
        <r>
          <rPr>
            <b/>
            <sz val="12"/>
            <color indexed="81"/>
            <rFont val="Tahoma"/>
            <family val="2"/>
          </rPr>
          <t>Moffitt, Steve D (DFG):</t>
        </r>
        <r>
          <rPr>
            <sz val="12"/>
            <color indexed="81"/>
            <rFont val="Tahoma"/>
            <family val="2"/>
          </rPr>
          <t xml:space="preserve">
Mark-recapture minus estimated upriver harvests</t>
        </r>
      </text>
    </comment>
  </commentList>
</comments>
</file>

<file path=xl/comments4.xml><?xml version="1.0" encoding="utf-8"?>
<comments xmlns="http://schemas.openxmlformats.org/spreadsheetml/2006/main">
  <authors>
    <author>Steve Moffitt</author>
    <author>rebrenner</author>
  </authors>
  <commentList>
    <comment ref="B6" authorId="0">
      <text>
        <r>
          <rPr>
            <b/>
            <sz val="8"/>
            <color indexed="81"/>
            <rFont val="Tahoma"/>
            <family val="2"/>
          </rPr>
          <t>Steve Moffitt:</t>
        </r>
        <r>
          <rPr>
            <sz val="8"/>
            <color indexed="81"/>
            <rFont val="Tahoma"/>
            <family val="2"/>
          </rPr>
          <t xml:space="preserve">
</t>
        </r>
        <r>
          <rPr>
            <sz val="10"/>
            <color indexed="81"/>
            <rFont val="Tahoma"/>
            <family val="2"/>
          </rPr>
          <t xml:space="preserve">Checked against 2001 AMR </t>
        </r>
      </text>
    </comment>
    <comment ref="D6" authorId="0">
      <text>
        <r>
          <rPr>
            <b/>
            <sz val="8"/>
            <color indexed="81"/>
            <rFont val="Tahoma"/>
            <family val="2"/>
          </rPr>
          <t>Steve Moffitt:</t>
        </r>
        <r>
          <rPr>
            <sz val="8"/>
            <color indexed="81"/>
            <rFont val="Tahoma"/>
            <family val="2"/>
          </rPr>
          <t xml:space="preserve">
</t>
        </r>
        <r>
          <rPr>
            <sz val="12"/>
            <color indexed="81"/>
            <rFont val="Tahoma"/>
            <family val="2"/>
          </rPr>
          <t>1983-2004 from AMR table F.3</t>
        </r>
      </text>
    </comment>
    <comment ref="F6" authorId="0">
      <text>
        <r>
          <rPr>
            <b/>
            <sz val="8"/>
            <color indexed="81"/>
            <rFont val="Tahoma"/>
            <family val="2"/>
          </rPr>
          <t>Steve Moffitt:</t>
        </r>
        <r>
          <rPr>
            <sz val="8"/>
            <color indexed="81"/>
            <rFont val="Tahoma"/>
            <family val="2"/>
          </rPr>
          <t xml:space="preserve">
</t>
        </r>
        <r>
          <rPr>
            <sz val="12"/>
            <color indexed="81"/>
            <rFont val="Tahoma"/>
            <family val="2"/>
          </rPr>
          <t>Confiscated, donated, discarded.</t>
        </r>
      </text>
    </comment>
    <comment ref="G6" authorId="0">
      <text>
        <r>
          <rPr>
            <b/>
            <sz val="8"/>
            <color indexed="81"/>
            <rFont val="Tahoma"/>
            <family val="2"/>
          </rPr>
          <t>Steve Moffitt:</t>
        </r>
        <r>
          <rPr>
            <sz val="8"/>
            <color indexed="81"/>
            <rFont val="Tahoma"/>
            <family val="2"/>
          </rPr>
          <t xml:space="preserve">
</t>
        </r>
        <r>
          <rPr>
            <sz val="14"/>
            <color indexed="81"/>
            <rFont val="Tahoma"/>
            <family val="2"/>
          </rPr>
          <t xml:space="preserve">Numbers from  SF table that Matt Evenson presented to BEG committee  in May 2002.  </t>
        </r>
      </text>
    </comment>
    <comment ref="Y6" authorId="1">
      <text>
        <r>
          <rPr>
            <b/>
            <sz val="9"/>
            <color indexed="81"/>
            <rFont val="Tahoma"/>
            <family val="2"/>
          </rPr>
          <t>rebrenner:</t>
        </r>
        <r>
          <rPr>
            <sz val="9"/>
            <color indexed="81"/>
            <rFont val="Tahoma"/>
            <family val="2"/>
          </rPr>
          <t xml:space="preserve">
</t>
        </r>
        <r>
          <rPr>
            <sz val="20"/>
            <color indexed="81"/>
            <rFont val="Tahoma"/>
            <family val="2"/>
          </rPr>
          <t>FORECAST-ACTUAL</t>
        </r>
      </text>
    </comment>
    <comment ref="AK29" authorId="1">
      <text>
        <r>
          <rPr>
            <b/>
            <sz val="9"/>
            <color indexed="81"/>
            <rFont val="Tahoma"/>
            <family val="2"/>
          </rPr>
          <t>rebrenner:</t>
        </r>
        <r>
          <rPr>
            <sz val="9"/>
            <color indexed="81"/>
            <rFont val="Tahoma"/>
            <family val="2"/>
          </rPr>
          <t xml:space="preserve">
</t>
        </r>
        <r>
          <rPr>
            <sz val="12"/>
            <color indexed="81"/>
            <rFont val="Tahoma"/>
            <family val="2"/>
          </rPr>
          <t>It would appear that the previous year's returns results in the best forecast for the next year, and also has the lowest standard deviation than 2-5 yr averages.</t>
        </r>
      </text>
    </comment>
    <comment ref="P32" authorId="0">
      <text>
        <r>
          <rPr>
            <b/>
            <sz val="8"/>
            <color indexed="81"/>
            <rFont val="Tahoma"/>
            <family val="2"/>
          </rPr>
          <t>Steve Moffitt:</t>
        </r>
        <r>
          <rPr>
            <sz val="8"/>
            <color indexed="81"/>
            <rFont val="Tahoma"/>
            <family val="2"/>
          </rPr>
          <t xml:space="preserve">
Used for 2011 forecast.</t>
        </r>
      </text>
    </comment>
    <comment ref="N37" authorId="1">
      <text>
        <r>
          <rPr>
            <b/>
            <sz val="8"/>
            <color indexed="81"/>
            <rFont val="Tahoma"/>
            <family val="2"/>
          </rPr>
          <t>rebrenner:</t>
        </r>
        <r>
          <rPr>
            <sz val="8"/>
            <color indexed="81"/>
            <rFont val="Tahoma"/>
            <family val="2"/>
          </rPr>
          <t xml:space="preserve">
</t>
        </r>
        <r>
          <rPr>
            <sz val="14"/>
            <color indexed="81"/>
            <rFont val="Tahoma"/>
            <family val="2"/>
          </rPr>
          <t>From Probability and Statistics for Engineering and the Sciences, 4th edition. pg.296
A P.I. for a single observation to be selected from a normal population distribution is:
x +/-  t</t>
        </r>
        <r>
          <rPr>
            <vertAlign val="subscript"/>
            <sz val="14"/>
            <color indexed="81"/>
            <rFont val="Tahoma"/>
            <family val="2"/>
          </rPr>
          <t>a/2, n-1</t>
        </r>
        <r>
          <rPr>
            <sz val="14"/>
            <color indexed="81"/>
            <rFont val="Tahoma"/>
            <family val="2"/>
          </rPr>
          <t xml:space="preserve"> * s * sqrt(1 + 1/n)
The prediction level is 100(1 - a)%
</t>
        </r>
        <r>
          <rPr>
            <sz val="20"/>
            <color indexed="81"/>
            <rFont val="Tahoma"/>
            <family val="2"/>
          </rPr>
          <t>BUT, for forecasts, we really need to determine if the PI method of Fried and Yuen 1987 is a more appropriate way to calculate the prediction intervals....based on the past "success" of this forecasting method, not the variability of the averages used to generate the point estimate.</t>
        </r>
      </text>
    </comment>
    <comment ref="T37" authorId="1">
      <text>
        <r>
          <rPr>
            <b/>
            <sz val="8"/>
            <color indexed="81"/>
            <rFont val="Tahoma"/>
            <family val="2"/>
          </rPr>
          <t>rebrenner:</t>
        </r>
        <r>
          <rPr>
            <sz val="8"/>
            <color indexed="81"/>
            <rFont val="Tahoma"/>
            <family val="2"/>
          </rPr>
          <t xml:space="preserve">
</t>
        </r>
        <r>
          <rPr>
            <sz val="14"/>
            <color indexed="81"/>
            <rFont val="Tahoma"/>
            <family val="2"/>
          </rPr>
          <t>From Probability and Statistics for Engineering and the Sciences, 4th edition. pg.296
A P.I. for a single observation to be selected from a normal population distribution is:
x +/-  t</t>
        </r>
        <r>
          <rPr>
            <vertAlign val="subscript"/>
            <sz val="14"/>
            <color indexed="81"/>
            <rFont val="Tahoma"/>
            <family val="2"/>
          </rPr>
          <t>a/2, n-1</t>
        </r>
        <r>
          <rPr>
            <sz val="14"/>
            <color indexed="81"/>
            <rFont val="Tahoma"/>
            <family val="2"/>
          </rPr>
          <t xml:space="preserve"> * s * sqrt(1 + 1/n)
The prediction level is 100(1 - a)%
</t>
        </r>
        <r>
          <rPr>
            <sz val="20"/>
            <color indexed="81"/>
            <rFont val="Tahoma"/>
            <family val="2"/>
          </rPr>
          <t>BUT, for forecasts, we really need to determine if the PI method of Fried and Yuen 1987 is a more appropriate way to calculate the prediction intervals....based on the past "success" of this forecasting method, not the variability of the averages used to generate the point estimate.</t>
        </r>
      </text>
    </comment>
    <comment ref="B38" authorId="0">
      <text>
        <r>
          <rPr>
            <b/>
            <sz val="8"/>
            <color indexed="81"/>
            <rFont val="Tahoma"/>
            <family val="2"/>
          </rPr>
          <t>Steve Moffitt:</t>
        </r>
        <r>
          <rPr>
            <sz val="8"/>
            <color indexed="81"/>
            <rFont val="Tahoma"/>
            <family val="2"/>
          </rPr>
          <t xml:space="preserve">
</t>
        </r>
        <r>
          <rPr>
            <sz val="10"/>
            <color indexed="81"/>
            <rFont val="Tahoma"/>
            <family val="2"/>
          </rPr>
          <t xml:space="preserve">Checked against 2001 AMR </t>
        </r>
      </text>
    </comment>
    <comment ref="C38" authorId="0">
      <text>
        <r>
          <rPr>
            <b/>
            <sz val="8"/>
            <color indexed="81"/>
            <rFont val="Tahoma"/>
            <family val="2"/>
          </rPr>
          <t>Steve Moffitt:</t>
        </r>
        <r>
          <rPr>
            <sz val="8"/>
            <color indexed="81"/>
            <rFont val="Tahoma"/>
            <family val="2"/>
          </rPr>
          <t xml:space="preserve">
</t>
        </r>
        <r>
          <rPr>
            <sz val="14"/>
            <color indexed="81"/>
            <rFont val="Tahoma"/>
            <family val="2"/>
          </rPr>
          <t xml:space="preserve">Numbers from  SF table that Matt Evenson presented to BEG committee  in May 2002.  </t>
        </r>
      </text>
    </comment>
    <comment ref="AE41" authorId="1">
      <text>
        <r>
          <rPr>
            <b/>
            <sz val="12"/>
            <color indexed="81"/>
            <rFont val="Tahoma"/>
            <family val="2"/>
          </rPr>
          <t>rebrenner:</t>
        </r>
        <r>
          <rPr>
            <sz val="12"/>
            <color indexed="81"/>
            <rFont val="Tahoma"/>
            <family val="2"/>
          </rPr>
          <t xml:space="preserve">
Actual = Forecast/(proportion error+1)
</t>
        </r>
      </text>
    </comment>
    <comment ref="AC42" authorId="1">
      <text>
        <r>
          <rPr>
            <b/>
            <sz val="9"/>
            <color indexed="81"/>
            <rFont val="Tahoma"/>
            <family val="2"/>
          </rPr>
          <t>rebrenner:</t>
        </r>
        <r>
          <rPr>
            <sz val="9"/>
            <color indexed="81"/>
            <rFont val="Tahoma"/>
            <family val="2"/>
          </rPr>
          <t xml:space="preserve">
</t>
        </r>
        <r>
          <rPr>
            <sz val="20"/>
            <color indexed="81"/>
            <rFont val="Tahoma"/>
            <family val="2"/>
          </rPr>
          <t>Used this for the 2015 forecast.</t>
        </r>
      </text>
    </comment>
  </commentList>
</comments>
</file>

<file path=xl/comments5.xml><?xml version="1.0" encoding="utf-8"?>
<comments xmlns="http://schemas.openxmlformats.org/spreadsheetml/2006/main">
  <authors>
    <author>rebrenner</author>
    <author>Moffitt, Steve D (DFG)</author>
  </authors>
  <commentList>
    <comment ref="J3" authorId="0">
      <text>
        <r>
          <rPr>
            <b/>
            <sz val="18"/>
            <color indexed="81"/>
            <rFont val="Tahoma"/>
            <family val="2"/>
          </rPr>
          <t>rebrenner:</t>
        </r>
        <r>
          <rPr>
            <sz val="8"/>
            <color indexed="81"/>
            <rFont val="Tahoma"/>
            <family val="2"/>
          </rPr>
          <t xml:space="preserve">
</t>
        </r>
        <r>
          <rPr>
            <sz val="18"/>
            <color indexed="81"/>
            <rFont val="Tahoma"/>
            <family val="2"/>
          </rPr>
          <t>Note that this page is an attempt to gain a biological understanding of the Chinook returns to the CR. These estimates have generally not been used in the forecast document. Instead, yearly total run averages have been used, see the "Mean run forecasts" tab.  However, they might be very useful with a few more years of data!</t>
        </r>
      </text>
    </comment>
    <comment ref="P27" authorId="0">
      <text>
        <r>
          <rPr>
            <b/>
            <sz val="9"/>
            <color indexed="81"/>
            <rFont val="Tahoma"/>
            <family val="2"/>
          </rPr>
          <t>rebrenner:</t>
        </r>
        <r>
          <rPr>
            <sz val="9"/>
            <color indexed="81"/>
            <rFont val="Tahoma"/>
            <family val="2"/>
          </rPr>
          <t xml:space="preserve">
</t>
        </r>
        <r>
          <rPr>
            <sz val="16"/>
            <color indexed="81"/>
            <rFont val="Tahoma"/>
            <family val="2"/>
          </rPr>
          <t>Uses method suggested by Doug Eggers</t>
        </r>
      </text>
    </comment>
    <comment ref="Q27" authorId="0">
      <text>
        <r>
          <rPr>
            <b/>
            <sz val="9"/>
            <color indexed="81"/>
            <rFont val="Tahoma"/>
            <family val="2"/>
          </rPr>
          <t>rebrenner:</t>
        </r>
        <r>
          <rPr>
            <sz val="9"/>
            <color indexed="81"/>
            <rFont val="Tahoma"/>
            <family val="2"/>
          </rPr>
          <t xml:space="preserve">
</t>
        </r>
        <r>
          <rPr>
            <sz val="16"/>
            <color indexed="81"/>
            <rFont val="Tahoma"/>
            <family val="2"/>
          </rPr>
          <t>Uses method suggested by Doug Eggers</t>
        </r>
      </text>
    </comment>
    <comment ref="K33" authorId="0">
      <text>
        <r>
          <rPr>
            <b/>
            <sz val="9"/>
            <color indexed="81"/>
            <rFont val="Tahoma"/>
            <family val="2"/>
          </rPr>
          <t xml:space="preserve">rebrenner:
</t>
        </r>
        <r>
          <rPr>
            <b/>
            <sz val="24"/>
            <color indexed="81"/>
            <rFont val="Tahoma"/>
            <family val="2"/>
          </rPr>
          <t xml:space="preserve"> Possible forecast, which uses 5-year average BY total run size plus the point estimate of the regression of #1.2 to predict #1.3's…..which we don't trust because of non-CR fish being harvested.</t>
        </r>
      </text>
    </comment>
    <comment ref="G41" authorId="1">
      <text>
        <r>
          <rPr>
            <b/>
            <sz val="12"/>
            <color indexed="81"/>
            <rFont val="Tahoma"/>
            <family val="2"/>
          </rPr>
          <t>Moffitt, Steve D (DFG):</t>
        </r>
        <r>
          <rPr>
            <sz val="8"/>
            <color indexed="81"/>
            <rFont val="Tahoma"/>
            <family val="2"/>
          </rPr>
          <t xml:space="preserve">
</t>
        </r>
        <r>
          <rPr>
            <sz val="14"/>
            <color indexed="81"/>
            <rFont val="Tahoma"/>
            <family val="2"/>
          </rPr>
          <t>Average c</t>
        </r>
        <r>
          <rPr>
            <sz val="12"/>
            <color indexed="81"/>
            <rFont val="Tahoma"/>
            <family val="2"/>
          </rPr>
          <t xml:space="preserve">ommercial percentage of the total exploitation. </t>
        </r>
      </text>
    </comment>
  </commentList>
</comments>
</file>

<file path=xl/comments6.xml><?xml version="1.0" encoding="utf-8"?>
<comments xmlns="http://schemas.openxmlformats.org/spreadsheetml/2006/main">
  <authors>
    <author>Steve Moffitt</author>
    <author>Moffitt, Steve D (DFG)</author>
  </authors>
  <commentList>
    <comment ref="Y3"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I5" authorId="1">
      <text>
        <r>
          <rPr>
            <b/>
            <sz val="8"/>
            <color indexed="81"/>
            <rFont val="Tahoma"/>
            <family val="2"/>
          </rPr>
          <t>Moffitt, Steve D (DFG):</t>
        </r>
        <r>
          <rPr>
            <sz val="8"/>
            <color indexed="81"/>
            <rFont val="Tahoma"/>
            <family val="2"/>
          </rPr>
          <t xml:space="preserve">
Sibling forecasts.</t>
        </r>
      </text>
    </comment>
    <comment ref="T5" authorId="1">
      <text>
        <r>
          <rPr>
            <b/>
            <sz val="8"/>
            <color indexed="81"/>
            <rFont val="Tahoma"/>
            <family val="2"/>
          </rPr>
          <t>Moffitt, Steve D (DFG):</t>
        </r>
        <r>
          <rPr>
            <sz val="8"/>
            <color indexed="81"/>
            <rFont val="Tahoma"/>
            <family val="2"/>
          </rPr>
          <t xml:space="preserve">
Retrospective forecasts that all use the same model to forecast the run for each year. </t>
        </r>
      </text>
    </comment>
  </commentList>
</comments>
</file>

<file path=xl/comments7.xml><?xml version="1.0" encoding="utf-8"?>
<comments xmlns="http://schemas.openxmlformats.org/spreadsheetml/2006/main">
  <authors>
    <author>rebrenner</author>
  </authors>
  <commentList>
    <comment ref="C30" authorId="0">
      <text>
        <r>
          <rPr>
            <b/>
            <sz val="9"/>
            <color indexed="81"/>
            <rFont val="Tahoma"/>
            <family val="2"/>
          </rPr>
          <t>rebrenner:</t>
        </r>
        <r>
          <rPr>
            <sz val="9"/>
            <color indexed="81"/>
            <rFont val="Tahoma"/>
            <family val="2"/>
          </rPr>
          <t xml:space="preserve">
Changed to Mark-recapture based estimates of escapement
</t>
        </r>
      </text>
    </comment>
  </commentList>
</comments>
</file>

<file path=xl/comments8.xml><?xml version="1.0" encoding="utf-8"?>
<comments xmlns="http://schemas.openxmlformats.org/spreadsheetml/2006/main">
  <authors>
    <author>rebrenner</author>
  </authors>
  <commentList>
    <comment ref="F24" authorId="0">
      <text>
        <r>
          <rPr>
            <b/>
            <sz val="9"/>
            <color indexed="81"/>
            <rFont val="Tahoma"/>
            <family val="2"/>
          </rPr>
          <t>rebrenner:</t>
        </r>
        <r>
          <rPr>
            <sz val="9"/>
            <color indexed="81"/>
            <rFont val="Tahoma"/>
            <family val="2"/>
          </rPr>
          <t xml:space="preserve">
</t>
        </r>
        <r>
          <rPr>
            <sz val="16"/>
            <color indexed="81"/>
            <rFont val="Tahoma"/>
            <family val="2"/>
          </rPr>
          <t>1997 and prior, I obtained from a pivot table within the Historical AWL file. These may not have been aportioned by harvest.</t>
        </r>
      </text>
    </comment>
    <comment ref="F40" authorId="0">
      <text>
        <r>
          <rPr>
            <b/>
            <sz val="9"/>
            <color indexed="81"/>
            <rFont val="Tahoma"/>
            <family val="2"/>
          </rPr>
          <t>rebrenner:</t>
        </r>
        <r>
          <rPr>
            <sz val="9"/>
            <color indexed="81"/>
            <rFont val="Tahoma"/>
            <family val="2"/>
          </rPr>
          <t xml:space="preserve">
APPB0213CRChin
Strata combined
Years back to at least 1998 are also APPB02..
Need to convert years prior to 1998 and enter here.</t>
        </r>
      </text>
    </comment>
    <comment ref="F41" authorId="0">
      <text>
        <r>
          <rPr>
            <b/>
            <sz val="9"/>
            <color indexed="81"/>
            <rFont val="Tahoma"/>
            <family val="2"/>
          </rPr>
          <t>rebrenner:</t>
        </r>
        <r>
          <rPr>
            <sz val="9"/>
            <color indexed="81"/>
            <rFont val="Tahoma"/>
            <family val="2"/>
          </rPr>
          <t xml:space="preserve">
O:\DCF\SALMON\AWL\CURRENT\REPORTS\2014C&amp;E</t>
        </r>
      </text>
    </comment>
  </commentList>
</comments>
</file>

<file path=xl/comments9.xml><?xml version="1.0" encoding="utf-8"?>
<comments xmlns="http://schemas.openxmlformats.org/spreadsheetml/2006/main">
  <authors>
    <author>Moffitt, Steve D (DFG)</author>
  </authors>
  <commentList>
    <comment ref="B7" authorId="0">
      <text>
        <r>
          <rPr>
            <b/>
            <sz val="8"/>
            <color indexed="81"/>
            <rFont val="Tahoma"/>
            <family val="2"/>
          </rPr>
          <t>Moffitt, Steve D (DFG):</t>
        </r>
        <r>
          <rPr>
            <sz val="8"/>
            <color indexed="81"/>
            <rFont val="Tahoma"/>
            <family val="2"/>
          </rPr>
          <t xml:space="preserve">
</t>
        </r>
        <r>
          <rPr>
            <sz val="14"/>
            <color indexed="81"/>
            <rFont val="Tahoma"/>
            <family val="2"/>
          </rPr>
          <t>Inriver abundance estimated as the proportion of upriver Sub/PU that was Chinook salmon multiplied by the Miles Lake sonar count.</t>
        </r>
      </text>
    </comment>
    <comment ref="B26" authorId="0">
      <text>
        <r>
          <rPr>
            <b/>
            <sz val="8"/>
            <color indexed="81"/>
            <rFont val="Tahoma"/>
            <family val="2"/>
          </rPr>
          <t>Moffitt, Steve D (DFG):</t>
        </r>
        <r>
          <rPr>
            <sz val="8"/>
            <color indexed="81"/>
            <rFont val="Tahoma"/>
            <family val="2"/>
          </rPr>
          <t xml:space="preserve">
</t>
        </r>
        <r>
          <rPr>
            <sz val="14"/>
            <color indexed="81"/>
            <rFont val="Tahoma"/>
            <family val="2"/>
          </rPr>
          <t>mark-recapture</t>
        </r>
        <r>
          <rPr>
            <sz val="8"/>
            <color indexed="81"/>
            <rFont val="Tahoma"/>
            <family val="2"/>
          </rPr>
          <t xml:space="preserve">
</t>
        </r>
      </text>
    </comment>
  </commentList>
</comments>
</file>

<file path=xl/comments10.xml><?xml version="1.0" encoding="utf-8"?>
<comments xmlns="http://schemas.openxmlformats.org/spreadsheetml/2006/main">
  <authors>
    <author>rebrenner</author>
  </authors>
  <commentList>
    <comment ref="F32" authorId="0">
      <text>
        <r>
          <rPr>
            <b/>
            <sz val="8"/>
            <color indexed="81"/>
            <rFont val="Tahoma"/>
            <family val="2"/>
          </rPr>
          <t>rebrenner:</t>
        </r>
        <r>
          <rPr>
            <sz val="8"/>
            <color indexed="81"/>
            <rFont val="Tahoma"/>
            <family val="2"/>
          </rPr>
          <t xml:space="preserve">
APPA0105.xls</t>
        </r>
      </text>
    </comment>
    <comment ref="F35" authorId="0">
      <text>
        <r>
          <rPr>
            <b/>
            <sz val="8"/>
            <color indexed="81"/>
            <rFont val="Tahoma"/>
            <family val="2"/>
          </rPr>
          <t>rebrenner:</t>
        </r>
        <r>
          <rPr>
            <sz val="8"/>
            <color indexed="81"/>
            <rFont val="Tahoma"/>
            <family val="2"/>
          </rPr>
          <t xml:space="preserve">
APPA0108.xls
</t>
        </r>
      </text>
    </comment>
    <comment ref="F36" authorId="0">
      <text>
        <r>
          <rPr>
            <b/>
            <sz val="8"/>
            <color indexed="81"/>
            <rFont val="Tahoma"/>
            <family val="2"/>
          </rPr>
          <t>rebrenner:</t>
        </r>
        <r>
          <rPr>
            <sz val="8"/>
            <color indexed="81"/>
            <rFont val="Tahoma"/>
            <family val="2"/>
          </rPr>
          <t xml:space="preserve">
</t>
        </r>
        <r>
          <rPr>
            <sz val="18"/>
            <color indexed="81"/>
            <rFont val="Tahoma"/>
            <family val="2"/>
          </rPr>
          <t>APPA0109.xls  This is the CR District Commercial Common Property Harvest.</t>
        </r>
      </text>
    </comment>
    <comment ref="F37" authorId="0">
      <text>
        <r>
          <rPr>
            <b/>
            <sz val="9"/>
            <color indexed="81"/>
            <rFont val="Tahoma"/>
            <family val="2"/>
          </rPr>
          <t>rebrenner:</t>
        </r>
        <r>
          <rPr>
            <sz val="9"/>
            <color indexed="81"/>
            <rFont val="Tahoma"/>
            <family val="2"/>
          </rPr>
          <t xml:space="preserve">
</t>
        </r>
        <r>
          <rPr>
            <sz val="18"/>
            <color indexed="81"/>
            <rFont val="Tahoma"/>
            <family val="2"/>
          </rPr>
          <t>From APPA0110</t>
        </r>
      </text>
    </comment>
    <comment ref="F38" authorId="0">
      <text>
        <r>
          <rPr>
            <b/>
            <sz val="9"/>
            <color indexed="81"/>
            <rFont val="Tahoma"/>
            <family val="2"/>
          </rPr>
          <t>rebrenner:</t>
        </r>
        <r>
          <rPr>
            <sz val="9"/>
            <color indexed="81"/>
            <rFont val="Tahoma"/>
            <family val="2"/>
          </rPr>
          <t xml:space="preserve">
</t>
        </r>
        <r>
          <rPr>
            <sz val="20"/>
            <color indexed="81"/>
            <rFont val="Tahoma"/>
            <family val="2"/>
          </rPr>
          <t>APPA0111</t>
        </r>
      </text>
    </comment>
    <comment ref="F39" authorId="0">
      <text>
        <r>
          <rPr>
            <b/>
            <sz val="9"/>
            <color indexed="81"/>
            <rFont val="Tahoma"/>
            <family val="2"/>
          </rPr>
          <t>rebrenner:</t>
        </r>
        <r>
          <rPr>
            <sz val="9"/>
            <color indexed="81"/>
            <rFont val="Tahoma"/>
            <family val="2"/>
          </rPr>
          <t xml:space="preserve">
</t>
        </r>
        <r>
          <rPr>
            <sz val="20"/>
            <color indexed="81"/>
            <rFont val="Tahoma"/>
            <family val="2"/>
          </rPr>
          <t>APPA0112</t>
        </r>
      </text>
    </comment>
    <comment ref="F40" authorId="0">
      <text>
        <r>
          <rPr>
            <b/>
            <sz val="9"/>
            <color indexed="81"/>
            <rFont val="Tahoma"/>
            <family val="2"/>
          </rPr>
          <t>rebrenner:</t>
        </r>
        <r>
          <rPr>
            <sz val="9"/>
            <color indexed="81"/>
            <rFont val="Tahoma"/>
            <family val="2"/>
          </rPr>
          <t xml:space="preserve">
APPA0113CRChin
Strata combined</t>
        </r>
      </text>
    </comment>
  </commentList>
</comments>
</file>

<file path=xl/comments11.xml><?xml version="1.0" encoding="utf-8"?>
<comments xmlns="http://schemas.openxmlformats.org/spreadsheetml/2006/main">
  <authors>
    <author>Moffitt, Steve D (DFG)</author>
  </authors>
  <commentList>
    <comment ref="B5" authorId="0">
      <text>
        <r>
          <rPr>
            <b/>
            <sz val="8"/>
            <color indexed="81"/>
            <rFont val="Tahoma"/>
            <family val="2"/>
          </rPr>
          <t>Moffitt, Steve D (DFG):</t>
        </r>
        <r>
          <rPr>
            <sz val="8"/>
            <color indexed="81"/>
            <rFont val="Tahoma"/>
            <family val="2"/>
          </rPr>
          <t xml:space="preserve">
</t>
        </r>
        <r>
          <rPr>
            <sz val="14"/>
            <color indexed="81"/>
            <rFont val="Tahoma"/>
            <family val="2"/>
          </rPr>
          <t>1980–1998 ASA model 
1999–2013 Mark-recapture minus upriver harvests</t>
        </r>
      </text>
    </comment>
  </commentList>
</comments>
</file>

<file path=xl/comments12.xml><?xml version="1.0" encoding="utf-8"?>
<comments xmlns="http://schemas.openxmlformats.org/spreadsheetml/2006/main">
  <authors>
    <author>rebrenner</author>
    <author>Steve Moffitt</author>
  </authors>
  <commentList>
    <comment ref="A40" authorId="0">
      <text>
        <r>
          <rPr>
            <b/>
            <sz val="9"/>
            <color indexed="81"/>
            <rFont val="Tahoma"/>
            <family val="2"/>
          </rPr>
          <t>rebrenner:</t>
        </r>
        <r>
          <rPr>
            <sz val="9"/>
            <color indexed="81"/>
            <rFont val="Tahoma"/>
            <family val="2"/>
          </rPr>
          <t xml:space="preserve">
</t>
        </r>
        <r>
          <rPr>
            <sz val="20"/>
            <color indexed="81"/>
            <rFont val="Tahoma"/>
            <family val="2"/>
          </rPr>
          <t>Need to manually add this year and copy/paste formulas to the new row each year. Also need to update prediction year below before running jackknife procedure.</t>
        </r>
      </text>
    </comment>
    <comment ref="A41" authorId="0">
      <text>
        <r>
          <rPr>
            <b/>
            <sz val="9"/>
            <color indexed="81"/>
            <rFont val="Tahoma"/>
            <family val="2"/>
          </rPr>
          <t>rebrenner:</t>
        </r>
        <r>
          <rPr>
            <sz val="9"/>
            <color indexed="81"/>
            <rFont val="Tahoma"/>
            <family val="2"/>
          </rPr>
          <t xml:space="preserve">
</t>
        </r>
        <r>
          <rPr>
            <sz val="20"/>
            <color indexed="81"/>
            <rFont val="Tahoma"/>
            <family val="2"/>
          </rPr>
          <t>Need to manually update this each year</t>
        </r>
      </text>
    </comment>
    <comment ref="O47" authorId="0">
      <text>
        <r>
          <rPr>
            <b/>
            <sz val="9"/>
            <color indexed="81"/>
            <rFont val="Tahoma"/>
            <family val="2"/>
          </rPr>
          <t>rebrenner:</t>
        </r>
        <r>
          <rPr>
            <sz val="9"/>
            <color indexed="81"/>
            <rFont val="Tahoma"/>
            <family val="2"/>
          </rPr>
          <t xml:space="preserve">
Need to update formula each year. Formula should include all but the last year of actual data.</t>
        </r>
      </text>
    </comment>
    <comment ref="O48" authorId="0">
      <text>
        <r>
          <rPr>
            <b/>
            <sz val="9"/>
            <color indexed="81"/>
            <rFont val="Tahoma"/>
            <family val="2"/>
          </rPr>
          <t>rebrenner:</t>
        </r>
        <r>
          <rPr>
            <sz val="9"/>
            <color indexed="81"/>
            <rFont val="Tahoma"/>
            <family val="2"/>
          </rPr>
          <t xml:space="preserve">
Need to manually update formula each year to include ALL years with data.</t>
        </r>
      </text>
    </comment>
    <comment ref="T48" authorId="0">
      <text>
        <r>
          <rPr>
            <b/>
            <sz val="9"/>
            <color indexed="81"/>
            <rFont val="Tahoma"/>
            <family val="2"/>
          </rPr>
          <t>rebrenner:</t>
        </r>
        <r>
          <rPr>
            <sz val="9"/>
            <color indexed="81"/>
            <rFont val="Tahoma"/>
            <family val="2"/>
          </rPr>
          <t xml:space="preserve">
Need to manually update formula each year to include all years of data.</t>
        </r>
      </text>
    </comment>
    <comment ref="X48" authorId="0">
      <text>
        <r>
          <rPr>
            <b/>
            <sz val="9"/>
            <color indexed="81"/>
            <rFont val="Tahoma"/>
            <family val="2"/>
          </rPr>
          <t>rebrenner:</t>
        </r>
        <r>
          <rPr>
            <sz val="9"/>
            <color indexed="81"/>
            <rFont val="Tahoma"/>
            <family val="2"/>
          </rPr>
          <t xml:space="preserve">
Need to manually update formula each year to include all years of data.</t>
        </r>
      </text>
    </comment>
    <comment ref="Y48" authorId="0">
      <text>
        <r>
          <rPr>
            <b/>
            <sz val="9"/>
            <color indexed="81"/>
            <rFont val="Tahoma"/>
            <family val="2"/>
          </rPr>
          <t>rebrenner:</t>
        </r>
        <r>
          <rPr>
            <sz val="9"/>
            <color indexed="81"/>
            <rFont val="Tahoma"/>
            <family val="2"/>
          </rPr>
          <t xml:space="preserve">
Need to manually update formula each year to include all years of data.</t>
        </r>
      </text>
    </comment>
    <comment ref="W51" authorId="1">
      <text>
        <r>
          <rPr>
            <b/>
            <sz val="8"/>
            <color indexed="81"/>
            <rFont val="Tahoma"/>
            <family val="2"/>
          </rPr>
          <t>Steve Moffitt:</t>
        </r>
        <r>
          <rPr>
            <sz val="8"/>
            <color indexed="81"/>
            <rFont val="Tahoma"/>
            <family val="2"/>
          </rPr>
          <t xml:space="preserve">
Years with mark-recapture estimates of inriver abundance</t>
        </r>
      </text>
    </comment>
    <comment ref="X51" authorId="0">
      <text>
        <r>
          <rPr>
            <b/>
            <sz val="9"/>
            <color indexed="81"/>
            <rFont val="Tahoma"/>
            <family val="2"/>
          </rPr>
          <t>rebrenner:</t>
        </r>
        <r>
          <rPr>
            <sz val="9"/>
            <color indexed="81"/>
            <rFont val="Tahoma"/>
            <family val="2"/>
          </rPr>
          <t xml:space="preserve">
Need to manually update formula each year to include all years with mark/recapture data.</t>
        </r>
      </text>
    </comment>
    <comment ref="Y51" authorId="0">
      <text>
        <r>
          <rPr>
            <b/>
            <sz val="9"/>
            <color indexed="81"/>
            <rFont val="Tahoma"/>
            <family val="2"/>
          </rPr>
          <t>rebrenner:</t>
        </r>
        <r>
          <rPr>
            <sz val="9"/>
            <color indexed="81"/>
            <rFont val="Tahoma"/>
            <family val="2"/>
          </rPr>
          <t xml:space="preserve">
Need to manually update formula each year to include all years with mark/recapture data.</t>
        </r>
      </text>
    </comment>
    <comment ref="A52" authorId="0">
      <text>
        <r>
          <rPr>
            <b/>
            <sz val="9"/>
            <color indexed="81"/>
            <rFont val="Tahoma"/>
            <family val="2"/>
          </rPr>
          <t>rebrenner:</t>
        </r>
        <r>
          <rPr>
            <sz val="9"/>
            <color indexed="81"/>
            <rFont val="Tahoma"/>
            <family val="2"/>
          </rPr>
          <t xml:space="preserve">
</t>
        </r>
        <r>
          <rPr>
            <sz val="20"/>
            <color indexed="81"/>
            <rFont val="Tahoma"/>
            <family val="2"/>
          </rPr>
          <t>Need to manually insert a new row of data each year.  Also need to change the dates on the 'prediction' row. Finally, you need to update the formulas for MSE Leave 1 out, MSE All, MSE, Avg Err, etc. each year. Then, run the Jackknife procedure.</t>
        </r>
      </text>
    </comment>
  </commentList>
</comments>
</file>

<file path=xl/comments13.xml><?xml version="1.0" encoding="utf-8"?>
<comments xmlns="http://schemas.openxmlformats.org/spreadsheetml/2006/main">
  <authors>
    <author>rebrenner</author>
  </authors>
  <commentList>
    <comment ref="A23" authorId="0">
      <text>
        <r>
          <rPr>
            <b/>
            <sz val="9"/>
            <color indexed="81"/>
            <rFont val="Tahoma"/>
            <family val="2"/>
          </rPr>
          <t>rebrenner:</t>
        </r>
        <r>
          <rPr>
            <sz val="9"/>
            <color indexed="81"/>
            <rFont val="Tahoma"/>
            <family val="2"/>
          </rPr>
          <t xml:space="preserve">
</t>
        </r>
        <r>
          <rPr>
            <sz val="20"/>
            <color indexed="81"/>
            <rFont val="Tahoma"/>
            <family val="2"/>
          </rPr>
          <t>Need to manually add this year and copy/paste formulas to the new row each year. Also need to update prediction year below before running jackknife procedure.</t>
        </r>
      </text>
    </comment>
    <comment ref="O30" authorId="0">
      <text>
        <r>
          <rPr>
            <b/>
            <sz val="9"/>
            <color indexed="81"/>
            <rFont val="Tahoma"/>
            <family val="2"/>
          </rPr>
          <t>rebrenner:</t>
        </r>
        <r>
          <rPr>
            <sz val="9"/>
            <color indexed="81"/>
            <rFont val="Tahoma"/>
            <family val="2"/>
          </rPr>
          <t xml:space="preserve">
Need to update formula each year. Formula should include all but the last year of actual data.</t>
        </r>
      </text>
    </comment>
    <comment ref="O31" authorId="0">
      <text>
        <r>
          <rPr>
            <b/>
            <sz val="9"/>
            <color indexed="81"/>
            <rFont val="Tahoma"/>
            <family val="2"/>
          </rPr>
          <t>rebrenner:</t>
        </r>
        <r>
          <rPr>
            <sz val="9"/>
            <color indexed="81"/>
            <rFont val="Tahoma"/>
            <family val="2"/>
          </rPr>
          <t xml:space="preserve">
Need to manually update formula each year to include ALL years with data.</t>
        </r>
      </text>
    </comment>
    <comment ref="T31" authorId="0">
      <text>
        <r>
          <rPr>
            <b/>
            <sz val="9"/>
            <color indexed="81"/>
            <rFont val="Tahoma"/>
            <family val="2"/>
          </rPr>
          <t>rebrenner:</t>
        </r>
        <r>
          <rPr>
            <sz val="9"/>
            <color indexed="81"/>
            <rFont val="Tahoma"/>
            <family val="2"/>
          </rPr>
          <t xml:space="preserve">
Need to manually update formula each year to include all years of data.</t>
        </r>
      </text>
    </comment>
    <comment ref="X31" authorId="0">
      <text>
        <r>
          <rPr>
            <b/>
            <sz val="9"/>
            <color indexed="81"/>
            <rFont val="Tahoma"/>
            <family val="2"/>
          </rPr>
          <t>rebrenner:</t>
        </r>
        <r>
          <rPr>
            <sz val="9"/>
            <color indexed="81"/>
            <rFont val="Tahoma"/>
            <family val="2"/>
          </rPr>
          <t xml:space="preserve">
Need to manually update formula each year to include all years of data.</t>
        </r>
      </text>
    </comment>
    <comment ref="Y31" authorId="0">
      <text>
        <r>
          <rPr>
            <b/>
            <sz val="9"/>
            <color indexed="81"/>
            <rFont val="Tahoma"/>
            <family val="2"/>
          </rPr>
          <t>rebrenner:</t>
        </r>
        <r>
          <rPr>
            <sz val="9"/>
            <color indexed="81"/>
            <rFont val="Tahoma"/>
            <family val="2"/>
          </rPr>
          <t xml:space="preserve">
Need to manually update formula each year to include all years of data.</t>
        </r>
      </text>
    </comment>
    <comment ref="A35" authorId="0">
      <text>
        <r>
          <rPr>
            <b/>
            <sz val="9"/>
            <color indexed="81"/>
            <rFont val="Tahoma"/>
            <family val="2"/>
          </rPr>
          <t>rebrenner:</t>
        </r>
        <r>
          <rPr>
            <sz val="9"/>
            <color indexed="81"/>
            <rFont val="Tahoma"/>
            <family val="2"/>
          </rPr>
          <t xml:space="preserve">
</t>
        </r>
        <r>
          <rPr>
            <sz val="20"/>
            <color indexed="81"/>
            <rFont val="Tahoma"/>
            <family val="2"/>
          </rPr>
          <t>Need to manually insert a new row of data each year.  Also need to change the dates on the 'prediction' row. Finally, you need to update the formulas for MSE Leave 1 out, MSE All, MSE, Avg Err, etc. each year. Then, run the Jackknife procedure.</t>
        </r>
      </text>
    </comment>
  </commentList>
</comments>
</file>

<file path=xl/comments14.xml><?xml version="1.0" encoding="utf-8"?>
<comments xmlns="http://schemas.openxmlformats.org/spreadsheetml/2006/main">
  <authors>
    <author>rebrenner</author>
    <author>Steve Moffitt</author>
  </authors>
  <commentList>
    <comment ref="A45" authorId="0">
      <text>
        <r>
          <rPr>
            <b/>
            <sz val="9"/>
            <color indexed="81"/>
            <rFont val="Tahoma"/>
            <family val="2"/>
          </rPr>
          <t>rebrenner:</t>
        </r>
        <r>
          <rPr>
            <sz val="9"/>
            <color indexed="81"/>
            <rFont val="Tahoma"/>
            <family val="2"/>
          </rPr>
          <t xml:space="preserve">
Need to manually change this date each year
</t>
        </r>
      </text>
    </comment>
    <comment ref="O47" authorId="0">
      <text>
        <r>
          <rPr>
            <b/>
            <sz val="9"/>
            <color indexed="81"/>
            <rFont val="Tahoma"/>
            <family val="2"/>
          </rPr>
          <t>rebrenner:</t>
        </r>
        <r>
          <rPr>
            <sz val="9"/>
            <color indexed="81"/>
            <rFont val="Tahoma"/>
            <family val="2"/>
          </rPr>
          <t xml:space="preserve">
Need to manually update formula each year
</t>
        </r>
      </text>
    </comment>
    <comment ref="O48" authorId="0">
      <text>
        <r>
          <rPr>
            <b/>
            <sz val="9"/>
            <color indexed="81"/>
            <rFont val="Tahoma"/>
            <family val="2"/>
          </rPr>
          <t>rebrenner:</t>
        </r>
        <r>
          <rPr>
            <sz val="9"/>
            <color indexed="81"/>
            <rFont val="Tahoma"/>
            <family val="2"/>
          </rPr>
          <t xml:space="preserve">
Need to manually update formula each year.</t>
        </r>
      </text>
    </comment>
    <comment ref="T48" authorId="0">
      <text>
        <r>
          <rPr>
            <b/>
            <sz val="9"/>
            <color indexed="81"/>
            <rFont val="Tahoma"/>
            <family val="2"/>
          </rPr>
          <t>rebrenner:</t>
        </r>
        <r>
          <rPr>
            <sz val="9"/>
            <color indexed="81"/>
            <rFont val="Tahoma"/>
            <family val="2"/>
          </rPr>
          <t xml:space="preserve">
Need to manually update formula each year.</t>
        </r>
      </text>
    </comment>
    <comment ref="X48" authorId="0">
      <text>
        <r>
          <rPr>
            <b/>
            <sz val="9"/>
            <color indexed="81"/>
            <rFont val="Tahoma"/>
            <family val="2"/>
          </rPr>
          <t>rebrenner:</t>
        </r>
        <r>
          <rPr>
            <sz val="9"/>
            <color indexed="81"/>
            <rFont val="Tahoma"/>
            <family val="2"/>
          </rPr>
          <t xml:space="preserve">
Need to update formula each year.</t>
        </r>
      </text>
    </comment>
    <comment ref="Y48" authorId="0">
      <text>
        <r>
          <rPr>
            <b/>
            <sz val="9"/>
            <color indexed="81"/>
            <rFont val="Tahoma"/>
            <family val="2"/>
          </rPr>
          <t>rebrenner:</t>
        </r>
        <r>
          <rPr>
            <sz val="9"/>
            <color indexed="81"/>
            <rFont val="Tahoma"/>
            <family val="2"/>
          </rPr>
          <t xml:space="preserve">
Need to update formula each year.</t>
        </r>
      </text>
    </comment>
    <comment ref="W51" authorId="1">
      <text>
        <r>
          <rPr>
            <b/>
            <sz val="8"/>
            <color indexed="81"/>
            <rFont val="Tahoma"/>
            <family val="2"/>
          </rPr>
          <t>Steve Moffitt:</t>
        </r>
        <r>
          <rPr>
            <sz val="8"/>
            <color indexed="81"/>
            <rFont val="Tahoma"/>
            <family val="2"/>
          </rPr>
          <t xml:space="preserve">
Years with mark-recapture estimates of inriver abundance</t>
        </r>
      </text>
    </comment>
    <comment ref="X51" authorId="0">
      <text>
        <r>
          <rPr>
            <b/>
            <sz val="9"/>
            <color indexed="81"/>
            <rFont val="Tahoma"/>
            <family val="2"/>
          </rPr>
          <t>rebrenner:</t>
        </r>
        <r>
          <rPr>
            <sz val="9"/>
            <color indexed="81"/>
            <rFont val="Tahoma"/>
            <family val="2"/>
          </rPr>
          <t xml:space="preserve">
Need to update formula each year
</t>
        </r>
      </text>
    </comment>
    <comment ref="Y51" authorId="0">
      <text>
        <r>
          <rPr>
            <b/>
            <sz val="9"/>
            <color indexed="81"/>
            <rFont val="Tahoma"/>
            <family val="2"/>
          </rPr>
          <t>rebrenner:</t>
        </r>
        <r>
          <rPr>
            <sz val="9"/>
            <color indexed="81"/>
            <rFont val="Tahoma"/>
            <family val="2"/>
          </rPr>
          <t xml:space="preserve">
Need to update formula each year</t>
        </r>
      </text>
    </comment>
  </commentList>
</comments>
</file>

<file path=xl/sharedStrings.xml><?xml version="1.0" encoding="utf-8"?>
<sst xmlns="http://schemas.openxmlformats.org/spreadsheetml/2006/main" count="2732" uniqueCount="492">
  <si>
    <t>Total</t>
  </si>
  <si>
    <t>-</t>
  </si>
  <si>
    <t>Sample</t>
  </si>
  <si>
    <t xml:space="preserve">Sample </t>
  </si>
  <si>
    <t>Data</t>
  </si>
  <si>
    <t>Age 2</t>
  </si>
  <si>
    <t>Age 3</t>
  </si>
  <si>
    <t>Age 4</t>
  </si>
  <si>
    <t>Age 5</t>
  </si>
  <si>
    <t>Age 6</t>
  </si>
  <si>
    <t>Age 7</t>
  </si>
  <si>
    <t>Age 8</t>
  </si>
  <si>
    <t>Year</t>
  </si>
  <si>
    <t>Date(s)</t>
  </si>
  <si>
    <t>Source</t>
  </si>
  <si>
    <t>3.1</t>
  </si>
  <si>
    <t>AMR</t>
  </si>
  <si>
    <t>C&amp;E</t>
  </si>
  <si>
    <t xml:space="preserve">Mean </t>
  </si>
  <si>
    <t>a</t>
  </si>
  <si>
    <t xml:space="preserve">Blanks indicate that no fish of that age occurred in the age samples.  </t>
  </si>
  <si>
    <t>b</t>
  </si>
  <si>
    <t>Sample sizes indicate number of readable scales.</t>
  </si>
  <si>
    <t xml:space="preserve"> </t>
  </si>
  <si>
    <r>
      <t xml:space="preserve">Size </t>
    </r>
    <r>
      <rPr>
        <vertAlign val="superscript"/>
        <sz val="12"/>
        <rFont val="Times New Roman"/>
        <family val="1"/>
      </rPr>
      <t>b</t>
    </r>
  </si>
  <si>
    <t>Percentage by age class and Return year</t>
  </si>
  <si>
    <t>Mean</t>
  </si>
  <si>
    <t>Brood</t>
  </si>
  <si>
    <t>Return</t>
  </si>
  <si>
    <t xml:space="preserve">Copper River Chinook </t>
  </si>
  <si>
    <t>Total Brood Year</t>
  </si>
  <si>
    <t>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</si>
  <si>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</si>
  <si>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</si>
  <si>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</si>
  <si>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</si>
  <si>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</si>
  <si>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</si>
  <si>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</si>
  <si>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</si>
  <si>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</si>
  <si>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</si>
  <si>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</si>
  <si>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</si>
  <si>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</si>
  <si>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</si>
  <si>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</si>
  <si>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</si>
  <si>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</si>
  <si>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</si>
  <si>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</si>
  <si>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</si>
  <si>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</si>
  <si>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X Variable 1</t>
  </si>
  <si>
    <t>Run Size</t>
  </si>
  <si>
    <t>Steve Moffitt</t>
  </si>
  <si>
    <t>total</t>
  </si>
  <si>
    <t>Major brood years for forecasting</t>
  </si>
  <si>
    <t>Percentage</t>
  </si>
  <si>
    <t>Age 1.2</t>
  </si>
  <si>
    <t>R</t>
  </si>
  <si>
    <t>ln(R)</t>
  </si>
  <si>
    <t>Age 1.3</t>
  </si>
  <si>
    <t>Age 1.4</t>
  </si>
  <si>
    <t xml:space="preserve">        Variables</t>
  </si>
  <si>
    <t xml:space="preserve">          Regression Data</t>
  </si>
  <si>
    <t xml:space="preserve">       Confidence Intervals (transformed if applicable)</t>
  </si>
  <si>
    <t>Percent</t>
  </si>
  <si>
    <t>X</t>
  </si>
  <si>
    <t>(A)</t>
  </si>
  <si>
    <t>(B)</t>
  </si>
  <si>
    <t>Labels(B)</t>
  </si>
  <si>
    <t>Confidence Bounds</t>
  </si>
  <si>
    <t>Independent</t>
  </si>
  <si>
    <t>Dependent</t>
  </si>
  <si>
    <t>Std Err</t>
  </si>
  <si>
    <t>Y est</t>
  </si>
  <si>
    <t>Leave 1 out</t>
  </si>
  <si>
    <t>Point</t>
  </si>
  <si>
    <t>Lower</t>
  </si>
  <si>
    <t>Upper</t>
  </si>
  <si>
    <t>Error</t>
  </si>
  <si>
    <t>Predicted</t>
  </si>
  <si>
    <t>Actual</t>
  </si>
  <si>
    <t>(C)</t>
  </si>
  <si>
    <t>(D)</t>
  </si>
  <si>
    <t>d.f.</t>
  </si>
  <si>
    <t>Constant</t>
  </si>
  <si>
    <t>Coef. X</t>
  </si>
  <si>
    <t>"Error"</t>
  </si>
  <si>
    <t>Y</t>
  </si>
  <si>
    <t>Forecast</t>
  </si>
  <si>
    <t xml:space="preserve">Return age </t>
  </si>
  <si>
    <t>x =</t>
  </si>
  <si>
    <t>ln(1.2)</t>
  </si>
  <si>
    <t>y=</t>
  </si>
  <si>
    <t>ln(1.3)</t>
  </si>
  <si>
    <t>Resid df</t>
  </si>
  <si>
    <t>CoefX</t>
  </si>
  <si>
    <t>CoefXSE</t>
  </si>
  <si>
    <r>
      <t>Y</t>
    </r>
    <r>
      <rPr>
        <vertAlign val="subscript"/>
        <sz val="10"/>
        <rFont val="DUTCH"/>
      </rPr>
      <t>est</t>
    </r>
  </si>
  <si>
    <t>YestSE</t>
  </si>
  <si>
    <r>
      <t>R</t>
    </r>
    <r>
      <rPr>
        <vertAlign val="superscript"/>
        <sz val="10"/>
        <rFont val="DUTCH"/>
      </rPr>
      <t>sq</t>
    </r>
  </si>
  <si>
    <t>d.f. =</t>
  </si>
  <si>
    <t>M.S.E. Leave 1 out =</t>
  </si>
  <si>
    <t>t=</t>
  </si>
  <si>
    <t>M.S.E. ALL =</t>
  </si>
  <si>
    <t>M.S.E. =</t>
  </si>
  <si>
    <t>Avg Err=</t>
  </si>
  <si>
    <t>Table of t values (two tailed)</t>
  </si>
  <si>
    <t>LN 1.2</t>
  </si>
  <si>
    <t>ln(1.4)</t>
  </si>
  <si>
    <t>LN 1.3</t>
  </si>
  <si>
    <t>Major Age Classes used in sibling regressions .</t>
  </si>
  <si>
    <t>File:</t>
  </si>
  <si>
    <t>Fishery</t>
  </si>
  <si>
    <t>Estimate</t>
  </si>
  <si>
    <t>Avg</t>
  </si>
  <si>
    <t>Min</t>
  </si>
  <si>
    <t>Max</t>
  </si>
  <si>
    <t>Data Sources:</t>
  </si>
  <si>
    <t xml:space="preserve">1896-1926:  </t>
  </si>
  <si>
    <t>Rich, Willis H &amp; Edward M Ball.  1932.  Statistical Review of the Fisheries, Part III: PWS, CBR.  US Dept Commerce, BCF, Bulletin No 7.</t>
  </si>
  <si>
    <t>1928-1951:</t>
  </si>
  <si>
    <t>Seton H Thompson. 1964.  The red salmon of the Copper R, AK.</t>
  </si>
  <si>
    <t>Mostly calculated from case pack and avg size.</t>
  </si>
  <si>
    <t>1952-1959:</t>
  </si>
  <si>
    <t>INPFC publications.  Unknown which?</t>
  </si>
  <si>
    <t>Annual Management Report 1972-73.  Pirtle, Fridgen, and Bailey.  Appendices 6 and 7.  Citing:</t>
  </si>
  <si>
    <t>This AMR ("ADF&amp;G Field Data")</t>
  </si>
  <si>
    <t>1960-1971:</t>
  </si>
  <si>
    <t>1893-1971</t>
  </si>
  <si>
    <t>PWS Area Annual Finfish Management Report, 1981.  Randall, Fridgen, McCurdy, and Roberson.  1982</t>
  </si>
  <si>
    <t>1972-1973</t>
  </si>
  <si>
    <t>1974-1996</t>
  </si>
  <si>
    <t>PWS Management Area 1996 Annual Finfish Report.  Morstad, Sharp, Wilcock, and Johnson.</t>
  </si>
  <si>
    <t>Sport</t>
  </si>
  <si>
    <t>Harvest</t>
  </si>
  <si>
    <t>Date:</t>
  </si>
  <si>
    <t>Fcast Yr</t>
  </si>
  <si>
    <t>First Title</t>
  </si>
  <si>
    <t>Avg BY</t>
  </si>
  <si>
    <t xml:space="preserve">Age </t>
  </si>
  <si>
    <t>Low</t>
  </si>
  <si>
    <t>High</t>
  </si>
  <si>
    <t>Model</t>
  </si>
  <si>
    <t>Pct Error</t>
  </si>
  <si>
    <t xml:space="preserve"> Comments or Data Source</t>
  </si>
  <si>
    <t>Count</t>
  </si>
  <si>
    <t>n</t>
  </si>
  <si>
    <t>Stdev</t>
  </si>
  <si>
    <t>t value</t>
  </si>
  <si>
    <t>Ln(1.3)=Ln(1.2)</t>
  </si>
  <si>
    <t>Ln(1.4)=Ln(1.3)</t>
  </si>
  <si>
    <r>
      <t>Y</t>
    </r>
    <r>
      <rPr>
        <vertAlign val="subscript"/>
        <sz val="10"/>
        <rFont val="Times New Roman"/>
        <family val="1"/>
      </rPr>
      <t>o</t>
    </r>
  </si>
  <si>
    <r>
      <t>Y</t>
    </r>
    <r>
      <rPr>
        <vertAlign val="subscript"/>
        <sz val="10"/>
        <rFont val="Times New Roman"/>
        <family val="1"/>
      </rPr>
      <t>e</t>
    </r>
  </si>
  <si>
    <r>
      <t>R</t>
    </r>
    <r>
      <rPr>
        <vertAlign val="superscript"/>
        <sz val="10"/>
        <rFont val="Times New Roman"/>
        <family val="1"/>
      </rPr>
      <t>2</t>
    </r>
  </si>
  <si>
    <r>
      <t>Y</t>
    </r>
    <r>
      <rPr>
        <vertAlign val="subscript"/>
        <sz val="10"/>
        <rFont val="Times New Roman"/>
        <family val="1"/>
      </rPr>
      <t>o</t>
    </r>
    <r>
      <rPr>
        <sz val="10"/>
        <rFont val="Times New Roman"/>
        <family val="1"/>
      </rPr>
      <t>-Y</t>
    </r>
    <r>
      <rPr>
        <vertAlign val="subscript"/>
        <sz val="10"/>
        <rFont val="Times New Roman"/>
        <family val="1"/>
      </rPr>
      <t>e</t>
    </r>
  </si>
  <si>
    <r>
      <t>E</t>
    </r>
    <r>
      <rPr>
        <vertAlign val="superscript"/>
        <sz val="10"/>
        <rFont val="Times New Roman"/>
        <family val="1"/>
      </rPr>
      <t>2</t>
    </r>
    <r>
      <rPr>
        <sz val="10"/>
        <rFont val="Times New Roman"/>
        <family val="1"/>
      </rPr>
      <t>=(Y</t>
    </r>
    <r>
      <rPr>
        <vertAlign val="subscript"/>
        <sz val="10"/>
        <rFont val="Times New Roman"/>
        <family val="1"/>
      </rPr>
      <t>a</t>
    </r>
    <r>
      <rPr>
        <sz val="10"/>
        <rFont val="Times New Roman"/>
        <family val="1"/>
      </rPr>
      <t>-Y</t>
    </r>
    <r>
      <rPr>
        <vertAlign val="subscript"/>
        <sz val="10"/>
        <rFont val="Times New Roman"/>
        <family val="1"/>
      </rPr>
      <t>e</t>
    </r>
    <r>
      <rPr>
        <sz val="10"/>
        <rFont val="Times New Roman"/>
        <family val="1"/>
      </rPr>
      <t>)</t>
    </r>
    <r>
      <rPr>
        <vertAlign val="superscript"/>
        <sz val="10"/>
        <rFont val="Times New Roman"/>
        <family val="1"/>
      </rPr>
      <t>2</t>
    </r>
  </si>
  <si>
    <r>
      <t>Y</t>
    </r>
    <r>
      <rPr>
        <vertAlign val="subscript"/>
        <sz val="10"/>
        <rFont val="Times New Roman"/>
        <family val="1"/>
      </rPr>
      <t>e</t>
    </r>
    <r>
      <rPr>
        <sz val="10"/>
        <rFont val="Times New Roman"/>
        <family val="1"/>
      </rPr>
      <t>-Avg(E</t>
    </r>
    <r>
      <rPr>
        <vertAlign val="superscript"/>
        <sz val="10"/>
        <rFont val="Times New Roman"/>
        <family val="1"/>
      </rPr>
      <t>2</t>
    </r>
    <r>
      <rPr>
        <sz val="10"/>
        <rFont val="Times New Roman"/>
        <family val="1"/>
      </rPr>
      <t>)</t>
    </r>
  </si>
  <si>
    <r>
      <t>(Y</t>
    </r>
    <r>
      <rPr>
        <vertAlign val="subscript"/>
        <sz val="10"/>
        <rFont val="Times New Roman"/>
        <family val="1"/>
      </rPr>
      <t>e</t>
    </r>
    <r>
      <rPr>
        <sz val="10"/>
        <rFont val="Times New Roman"/>
        <family val="1"/>
      </rPr>
      <t>-Y</t>
    </r>
    <r>
      <rPr>
        <vertAlign val="subscript"/>
        <sz val="10"/>
        <rFont val="Times New Roman"/>
        <family val="1"/>
      </rPr>
      <t>o</t>
    </r>
    <r>
      <rPr>
        <sz val="10"/>
        <rFont val="Times New Roman"/>
        <family val="1"/>
      </rPr>
      <t>)/Y</t>
    </r>
    <r>
      <rPr>
        <vertAlign val="subscript"/>
        <sz val="10"/>
        <rFont val="Times New Roman"/>
        <family val="1"/>
      </rPr>
      <t>o</t>
    </r>
  </si>
  <si>
    <t>Totals</t>
  </si>
  <si>
    <t>Brood Years 1975-1995</t>
  </si>
  <si>
    <r>
      <t xml:space="preserve">Return </t>
    </r>
    <r>
      <rPr>
        <b/>
        <vertAlign val="superscript"/>
        <sz val="14"/>
        <rFont val="SWISS"/>
      </rPr>
      <t>a</t>
    </r>
  </si>
  <si>
    <t>Total Run Size Estimate</t>
  </si>
  <si>
    <t>Copper River Chinook Run Summary</t>
  </si>
  <si>
    <t>Forecasted Total Run Size</t>
  </si>
  <si>
    <t>Commercial</t>
  </si>
  <si>
    <t>80% CI</t>
  </si>
  <si>
    <t>80% CI of Mean</t>
  </si>
  <si>
    <t>Sockeye</t>
  </si>
  <si>
    <t>Chinook</t>
  </si>
  <si>
    <t>Mark/Recap</t>
  </si>
  <si>
    <t>Use for examining total age 4 to forecast total age 5, etc.</t>
  </si>
  <si>
    <t>Forecast Model for predicting Ln(1.3) from returns of Ln(1.2) from the same brood Year</t>
  </si>
  <si>
    <t>Estimated Total Run Size copied in from sheet T Run Size</t>
  </si>
  <si>
    <t>Age composition from harvest applied to estimated total Run Size</t>
  </si>
  <si>
    <t xml:space="preserve">Copper River Chinook Total Run </t>
  </si>
  <si>
    <t>80%         Confidence Intervals (in numbers of fish)</t>
  </si>
  <si>
    <t>Escapement</t>
  </si>
  <si>
    <t>Table</t>
  </si>
  <si>
    <r>
      <t xml:space="preserve">R </t>
    </r>
    <r>
      <rPr>
        <b/>
        <vertAlign val="superscript"/>
        <sz val="14"/>
        <rFont val="SWISS"/>
      </rPr>
      <t>2</t>
    </r>
  </si>
  <si>
    <t>Total BOF directed escapement</t>
  </si>
  <si>
    <t>NATURAL PRODUCTION:  Summary of Leaving-1-Out procedures and average brood year returns.</t>
  </si>
  <si>
    <t>00</t>
  </si>
  <si>
    <t>01</t>
  </si>
  <si>
    <t>MSE</t>
  </si>
  <si>
    <t>In No. of Fish</t>
  </si>
  <si>
    <t>02</t>
  </si>
  <si>
    <t xml:space="preserve">Brood </t>
  </si>
  <si>
    <t xml:space="preserve">Chart </t>
  </si>
  <si>
    <t xml:space="preserve">Predicted </t>
  </si>
  <si>
    <t xml:space="preserve">Escapement </t>
  </si>
  <si>
    <t>Label</t>
  </si>
  <si>
    <t>R/S</t>
  </si>
  <si>
    <t>Ln(R/S)</t>
  </si>
  <si>
    <t>Yield</t>
  </si>
  <si>
    <t>Range (millions)</t>
  </si>
  <si>
    <t>a =</t>
  </si>
  <si>
    <t>-a/b =</t>
  </si>
  <si>
    <t>b =</t>
  </si>
  <si>
    <t>a' =</t>
  </si>
  <si>
    <t>b' =</t>
  </si>
  <si>
    <t>Smsy =</t>
  </si>
  <si>
    <t>Umsy =</t>
  </si>
  <si>
    <t>Lower 95.0%</t>
  </si>
  <si>
    <t>Upper 95.0%</t>
  </si>
  <si>
    <t>RESIDUAL OUTPUT</t>
  </si>
  <si>
    <t>Observation</t>
  </si>
  <si>
    <t>Predicted Y</t>
  </si>
  <si>
    <t>Residuals</t>
  </si>
  <si>
    <t>Standard Residuals</t>
  </si>
  <si>
    <t>Yield Curve</t>
  </si>
  <si>
    <t>Copper River District</t>
  </si>
  <si>
    <t>Personal Use</t>
  </si>
  <si>
    <t>Subsistence</t>
  </si>
  <si>
    <t>Educational</t>
  </si>
  <si>
    <t>03</t>
  </si>
  <si>
    <t>04</t>
  </si>
  <si>
    <t>05</t>
  </si>
  <si>
    <t>06</t>
  </si>
  <si>
    <t>Copper River Chinook salmon ricker model.</t>
  </si>
  <si>
    <t>spawners</t>
  </si>
  <si>
    <t>Numbers by age class by BROOD YEAR</t>
  </si>
  <si>
    <t>Average</t>
  </si>
  <si>
    <t>Misc.</t>
  </si>
  <si>
    <t xml:space="preserve">Harvest </t>
  </si>
  <si>
    <t>Upper Copper River</t>
  </si>
  <si>
    <t>SUB/PU</t>
  </si>
  <si>
    <t>NA</t>
  </si>
  <si>
    <t>Table x.</t>
  </si>
  <si>
    <t xml:space="preserve">Mark recapture </t>
  </si>
  <si>
    <t xml:space="preserve">Sport   </t>
  </si>
  <si>
    <t>d</t>
  </si>
  <si>
    <t>e</t>
  </si>
  <si>
    <t xml:space="preserve">Total   </t>
  </si>
  <si>
    <r>
      <t xml:space="preserve">Inriver estimate </t>
    </r>
    <r>
      <rPr>
        <vertAlign val="superscript"/>
        <sz val="12"/>
        <rFont val="Times New Roman"/>
        <family val="1"/>
      </rPr>
      <t>c</t>
    </r>
  </si>
  <si>
    <t>Spawning Esc.</t>
  </si>
  <si>
    <t>Total Harvest</t>
  </si>
  <si>
    <t>All harvests</t>
  </si>
  <si>
    <r>
      <t xml:space="preserve">SUB/PU </t>
    </r>
    <r>
      <rPr>
        <vertAlign val="superscript"/>
        <sz val="12"/>
        <rFont val="Times New Roman"/>
        <family val="1"/>
      </rPr>
      <t xml:space="preserve">a   </t>
    </r>
  </si>
  <si>
    <r>
      <t xml:space="preserve">Upriver only </t>
    </r>
    <r>
      <rPr>
        <vertAlign val="superscript"/>
        <sz val="12"/>
        <rFont val="Times New Roman"/>
        <family val="1"/>
      </rPr>
      <t>b</t>
    </r>
  </si>
  <si>
    <r>
      <t xml:space="preserve">a </t>
    </r>
    <r>
      <rPr>
        <sz val="12"/>
        <rFont val="Times New Roman"/>
        <family val="1"/>
      </rPr>
      <t>All State and Federal subsistence harvests in the Glennallen and Chitina Subdistricts and all Chitina Subdistrict personal use harvests combined.</t>
    </r>
  </si>
  <si>
    <r>
      <t xml:space="preserve">b </t>
    </r>
    <r>
      <rPr>
        <sz val="12"/>
        <rFont val="Times New Roman"/>
        <family val="1"/>
      </rPr>
      <t>All State and Federal subsistence harvests in the Glennallen and Chitina Subdistricts, all Chitina Subdistrict personal use harvests, and all sport fishery harvests combinded.</t>
    </r>
  </si>
  <si>
    <r>
      <t xml:space="preserve">c </t>
    </r>
    <r>
      <rPr>
        <sz val="12"/>
        <rFont val="Times New Roman"/>
        <family val="1"/>
      </rPr>
      <t>The estimate of Chinook salmon in the Copper River above Miles Lake before any inriver fishery harvests.</t>
    </r>
  </si>
  <si>
    <r>
      <t>d</t>
    </r>
    <r>
      <rPr>
        <sz val="12"/>
        <rFont val="Times New Roman"/>
        <family val="1"/>
      </rPr>
      <t xml:space="preserve"> ADF&amp;G mark-recapture estimate.</t>
    </r>
  </si>
  <si>
    <r>
      <t>e</t>
    </r>
    <r>
      <rPr>
        <sz val="12"/>
        <rFont val="Times New Roman"/>
        <family val="1"/>
      </rPr>
      <t xml:space="preserve"> NVE mark-recapture estimate. </t>
    </r>
  </si>
  <si>
    <t xml:space="preserve">UCR </t>
  </si>
  <si>
    <t xml:space="preserve">Sport </t>
  </si>
  <si>
    <t>Copper River Chinook salmon estimated exploitation rates, 1999-2005.</t>
  </si>
  <si>
    <t>All upriver 2005 harvests are preliminary.</t>
  </si>
  <si>
    <t>SD</t>
  </si>
  <si>
    <t xml:space="preserve">t </t>
  </si>
  <si>
    <t>Mid Point</t>
  </si>
  <si>
    <t>2 year</t>
  </si>
  <si>
    <t>3 year</t>
  </si>
  <si>
    <t xml:space="preserve">4 year </t>
  </si>
  <si>
    <t>5 year</t>
  </si>
  <si>
    <t>Forecast using total run size averages</t>
  </si>
  <si>
    <t>Forecast error in fish</t>
  </si>
  <si>
    <t>Forecast percentage error</t>
  </si>
  <si>
    <t>Forecast absolute percentage error</t>
  </si>
  <si>
    <t>PY</t>
  </si>
  <si>
    <t>07</t>
  </si>
  <si>
    <t>Mean all yrs</t>
  </si>
  <si>
    <t>Forecasts based on mean run size</t>
  </si>
  <si>
    <t>XLSTAT 6.1.9 - Linear Regression - 12/8/2007 at 11:10:46 AM</t>
  </si>
  <si>
    <t>Dependent variable(s) workbook = 2008 Copper River Chinook forecast.xls / sheet = Ln1.3=ln1.2 / range = $D$12:$D$36 / 25 rows and 1 column</t>
  </si>
  <si>
    <t>Uniform weighting (default)</t>
  </si>
  <si>
    <t>Quantitative variables: workbook = 2008 Copper River Chinook forecast.xls / sheet = Ln1.3=ln1.2 / range = $C$12:$C$36 / 25 rows and 1 column</t>
  </si>
  <si>
    <t>No missing values</t>
  </si>
  <si>
    <t>Compute the Cook's distance for each observation</t>
  </si>
  <si>
    <t>Activate this option do display the Type I SS and Type III SS results</t>
  </si>
  <si>
    <t>Confidence interval (%): 95.00</t>
  </si>
  <si>
    <t>Modeling variable 10.2868608488012:</t>
  </si>
  <si>
    <t>Summary for the Dependent variable:</t>
  </si>
  <si>
    <t>Total no. of values</t>
  </si>
  <si>
    <t>No. of values used</t>
  </si>
  <si>
    <t>No. of values ignored</t>
  </si>
  <si>
    <t>Sum of weights</t>
  </si>
  <si>
    <t>Standard deviation</t>
  </si>
  <si>
    <t>Variable</t>
  </si>
  <si>
    <t>Summary for the quantitative variables:</t>
  </si>
  <si>
    <t>Goodness of fit coefficients:</t>
  </si>
  <si>
    <t>R (coefficient of correlation)</t>
  </si>
  <si>
    <t>R² (coefficient of determination)</t>
  </si>
  <si>
    <t>R²adj. (adjusted coefficient of determination)</t>
  </si>
  <si>
    <t>SCR</t>
  </si>
  <si>
    <t>Evaluating the information brought by the variables (H0 = Y=Moy(Y)):</t>
  </si>
  <si>
    <t>Sum of squares</t>
  </si>
  <si>
    <t>Mean square</t>
  </si>
  <si>
    <t>Fisher's F</t>
  </si>
  <si>
    <t>Pr &gt; F</t>
  </si>
  <si>
    <t>&lt; 0.0001</t>
  </si>
  <si>
    <t>Model analysis (Type I SS):</t>
  </si>
  <si>
    <t>Model analysis (Type III SS):</t>
  </si>
  <si>
    <t>Model parameters:</t>
  </si>
  <si>
    <t>Value</t>
  </si>
  <si>
    <t>Student's t</t>
  </si>
  <si>
    <t>Pr &gt; t</t>
  </si>
  <si>
    <t>Lower bound 95 %</t>
  </si>
  <si>
    <t>Upper bound 95 %</t>
  </si>
  <si>
    <t>Parameter</t>
  </si>
  <si>
    <t xml:space="preserve">The equation of the model writes: 10.2868608488012 =  3.92224516515976 + 0.773936680162879*7.44884726929423 </t>
  </si>
  <si>
    <t>Predictions, residuals, and confidence intervals:</t>
  </si>
  <si>
    <t>Obs1</t>
  </si>
  <si>
    <t>Obs2</t>
  </si>
  <si>
    <t>Obs3</t>
  </si>
  <si>
    <t>Obs4</t>
  </si>
  <si>
    <t>Obs5</t>
  </si>
  <si>
    <t>Obs6</t>
  </si>
  <si>
    <t>Obs7</t>
  </si>
  <si>
    <t>Obs8</t>
  </si>
  <si>
    <t>Obs9</t>
  </si>
  <si>
    <t>Obs10</t>
  </si>
  <si>
    <t>Obs11</t>
  </si>
  <si>
    <t>Obs12</t>
  </si>
  <si>
    <t>Obs13</t>
  </si>
  <si>
    <t>Obs14</t>
  </si>
  <si>
    <t>Obs15</t>
  </si>
  <si>
    <t>Obs16</t>
  </si>
  <si>
    <t>Obs17</t>
  </si>
  <si>
    <t>Obs18</t>
  </si>
  <si>
    <t>Obs19</t>
  </si>
  <si>
    <t>Obs20</t>
  </si>
  <si>
    <t>Obs21</t>
  </si>
  <si>
    <t>Obs22</t>
  </si>
  <si>
    <t>Obs23</t>
  </si>
  <si>
    <t>Obs24</t>
  </si>
  <si>
    <t>Obs25</t>
  </si>
  <si>
    <t>Weights</t>
  </si>
  <si>
    <t>10.2868608488012 (Model)</t>
  </si>
  <si>
    <t>Standardized residuals</t>
  </si>
  <si>
    <t>F Lower bound 95 %</t>
  </si>
  <si>
    <t>F Upper bound 95 %</t>
  </si>
  <si>
    <t>t Lower bound 95 %</t>
  </si>
  <si>
    <t>t Upper bound 95 %</t>
  </si>
  <si>
    <t>Cook's D</t>
  </si>
  <si>
    <t>Durbin-Watson statistic: d =</t>
  </si>
  <si>
    <t>Absolute</t>
  </si>
  <si>
    <t>% Error</t>
  </si>
  <si>
    <r>
      <t>ABS(Y</t>
    </r>
    <r>
      <rPr>
        <vertAlign val="subscript"/>
        <sz val="10"/>
        <rFont val="Times New Roman"/>
        <family val="1"/>
      </rPr>
      <t>e</t>
    </r>
    <r>
      <rPr>
        <sz val="10"/>
        <rFont val="Times New Roman"/>
        <family val="1"/>
      </rPr>
      <t>-Y</t>
    </r>
    <r>
      <rPr>
        <vertAlign val="subscript"/>
        <sz val="10"/>
        <rFont val="Times New Roman"/>
        <family val="1"/>
      </rPr>
      <t>o</t>
    </r>
    <r>
      <rPr>
        <sz val="10"/>
        <rFont val="Times New Roman"/>
        <family val="1"/>
      </rPr>
      <t>)/Y</t>
    </r>
    <r>
      <rPr>
        <vertAlign val="subscript"/>
        <sz val="10"/>
        <rFont val="Times New Roman"/>
        <family val="1"/>
      </rPr>
      <t>o</t>
    </r>
  </si>
  <si>
    <t>Avg Err =</t>
  </si>
  <si>
    <t>Harvest Exploitation rates</t>
  </si>
  <si>
    <t>All Years</t>
  </si>
  <si>
    <t>Overall</t>
  </si>
  <si>
    <t xml:space="preserve">Minimum escapement goal = </t>
  </si>
  <si>
    <t>Overall max harvest</t>
  </si>
  <si>
    <t>Commercial harvest</t>
  </si>
  <si>
    <t>Desired P.I. (%)</t>
  </si>
  <si>
    <t>80% PI +/-</t>
  </si>
  <si>
    <t>Lower 80% PI</t>
  </si>
  <si>
    <t>Upper 80% PI</t>
  </si>
  <si>
    <r>
      <t xml:space="preserve">Copper River Chinook </t>
    </r>
    <r>
      <rPr>
        <b/>
        <sz val="26"/>
        <rFont val="Times New Roman"/>
        <family val="1"/>
      </rPr>
      <t>Commercial</t>
    </r>
    <r>
      <rPr>
        <b/>
        <sz val="18"/>
        <rFont val="Times New Roman"/>
        <family val="1"/>
      </rPr>
      <t xml:space="preserve"> Harvest</t>
    </r>
  </si>
  <si>
    <t>4th smallest since 1999</t>
  </si>
  <si>
    <t>08</t>
  </si>
  <si>
    <t>09</t>
  </si>
  <si>
    <t>Lower 80%</t>
  </si>
  <si>
    <t xml:space="preserve">Max </t>
  </si>
  <si>
    <t>Upper 80%</t>
  </si>
  <si>
    <t>Median</t>
  </si>
  <si>
    <t>1999-2010</t>
  </si>
  <si>
    <t>10</t>
  </si>
  <si>
    <t>Proportion of commercial harvest from the overall harvest</t>
  </si>
  <si>
    <t>11</t>
  </si>
  <si>
    <t>n =</t>
  </si>
  <si>
    <t>Mark Sommerville database from December 2010 for upriver harvests, 1960-2009 or 2010.</t>
  </si>
  <si>
    <t>by decade</t>
  </si>
  <si>
    <t>Harvest Total</t>
  </si>
  <si>
    <t>Federal</t>
  </si>
  <si>
    <t>State</t>
  </si>
  <si>
    <t>Homepack/ Personal Use</t>
  </si>
  <si>
    <t>Total Commercial harvest</t>
  </si>
  <si>
    <t xml:space="preserve">Bering River </t>
  </si>
  <si>
    <t>Copper River</t>
  </si>
  <si>
    <t>Return Year</t>
  </si>
  <si>
    <t>Glennallen SubDist</t>
  </si>
  <si>
    <t>Chitina SubDist.</t>
  </si>
  <si>
    <t>Commercial Harvest</t>
  </si>
  <si>
    <t>Average harvest</t>
  </si>
  <si>
    <t>Upper River Subsistence and/or personal use</t>
  </si>
  <si>
    <t>Copper River District (below Baird Canyon)</t>
  </si>
  <si>
    <t>Data in red need to be confirmed and source checked!</t>
  </si>
  <si>
    <t>Copper River Chinook salmon estimates of inriver run size and spawning escapement, 1978–2010.</t>
  </si>
  <si>
    <t xml:space="preserve">Add historical upriver aerial survey indices at some point. </t>
  </si>
  <si>
    <t xml:space="preserve">Estimated Inriver </t>
  </si>
  <si>
    <t>Estimated spawning escapement</t>
  </si>
  <si>
    <r>
      <t xml:space="preserve">Total Sonar Count </t>
    </r>
    <r>
      <rPr>
        <sz val="12"/>
        <color rgb="FFFF0000"/>
        <rFont val="Times New Roman"/>
        <family val="1"/>
      </rPr>
      <t>all salmon</t>
    </r>
  </si>
  <si>
    <t>Coho</t>
  </si>
  <si>
    <t>UCR     proportion Chinook</t>
  </si>
  <si>
    <t>Proportion of sonar count</t>
  </si>
  <si>
    <t xml:space="preserve">Modeled </t>
  </si>
  <si>
    <t>Copper River Chinook salmon summary, 1890–2010.</t>
  </si>
  <si>
    <t>Total System harvest</t>
  </si>
  <si>
    <t>Spawning Escapement</t>
  </si>
  <si>
    <t>Total Run</t>
  </si>
  <si>
    <t>Brood Year Return</t>
  </si>
  <si>
    <t xml:space="preserve">The worksheets "Harvests", "Escapements", and "Total_Run_Size" are in the Escapement_Goal_analysis\111_Catch &amp; Escapement by Stock also. </t>
  </si>
  <si>
    <t>= MAPE</t>
  </si>
  <si>
    <t>= SD</t>
  </si>
  <si>
    <t>Largest Negative  % Error</t>
  </si>
  <si>
    <t>Largest Positive  % Error</t>
  </si>
  <si>
    <t>Lower Range</t>
  </si>
  <si>
    <t>Upper Forecast Range</t>
  </si>
  <si>
    <t>RANK</t>
  </si>
  <si>
    <t>Ranks</t>
  </si>
  <si>
    <t>Copper River Chinook salmon harvests, mark-recapture escapement estimate, total run size, 1999-2011.  All upriver 2011 harvests are preliminary.</t>
  </si>
  <si>
    <t>Max Harvest</t>
  </si>
  <si>
    <t>CCP</t>
  </si>
  <si>
    <t>Average escapement</t>
  </si>
  <si>
    <t>1999–present (years with Mark-recapture estimates of inriver abundance)</t>
  </si>
  <si>
    <t>1980-present</t>
  </si>
  <si>
    <t>REPORTED UCR Sub/PU harvests</t>
  </si>
  <si>
    <t>12</t>
  </si>
  <si>
    <t>Avg. 1890-present</t>
  </si>
  <si>
    <t>Median 1890-present</t>
  </si>
  <si>
    <t>Median 1980-present</t>
  </si>
  <si>
    <t>(1) Enter the Forecast Year here:</t>
  </si>
  <si>
    <t>(2) Update all harvest and escapement data.</t>
  </si>
  <si>
    <t>13</t>
  </si>
  <si>
    <r>
      <t xml:space="preserve">Copper River Chinook </t>
    </r>
    <r>
      <rPr>
        <b/>
        <sz val="26"/>
        <rFont val="Times New Roman"/>
        <family val="1"/>
      </rPr>
      <t>PU&amp;Subsistence</t>
    </r>
    <r>
      <rPr>
        <b/>
        <sz val="18"/>
        <rFont val="Times New Roman"/>
        <family val="1"/>
      </rPr>
      <t xml:space="preserve"> Harvests</t>
    </r>
  </si>
  <si>
    <t>Mean Absolute</t>
  </si>
  <si>
    <t>Point - Lower</t>
  </si>
  <si>
    <t>UPPER - POINT</t>
  </si>
  <si>
    <t>All Yrs Mean</t>
  </si>
  <si>
    <t>5-Yr Mean</t>
  </si>
  <si>
    <t>5 YR Avg BY</t>
  </si>
  <si>
    <t>Exploitation Rate</t>
  </si>
  <si>
    <t xml:space="preserve">Total Commercial harvest </t>
  </si>
  <si>
    <t>5 year average</t>
  </si>
  <si>
    <t>10 year average</t>
  </si>
  <si>
    <t xml:space="preserve">Estimated </t>
  </si>
  <si>
    <t>Run_Year</t>
  </si>
  <si>
    <t>Run Year</t>
  </si>
  <si>
    <t>Inriver abundance</t>
  </si>
  <si>
    <t>LCR Total</t>
  </si>
  <si>
    <t>LCR</t>
  </si>
  <si>
    <t>Total harvests</t>
  </si>
  <si>
    <t>Lower 80.0%</t>
  </si>
  <si>
    <t>Upper 80.0%</t>
  </si>
  <si>
    <t>Harvest at long-term Esc.</t>
  </si>
  <si>
    <t>SD of error</t>
  </si>
  <si>
    <t>Total Forecast</t>
  </si>
  <si>
    <t>Actual Return</t>
  </si>
  <si>
    <t>Run</t>
  </si>
  <si>
    <t>total Run</t>
  </si>
  <si>
    <t>Numbers by age class by RUN YEAR</t>
  </si>
  <si>
    <t>APE</t>
  </si>
  <si>
    <t>Sum</t>
  </si>
  <si>
    <t>MAPE</t>
  </si>
  <si>
    <t xml:space="preserve">Retrospective forecasts using previous 5 year average to forecast all but age 1.3 fish.  </t>
  </si>
  <si>
    <t>A sibling regression was used to forecast age 1.3 using the number of age 1.2 fish the previous year.</t>
  </si>
  <si>
    <t>Squared Error</t>
  </si>
  <si>
    <t>Sum of errors</t>
  </si>
  <si>
    <t>Mean Error</t>
  </si>
  <si>
    <t>n-1 =</t>
  </si>
  <si>
    <t>t_n-1,0.2 =</t>
  </si>
  <si>
    <t>t-values</t>
  </si>
  <si>
    <t>alpha</t>
  </si>
  <si>
    <t>Error 1/2 width</t>
  </si>
  <si>
    <t>U 80%</t>
  </si>
  <si>
    <t>L 80%</t>
  </si>
  <si>
    <t>The following is correct calculation suggested by Doug Eggers</t>
  </si>
  <si>
    <t>Point-Lower</t>
  </si>
  <si>
    <t>Upper-Point</t>
  </si>
  <si>
    <t>Stock 1</t>
  </si>
  <si>
    <t>Stock 2</t>
  </si>
  <si>
    <t>Stock 3</t>
  </si>
  <si>
    <t>Stock 4</t>
  </si>
  <si>
    <t>Point -L80%</t>
  </si>
  <si>
    <t>U80% - Point</t>
  </si>
  <si>
    <t>L80% CI</t>
  </si>
  <si>
    <t xml:space="preserve">Point </t>
  </si>
  <si>
    <t>U80% CI</t>
  </si>
  <si>
    <t>From Xinxian in 2009</t>
  </si>
  <si>
    <t>2014 Total Run Forecast</t>
  </si>
  <si>
    <t>Escapement goal =</t>
  </si>
  <si>
    <t>2014 Total harvest Forecast</t>
  </si>
  <si>
    <t>2014 Commercial harvest Forecast</t>
  </si>
  <si>
    <t>5 Year average CCP proportion of total harvest =</t>
  </si>
  <si>
    <t>Numbers by age class and Return year from estimated Lower Copper River harvests and commercial harvest age compositions.</t>
  </si>
  <si>
    <t>%Error</t>
  </si>
  <si>
    <t>Forecast Model for predicting ln(1.4) from returns of ln(1.3) from the same brood Year</t>
  </si>
  <si>
    <t>Copper/Bering River Chinook Harvests, 1890–2014.</t>
  </si>
  <si>
    <t>1.3 Return</t>
  </si>
  <si>
    <t>1999-2014</t>
  </si>
  <si>
    <t>CCP Harvest</t>
  </si>
  <si>
    <t>CCP Overall Exploitaiton</t>
  </si>
  <si>
    <t>Overall Total Exploitation</t>
  </si>
  <si>
    <t>2015 Forecast</t>
  </si>
  <si>
    <t>Last 5 (2010-2014)</t>
  </si>
  <si>
    <t xml:space="preserve">  All LCR harvests</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</si>
</sst>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43" formatCode="_(* #,##0.00_);_(* \(#,##0.00\);_(* &quot;-&quot;??_);_(@_)"/>
    <numFmt numFmtId="164" formatCode="_(* #,##0_);_(* \(#,##0\);_(* &quot;-&quot;??_);_(@_)"/>
    <numFmt numFmtId="165" formatCode="0.0000"/>
    <numFmt numFmtId="166" formatCode="0.000"/>
    <numFmt numFmtId="167" formatCode="mm/dd_)"/>
    <numFmt numFmtId="168" formatCode="0.00000"/>
    <numFmt numFmtId="169" formatCode="mm/dd/yy_)"/>
    <numFmt numFmtId="170" formatCode="0.0_)"/>
    <numFmt numFmtId="171" formatCode="0.00_)"/>
    <numFmt numFmtId="172" formatCode="dd\-mmm\-yy_)"/>
    <numFmt numFmtId="173" formatCode="#,##0.0"/>
    <numFmt numFmtId="174" formatCode="0.0000000"/>
    <numFmt numFmtId="175" formatCode="0.0%"/>
    <numFmt numFmtId="176" formatCode="0.0000_)"/>
    <numFmt numFmtId="177" formatCode="0.0000000_)"/>
    <numFmt numFmtId="178" formatCode="0.00000_)"/>
    <numFmt numFmtId="179" formatCode="0.000_)"/>
    <numFmt numFmtId="180" formatCode="0_)"/>
    <numFmt numFmtId="181" formatCode="0.00_);[Red]\(0.00\)"/>
    <numFmt numFmtId="182" formatCode="#,##0.0000"/>
    <numFmt numFmtId="183" formatCode="0.0000000000000000"/>
    <numFmt numFmtId="184" formatCode="0.000000"/>
    <numFmt numFmtId="185" formatCode="0.0000000000000"/>
    <numFmt numFmtId="186" formatCode="0.00000000"/>
    <numFmt numFmtId="187" formatCode="#,##0.000"/>
    <numFmt numFmtId="188" formatCode="0.0000_);[Red]\(0.0000\)"/>
    <numFmt numFmtId="189" formatCode="0.00000_);[Red]\(0.00000\)"/>
    <numFmt numFmtId="190" formatCode="0.000_);[Red]\(0.000\)"/>
  </numFmts>
  <fonts count="101">
    <font>
      <sz val="10"/>
      <name val="Times New Roman"/>
    </font>
    <font>
      <sz val="10"/>
      <name val="Times New Roman"/>
      <family val="1"/>
    </font>
    <font>
      <sz val="12"/>
      <name val="Times New Roman"/>
      <family val="1"/>
    </font>
    <font>
      <sz val="12"/>
      <color indexed="48"/>
      <name val="Times New Roman"/>
      <family val="1"/>
    </font>
    <font>
      <b/>
      <sz val="18"/>
      <name val="Times New Roman"/>
      <family val="1"/>
    </font>
    <font>
      <sz val="10"/>
      <name val="Times New Roman"/>
      <family val="1"/>
    </font>
    <font>
      <sz val="12"/>
      <color indexed="8"/>
      <name val="Times New Roman"/>
      <family val="1"/>
    </font>
    <font>
      <sz val="14"/>
      <name val="Times New Roman"/>
      <family val="1"/>
    </font>
    <font>
      <sz val="14"/>
      <color indexed="12"/>
      <name val="Times New Roman"/>
      <family val="1"/>
    </font>
    <font>
      <sz val="12"/>
      <color indexed="12"/>
      <name val="Times New Roman"/>
      <family val="1"/>
    </font>
    <font>
      <vertAlign val="superscript"/>
      <sz val="12"/>
      <name val="Times New Roman"/>
      <family val="1"/>
    </font>
    <font>
      <sz val="12"/>
      <name val="Arial"/>
      <family val="2"/>
    </font>
    <font>
      <sz val="10"/>
      <color indexed="12"/>
      <name val="Times New Roman"/>
      <family val="1"/>
    </font>
    <font>
      <i/>
      <sz val="10"/>
      <name val="Times New Roman"/>
      <family val="1"/>
    </font>
    <font>
      <sz val="14"/>
      <color indexed="48"/>
      <name val="Times New Roman"/>
      <family val="1"/>
    </font>
    <font>
      <sz val="16"/>
      <name val="Times New Roman"/>
      <family val="1"/>
    </font>
    <font>
      <sz val="18"/>
      <name val="Times New Roman"/>
      <family val="1"/>
    </font>
    <font>
      <vertAlign val="superscript"/>
      <sz val="10"/>
      <name val="Times New Roman"/>
      <family val="1"/>
    </font>
    <font>
      <sz val="10"/>
      <name val="DUTCH"/>
      <family val="1"/>
    </font>
    <font>
      <vertAlign val="subscript"/>
      <sz val="10"/>
      <name val="DUTCH"/>
    </font>
    <font>
      <vertAlign val="superscript"/>
      <sz val="10"/>
      <name val="DUTCH"/>
    </font>
    <font>
      <sz val="12"/>
      <color indexed="12"/>
      <name val="SWISS"/>
      <family val="2"/>
    </font>
    <font>
      <sz val="14"/>
      <color indexed="53"/>
      <name val="Times New Roman"/>
      <family val="1"/>
    </font>
    <font>
      <sz val="12"/>
      <color indexed="53"/>
      <name val="Times New Roman"/>
      <family val="1"/>
    </font>
    <font>
      <b/>
      <sz val="18"/>
      <color indexed="12"/>
      <name val="Matura MT Script Capitals"/>
      <family val="4"/>
    </font>
    <font>
      <sz val="12"/>
      <color indexed="8"/>
      <name val="SWISS"/>
      <family val="2"/>
    </font>
    <font>
      <b/>
      <sz val="12"/>
      <name val="SWISS"/>
      <family val="2"/>
    </font>
    <font>
      <vertAlign val="subscript"/>
      <sz val="10"/>
      <name val="Times New Roman"/>
      <family val="1"/>
    </font>
    <font>
      <b/>
      <vertAlign val="superscript"/>
      <sz val="14"/>
      <name val="SWISS"/>
    </font>
    <font>
      <vertAlign val="superscript"/>
      <sz val="14"/>
      <name val="Times New Roman"/>
      <family val="1"/>
    </font>
    <font>
      <b/>
      <sz val="16"/>
      <name val="Times New Roman"/>
      <family val="1"/>
    </font>
    <font>
      <b/>
      <sz val="14"/>
      <name val="Times New Roman"/>
      <family val="1"/>
    </font>
    <font>
      <b/>
      <sz val="8"/>
      <color indexed="81"/>
      <name val="Tahoma"/>
      <family val="2"/>
    </font>
    <font>
      <sz val="8"/>
      <color indexed="81"/>
      <name val="Tahoma"/>
      <family val="2"/>
    </font>
    <font>
      <sz val="16"/>
      <color indexed="53"/>
      <name val="Times New Roman"/>
      <family val="1"/>
    </font>
    <font>
      <sz val="14"/>
      <color indexed="81"/>
      <name val="Tahoma"/>
      <family val="2"/>
    </font>
    <font>
      <b/>
      <sz val="12"/>
      <name val="Times New Roman"/>
      <family val="1"/>
    </font>
    <font>
      <b/>
      <sz val="18"/>
      <color indexed="12"/>
      <name val="Times New Roman"/>
      <family val="1"/>
    </font>
    <font>
      <sz val="10"/>
      <color indexed="10"/>
      <name val="Times New Roman"/>
      <family val="1"/>
    </font>
    <font>
      <b/>
      <sz val="10"/>
      <name val="Times New Roman"/>
      <family val="1"/>
    </font>
    <font>
      <sz val="12"/>
      <color indexed="81"/>
      <name val="Tahoma"/>
      <family val="2"/>
    </font>
    <font>
      <sz val="12"/>
      <color indexed="10"/>
      <name val="Times New Roman"/>
      <family val="1"/>
    </font>
    <font>
      <sz val="10"/>
      <color indexed="81"/>
      <name val="Tahoma"/>
      <family val="2"/>
    </font>
    <font>
      <sz val="10"/>
      <name val="Arial"/>
      <family val="2"/>
    </font>
    <font>
      <sz val="10"/>
      <color indexed="8"/>
      <name val="Times New Roman"/>
      <family val="1"/>
    </font>
    <font>
      <sz val="22"/>
      <color indexed="8"/>
      <name val="Times New Roman"/>
      <family val="1"/>
    </font>
    <font>
      <sz val="24"/>
      <color indexed="8"/>
      <name val="Times New Roman"/>
      <family val="1"/>
    </font>
    <font>
      <b/>
      <sz val="10"/>
      <color indexed="10"/>
      <name val="Times New Roman"/>
      <family val="1"/>
    </font>
    <font>
      <b/>
      <sz val="10"/>
      <color indexed="12"/>
      <name val="Arial"/>
      <family val="2"/>
    </font>
    <font>
      <b/>
      <sz val="10"/>
      <color indexed="10"/>
      <name val="Arial"/>
      <family val="2"/>
    </font>
    <font>
      <sz val="16"/>
      <color indexed="81"/>
      <name val="Tahoma"/>
      <family val="2"/>
    </font>
    <font>
      <sz val="14"/>
      <color indexed="10"/>
      <name val="Times New Roman"/>
      <family val="1"/>
    </font>
    <font>
      <sz val="8"/>
      <name val="Times New Roman"/>
      <family val="1"/>
    </font>
    <font>
      <sz val="10"/>
      <color indexed="12"/>
      <name val="Times New Roman"/>
      <family val="1"/>
    </font>
    <font>
      <b/>
      <sz val="14"/>
      <color indexed="8"/>
      <name val="Times New Roman"/>
      <family val="1"/>
    </font>
    <font>
      <vertAlign val="superscript"/>
      <sz val="12"/>
      <color indexed="8"/>
      <name val="Times New Roman"/>
      <family val="1"/>
    </font>
    <font>
      <b/>
      <sz val="12"/>
      <color indexed="81"/>
      <name val="Tahoma"/>
      <family val="2"/>
    </font>
    <font>
      <b/>
      <sz val="16"/>
      <color indexed="12"/>
      <name val="Times New Roman"/>
      <family val="1"/>
    </font>
    <font>
      <sz val="12"/>
      <name val="Times New Roman"/>
      <family val="1"/>
    </font>
    <font>
      <sz val="10"/>
      <color indexed="10"/>
      <name val="Times New Roman"/>
      <family val="1"/>
    </font>
    <font>
      <sz val="12"/>
      <color indexed="12"/>
      <name val="Times New Roman"/>
      <family val="1"/>
    </font>
    <font>
      <sz val="12"/>
      <color indexed="10"/>
      <name val="Times New Roman"/>
      <family val="1"/>
    </font>
    <font>
      <b/>
      <sz val="12"/>
      <name val="Times New Roman"/>
      <family val="1"/>
    </font>
    <font>
      <vertAlign val="superscript"/>
      <sz val="12"/>
      <name val="Times New Roman"/>
      <family val="1"/>
    </font>
    <font>
      <b/>
      <sz val="20"/>
      <name val="Times New Roman"/>
      <family val="1"/>
    </font>
    <font>
      <i/>
      <sz val="10"/>
      <name val="Times New Roman"/>
      <family val="1"/>
    </font>
    <font>
      <b/>
      <sz val="14"/>
      <color indexed="81"/>
      <name val="Tahoma"/>
      <family val="2"/>
    </font>
    <font>
      <vertAlign val="superscript"/>
      <sz val="12"/>
      <color indexed="10"/>
      <name val="Times New Roman"/>
      <family val="1"/>
    </font>
    <font>
      <sz val="18"/>
      <color indexed="10"/>
      <name val="Times New Roman"/>
      <family val="1"/>
    </font>
    <font>
      <vertAlign val="subscript"/>
      <sz val="14"/>
      <color indexed="81"/>
      <name val="Tahoma"/>
      <family val="2"/>
    </font>
    <font>
      <sz val="20"/>
      <color indexed="81"/>
      <name val="Tahoma"/>
      <family val="2"/>
    </font>
    <font>
      <b/>
      <sz val="16"/>
      <color indexed="81"/>
      <name val="Tahoma"/>
      <family val="2"/>
    </font>
    <font>
      <sz val="18"/>
      <color indexed="81"/>
      <name val="Tahoma"/>
      <family val="2"/>
    </font>
    <font>
      <b/>
      <sz val="18"/>
      <color indexed="81"/>
      <name val="Tahoma"/>
      <family val="2"/>
    </font>
    <font>
      <b/>
      <sz val="26"/>
      <name val="Times New Roman"/>
      <family val="1"/>
    </font>
    <font>
      <sz val="9"/>
      <color indexed="81"/>
      <name val="Tahoma"/>
      <family val="2"/>
    </font>
    <font>
      <b/>
      <sz val="9"/>
      <color indexed="81"/>
      <name val="Tahoma"/>
      <family val="2"/>
    </font>
    <font>
      <sz val="12"/>
      <color rgb="FFFF0000"/>
      <name val="Times New Roman"/>
      <family val="1"/>
    </font>
    <font>
      <sz val="10"/>
      <color rgb="FF0000FF"/>
      <name val="Times New Roman"/>
      <family val="1"/>
    </font>
    <font>
      <sz val="10"/>
      <color theme="1"/>
      <name val="Times New Roman"/>
      <family val="1"/>
    </font>
    <font>
      <sz val="10"/>
      <color rgb="FFFF0000"/>
      <name val="Times New Roman"/>
      <family val="1"/>
    </font>
    <font>
      <sz val="9"/>
      <name val="Times New Roman"/>
      <family val="1"/>
    </font>
    <font>
      <sz val="11"/>
      <color indexed="81"/>
      <name val="Tahoma"/>
      <family val="2"/>
    </font>
    <font>
      <sz val="16"/>
      <color rgb="FFFF0000"/>
      <name val="Times New Roman"/>
      <family val="1"/>
    </font>
    <font>
      <sz val="11"/>
      <name val="Times New Roman"/>
      <family val="1"/>
    </font>
    <font>
      <sz val="12"/>
      <color theme="1"/>
      <name val="Times New Roman"/>
      <family val="1"/>
    </font>
    <font>
      <b/>
      <sz val="12"/>
      <color rgb="FFFF0000"/>
      <name val="Times New Roman"/>
      <family val="1"/>
    </font>
    <font>
      <u/>
      <sz val="12"/>
      <name val="Times New Roman"/>
      <family val="1"/>
    </font>
    <font>
      <sz val="12"/>
      <color rgb="FF0000FF"/>
      <name val="Times New Roman"/>
      <family val="1"/>
    </font>
    <font>
      <sz val="20"/>
      <name val="Times New Roman"/>
      <family val="1"/>
    </font>
    <font>
      <b/>
      <sz val="10"/>
      <color indexed="12"/>
      <name val="Times New Roman"/>
      <family val="1"/>
    </font>
    <font>
      <b/>
      <sz val="14"/>
      <color rgb="FF0000FF"/>
      <name val="Times New Roman"/>
      <family val="1"/>
    </font>
    <font>
      <b/>
      <sz val="12"/>
      <color rgb="FF0000FF"/>
      <name val="Times New Roman"/>
      <family val="1"/>
    </font>
    <font>
      <sz val="14"/>
      <color rgb="FF0000FF"/>
      <name val="Times New Roman"/>
      <family val="1"/>
    </font>
    <font>
      <b/>
      <sz val="24"/>
      <color indexed="81"/>
      <name val="Tahoma"/>
      <family val="2"/>
    </font>
    <font>
      <sz val="11"/>
      <color indexed="48"/>
      <name val="Times New Roman"/>
      <family val="1"/>
    </font>
    <font>
      <b/>
      <sz val="11"/>
      <color indexed="48"/>
      <name val="Times New Roman"/>
      <family val="1"/>
    </font>
    <font>
      <sz val="12"/>
      <color indexed="12"/>
      <name val="SWISS"/>
    </font>
    <font>
      <sz val="12"/>
      <color indexed="12"/>
      <name val="Arial MT"/>
    </font>
    <font>
      <sz val="11"/>
      <color rgb="FFFF0000"/>
      <name val="Times New Roman"/>
      <family val="1"/>
    </font>
    <font>
      <sz val="10"/>
      <color rgb="FF000000"/>
      <name val="Times New Roman"/>
      <family val="1"/>
    </font>
  </fonts>
  <fills count="9">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indexed="44"/>
        <bgColor indexed="64"/>
      </patternFill>
    </fill>
    <fill>
      <patternFill patternType="solid">
        <fgColor rgb="FFFFFFFF"/>
        <bgColor indexed="64"/>
      </patternFill>
    </fill>
    <fill>
      <patternFill patternType="solid">
        <fgColor rgb="FFFFC000"/>
        <bgColor indexed="64"/>
      </patternFill>
    </fill>
  </fills>
  <borders count="103">
    <border>
      <left/>
      <right/>
      <top/>
      <bottom/>
      <diagonal/>
    </border>
    <border>
      <left/>
      <right/>
      <top/>
      <bottom style="thin">
        <color indexed="64"/>
      </bottom>
      <diagonal/>
    </border>
    <border>
      <left style="thin">
        <color indexed="8"/>
      </left>
      <right style="thin">
        <color indexed="8"/>
      </right>
      <top style="thin">
        <color indexed="8"/>
      </top>
      <bottom/>
      <diagonal/>
    </border>
    <border>
      <left style="double">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top style="thin">
        <color indexed="8"/>
      </top>
      <bottom/>
      <diagonal/>
    </border>
    <border>
      <left/>
      <right/>
      <top/>
      <bottom style="thin">
        <color indexed="8"/>
      </bottom>
      <diagonal/>
    </border>
    <border>
      <left style="thin">
        <color indexed="8"/>
      </left>
      <right style="thin">
        <color indexed="8"/>
      </right>
      <top style="thin">
        <color indexed="8"/>
      </top>
      <bottom style="double">
        <color indexed="8"/>
      </bottom>
      <diagonal/>
    </border>
    <border>
      <left/>
      <right/>
      <top/>
      <bottom style="medium">
        <color indexed="64"/>
      </bottom>
      <diagonal/>
    </border>
    <border>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8"/>
      </left>
      <right/>
      <top style="thin">
        <color indexed="8"/>
      </top>
      <bottom style="double">
        <color indexed="8"/>
      </bottom>
      <diagonal/>
    </border>
    <border>
      <left/>
      <right style="thin">
        <color indexed="8"/>
      </right>
      <top style="thin">
        <color indexed="8"/>
      </top>
      <bottom style="double">
        <color indexed="8"/>
      </bottom>
      <diagonal/>
    </border>
    <border>
      <left style="medium">
        <color indexed="64"/>
      </left>
      <right style="medium">
        <color indexed="64"/>
      </right>
      <top style="medium">
        <color indexed="64"/>
      </top>
      <bottom style="double">
        <color indexed="8"/>
      </bottom>
      <diagonal/>
    </border>
    <border>
      <left style="thin">
        <color indexed="8"/>
      </left>
      <right/>
      <top style="thin">
        <color indexed="8"/>
      </top>
      <bottom/>
      <diagonal/>
    </border>
    <border>
      <left style="medium">
        <color indexed="64"/>
      </left>
      <right/>
      <top style="medium">
        <color indexed="64"/>
      </top>
      <bottom style="thin">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style="double">
        <color indexed="8"/>
      </bottom>
      <diagonal/>
    </border>
    <border>
      <left/>
      <right/>
      <top style="medium">
        <color indexed="64"/>
      </top>
      <bottom style="thin">
        <color indexed="8"/>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style="thin">
        <color indexed="8"/>
      </bottom>
      <diagonal/>
    </border>
    <border>
      <left style="thin">
        <color indexed="8"/>
      </left>
      <right style="thin">
        <color indexed="8"/>
      </right>
      <top/>
      <bottom style="thin">
        <color indexed="8"/>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thin">
        <color indexed="8"/>
      </right>
      <top/>
      <bottom/>
      <diagonal/>
    </border>
    <border>
      <left style="thin">
        <color indexed="8"/>
      </left>
      <right style="thin">
        <color indexed="8"/>
      </right>
      <top/>
      <bottom/>
      <diagonal/>
    </border>
    <border>
      <left/>
      <right style="thin">
        <color indexed="8"/>
      </right>
      <top style="thin">
        <color indexed="8"/>
      </top>
      <bottom/>
      <diagonal/>
    </border>
    <border>
      <left style="thin">
        <color indexed="8"/>
      </left>
      <right/>
      <top/>
      <bottom/>
      <diagonal/>
    </border>
    <border>
      <left style="thin">
        <color indexed="8"/>
      </left>
      <right/>
      <top/>
      <bottom style="thin">
        <color indexed="8"/>
      </bottom>
      <diagonal/>
    </border>
    <border>
      <left/>
      <right style="thin">
        <color indexed="8"/>
      </right>
      <top/>
      <bottom style="thin">
        <color indexed="8"/>
      </bottom>
      <diagonal/>
    </border>
    <border>
      <left/>
      <right style="thin">
        <color indexed="64"/>
      </right>
      <top/>
      <bottom/>
      <diagonal/>
    </border>
    <border>
      <left/>
      <right/>
      <top/>
      <bottom style="medium">
        <color indexed="8"/>
      </bottom>
      <diagonal/>
    </border>
    <border>
      <left style="double">
        <color indexed="8"/>
      </left>
      <right/>
      <top/>
      <bottom style="medium">
        <color indexed="8"/>
      </bottom>
      <diagonal/>
    </border>
    <border>
      <left/>
      <right style="double">
        <color indexed="8"/>
      </right>
      <top/>
      <bottom style="medium">
        <color indexed="8"/>
      </bottom>
      <diagonal/>
    </border>
    <border>
      <left style="thin">
        <color indexed="8"/>
      </left>
      <right style="thin">
        <color indexed="8"/>
      </right>
      <top style="thin">
        <color indexed="8"/>
      </top>
      <bottom style="thin">
        <color indexed="8"/>
      </bottom>
      <diagonal/>
    </border>
    <border>
      <left style="medium">
        <color indexed="64"/>
      </left>
      <right/>
      <top style="medium">
        <color indexed="64"/>
      </top>
      <bottom/>
      <diagonal/>
    </border>
    <border>
      <left/>
      <right style="thin">
        <color indexed="8"/>
      </right>
      <top style="medium">
        <color indexed="64"/>
      </top>
      <bottom/>
      <diagonal/>
    </border>
    <border>
      <left style="medium">
        <color indexed="64"/>
      </left>
      <right style="thin">
        <color indexed="8"/>
      </right>
      <top style="thin">
        <color indexed="8"/>
      </top>
      <bottom style="medium">
        <color indexed="8"/>
      </bottom>
      <diagonal/>
    </border>
    <border>
      <left/>
      <right style="medium">
        <color indexed="64"/>
      </right>
      <top/>
      <bottom style="medium">
        <color indexed="8"/>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thin">
        <color indexed="8"/>
      </top>
      <bottom/>
      <diagonal/>
    </border>
    <border>
      <left/>
      <right style="medium">
        <color indexed="64"/>
      </right>
      <top/>
      <bottom style="thin">
        <color indexed="64"/>
      </bottom>
      <diagonal/>
    </border>
    <border>
      <left style="medium">
        <color indexed="64"/>
      </left>
      <right/>
      <top/>
      <bottom style="double">
        <color indexed="8"/>
      </bottom>
      <diagonal/>
    </border>
    <border>
      <left/>
      <right style="medium">
        <color indexed="64"/>
      </right>
      <top/>
      <bottom style="double">
        <color indexed="64"/>
      </bottom>
      <diagonal/>
    </border>
    <border>
      <left style="medium">
        <color indexed="64"/>
      </left>
      <right/>
      <top/>
      <bottom style="thin">
        <color indexed="8"/>
      </bottom>
      <diagonal/>
    </border>
    <border>
      <left style="thin">
        <color indexed="8"/>
      </left>
      <right/>
      <top style="thin">
        <color indexed="8"/>
      </top>
      <bottom style="medium">
        <color indexed="8"/>
      </bottom>
      <diagonal/>
    </border>
    <border>
      <left style="thin">
        <color indexed="64"/>
      </left>
      <right/>
      <top/>
      <bottom style="medium">
        <color indexed="8"/>
      </bottom>
      <diagonal/>
    </border>
    <border>
      <left style="thin">
        <color indexed="64"/>
      </left>
      <right/>
      <top style="thin">
        <color indexed="64"/>
      </top>
      <bottom style="medium">
        <color indexed="8"/>
      </bottom>
      <diagonal/>
    </border>
    <border>
      <left style="double">
        <color indexed="8"/>
      </left>
      <right/>
      <top style="medium">
        <color indexed="64"/>
      </top>
      <bottom/>
      <diagonal/>
    </border>
    <border>
      <left/>
      <right style="double">
        <color indexed="8"/>
      </right>
      <top style="medium">
        <color indexed="64"/>
      </top>
      <bottom style="thin">
        <color indexed="64"/>
      </bottom>
      <diagonal/>
    </border>
    <border>
      <left style="medium">
        <color indexed="64"/>
      </left>
      <right/>
      <top/>
      <bottom style="medium">
        <color indexed="8"/>
      </bottom>
      <diagonal/>
    </border>
    <border>
      <left style="medium">
        <color indexed="64"/>
      </left>
      <right style="thin">
        <color indexed="8"/>
      </right>
      <top style="medium">
        <color indexed="64"/>
      </top>
      <bottom/>
      <diagonal/>
    </border>
    <border>
      <left style="thin">
        <color indexed="8"/>
      </left>
      <right style="thin">
        <color indexed="8"/>
      </right>
      <top style="medium">
        <color indexed="64"/>
      </top>
      <bottom/>
      <diagonal/>
    </border>
    <border>
      <left style="thin">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thin">
        <color indexed="64"/>
      </left>
      <right/>
      <top style="thin">
        <color indexed="8"/>
      </top>
      <bottom style="thin">
        <color indexed="64"/>
      </bottom>
      <diagonal/>
    </border>
    <border>
      <left style="medium">
        <color indexed="64"/>
      </left>
      <right/>
      <top style="thin">
        <color indexed="8"/>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double">
        <color indexed="8"/>
      </left>
      <right/>
      <top style="thin">
        <color indexed="8"/>
      </top>
      <bottom/>
      <diagonal/>
    </border>
    <border>
      <left style="thin">
        <color indexed="64"/>
      </left>
      <right style="thin">
        <color indexed="8"/>
      </right>
      <top style="thin">
        <color indexed="8"/>
      </top>
      <bottom/>
      <diagonal/>
    </border>
    <border>
      <left/>
      <right/>
      <top style="thin">
        <color indexed="64"/>
      </top>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8"/>
      </bottom>
      <diagonal/>
    </border>
    <border>
      <left/>
      <right style="thin">
        <color indexed="64"/>
      </right>
      <top style="thin">
        <color indexed="64"/>
      </top>
      <bottom style="thin">
        <color indexed="8"/>
      </bottom>
      <diagonal/>
    </border>
    <border>
      <left/>
      <right/>
      <top style="thin">
        <color indexed="8"/>
      </top>
      <bottom style="thin">
        <color indexed="64"/>
      </bottom>
      <diagonal/>
    </border>
    <border>
      <left style="thin">
        <color indexed="64"/>
      </left>
      <right style="thin">
        <color indexed="64"/>
      </right>
      <top/>
      <bottom style="thin">
        <color indexed="64"/>
      </bottom>
      <diagonal/>
    </border>
    <border>
      <left/>
      <right style="thin">
        <color indexed="64"/>
      </right>
      <top style="thin">
        <color indexed="8"/>
      </top>
      <bottom style="thin">
        <color indexed="64"/>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8"/>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style="thick">
        <color indexed="64"/>
      </right>
      <top/>
      <bottom/>
      <diagonal/>
    </border>
    <border>
      <left style="thin">
        <color indexed="64"/>
      </left>
      <right style="thin">
        <color indexed="64"/>
      </right>
      <top style="thin">
        <color indexed="8"/>
      </top>
      <bottom style="thin">
        <color indexed="64"/>
      </bottom>
      <diagonal/>
    </border>
    <border>
      <left style="thin">
        <color indexed="8"/>
      </left>
      <right style="thin">
        <color indexed="8"/>
      </right>
      <top style="thin">
        <color indexed="64"/>
      </top>
      <bottom/>
      <diagonal/>
    </border>
    <border>
      <left style="medium">
        <color indexed="64"/>
      </left>
      <right style="medium">
        <color indexed="64"/>
      </right>
      <top style="thin">
        <color indexed="64"/>
      </top>
      <bottom/>
      <diagonal/>
    </border>
    <border>
      <left style="double">
        <color indexed="8"/>
      </left>
      <right style="thin">
        <color indexed="8"/>
      </right>
      <top style="thin">
        <color indexed="64"/>
      </top>
      <bottom style="thin">
        <color indexed="8"/>
      </bottom>
      <diagonal/>
    </border>
    <border>
      <left style="thin">
        <color indexed="8"/>
      </left>
      <right/>
      <top style="thin">
        <color indexed="64"/>
      </top>
      <bottom style="thin">
        <color indexed="8"/>
      </bottom>
      <diagonal/>
    </border>
    <border>
      <left/>
      <right style="thin">
        <color indexed="8"/>
      </right>
      <top style="thin">
        <color indexed="64"/>
      </top>
      <bottom style="thin">
        <color indexed="8"/>
      </bottom>
      <diagonal/>
    </border>
    <border>
      <left style="thin">
        <color indexed="8"/>
      </left>
      <right style="thin">
        <color indexed="8"/>
      </right>
      <top/>
      <bottom style="thin">
        <color indexed="64"/>
      </bottom>
      <diagonal/>
    </border>
    <border>
      <left style="medium">
        <color indexed="64"/>
      </left>
      <right style="medium">
        <color indexed="64"/>
      </right>
      <top style="thin">
        <color indexed="8"/>
      </top>
      <bottom style="thin">
        <color indexed="64"/>
      </bottom>
      <diagonal/>
    </border>
    <border>
      <left style="double">
        <color indexed="8"/>
      </left>
      <right style="thin">
        <color indexed="8"/>
      </right>
      <top style="thin">
        <color indexed="8"/>
      </top>
      <bottom style="thin">
        <color indexed="64"/>
      </bottom>
      <diagonal/>
    </border>
    <border>
      <left style="thin">
        <color indexed="8"/>
      </left>
      <right style="thin">
        <color indexed="8"/>
      </right>
      <top style="thin">
        <color indexed="8"/>
      </top>
      <bottom style="thin">
        <color indexed="64"/>
      </bottom>
      <diagonal/>
    </border>
    <border>
      <left style="thin">
        <color indexed="8"/>
      </left>
      <right/>
      <top style="thin">
        <color indexed="8"/>
      </top>
      <bottom style="thin">
        <color indexed="64"/>
      </bottom>
      <diagonal/>
    </border>
    <border>
      <left/>
      <right style="thin">
        <color indexed="64"/>
      </right>
      <top style="thin">
        <color indexed="64"/>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0" borderId="0"/>
  </cellStyleXfs>
  <cellXfs count="937">
    <xf numFmtId="0" fontId="0" fillId="0" borderId="0" xfId="0"/>
    <xf numFmtId="0" fontId="0" fillId="0" borderId="0" xfId="0" applyAlignment="1">
      <alignment horizontal="center"/>
    </xf>
    <xf numFmtId="0" fontId="0" fillId="0" borderId="1" xfId="0" applyBorder="1"/>
    <xf numFmtId="164" fontId="0" fillId="0" borderId="0" xfId="1" applyNumberFormat="1" applyFont="1"/>
    <xf numFmtId="0" fontId="2" fillId="0" borderId="0" xfId="0" applyFont="1"/>
    <xf numFmtId="0" fontId="4" fillId="0" borderId="0" xfId="0" applyFont="1"/>
    <xf numFmtId="0" fontId="5" fillId="0" borderId="0" xfId="0" applyFont="1"/>
    <xf numFmtId="170" fontId="5" fillId="0" borderId="0" xfId="0" applyNumberFormat="1" applyFont="1" applyProtection="1"/>
    <xf numFmtId="0" fontId="2" fillId="0" borderId="3" xfId="0" applyFont="1" applyBorder="1" applyAlignment="1">
      <alignment horizontal="center"/>
    </xf>
    <xf numFmtId="0" fontId="2" fillId="0" borderId="4" xfId="0" applyFont="1" applyBorder="1" applyAlignment="1">
      <alignment horizontal="centerContinuous"/>
    </xf>
    <xf numFmtId="0" fontId="2" fillId="0" borderId="5" xfId="0" applyFont="1" applyBorder="1" applyAlignment="1">
      <alignment horizontal="centerContinuous"/>
    </xf>
    <xf numFmtId="0" fontId="2" fillId="0" borderId="6" xfId="0" applyFont="1" applyBorder="1" applyAlignment="1">
      <alignment horizontal="centerContinuous"/>
    </xf>
    <xf numFmtId="0" fontId="2" fillId="0" borderId="8" xfId="0" applyFont="1" applyBorder="1"/>
    <xf numFmtId="0" fontId="2" fillId="0" borderId="0" xfId="0" applyFont="1" applyBorder="1"/>
    <xf numFmtId="167" fontId="9" fillId="0" borderId="0" xfId="0" applyNumberFormat="1" applyFont="1" applyProtection="1"/>
    <xf numFmtId="167" fontId="9" fillId="0" borderId="0" xfId="0" applyNumberFormat="1" applyFont="1" applyAlignment="1" applyProtection="1">
      <alignment horizontal="center"/>
    </xf>
    <xf numFmtId="170" fontId="2" fillId="0" borderId="0" xfId="0" applyNumberFormat="1" applyFont="1" applyProtection="1"/>
    <xf numFmtId="172" fontId="5" fillId="0" borderId="0" xfId="0" applyNumberFormat="1" applyFont="1" applyProtection="1"/>
    <xf numFmtId="0" fontId="11" fillId="0" borderId="9" xfId="0" applyFont="1" applyBorder="1" applyAlignment="1">
      <alignment horizontal="centerContinuous"/>
    </xf>
    <xf numFmtId="0" fontId="0" fillId="0" borderId="0" xfId="0" applyFill="1" applyBorder="1" applyAlignment="1"/>
    <xf numFmtId="0" fontId="0" fillId="0" borderId="10" xfId="0" applyFill="1" applyBorder="1" applyAlignment="1"/>
    <xf numFmtId="0" fontId="13" fillId="0" borderId="11" xfId="0" applyFont="1" applyFill="1" applyBorder="1" applyAlignment="1">
      <alignment horizontal="center"/>
    </xf>
    <xf numFmtId="0" fontId="13" fillId="0" borderId="11" xfId="0" applyFont="1" applyFill="1" applyBorder="1" applyAlignment="1">
      <alignment horizontal="centerContinuous"/>
    </xf>
    <xf numFmtId="0" fontId="0" fillId="0" borderId="0" xfId="0" applyBorder="1"/>
    <xf numFmtId="0" fontId="5" fillId="0" borderId="12" xfId="0" applyFont="1" applyBorder="1" applyAlignment="1">
      <alignment horizontal="center"/>
    </xf>
    <xf numFmtId="0" fontId="12" fillId="0" borderId="0" xfId="0" applyFont="1"/>
    <xf numFmtId="0" fontId="0" fillId="0" borderId="14" xfId="0" applyBorder="1"/>
    <xf numFmtId="0" fontId="0" fillId="0" borderId="15" xfId="0" applyBorder="1"/>
    <xf numFmtId="0" fontId="0" fillId="0" borderId="16" xfId="0" applyBorder="1"/>
    <xf numFmtId="0" fontId="0" fillId="0" borderId="17" xfId="0" applyBorder="1"/>
    <xf numFmtId="0" fontId="0" fillId="0" borderId="10" xfId="0" applyBorder="1"/>
    <xf numFmtId="0" fontId="0" fillId="0" borderId="18" xfId="0" applyBorder="1"/>
    <xf numFmtId="0" fontId="0" fillId="0" borderId="19" xfId="0" applyBorder="1"/>
    <xf numFmtId="3" fontId="12" fillId="0" borderId="0" xfId="0" applyNumberFormat="1" applyFont="1"/>
    <xf numFmtId="0" fontId="11" fillId="0" borderId="9" xfId="0" applyFont="1" applyBorder="1" applyAlignment="1">
      <alignment horizontal="center"/>
    </xf>
    <xf numFmtId="3" fontId="0" fillId="0" borderId="0" xfId="0" applyNumberFormat="1"/>
    <xf numFmtId="0" fontId="11" fillId="0" borderId="20" xfId="0" applyFont="1" applyBorder="1" applyAlignment="1">
      <alignment horizontal="center"/>
    </xf>
    <xf numFmtId="0" fontId="11" fillId="0" borderId="21" xfId="0" applyFont="1" applyBorder="1" applyAlignment="1">
      <alignment horizontal="centerContinuous"/>
    </xf>
    <xf numFmtId="0" fontId="11" fillId="0" borderId="22" xfId="0" applyFont="1" applyBorder="1" applyAlignment="1">
      <alignment horizontal="centerContinuous"/>
    </xf>
    <xf numFmtId="3" fontId="12" fillId="0" borderId="13" xfId="0" applyNumberFormat="1" applyFont="1" applyBorder="1"/>
    <xf numFmtId="0" fontId="11" fillId="0" borderId="23" xfId="0" applyFont="1" applyBorder="1"/>
    <xf numFmtId="0" fontId="11" fillId="0" borderId="24" xfId="0" applyFont="1" applyBorder="1" applyAlignment="1">
      <alignment horizontal="centerContinuous"/>
    </xf>
    <xf numFmtId="0" fontId="11" fillId="0" borderId="25" xfId="0" applyFont="1" applyBorder="1" applyAlignment="1">
      <alignment horizontal="centerContinuous"/>
    </xf>
    <xf numFmtId="0" fontId="11" fillId="0" borderId="15" xfId="0" applyFont="1" applyBorder="1" applyAlignment="1">
      <alignment horizontal="centerContinuous"/>
    </xf>
    <xf numFmtId="0" fontId="11" fillId="0" borderId="26" xfId="0" applyFont="1" applyBorder="1" applyAlignment="1">
      <alignment horizontal="centerContinuous"/>
    </xf>
    <xf numFmtId="3" fontId="0" fillId="0" borderId="0" xfId="0" applyNumberFormat="1" applyBorder="1"/>
    <xf numFmtId="0" fontId="11" fillId="0" borderId="27" xfId="0" applyFont="1" applyBorder="1" applyAlignment="1">
      <alignment horizontal="centerContinuous"/>
    </xf>
    <xf numFmtId="0" fontId="0" fillId="0" borderId="27" xfId="0" applyBorder="1" applyAlignment="1">
      <alignment horizontal="centerContinuous"/>
    </xf>
    <xf numFmtId="0" fontId="0" fillId="0" borderId="24" xfId="0" applyBorder="1" applyAlignment="1">
      <alignment horizontal="centerContinuous"/>
    </xf>
    <xf numFmtId="0" fontId="0" fillId="0" borderId="25" xfId="0" applyBorder="1" applyAlignment="1">
      <alignment horizontal="centerContinuous"/>
    </xf>
    <xf numFmtId="0" fontId="0" fillId="0" borderId="15" xfId="0" applyBorder="1" applyAlignment="1">
      <alignment horizontal="centerContinuous"/>
    </xf>
    <xf numFmtId="0" fontId="16" fillId="0" borderId="0" xfId="0" applyFont="1"/>
    <xf numFmtId="0" fontId="11" fillId="0" borderId="0" xfId="0" applyFont="1" applyBorder="1"/>
    <xf numFmtId="3" fontId="12" fillId="0" borderId="0" xfId="0" applyNumberFormat="1" applyFont="1" applyBorder="1"/>
    <xf numFmtId="0" fontId="0" fillId="0" borderId="29" xfId="0" applyBorder="1" applyAlignment="1">
      <alignment horizontal="center"/>
    </xf>
    <xf numFmtId="0" fontId="2" fillId="0" borderId="30" xfId="0" applyFont="1" applyBorder="1"/>
    <xf numFmtId="171" fontId="18" fillId="0" borderId="31" xfId="0" applyNumberFormat="1" applyFont="1" applyBorder="1" applyAlignment="1" applyProtection="1">
      <alignment horizontal="center"/>
    </xf>
    <xf numFmtId="0" fontId="18" fillId="0" borderId="31" xfId="0" applyFont="1" applyBorder="1" applyAlignment="1">
      <alignment horizontal="center"/>
    </xf>
    <xf numFmtId="177" fontId="18" fillId="0" borderId="31" xfId="0" applyNumberFormat="1" applyFont="1" applyBorder="1" applyAlignment="1" applyProtection="1">
      <alignment horizontal="center"/>
    </xf>
    <xf numFmtId="178" fontId="18" fillId="0" borderId="31" xfId="0" applyNumberFormat="1" applyFont="1" applyBorder="1" applyAlignment="1" applyProtection="1">
      <alignment horizontal="center"/>
    </xf>
    <xf numFmtId="179" fontId="18" fillId="0" borderId="31" xfId="0" applyNumberFormat="1" applyFont="1" applyBorder="1" applyAlignment="1" applyProtection="1">
      <alignment horizontal="center"/>
    </xf>
    <xf numFmtId="0" fontId="0" fillId="0" borderId="0" xfId="0" applyBorder="1" applyAlignment="1">
      <alignment horizontal="center"/>
    </xf>
    <xf numFmtId="0" fontId="0" fillId="0" borderId="0" xfId="0" applyAlignment="1">
      <alignment horizontal="left"/>
    </xf>
    <xf numFmtId="0" fontId="12" fillId="0" borderId="32" xfId="0" applyFont="1" applyBorder="1"/>
    <xf numFmtId="0" fontId="12" fillId="0" borderId="33" xfId="0" applyFont="1" applyBorder="1"/>
    <xf numFmtId="0" fontId="12" fillId="0" borderId="34" xfId="0" applyFont="1" applyBorder="1"/>
    <xf numFmtId="176" fontId="0" fillId="0" borderId="0" xfId="0" applyNumberFormat="1" applyProtection="1"/>
    <xf numFmtId="2" fontId="12" fillId="0" borderId="0" xfId="0" quotePrefix="1" applyNumberFormat="1" applyFont="1" applyFill="1" applyBorder="1"/>
    <xf numFmtId="176" fontId="12" fillId="0" borderId="0" xfId="0" applyNumberFormat="1" applyFont="1" applyProtection="1"/>
    <xf numFmtId="178" fontId="12" fillId="0" borderId="0" xfId="0" applyNumberFormat="1" applyFont="1" applyProtection="1"/>
    <xf numFmtId="180" fontId="12" fillId="0" borderId="0" xfId="0" applyNumberFormat="1" applyFont="1" applyProtection="1"/>
    <xf numFmtId="37" fontId="12" fillId="0" borderId="0" xfId="0" applyNumberFormat="1" applyFont="1" applyProtection="1"/>
    <xf numFmtId="175" fontId="12" fillId="0" borderId="35" xfId="0" applyNumberFormat="1" applyFont="1" applyBorder="1" applyProtection="1"/>
    <xf numFmtId="0" fontId="12" fillId="0" borderId="35" xfId="0" applyFont="1" applyBorder="1"/>
    <xf numFmtId="176" fontId="12" fillId="0" borderId="36" xfId="0" applyNumberFormat="1" applyFont="1" applyBorder="1" applyProtection="1"/>
    <xf numFmtId="179" fontId="0" fillId="0" borderId="0" xfId="0" applyNumberFormat="1" applyProtection="1"/>
    <xf numFmtId="179" fontId="0" fillId="0" borderId="23" xfId="0" applyNumberFormat="1" applyBorder="1" applyProtection="1"/>
    <xf numFmtId="179" fontId="0" fillId="0" borderId="7" xfId="0" applyNumberFormat="1" applyBorder="1" applyProtection="1"/>
    <xf numFmtId="179" fontId="0" fillId="0" borderId="37" xfId="0" applyNumberFormat="1" applyBorder="1" applyProtection="1"/>
    <xf numFmtId="179" fontId="0" fillId="0" borderId="38" xfId="0" applyNumberFormat="1" applyBorder="1" applyProtection="1"/>
    <xf numFmtId="179" fontId="0" fillId="0" borderId="35" xfId="0" applyNumberFormat="1" applyBorder="1" applyProtection="1"/>
    <xf numFmtId="179" fontId="0" fillId="0" borderId="39" xfId="0" applyNumberFormat="1" applyBorder="1" applyProtection="1"/>
    <xf numFmtId="179" fontId="0" fillId="0" borderId="8" xfId="0" applyNumberFormat="1" applyBorder="1" applyProtection="1"/>
    <xf numFmtId="179" fontId="0" fillId="0" borderId="40" xfId="0" applyNumberFormat="1" applyBorder="1" applyProtection="1"/>
    <xf numFmtId="165" fontId="12" fillId="0" borderId="38" xfId="0" applyNumberFormat="1" applyFont="1" applyBorder="1"/>
    <xf numFmtId="165" fontId="12" fillId="0" borderId="35" xfId="0" applyNumberFormat="1" applyFont="1" applyBorder="1"/>
    <xf numFmtId="4" fontId="12" fillId="0" borderId="0" xfId="0" applyNumberFormat="1" applyFont="1" applyBorder="1"/>
    <xf numFmtId="173" fontId="12" fillId="0" borderId="41" xfId="0" applyNumberFormat="1" applyFont="1" applyBorder="1"/>
    <xf numFmtId="0" fontId="22" fillId="0" borderId="0" xfId="0" applyFont="1"/>
    <xf numFmtId="0" fontId="5" fillId="0" borderId="6" xfId="0" applyFont="1" applyBorder="1" applyAlignment="1">
      <alignment horizontal="centerContinuous"/>
    </xf>
    <xf numFmtId="0" fontId="5" fillId="0" borderId="4" xfId="0" applyFont="1" applyBorder="1" applyAlignment="1">
      <alignment horizontal="centerContinuous"/>
    </xf>
    <xf numFmtId="0" fontId="5" fillId="0" borderId="5" xfId="0" applyFont="1" applyBorder="1" applyAlignment="1">
      <alignment horizontal="centerContinuous"/>
    </xf>
    <xf numFmtId="3" fontId="9" fillId="0" borderId="0" xfId="1" applyNumberFormat="1" applyFont="1" applyBorder="1" applyAlignment="1" applyProtection="1">
      <alignment horizontal="right"/>
    </xf>
    <xf numFmtId="0" fontId="0" fillId="0" borderId="0" xfId="0" applyAlignment="1">
      <alignment vertical="center"/>
    </xf>
    <xf numFmtId="0" fontId="24" fillId="0" borderId="0" xfId="0" applyFont="1" applyAlignment="1">
      <alignment horizontal="center" vertical="center"/>
    </xf>
    <xf numFmtId="0" fontId="25" fillId="0" borderId="0" xfId="0" applyFont="1"/>
    <xf numFmtId="0" fontId="21" fillId="0" borderId="0" xfId="0" applyFont="1"/>
    <xf numFmtId="0" fontId="0" fillId="0" borderId="0" xfId="0" applyBorder="1" applyAlignment="1">
      <alignment horizontal="left"/>
    </xf>
    <xf numFmtId="176" fontId="0" fillId="0" borderId="35" xfId="0" applyNumberFormat="1" applyBorder="1" applyProtection="1"/>
    <xf numFmtId="0" fontId="26" fillId="0" borderId="42" xfId="0" applyFont="1" applyBorder="1" applyAlignment="1">
      <alignment horizontal="center"/>
    </xf>
    <xf numFmtId="0" fontId="26" fillId="0" borderId="42" xfId="0" applyFont="1" applyBorder="1" applyAlignment="1">
      <alignment horizontal="centerContinuous"/>
    </xf>
    <xf numFmtId="0" fontId="26" fillId="0" borderId="43" xfId="0" applyFont="1" applyBorder="1" applyAlignment="1">
      <alignment horizontal="center"/>
    </xf>
    <xf numFmtId="0" fontId="26" fillId="0" borderId="44" xfId="0" applyFont="1" applyBorder="1" applyAlignment="1">
      <alignment horizontal="centerContinuous"/>
    </xf>
    <xf numFmtId="179" fontId="26" fillId="0" borderId="42" xfId="0" applyNumberFormat="1" applyFont="1" applyBorder="1" applyAlignment="1" applyProtection="1">
      <alignment horizontal="center"/>
    </xf>
    <xf numFmtId="14" fontId="0" fillId="0" borderId="0" xfId="0" applyNumberFormat="1"/>
    <xf numFmtId="10" fontId="9" fillId="0" borderId="0" xfId="2" applyNumberFormat="1" applyFont="1"/>
    <xf numFmtId="164" fontId="9" fillId="0" borderId="0" xfId="1" applyNumberFormat="1" applyFont="1" applyBorder="1" applyAlignment="1" applyProtection="1">
      <alignment horizontal="right"/>
    </xf>
    <xf numFmtId="164" fontId="12" fillId="0" borderId="0" xfId="1" applyNumberFormat="1" applyFont="1" applyBorder="1" applyAlignment="1">
      <alignment horizontal="right"/>
    </xf>
    <xf numFmtId="10" fontId="9" fillId="0" borderId="0" xfId="2" applyNumberFormat="1" applyFont="1" applyBorder="1"/>
    <xf numFmtId="0" fontId="5" fillId="0" borderId="0" xfId="0" applyFont="1" applyBorder="1"/>
    <xf numFmtId="0" fontId="5" fillId="0" borderId="0" xfId="0" applyFont="1" applyAlignment="1">
      <alignment horizontal="right"/>
    </xf>
    <xf numFmtId="0" fontId="5" fillId="0" borderId="0" xfId="0" applyFont="1" applyAlignment="1">
      <alignment horizontal="left"/>
    </xf>
    <xf numFmtId="0" fontId="5" fillId="0" borderId="2" xfId="0" applyFont="1" applyBorder="1"/>
    <xf numFmtId="0" fontId="5" fillId="0" borderId="4" xfId="0" applyFont="1" applyBorder="1"/>
    <xf numFmtId="0" fontId="5" fillId="0" borderId="5" xfId="0" applyFont="1" applyBorder="1"/>
    <xf numFmtId="0" fontId="5" fillId="0" borderId="6" xfId="0" applyFont="1" applyBorder="1"/>
    <xf numFmtId="171" fontId="5" fillId="0" borderId="6" xfId="0" applyNumberFormat="1" applyFont="1" applyBorder="1" applyProtection="1"/>
    <xf numFmtId="176" fontId="5" fillId="0" borderId="5" xfId="0" applyNumberFormat="1" applyFont="1" applyBorder="1" applyProtection="1"/>
    <xf numFmtId="0" fontId="5" fillId="0" borderId="2" xfId="0" applyFont="1" applyBorder="1" applyAlignment="1">
      <alignment horizontal="center"/>
    </xf>
    <xf numFmtId="0" fontId="5" fillId="0" borderId="45" xfId="0" applyFont="1" applyBorder="1" applyAlignment="1">
      <alignment horizontal="center"/>
    </xf>
    <xf numFmtId="0" fontId="5" fillId="0" borderId="36" xfId="0" applyFont="1" applyBorder="1" applyAlignment="1">
      <alignment horizontal="center"/>
    </xf>
    <xf numFmtId="0" fontId="5" fillId="0" borderId="36" xfId="0" applyFont="1" applyBorder="1"/>
    <xf numFmtId="171" fontId="5" fillId="0" borderId="2" xfId="0" applyNumberFormat="1" applyFont="1" applyBorder="1" applyProtection="1"/>
    <xf numFmtId="176" fontId="5" fillId="0" borderId="2" xfId="0" applyNumberFormat="1" applyFont="1" applyBorder="1" applyAlignment="1" applyProtection="1">
      <alignment horizontal="center"/>
    </xf>
    <xf numFmtId="0" fontId="5" fillId="0" borderId="31" xfId="0" applyFont="1" applyBorder="1" applyAlignment="1">
      <alignment horizontal="center"/>
    </xf>
    <xf numFmtId="0" fontId="5" fillId="0" borderId="31" xfId="0" applyFont="1" applyBorder="1"/>
    <xf numFmtId="37" fontId="5" fillId="0" borderId="31" xfId="0" applyNumberFormat="1" applyFont="1" applyBorder="1" applyAlignment="1" applyProtection="1">
      <alignment horizontal="center"/>
    </xf>
    <xf numFmtId="171" fontId="5" fillId="0" borderId="31" xfId="0" applyNumberFormat="1" applyFont="1" applyBorder="1" applyAlignment="1" applyProtection="1">
      <alignment horizontal="center"/>
    </xf>
    <xf numFmtId="177" fontId="5" fillId="0" borderId="31" xfId="0" applyNumberFormat="1" applyFont="1" applyBorder="1" applyAlignment="1" applyProtection="1">
      <alignment horizontal="center"/>
    </xf>
    <xf numFmtId="178" fontId="5" fillId="0" borderId="31" xfId="0" applyNumberFormat="1" applyFont="1" applyBorder="1" applyAlignment="1" applyProtection="1">
      <alignment horizontal="center"/>
    </xf>
    <xf numFmtId="179" fontId="5" fillId="0" borderId="31" xfId="0" applyNumberFormat="1" applyFont="1" applyBorder="1" applyAlignment="1" applyProtection="1">
      <alignment horizontal="center"/>
    </xf>
    <xf numFmtId="0" fontId="5" fillId="0" borderId="31" xfId="0" quotePrefix="1" applyFont="1" applyBorder="1" applyAlignment="1">
      <alignment horizontal="center"/>
    </xf>
    <xf numFmtId="37" fontId="5" fillId="0" borderId="0" xfId="0" applyNumberFormat="1" applyFont="1" applyBorder="1" applyAlignment="1" applyProtection="1">
      <alignment horizontal="center"/>
    </xf>
    <xf numFmtId="171" fontId="5" fillId="0" borderId="0" xfId="0" applyNumberFormat="1" applyFont="1" applyBorder="1" applyAlignment="1" applyProtection="1">
      <alignment horizontal="center"/>
    </xf>
    <xf numFmtId="0" fontId="5" fillId="0" borderId="0" xfId="0" applyFont="1" applyBorder="1" applyAlignment="1">
      <alignment horizontal="center"/>
    </xf>
    <xf numFmtId="177" fontId="5" fillId="0" borderId="0" xfId="0" applyNumberFormat="1" applyFont="1" applyBorder="1" applyAlignment="1" applyProtection="1">
      <alignment horizontal="center"/>
    </xf>
    <xf numFmtId="178" fontId="5" fillId="0" borderId="0" xfId="0" applyNumberFormat="1" applyFont="1" applyBorder="1" applyAlignment="1" applyProtection="1">
      <alignment horizontal="center"/>
    </xf>
    <xf numFmtId="179" fontId="5" fillId="0" borderId="0" xfId="0" applyNumberFormat="1" applyFont="1" applyBorder="1" applyAlignment="1" applyProtection="1">
      <alignment horizontal="center"/>
    </xf>
    <xf numFmtId="0" fontId="5" fillId="0" borderId="0" xfId="0" quotePrefix="1" applyFont="1" applyBorder="1" applyAlignment="1">
      <alignment horizontal="center"/>
    </xf>
    <xf numFmtId="179" fontId="5" fillId="0" borderId="0" xfId="0" applyNumberFormat="1" applyFont="1"/>
    <xf numFmtId="176" fontId="5" fillId="0" borderId="0" xfId="0" applyNumberFormat="1" applyFont="1"/>
    <xf numFmtId="0" fontId="9" fillId="0" borderId="39" xfId="0" applyFont="1" applyBorder="1"/>
    <xf numFmtId="0" fontId="5" fillId="0" borderId="8" xfId="0" applyFont="1" applyBorder="1"/>
    <xf numFmtId="176" fontId="5" fillId="0" borderId="8" xfId="0" applyNumberFormat="1" applyFont="1" applyBorder="1" applyProtection="1"/>
    <xf numFmtId="178" fontId="5" fillId="0" borderId="8" xfId="0" applyNumberFormat="1" applyFont="1" applyBorder="1" applyProtection="1"/>
    <xf numFmtId="0" fontId="5" fillId="0" borderId="40" xfId="0" applyFont="1" applyBorder="1"/>
    <xf numFmtId="0" fontId="5" fillId="0" borderId="38" xfId="0" applyFont="1" applyBorder="1"/>
    <xf numFmtId="176" fontId="5" fillId="0" borderId="0" xfId="0" applyNumberFormat="1" applyFont="1" applyProtection="1"/>
    <xf numFmtId="178" fontId="5" fillId="0" borderId="0" xfId="0" applyNumberFormat="1" applyFont="1" applyAlignment="1" applyProtection="1">
      <alignment horizontal="right"/>
    </xf>
    <xf numFmtId="0" fontId="5" fillId="0" borderId="35" xfId="0" applyFont="1" applyBorder="1"/>
    <xf numFmtId="178" fontId="5" fillId="0" borderId="0" xfId="0" applyNumberFormat="1" applyFont="1" applyProtection="1"/>
    <xf numFmtId="0" fontId="12" fillId="0" borderId="39" xfId="0" applyFont="1" applyBorder="1"/>
    <xf numFmtId="0" fontId="29" fillId="0" borderId="0" xfId="0" applyFont="1" applyAlignment="1">
      <alignment horizontal="right"/>
    </xf>
    <xf numFmtId="0" fontId="7" fillId="0" borderId="10" xfId="0" applyFont="1" applyBorder="1"/>
    <xf numFmtId="164" fontId="7" fillId="0" borderId="1" xfId="1" applyNumberFormat="1" applyFont="1" applyBorder="1" applyAlignment="1">
      <alignment horizontal="centerContinuous"/>
    </xf>
    <xf numFmtId="0" fontId="7" fillId="0" borderId="33" xfId="0" applyFont="1" applyBorder="1"/>
    <xf numFmtId="164" fontId="7" fillId="0" borderId="33" xfId="1" applyNumberFormat="1" applyFont="1" applyBorder="1" applyAlignment="1">
      <alignment horizontal="center"/>
    </xf>
    <xf numFmtId="0" fontId="31" fillId="0" borderId="10" xfId="0" applyFont="1" applyBorder="1"/>
    <xf numFmtId="0" fontId="7" fillId="0" borderId="1" xfId="0" applyFont="1" applyBorder="1"/>
    <xf numFmtId="164" fontId="8" fillId="0" borderId="1" xfId="1" applyNumberFormat="1" applyFont="1" applyBorder="1"/>
    <xf numFmtId="0" fontId="4" fillId="0" borderId="46" xfId="0" applyFont="1" applyBorder="1"/>
    <xf numFmtId="0" fontId="0" fillId="0" borderId="14" xfId="0" applyBorder="1" applyAlignment="1">
      <alignment horizontal="left"/>
    </xf>
    <xf numFmtId="176" fontId="0" fillId="0" borderId="47" xfId="0" applyNumberFormat="1" applyBorder="1" applyProtection="1"/>
    <xf numFmtId="0" fontId="4" fillId="0" borderId="16" xfId="0" applyFont="1" applyBorder="1"/>
    <xf numFmtId="0" fontId="26" fillId="0" borderId="48" xfId="0" applyFont="1" applyBorder="1" applyAlignment="1">
      <alignment horizontal="center"/>
    </xf>
    <xf numFmtId="176" fontId="26" fillId="0" borderId="49" xfId="0" applyNumberFormat="1" applyFont="1" applyBorder="1" applyAlignment="1" applyProtection="1">
      <alignment horizontal="center"/>
    </xf>
    <xf numFmtId="0" fontId="15" fillId="0" borderId="0" xfId="0" applyFont="1" applyBorder="1"/>
    <xf numFmtId="164" fontId="30" fillId="0" borderId="0" xfId="1" applyNumberFormat="1" applyFont="1" applyBorder="1"/>
    <xf numFmtId="0" fontId="7" fillId="0" borderId="16" xfId="0" applyFont="1" applyBorder="1"/>
    <xf numFmtId="0" fontId="7" fillId="0" borderId="0" xfId="0" applyFont="1" applyBorder="1"/>
    <xf numFmtId="0" fontId="7" fillId="0" borderId="17" xfId="0" applyFont="1" applyBorder="1"/>
    <xf numFmtId="164" fontId="7" fillId="0" borderId="0" xfId="1" applyNumberFormat="1" applyFont="1" applyBorder="1"/>
    <xf numFmtId="9" fontId="8" fillId="0" borderId="0" xfId="2" applyNumberFormat="1" applyFont="1" applyBorder="1"/>
    <xf numFmtId="0" fontId="2" fillId="0" borderId="16" xfId="0" applyFont="1" applyBorder="1"/>
    <xf numFmtId="164" fontId="2" fillId="0" borderId="0" xfId="1" applyNumberFormat="1" applyFont="1" applyBorder="1"/>
    <xf numFmtId="164" fontId="12" fillId="0" borderId="0" xfId="1" applyNumberFormat="1" applyFont="1"/>
    <xf numFmtId="0" fontId="34" fillId="0" borderId="0" xfId="0" applyFont="1"/>
    <xf numFmtId="0" fontId="2" fillId="0" borderId="46" xfId="0" applyFont="1" applyBorder="1"/>
    <xf numFmtId="3" fontId="9" fillId="0" borderId="15" xfId="0" applyNumberFormat="1" applyFont="1" applyBorder="1"/>
    <xf numFmtId="3" fontId="9" fillId="0" borderId="17" xfId="1" applyNumberFormat="1" applyFont="1" applyBorder="1" applyAlignment="1" applyProtection="1">
      <alignment horizontal="right"/>
    </xf>
    <xf numFmtId="37" fontId="9" fillId="0" borderId="0" xfId="0" applyNumberFormat="1" applyFont="1" applyBorder="1" applyProtection="1"/>
    <xf numFmtId="0" fontId="2" fillId="0" borderId="19" xfId="0" applyFont="1" applyBorder="1"/>
    <xf numFmtId="10" fontId="9" fillId="0" borderId="10" xfId="2" applyNumberFormat="1" applyFont="1" applyBorder="1"/>
    <xf numFmtId="0" fontId="2" fillId="0" borderId="18" xfId="0" applyFont="1" applyBorder="1"/>
    <xf numFmtId="0" fontId="0" fillId="0" borderId="46" xfId="0" applyBorder="1"/>
    <xf numFmtId="0" fontId="0" fillId="0" borderId="50" xfId="0" applyBorder="1" applyAlignment="1">
      <alignment horizontal="center"/>
    </xf>
    <xf numFmtId="0" fontId="0" fillId="0" borderId="14" xfId="0" applyBorder="1" applyAlignment="1">
      <alignment horizontal="centerContinuous"/>
    </xf>
    <xf numFmtId="0" fontId="0" fillId="0" borderId="51" xfId="0" applyBorder="1" applyAlignment="1">
      <alignment horizontal="centerContinuous"/>
    </xf>
    <xf numFmtId="0" fontId="0" fillId="0" borderId="14" xfId="0" applyFill="1" applyBorder="1" applyAlignment="1">
      <alignment horizontal="centerContinuous"/>
    </xf>
    <xf numFmtId="0" fontId="11" fillId="0" borderId="52" xfId="0" applyFont="1" applyBorder="1"/>
    <xf numFmtId="0" fontId="11" fillId="0" borderId="54" xfId="0" applyFont="1" applyBorder="1"/>
    <xf numFmtId="0" fontId="12" fillId="0" borderId="55" xfId="0" applyFont="1" applyBorder="1"/>
    <xf numFmtId="0" fontId="2" fillId="0" borderId="56" xfId="0" applyFont="1" applyBorder="1"/>
    <xf numFmtId="173" fontId="12" fillId="0" borderId="17" xfId="0" applyNumberFormat="1" applyFont="1" applyBorder="1"/>
    <xf numFmtId="0" fontId="26" fillId="0" borderId="57" xfId="0" applyFont="1" applyBorder="1" applyAlignment="1">
      <alignment horizontal="center"/>
    </xf>
    <xf numFmtId="0" fontId="26" fillId="0" borderId="58" xfId="0" applyFont="1" applyBorder="1" applyAlignment="1">
      <alignment horizontal="center"/>
    </xf>
    <xf numFmtId="0" fontId="26" fillId="0" borderId="59" xfId="0" applyFont="1" applyBorder="1" applyAlignment="1">
      <alignment horizontal="centerContinuous"/>
    </xf>
    <xf numFmtId="0" fontId="26" fillId="0" borderId="46" xfId="0" applyFont="1" applyBorder="1" applyAlignment="1">
      <alignment horizontal="left"/>
    </xf>
    <xf numFmtId="0" fontId="26" fillId="0" borderId="60" xfId="0" applyFont="1" applyBorder="1" applyAlignment="1">
      <alignment horizontal="center"/>
    </xf>
    <xf numFmtId="0" fontId="26" fillId="0" borderId="11" xfId="0" applyFont="1" applyBorder="1" applyAlignment="1">
      <alignment horizontal="centerContinuous"/>
    </xf>
    <xf numFmtId="0" fontId="26" fillId="0" borderId="61" xfId="0" applyFont="1" applyBorder="1" applyAlignment="1">
      <alignment horizontal="centerContinuous"/>
    </xf>
    <xf numFmtId="0" fontId="26" fillId="0" borderId="14" xfId="0" applyFont="1" applyBorder="1" applyAlignment="1">
      <alignment horizontal="center"/>
    </xf>
    <xf numFmtId="179" fontId="26" fillId="0" borderId="14" xfId="0" applyNumberFormat="1" applyFont="1" applyBorder="1" applyAlignment="1" applyProtection="1">
      <alignment horizontal="center"/>
    </xf>
    <xf numFmtId="176" fontId="26" fillId="0" borderId="15" xfId="0" applyNumberFormat="1" applyFont="1" applyBorder="1" applyProtection="1"/>
    <xf numFmtId="0" fontId="26" fillId="0" borderId="62" xfId="0" applyFont="1" applyBorder="1" applyAlignment="1">
      <alignment horizontal="center"/>
    </xf>
    <xf numFmtId="0" fontId="0" fillId="0" borderId="16" xfId="0" applyBorder="1" applyAlignment="1">
      <alignment horizontal="center"/>
    </xf>
    <xf numFmtId="166" fontId="0" fillId="0" borderId="17" xfId="0" applyNumberFormat="1" applyBorder="1"/>
    <xf numFmtId="0" fontId="26" fillId="0" borderId="63" xfId="0" applyFont="1" applyBorder="1" applyAlignment="1">
      <alignment horizontal="center"/>
    </xf>
    <xf numFmtId="0" fontId="26" fillId="0" borderId="64" xfId="0" applyFont="1" applyBorder="1" applyAlignment="1">
      <alignment horizontal="center"/>
    </xf>
    <xf numFmtId="0" fontId="26" fillId="0" borderId="65" xfId="0" applyFont="1" applyBorder="1" applyAlignment="1">
      <alignment horizontal="centerContinuous"/>
    </xf>
    <xf numFmtId="0" fontId="26" fillId="0" borderId="66" xfId="0" applyFont="1" applyBorder="1" applyAlignment="1">
      <alignment horizontal="centerContinuous"/>
    </xf>
    <xf numFmtId="0" fontId="26" fillId="0" borderId="49" xfId="0" applyFont="1" applyBorder="1" applyAlignment="1">
      <alignment horizontal="centerContinuous"/>
    </xf>
    <xf numFmtId="9" fontId="0" fillId="0" borderId="0" xfId="0" applyNumberFormat="1" applyAlignment="1">
      <alignment horizontal="center"/>
    </xf>
    <xf numFmtId="0" fontId="37" fillId="0" borderId="0" xfId="0" applyFont="1" applyAlignment="1">
      <alignment horizontal="center" vertical="center"/>
    </xf>
    <xf numFmtId="164" fontId="39" fillId="0" borderId="0" xfId="1" applyNumberFormat="1" applyFont="1"/>
    <xf numFmtId="171" fontId="2" fillId="0" borderId="8" xfId="0" applyNumberFormat="1" applyFont="1" applyBorder="1" applyAlignment="1" applyProtection="1">
      <alignment horizontal="right"/>
    </xf>
    <xf numFmtId="0" fontId="2" fillId="0" borderId="6" xfId="0" applyFont="1" applyBorder="1"/>
    <xf numFmtId="37" fontId="2" fillId="0" borderId="6" xfId="0" applyNumberFormat="1" applyFont="1" applyBorder="1" applyAlignment="1" applyProtection="1">
      <alignment horizontal="center"/>
    </xf>
    <xf numFmtId="167" fontId="2" fillId="0" borderId="6" xfId="0" applyNumberFormat="1" applyFont="1" applyBorder="1" applyProtection="1"/>
    <xf numFmtId="0" fontId="8" fillId="0" borderId="6" xfId="0" applyFont="1" applyBorder="1" applyAlignment="1">
      <alignment horizontal="centerContinuous"/>
    </xf>
    <xf numFmtId="0" fontId="8" fillId="0" borderId="6" xfId="0" applyFont="1" applyBorder="1" applyAlignment="1">
      <alignment horizontal="center"/>
    </xf>
    <xf numFmtId="171" fontId="8" fillId="0" borderId="6" xfId="0" applyNumberFormat="1" applyFont="1" applyBorder="1" applyAlignment="1" applyProtection="1">
      <alignment horizontal="right"/>
    </xf>
    <xf numFmtId="0" fontId="2" fillId="0" borderId="36" xfId="0" applyFont="1" applyBorder="1" applyAlignment="1">
      <alignment horizontal="center"/>
    </xf>
    <xf numFmtId="0" fontId="2" fillId="0" borderId="2" xfId="0" applyFont="1" applyBorder="1" applyAlignment="1">
      <alignment horizontal="centerContinuous"/>
    </xf>
    <xf numFmtId="0" fontId="2" fillId="0" borderId="2" xfId="0" applyFont="1" applyBorder="1" applyAlignment="1">
      <alignment horizontal="center"/>
    </xf>
    <xf numFmtId="0" fontId="2" fillId="0" borderId="23" xfId="0" applyFont="1" applyBorder="1" applyAlignment="1">
      <alignment horizontal="centerContinuous"/>
    </xf>
    <xf numFmtId="37" fontId="14" fillId="0" borderId="6" xfId="0" applyNumberFormat="1" applyFont="1" applyBorder="1" applyProtection="1"/>
    <xf numFmtId="0" fontId="2" fillId="0" borderId="67" xfId="0" applyFont="1" applyBorder="1"/>
    <xf numFmtId="0" fontId="2" fillId="0" borderId="68" xfId="0" applyFont="1" applyBorder="1"/>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applyAlignment="1">
      <alignment horizontal="centerContinuous"/>
    </xf>
    <xf numFmtId="0" fontId="12" fillId="0" borderId="46" xfId="0" applyFont="1" applyBorder="1" applyAlignment="1">
      <alignment horizontal="center"/>
    </xf>
    <xf numFmtId="0" fontId="12" fillId="0" borderId="16" xfId="0" applyFont="1" applyBorder="1" applyAlignment="1">
      <alignment horizontal="center"/>
    </xf>
    <xf numFmtId="0" fontId="0" fillId="2" borderId="0" xfId="0" applyFill="1"/>
    <xf numFmtId="171" fontId="6" fillId="0" borderId="8" xfId="0" applyNumberFormat="1" applyFont="1" applyBorder="1" applyAlignment="1" applyProtection="1">
      <alignment horizontal="right"/>
    </xf>
    <xf numFmtId="167" fontId="6" fillId="0" borderId="0" xfId="0" applyNumberFormat="1" applyFont="1" applyBorder="1" applyAlignment="1" applyProtection="1">
      <alignment horizontal="right"/>
    </xf>
    <xf numFmtId="167" fontId="6" fillId="0" borderId="0" xfId="0" applyNumberFormat="1" applyFont="1" applyBorder="1" applyAlignment="1" applyProtection="1">
      <alignment horizontal="left"/>
    </xf>
    <xf numFmtId="0" fontId="6" fillId="0" borderId="0" xfId="0" applyFont="1" applyBorder="1" applyAlignment="1">
      <alignment horizontal="center"/>
    </xf>
    <xf numFmtId="171" fontId="6" fillId="0" borderId="0" xfId="0" applyNumberFormat="1" applyFont="1" applyBorder="1" applyAlignment="1" applyProtection="1">
      <alignment horizontal="right"/>
    </xf>
    <xf numFmtId="37" fontId="3" fillId="0" borderId="0" xfId="0" applyNumberFormat="1" applyFont="1" applyBorder="1" applyAlignment="1" applyProtection="1">
      <alignment horizontal="right"/>
    </xf>
    <xf numFmtId="164" fontId="23" fillId="0" borderId="0" xfId="1" applyNumberFormat="1" applyFont="1" applyBorder="1"/>
    <xf numFmtId="37" fontId="3" fillId="0" borderId="8" xfId="0" applyNumberFormat="1" applyFont="1" applyBorder="1" applyAlignment="1" applyProtection="1">
      <alignment horizontal="right"/>
    </xf>
    <xf numFmtId="164" fontId="23" fillId="0" borderId="8" xfId="1" applyNumberFormat="1" applyFont="1" applyBorder="1"/>
    <xf numFmtId="0" fontId="2" fillId="0" borderId="73" xfId="0" applyFont="1" applyBorder="1"/>
    <xf numFmtId="3" fontId="9" fillId="0" borderId="73" xfId="1" applyNumberFormat="1" applyFont="1" applyBorder="1" applyAlignment="1" applyProtection="1">
      <alignment horizontal="right"/>
    </xf>
    <xf numFmtId="3" fontId="12" fillId="0" borderId="73" xfId="0" applyNumberFormat="1" applyFont="1" applyBorder="1"/>
    <xf numFmtId="37" fontId="9" fillId="0" borderId="73" xfId="0" applyNumberFormat="1" applyFont="1" applyBorder="1" applyProtection="1"/>
    <xf numFmtId="0" fontId="0" fillId="0" borderId="0" xfId="0" applyAlignment="1">
      <alignment horizontal="right"/>
    </xf>
    <xf numFmtId="0" fontId="30" fillId="0" borderId="0" xfId="0" applyFont="1"/>
    <xf numFmtId="176" fontId="12" fillId="0" borderId="35" xfId="0" applyNumberFormat="1" applyFont="1" applyBorder="1" applyProtection="1"/>
    <xf numFmtId="165" fontId="12" fillId="0" borderId="0" xfId="0" applyNumberFormat="1" applyFont="1" applyBorder="1"/>
    <xf numFmtId="180" fontId="12" fillId="0" borderId="0" xfId="0" quotePrefix="1" applyNumberFormat="1" applyFont="1" applyAlignment="1" applyProtection="1">
      <alignment horizontal="right"/>
    </xf>
    <xf numFmtId="0" fontId="39" fillId="0" borderId="16" xfId="0" applyFont="1" applyBorder="1"/>
    <xf numFmtId="176" fontId="5" fillId="2" borderId="0" xfId="0" applyNumberFormat="1" applyFont="1" applyFill="1"/>
    <xf numFmtId="0" fontId="15" fillId="0" borderId="74" xfId="0" applyFont="1" applyBorder="1"/>
    <xf numFmtId="0" fontId="45" fillId="0" borderId="0" xfId="0" applyFont="1"/>
    <xf numFmtId="0" fontId="46" fillId="0" borderId="0" xfId="0" applyFont="1"/>
    <xf numFmtId="0" fontId="5" fillId="0" borderId="0" xfId="0" applyFont="1" applyAlignment="1">
      <alignment horizontal="center"/>
    </xf>
    <xf numFmtId="0" fontId="5" fillId="0" borderId="73" xfId="0" applyFont="1" applyBorder="1"/>
    <xf numFmtId="0" fontId="5" fillId="0" borderId="73" xfId="0" applyFont="1" applyBorder="1" applyAlignment="1">
      <alignment horizontal="center"/>
    </xf>
    <xf numFmtId="0" fontId="5" fillId="0" borderId="1" xfId="0" applyFont="1" applyBorder="1" applyAlignment="1">
      <alignment horizontal="center"/>
    </xf>
    <xf numFmtId="0" fontId="12" fillId="0" borderId="0" xfId="0" applyFont="1" applyBorder="1" applyAlignment="1">
      <alignment horizontal="center"/>
    </xf>
    <xf numFmtId="3" fontId="5" fillId="0" borderId="0" xfId="0" applyNumberFormat="1" applyFont="1" applyBorder="1" applyAlignment="1">
      <alignment horizontal="center"/>
    </xf>
    <xf numFmtId="3" fontId="12" fillId="0" borderId="0" xfId="0" applyNumberFormat="1" applyFont="1" applyBorder="1" applyAlignment="1">
      <alignment horizontal="center"/>
    </xf>
    <xf numFmtId="37" fontId="12" fillId="0" borderId="0" xfId="0" applyNumberFormat="1" applyFont="1" applyBorder="1" applyAlignment="1">
      <alignment horizontal="center"/>
    </xf>
    <xf numFmtId="2" fontId="12" fillId="0" borderId="0" xfId="0" applyNumberFormat="1" applyFont="1" applyBorder="1" applyAlignment="1">
      <alignment horizontal="center"/>
    </xf>
    <xf numFmtId="0" fontId="47" fillId="0" borderId="46" xfId="0" applyFont="1" applyBorder="1" applyAlignment="1">
      <alignment horizontal="right"/>
    </xf>
    <xf numFmtId="0" fontId="47" fillId="0" borderId="16" xfId="0" applyFont="1" applyBorder="1" applyAlignment="1">
      <alignment horizontal="right"/>
    </xf>
    <xf numFmtId="0" fontId="47" fillId="0" borderId="19" xfId="0" applyFont="1" applyBorder="1" applyAlignment="1">
      <alignment horizontal="right"/>
    </xf>
    <xf numFmtId="168" fontId="48" fillId="0" borderId="15" xfId="0" applyNumberFormat="1" applyFont="1" applyBorder="1"/>
    <xf numFmtId="168" fontId="48" fillId="0" borderId="17" xfId="0" applyNumberFormat="1" applyFont="1" applyBorder="1"/>
    <xf numFmtId="164" fontId="48" fillId="0" borderId="17" xfId="1" applyNumberFormat="1" applyFont="1" applyBorder="1"/>
    <xf numFmtId="1" fontId="48" fillId="0" borderId="17" xfId="0" applyNumberFormat="1" applyFont="1" applyBorder="1"/>
    <xf numFmtId="3" fontId="49" fillId="0" borderId="17" xfId="1" applyNumberFormat="1" applyFont="1" applyBorder="1"/>
    <xf numFmtId="168" fontId="48" fillId="0" borderId="18" xfId="0" applyNumberFormat="1" applyFont="1" applyBorder="1"/>
    <xf numFmtId="3" fontId="12" fillId="0" borderId="0" xfId="1" applyNumberFormat="1" applyFont="1"/>
    <xf numFmtId="168" fontId="12" fillId="0" borderId="0" xfId="0" applyNumberFormat="1" applyFont="1"/>
    <xf numFmtId="38" fontId="12" fillId="0" borderId="0" xfId="0" applyNumberFormat="1" applyFont="1"/>
    <xf numFmtId="0" fontId="36" fillId="0" borderId="0" xfId="0" applyFont="1"/>
    <xf numFmtId="3" fontId="0" fillId="0" borderId="0" xfId="0" applyNumberFormat="1" applyAlignment="1">
      <alignment horizontal="right"/>
    </xf>
    <xf numFmtId="3" fontId="0" fillId="2" borderId="0" xfId="0" applyNumberFormat="1" applyFill="1" applyAlignment="1">
      <alignment horizontal="right"/>
    </xf>
    <xf numFmtId="0" fontId="51" fillId="2" borderId="0" xfId="0" applyFont="1" applyFill="1"/>
    <xf numFmtId="3" fontId="12" fillId="0" borderId="0" xfId="1" applyNumberFormat="1" applyFont="1" applyBorder="1" applyAlignment="1" applyProtection="1">
      <alignment horizontal="right"/>
    </xf>
    <xf numFmtId="169" fontId="12" fillId="0" borderId="0" xfId="0" applyNumberFormat="1" applyFont="1" applyProtection="1"/>
    <xf numFmtId="0" fontId="6" fillId="0" borderId="0" xfId="0" applyFont="1" applyBorder="1" applyAlignment="1">
      <alignment horizontal="right"/>
    </xf>
    <xf numFmtId="0" fontId="2" fillId="0" borderId="73" xfId="0" applyFont="1" applyBorder="1" applyAlignment="1">
      <alignment horizontal="centerContinuous"/>
    </xf>
    <xf numFmtId="0" fontId="2" fillId="0" borderId="73" xfId="0" applyFont="1" applyBorder="1" applyAlignment="1">
      <alignment horizontal="center"/>
    </xf>
    <xf numFmtId="0" fontId="2" fillId="0" borderId="76" xfId="0" applyFont="1" applyBorder="1" applyAlignment="1">
      <alignment horizontal="centerContinuous"/>
    </xf>
    <xf numFmtId="0" fontId="5" fillId="0" borderId="73" xfId="0" applyFont="1" applyBorder="1" applyAlignment="1">
      <alignment horizontal="centerContinuous"/>
    </xf>
    <xf numFmtId="0" fontId="2" fillId="0" borderId="1" xfId="0" applyFont="1" applyBorder="1" applyAlignment="1">
      <alignment horizontal="centerContinuous"/>
    </xf>
    <xf numFmtId="0" fontId="2" fillId="0" borderId="1" xfId="0" applyFont="1" applyBorder="1" applyAlignment="1">
      <alignment horizontal="center"/>
    </xf>
    <xf numFmtId="0" fontId="2" fillId="0" borderId="77" xfId="0" applyFont="1" applyBorder="1" applyAlignment="1">
      <alignment horizontal="center"/>
    </xf>
    <xf numFmtId="0" fontId="2" fillId="0" borderId="78" xfId="0" applyFont="1" applyBorder="1" applyAlignment="1">
      <alignment horizontal="centerContinuous"/>
    </xf>
    <xf numFmtId="0" fontId="2" fillId="0" borderId="79" xfId="0" applyFont="1" applyBorder="1" applyAlignment="1">
      <alignment horizontal="centerContinuous"/>
    </xf>
    <xf numFmtId="0" fontId="2" fillId="0" borderId="80" xfId="0" applyFont="1" applyBorder="1" applyAlignment="1">
      <alignment horizontal="right"/>
    </xf>
    <xf numFmtId="0" fontId="53" fillId="0" borderId="0" xfId="0" applyFont="1"/>
    <xf numFmtId="3" fontId="6" fillId="0" borderId="0" xfId="0" applyNumberFormat="1" applyFont="1" applyBorder="1" applyAlignment="1">
      <alignment horizontal="center"/>
    </xf>
    <xf numFmtId="0" fontId="2" fillId="0" borderId="81" xfId="0" applyFont="1" applyBorder="1" applyAlignment="1">
      <alignment horizontal="right"/>
    </xf>
    <xf numFmtId="0" fontId="2" fillId="0" borderId="67" xfId="0" applyFont="1" applyBorder="1" applyAlignment="1">
      <alignment horizontal="right"/>
    </xf>
    <xf numFmtId="0" fontId="2" fillId="0" borderId="82" xfId="0" applyFont="1" applyBorder="1" applyAlignment="1">
      <alignment horizontal="right"/>
    </xf>
    <xf numFmtId="0" fontId="2" fillId="0" borderId="82" xfId="0" quotePrefix="1" applyFont="1" applyBorder="1" applyAlignment="1">
      <alignment horizontal="right"/>
    </xf>
    <xf numFmtId="171" fontId="9" fillId="0" borderId="0" xfId="0" applyNumberFormat="1" applyFont="1" applyBorder="1" applyAlignment="1" applyProtection="1">
      <alignment horizontal="right"/>
    </xf>
    <xf numFmtId="0" fontId="54" fillId="0" borderId="6" xfId="0" applyFont="1" applyBorder="1"/>
    <xf numFmtId="0" fontId="55" fillId="0" borderId="0" xfId="0" applyFont="1" applyAlignment="1">
      <alignment horizontal="right"/>
    </xf>
    <xf numFmtId="167" fontId="6" fillId="0" borderId="0" xfId="0" applyNumberFormat="1" applyFont="1" applyProtection="1"/>
    <xf numFmtId="0" fontId="44" fillId="0" borderId="0" xfId="0" applyFont="1"/>
    <xf numFmtId="0" fontId="6" fillId="0" borderId="0" xfId="0" applyFont="1"/>
    <xf numFmtId="0" fontId="2" fillId="0" borderId="50" xfId="0" applyFont="1" applyBorder="1" applyAlignment="1">
      <alignment horizontal="center"/>
    </xf>
    <xf numFmtId="0" fontId="2" fillId="0" borderId="84" xfId="0" applyFont="1" applyBorder="1" applyAlignment="1">
      <alignment horizontal="center"/>
    </xf>
    <xf numFmtId="3" fontId="53" fillId="0" borderId="0" xfId="0" applyNumberFormat="1" applyFont="1" applyBorder="1"/>
    <xf numFmtId="3" fontId="53" fillId="0" borderId="12" xfId="0" applyNumberFormat="1" applyFont="1" applyBorder="1"/>
    <xf numFmtId="175" fontId="53" fillId="0" borderId="0" xfId="2" applyNumberFormat="1" applyFont="1" applyBorder="1"/>
    <xf numFmtId="175" fontId="53" fillId="0" borderId="85" xfId="2" applyNumberFormat="1" applyFont="1" applyBorder="1"/>
    <xf numFmtId="175" fontId="53" fillId="0" borderId="18" xfId="2" applyNumberFormat="1" applyFont="1" applyBorder="1"/>
    <xf numFmtId="3" fontId="12" fillId="2" borderId="0" xfId="0" applyNumberFormat="1" applyFont="1" applyFill="1" applyProtection="1"/>
    <xf numFmtId="0" fontId="53" fillId="0" borderId="16" xfId="0" applyFont="1" applyBorder="1"/>
    <xf numFmtId="10" fontId="53" fillId="0" borderId="0" xfId="0" applyNumberFormat="1" applyFont="1" applyBorder="1"/>
    <xf numFmtId="3" fontId="53" fillId="2" borderId="0" xfId="0" applyNumberFormat="1" applyFont="1" applyFill="1" applyBorder="1"/>
    <xf numFmtId="3" fontId="53" fillId="0" borderId="17" xfId="0" applyNumberFormat="1" applyFont="1" applyBorder="1"/>
    <xf numFmtId="164" fontId="53" fillId="2" borderId="0" xfId="1" applyNumberFormat="1" applyFont="1" applyFill="1" applyBorder="1"/>
    <xf numFmtId="37" fontId="53" fillId="0" borderId="0" xfId="0" applyNumberFormat="1" applyFont="1" applyBorder="1"/>
    <xf numFmtId="10" fontId="53" fillId="0" borderId="0" xfId="2" applyNumberFormat="1" applyFont="1" applyBorder="1"/>
    <xf numFmtId="166" fontId="53" fillId="0" borderId="17" xfId="0" applyNumberFormat="1" applyFont="1" applyBorder="1"/>
    <xf numFmtId="164" fontId="53" fillId="0" borderId="0" xfId="1" applyNumberFormat="1" applyFont="1" applyBorder="1"/>
    <xf numFmtId="3" fontId="0" fillId="0" borderId="0" xfId="0" applyNumberFormat="1" applyFill="1" applyAlignment="1">
      <alignment horizontal="right"/>
    </xf>
    <xf numFmtId="164" fontId="12" fillId="0" borderId="0" xfId="1" applyNumberFormat="1" applyFont="1" applyFill="1"/>
    <xf numFmtId="3" fontId="12" fillId="0" borderId="0" xfId="0" applyNumberFormat="1" applyFont="1" applyFill="1"/>
    <xf numFmtId="0" fontId="58" fillId="0" borderId="0" xfId="0" applyFont="1" applyAlignment="1">
      <alignment horizontal="center"/>
    </xf>
    <xf numFmtId="0" fontId="2" fillId="0" borderId="0" xfId="0" applyFont="1" applyBorder="1" applyAlignment="1">
      <alignment horizontal="center"/>
    </xf>
    <xf numFmtId="0" fontId="2" fillId="0" borderId="14" xfId="0" applyFont="1" applyBorder="1"/>
    <xf numFmtId="0" fontId="2" fillId="0" borderId="10" xfId="0" applyFont="1" applyBorder="1"/>
    <xf numFmtId="0" fontId="5" fillId="0" borderId="83" xfId="0" applyFont="1" applyBorder="1"/>
    <xf numFmtId="0" fontId="0" fillId="0" borderId="73" xfId="0" applyBorder="1"/>
    <xf numFmtId="0" fontId="5" fillId="0" borderId="29" xfId="0" applyFont="1" applyBorder="1"/>
    <xf numFmtId="0" fontId="0" fillId="0" borderId="1" xfId="0" applyBorder="1" applyAlignment="1">
      <alignment horizontal="right"/>
    </xf>
    <xf numFmtId="37" fontId="41" fillId="0" borderId="0" xfId="0" applyNumberFormat="1" applyFont="1" applyBorder="1" applyProtection="1"/>
    <xf numFmtId="37" fontId="59" fillId="0" borderId="0" xfId="0" applyNumberFormat="1" applyFont="1" applyBorder="1"/>
    <xf numFmtId="2" fontId="59" fillId="0" borderId="0" xfId="0" applyNumberFormat="1" applyFont="1"/>
    <xf numFmtId="10" fontId="9" fillId="2" borderId="0" xfId="2" applyNumberFormat="1" applyFont="1" applyFill="1" applyBorder="1"/>
    <xf numFmtId="3" fontId="60" fillId="0" borderId="0" xfId="0" applyNumberFormat="1" applyFont="1" applyFill="1" applyBorder="1"/>
    <xf numFmtId="0" fontId="60" fillId="0" borderId="0" xfId="0" applyFont="1"/>
    <xf numFmtId="0" fontId="58" fillId="0" borderId="0" xfId="0" applyFont="1"/>
    <xf numFmtId="0" fontId="58" fillId="0" borderId="1" xfId="0" applyFont="1" applyBorder="1"/>
    <xf numFmtId="0" fontId="58" fillId="0" borderId="0" xfId="0" applyFont="1" applyBorder="1"/>
    <xf numFmtId="0" fontId="58" fillId="0" borderId="1" xfId="0" applyFont="1" applyBorder="1" applyAlignment="1">
      <alignment horizontal="right"/>
    </xf>
    <xf numFmtId="3" fontId="60" fillId="0" borderId="0" xfId="0" applyNumberFormat="1" applyFont="1"/>
    <xf numFmtId="0" fontId="58" fillId="0" borderId="0" xfId="0" applyFont="1" applyFill="1" applyBorder="1"/>
    <xf numFmtId="3" fontId="60" fillId="0" borderId="0" xfId="0" applyNumberFormat="1" applyFont="1" applyBorder="1"/>
    <xf numFmtId="0" fontId="58" fillId="0" borderId="86" xfId="0" applyFont="1" applyBorder="1" applyAlignment="1">
      <alignment horizontal="centerContinuous"/>
    </xf>
    <xf numFmtId="166" fontId="60" fillId="0" borderId="0" xfId="0" applyNumberFormat="1" applyFont="1"/>
    <xf numFmtId="0" fontId="58" fillId="0" borderId="0" xfId="0" applyFont="1" applyBorder="1" applyAlignment="1">
      <alignment horizontal="centerContinuous"/>
    </xf>
    <xf numFmtId="0" fontId="58" fillId="0" borderId="0" xfId="0" applyFont="1" applyBorder="1" applyAlignment="1">
      <alignment horizontal="right"/>
    </xf>
    <xf numFmtId="0" fontId="58" fillId="0" borderId="73" xfId="0" applyFont="1" applyBorder="1"/>
    <xf numFmtId="0" fontId="58" fillId="0" borderId="73" xfId="0" applyFont="1" applyBorder="1" applyAlignment="1">
      <alignment horizontal="right"/>
    </xf>
    <xf numFmtId="0" fontId="62" fillId="0" borderId="86" xfId="0" applyFont="1" applyBorder="1" applyAlignment="1">
      <alignment horizontal="centerContinuous"/>
    </xf>
    <xf numFmtId="0" fontId="58" fillId="0" borderId="0" xfId="0" applyFont="1" applyFill="1" applyBorder="1" applyAlignment="1">
      <alignment horizontal="right"/>
    </xf>
    <xf numFmtId="0" fontId="58" fillId="0" borderId="1" xfId="0" applyFont="1" applyFill="1" applyBorder="1" applyAlignment="1">
      <alignment horizontal="right"/>
    </xf>
    <xf numFmtId="3" fontId="60" fillId="0" borderId="86" xfId="0" applyNumberFormat="1" applyFont="1" applyBorder="1"/>
    <xf numFmtId="0" fontId="58" fillId="0" borderId="86" xfId="0" applyFont="1" applyBorder="1"/>
    <xf numFmtId="0" fontId="10" fillId="0" borderId="0" xfId="0" applyFont="1"/>
    <xf numFmtId="0" fontId="62" fillId="0" borderId="73" xfId="0" applyFont="1" applyBorder="1" applyAlignment="1">
      <alignment horizontal="centerContinuous"/>
    </xf>
    <xf numFmtId="166" fontId="58" fillId="0" borderId="0" xfId="0" applyNumberFormat="1" applyFont="1"/>
    <xf numFmtId="2" fontId="60" fillId="0" borderId="0" xfId="0" applyNumberFormat="1" applyFont="1"/>
    <xf numFmtId="0" fontId="10" fillId="0" borderId="1" xfId="0" applyFont="1" applyBorder="1"/>
    <xf numFmtId="0" fontId="61" fillId="2" borderId="73" xfId="0" applyFont="1" applyFill="1" applyBorder="1" applyAlignment="1">
      <alignment horizontal="right"/>
    </xf>
    <xf numFmtId="0" fontId="61" fillId="2" borderId="1" xfId="0" applyFont="1" applyFill="1" applyBorder="1" applyAlignment="1">
      <alignment horizontal="right"/>
    </xf>
    <xf numFmtId="3" fontId="53" fillId="0" borderId="0" xfId="0" applyNumberFormat="1" applyFont="1"/>
    <xf numFmtId="0" fontId="60" fillId="0" borderId="0" xfId="0" applyFont="1" applyBorder="1"/>
    <xf numFmtId="0" fontId="0" fillId="0" borderId="86" xfId="0" applyBorder="1" applyAlignment="1">
      <alignment horizontal="centerContinuous"/>
    </xf>
    <xf numFmtId="38" fontId="53" fillId="0" borderId="0" xfId="0" applyNumberFormat="1" applyFont="1"/>
    <xf numFmtId="2" fontId="53" fillId="0" borderId="0" xfId="0" applyNumberFormat="1" applyFont="1"/>
    <xf numFmtId="181" fontId="53" fillId="0" borderId="0" xfId="0" applyNumberFormat="1" applyFont="1"/>
    <xf numFmtId="0" fontId="53" fillId="0" borderId="86" xfId="0" applyFont="1" applyBorder="1"/>
    <xf numFmtId="4" fontId="44" fillId="0" borderId="0" xfId="1" applyNumberFormat="1" applyFont="1" applyBorder="1" applyAlignment="1" applyProtection="1">
      <alignment horizontal="right"/>
    </xf>
    <xf numFmtId="164" fontId="12" fillId="2" borderId="0" xfId="1" applyNumberFormat="1" applyFont="1" applyFill="1"/>
    <xf numFmtId="3" fontId="12" fillId="2" borderId="0" xfId="0" applyNumberFormat="1" applyFont="1" applyFill="1"/>
    <xf numFmtId="3" fontId="60" fillId="2" borderId="0" xfId="0" applyNumberFormat="1" applyFont="1" applyFill="1" applyBorder="1"/>
    <xf numFmtId="0" fontId="64" fillId="0" borderId="0" xfId="0" applyFont="1" applyBorder="1"/>
    <xf numFmtId="0" fontId="31" fillId="0" borderId="86" xfId="0" applyFont="1" applyBorder="1" applyAlignment="1">
      <alignment horizontal="right"/>
    </xf>
    <xf numFmtId="0" fontId="58" fillId="2" borderId="0" xfId="0" applyFont="1" applyFill="1" applyBorder="1"/>
    <xf numFmtId="0" fontId="58" fillId="2" borderId="1" xfId="0" applyFont="1" applyFill="1" applyBorder="1"/>
    <xf numFmtId="3" fontId="60" fillId="2" borderId="1" xfId="0" applyNumberFormat="1" applyFont="1" applyFill="1" applyBorder="1"/>
    <xf numFmtId="3" fontId="12" fillId="2" borderId="73" xfId="1" applyNumberFormat="1" applyFont="1" applyFill="1" applyBorder="1" applyAlignment="1" applyProtection="1">
      <alignment horizontal="right"/>
    </xf>
    <xf numFmtId="0" fontId="13" fillId="0" borderId="0" xfId="0" applyFont="1" applyFill="1" applyBorder="1" applyAlignment="1">
      <alignment horizontal="center"/>
    </xf>
    <xf numFmtId="0" fontId="0" fillId="0" borderId="0" xfId="0" applyBorder="1" applyAlignment="1">
      <alignment horizontal="right"/>
    </xf>
    <xf numFmtId="0" fontId="13" fillId="0" borderId="0" xfId="0" applyFont="1" applyFill="1" applyBorder="1" applyAlignment="1">
      <alignment horizontal="right"/>
    </xf>
    <xf numFmtId="0" fontId="0" fillId="0" borderId="0" xfId="0" applyFill="1" applyBorder="1" applyAlignment="1">
      <alignment horizontal="right"/>
    </xf>
    <xf numFmtId="0" fontId="5" fillId="0" borderId="0" xfId="0" applyFont="1" applyBorder="1" applyAlignment="1">
      <alignment horizontal="right"/>
    </xf>
    <xf numFmtId="174" fontId="5" fillId="0" borderId="0" xfId="0" applyNumberFormat="1" applyFont="1" applyAlignment="1">
      <alignment horizontal="right"/>
    </xf>
    <xf numFmtId="166" fontId="0" fillId="0" borderId="74" xfId="0" applyNumberFormat="1" applyBorder="1" applyAlignment="1">
      <alignment horizontal="right"/>
    </xf>
    <xf numFmtId="1" fontId="0" fillId="0" borderId="74" xfId="0" applyNumberFormat="1" applyBorder="1" applyAlignment="1">
      <alignment horizontal="right"/>
    </xf>
    <xf numFmtId="1" fontId="0" fillId="0" borderId="0" xfId="0" applyNumberFormat="1"/>
    <xf numFmtId="0" fontId="0" fillId="0" borderId="74" xfId="0" applyNumberFormat="1" applyBorder="1" applyAlignment="1">
      <alignment horizontal="right"/>
    </xf>
    <xf numFmtId="0" fontId="0" fillId="0" borderId="0" xfId="0" applyNumberFormat="1"/>
    <xf numFmtId="166" fontId="0" fillId="0" borderId="0" xfId="0" applyNumberFormat="1"/>
    <xf numFmtId="49" fontId="5" fillId="0" borderId="11" xfId="0" applyNumberFormat="1" applyFont="1" applyBorder="1" applyAlignment="1">
      <alignment horizontal="center"/>
    </xf>
    <xf numFmtId="49" fontId="0" fillId="0" borderId="74" xfId="0" applyNumberFormat="1" applyBorder="1" applyAlignment="1">
      <alignment horizontal="left"/>
    </xf>
    <xf numFmtId="166" fontId="0" fillId="0" borderId="14" xfId="0" applyNumberFormat="1" applyBorder="1" applyAlignment="1">
      <alignment horizontal="right"/>
    </xf>
    <xf numFmtId="166" fontId="0" fillId="0" borderId="0" xfId="0" applyNumberFormat="1" applyAlignment="1">
      <alignment horizontal="right"/>
    </xf>
    <xf numFmtId="166" fontId="0" fillId="0" borderId="10" xfId="0" applyNumberFormat="1" applyBorder="1" applyAlignment="1">
      <alignment horizontal="right"/>
    </xf>
    <xf numFmtId="49" fontId="0" fillId="0" borderId="14" xfId="0" applyNumberFormat="1" applyBorder="1" applyAlignment="1">
      <alignment horizontal="left"/>
    </xf>
    <xf numFmtId="49" fontId="0" fillId="0" borderId="0" xfId="0" applyNumberFormat="1" applyAlignment="1">
      <alignment horizontal="left"/>
    </xf>
    <xf numFmtId="49" fontId="0" fillId="0" borderId="10" xfId="0" applyNumberFormat="1" applyBorder="1" applyAlignment="1">
      <alignment horizontal="left"/>
    </xf>
    <xf numFmtId="1" fontId="0" fillId="0" borderId="0" xfId="0" applyNumberFormat="1" applyAlignment="1">
      <alignment horizontal="right"/>
    </xf>
    <xf numFmtId="1" fontId="0" fillId="0" borderId="10" xfId="0" applyNumberFormat="1" applyBorder="1" applyAlignment="1">
      <alignment horizontal="right"/>
    </xf>
    <xf numFmtId="0" fontId="65" fillId="0" borderId="0" xfId="0" applyFont="1"/>
    <xf numFmtId="0" fontId="0" fillId="0" borderId="0" xfId="0" applyNumberFormat="1" applyAlignment="1">
      <alignment horizontal="right"/>
    </xf>
    <xf numFmtId="0" fontId="0" fillId="0" borderId="10" xfId="0" applyNumberFormat="1" applyBorder="1" applyAlignment="1">
      <alignment horizontal="right"/>
    </xf>
    <xf numFmtId="0" fontId="65" fillId="0" borderId="0" xfId="0" applyFont="1" applyAlignment="1">
      <alignment horizontal="left"/>
    </xf>
    <xf numFmtId="166" fontId="5" fillId="0" borderId="0" xfId="0" applyNumberFormat="1" applyFont="1" applyAlignment="1">
      <alignment horizontal="right"/>
    </xf>
    <xf numFmtId="166" fontId="0" fillId="0" borderId="0" xfId="0" applyNumberFormat="1" applyFont="1" applyFill="1" applyBorder="1" applyAlignment="1">
      <alignment horizontal="right"/>
    </xf>
    <xf numFmtId="49" fontId="5" fillId="0" borderId="11" xfId="0" applyNumberFormat="1" applyFont="1" applyBorder="1" applyAlignment="1">
      <alignment horizontal="right"/>
    </xf>
    <xf numFmtId="175" fontId="12" fillId="2" borderId="35" xfId="0" applyNumberFormat="1" applyFont="1" applyFill="1" applyBorder="1" applyProtection="1"/>
    <xf numFmtId="11" fontId="5" fillId="0" borderId="0" xfId="0" applyNumberFormat="1" applyFont="1" applyAlignment="1">
      <alignment horizontal="right"/>
    </xf>
    <xf numFmtId="0" fontId="0" fillId="0" borderId="1" xfId="0" applyBorder="1" applyAlignment="1">
      <alignment horizontal="center"/>
    </xf>
    <xf numFmtId="166" fontId="53" fillId="0" borderId="0" xfId="0" applyNumberFormat="1" applyFont="1"/>
    <xf numFmtId="0" fontId="0" fillId="0" borderId="1" xfId="0" applyFill="1" applyBorder="1" applyAlignment="1">
      <alignment horizontal="right"/>
    </xf>
    <xf numFmtId="166" fontId="53" fillId="2" borderId="73" xfId="0" applyNumberFormat="1" applyFont="1" applyFill="1" applyBorder="1"/>
    <xf numFmtId="166" fontId="53" fillId="2" borderId="1" xfId="0" applyNumberFormat="1" applyFont="1" applyFill="1" applyBorder="1"/>
    <xf numFmtId="0" fontId="58" fillId="2" borderId="0" xfId="0" applyFont="1" applyFill="1"/>
    <xf numFmtId="3" fontId="0" fillId="2" borderId="0" xfId="0" applyNumberFormat="1" applyFill="1"/>
    <xf numFmtId="0" fontId="58" fillId="0" borderId="0" xfId="0" applyFont="1" applyAlignment="1">
      <alignment horizontal="right"/>
    </xf>
    <xf numFmtId="171" fontId="6" fillId="0" borderId="0" xfId="0" applyNumberFormat="1" applyFont="1" applyFill="1" applyBorder="1" applyAlignment="1" applyProtection="1">
      <alignment horizontal="right"/>
    </xf>
    <xf numFmtId="0" fontId="43" fillId="0" borderId="0" xfId="0" applyFont="1" applyBorder="1" applyAlignment="1">
      <alignment horizontal="center"/>
    </xf>
    <xf numFmtId="3" fontId="60" fillId="0" borderId="0" xfId="0" applyNumberFormat="1" applyFont="1" applyFill="1"/>
    <xf numFmtId="0" fontId="60" fillId="0" borderId="0" xfId="0" applyFont="1" applyFill="1"/>
    <xf numFmtId="0" fontId="67" fillId="0" borderId="0" xfId="0" applyFont="1" applyFill="1"/>
    <xf numFmtId="3" fontId="9" fillId="0" borderId="0" xfId="0" applyNumberFormat="1" applyFont="1" applyBorder="1" applyAlignment="1">
      <alignment horizontal="right"/>
    </xf>
    <xf numFmtId="3" fontId="53" fillId="0" borderId="0" xfId="0" applyNumberFormat="1" applyFont="1" applyFill="1"/>
    <xf numFmtId="166" fontId="58" fillId="0" borderId="0" xfId="0" applyNumberFormat="1" applyFont="1" applyFill="1"/>
    <xf numFmtId="175" fontId="12" fillId="0" borderId="35" xfId="0" applyNumberFormat="1" applyFont="1" applyFill="1" applyBorder="1" applyProtection="1"/>
    <xf numFmtId="182" fontId="0" fillId="0" borderId="0" xfId="0" applyNumberFormat="1" applyBorder="1"/>
    <xf numFmtId="182" fontId="0" fillId="0" borderId="0" xfId="0" applyNumberFormat="1"/>
    <xf numFmtId="166" fontId="0" fillId="0" borderId="0" xfId="0" applyNumberFormat="1" applyFill="1" applyBorder="1" applyAlignment="1"/>
    <xf numFmtId="0" fontId="31" fillId="2" borderId="86" xfId="0" applyFont="1" applyFill="1" applyBorder="1" applyAlignment="1">
      <alignment horizontal="right"/>
    </xf>
    <xf numFmtId="179" fontId="60" fillId="2" borderId="0" xfId="0" applyNumberFormat="1" applyFont="1" applyFill="1" applyBorder="1" applyAlignment="1" applyProtection="1">
      <alignment horizontal="right"/>
    </xf>
    <xf numFmtId="3" fontId="9" fillId="2" borderId="0" xfId="0" applyNumberFormat="1" applyFont="1" applyFill="1" applyBorder="1" applyAlignment="1">
      <alignment horizontal="right"/>
    </xf>
    <xf numFmtId="0" fontId="1" fillId="0" borderId="0" xfId="0" applyFont="1"/>
    <xf numFmtId="164" fontId="1" fillId="0" borderId="0" xfId="1" applyNumberFormat="1" applyFont="1" applyBorder="1"/>
    <xf numFmtId="0" fontId="1" fillId="0" borderId="1" xfId="0" applyFont="1" applyBorder="1"/>
    <xf numFmtId="0" fontId="12" fillId="0" borderId="0" xfId="0" applyFont="1" applyFill="1" applyBorder="1" applyAlignment="1">
      <alignment horizontal="center"/>
    </xf>
    <xf numFmtId="0" fontId="2" fillId="0" borderId="16" xfId="0" applyFont="1" applyFill="1" applyBorder="1"/>
    <xf numFmtId="0" fontId="2" fillId="0" borderId="84" xfId="0" applyFont="1" applyFill="1" applyBorder="1"/>
    <xf numFmtId="3" fontId="9" fillId="3" borderId="14" xfId="0" applyNumberFormat="1" applyFont="1" applyFill="1" applyBorder="1"/>
    <xf numFmtId="10" fontId="9" fillId="3" borderId="0" xfId="2" applyNumberFormat="1" applyFont="1" applyFill="1" applyBorder="1"/>
    <xf numFmtId="2" fontId="12" fillId="0" borderId="35" xfId="0" applyNumberFormat="1" applyFont="1" applyBorder="1"/>
    <xf numFmtId="1" fontId="79" fillId="0" borderId="0" xfId="0" quotePrefix="1" applyNumberFormat="1" applyFont="1" applyFill="1" applyBorder="1"/>
    <xf numFmtId="1" fontId="79" fillId="0" borderId="0" xfId="0" applyNumberFormat="1" applyFont="1"/>
    <xf numFmtId="171" fontId="5" fillId="0" borderId="0" xfId="0" applyNumberFormat="1" applyFont="1" applyFill="1" applyBorder="1" applyProtection="1"/>
    <xf numFmtId="0" fontId="5" fillId="0" borderId="0" xfId="0" applyFont="1" applyFill="1" applyBorder="1"/>
    <xf numFmtId="0" fontId="5" fillId="0" borderId="0" xfId="0" applyFont="1" applyFill="1" applyBorder="1" applyAlignment="1">
      <alignment horizontal="center"/>
    </xf>
    <xf numFmtId="176" fontId="5" fillId="0" borderId="0" xfId="0" applyNumberFormat="1" applyFont="1" applyFill="1" applyBorder="1" applyAlignment="1" applyProtection="1">
      <alignment horizontal="center"/>
    </xf>
    <xf numFmtId="0" fontId="0" fillId="0" borderId="0" xfId="0" applyFill="1" applyBorder="1"/>
    <xf numFmtId="171" fontId="5" fillId="0" borderId="0" xfId="0" applyNumberFormat="1" applyFont="1" applyFill="1" applyBorder="1" applyAlignment="1" applyProtection="1">
      <alignment horizontal="center"/>
    </xf>
    <xf numFmtId="177" fontId="5" fillId="0" borderId="0" xfId="0" applyNumberFormat="1" applyFont="1" applyFill="1" applyBorder="1" applyAlignment="1" applyProtection="1">
      <alignment horizontal="center"/>
    </xf>
    <xf numFmtId="178" fontId="5" fillId="0" borderId="0" xfId="0" applyNumberFormat="1" applyFont="1" applyFill="1" applyBorder="1" applyAlignment="1" applyProtection="1">
      <alignment horizontal="center"/>
    </xf>
    <xf numFmtId="179" fontId="5" fillId="0" borderId="0" xfId="0" applyNumberFormat="1" applyFont="1" applyFill="1" applyBorder="1" applyAlignment="1" applyProtection="1">
      <alignment horizontal="center"/>
    </xf>
    <xf numFmtId="0" fontId="12" fillId="0" borderId="80" xfId="0" applyFont="1" applyBorder="1"/>
    <xf numFmtId="176" fontId="79" fillId="0" borderId="0" xfId="0" applyNumberFormat="1" applyFont="1" applyProtection="1"/>
    <xf numFmtId="183" fontId="12" fillId="0" borderId="0" xfId="0" applyNumberFormat="1" applyFont="1"/>
    <xf numFmtId="2" fontId="78" fillId="0" borderId="0" xfId="0" applyNumberFormat="1" applyFont="1"/>
    <xf numFmtId="179" fontId="12" fillId="0" borderId="0" xfId="0" applyNumberFormat="1" applyFont="1"/>
    <xf numFmtId="180" fontId="80" fillId="0" borderId="0" xfId="0" applyNumberFormat="1" applyFont="1" applyProtection="1"/>
    <xf numFmtId="0" fontId="80" fillId="0" borderId="0" xfId="0" applyFont="1"/>
    <xf numFmtId="37" fontId="80" fillId="0" borderId="0" xfId="0" applyNumberFormat="1" applyFont="1" applyProtection="1"/>
    <xf numFmtId="175" fontId="80" fillId="0" borderId="35" xfId="0" applyNumberFormat="1" applyFont="1" applyBorder="1" applyProtection="1"/>
    <xf numFmtId="0" fontId="80" fillId="0" borderId="35" xfId="0" applyFont="1" applyBorder="1"/>
    <xf numFmtId="165" fontId="80" fillId="0" borderId="35" xfId="0" applyNumberFormat="1" applyFont="1" applyBorder="1"/>
    <xf numFmtId="176" fontId="80" fillId="0" borderId="35" xfId="0" applyNumberFormat="1" applyFont="1" applyBorder="1" applyProtection="1"/>
    <xf numFmtId="165" fontId="80" fillId="0" borderId="0" xfId="0" applyNumberFormat="1" applyFont="1" applyBorder="1"/>
    <xf numFmtId="180" fontId="12" fillId="3" borderId="0" xfId="0" applyNumberFormat="1" applyFont="1" applyFill="1" applyProtection="1"/>
    <xf numFmtId="37" fontId="12" fillId="3" borderId="0" xfId="0" applyNumberFormat="1" applyFont="1" applyFill="1" applyProtection="1"/>
    <xf numFmtId="37" fontId="0" fillId="0" borderId="0" xfId="0" applyNumberFormat="1"/>
    <xf numFmtId="0" fontId="1" fillId="0" borderId="0" xfId="0" applyFont="1" applyAlignment="1">
      <alignment wrapText="1"/>
    </xf>
    <xf numFmtId="180" fontId="12" fillId="0" borderId="0" xfId="0" applyNumberFormat="1" applyFont="1" applyAlignment="1" applyProtection="1">
      <alignment horizontal="right"/>
    </xf>
    <xf numFmtId="0" fontId="80" fillId="0" borderId="35" xfId="0" applyFont="1" applyBorder="1" applyAlignment="1">
      <alignment horizontal="right"/>
    </xf>
    <xf numFmtId="184" fontId="12" fillId="0" borderId="0" xfId="0" applyNumberFormat="1" applyFont="1"/>
    <xf numFmtId="185" fontId="12" fillId="0" borderId="0" xfId="0" applyNumberFormat="1" applyFont="1"/>
    <xf numFmtId="0" fontId="0" fillId="0" borderId="28" xfId="0" applyBorder="1" applyAlignment="1">
      <alignment horizontal="right"/>
    </xf>
    <xf numFmtId="0" fontId="0" fillId="0" borderId="29" xfId="0" applyBorder="1" applyAlignment="1">
      <alignment horizontal="right"/>
    </xf>
    <xf numFmtId="186" fontId="0" fillId="0" borderId="0" xfId="0" applyNumberFormat="1" applyFill="1" applyBorder="1" applyAlignment="1"/>
    <xf numFmtId="0" fontId="1" fillId="0" borderId="0" xfId="3" applyFont="1"/>
    <xf numFmtId="0" fontId="1" fillId="0" borderId="0" xfId="3" applyFont="1" applyBorder="1"/>
    <xf numFmtId="0" fontId="1" fillId="0" borderId="0" xfId="3" applyFont="1" applyBorder="1" applyAlignment="1">
      <alignment horizontal="center"/>
    </xf>
    <xf numFmtId="3" fontId="12" fillId="0" borderId="1" xfId="1" applyNumberFormat="1" applyFont="1" applyBorder="1" applyAlignment="1" applyProtection="1">
      <alignment horizontal="right"/>
    </xf>
    <xf numFmtId="0" fontId="1" fillId="0" borderId="29" xfId="3" applyFont="1" applyBorder="1" applyAlignment="1">
      <alignment horizontal="center"/>
    </xf>
    <xf numFmtId="0" fontId="1" fillId="0" borderId="84" xfId="3" applyFont="1" applyBorder="1" applyAlignment="1">
      <alignment horizontal="center"/>
    </xf>
    <xf numFmtId="0" fontId="1" fillId="0" borderId="0" xfId="3" applyFont="1" applyFill="1"/>
    <xf numFmtId="3" fontId="12" fillId="0" borderId="0" xfId="1" applyNumberFormat="1" applyFont="1" applyFill="1" applyBorder="1" applyAlignment="1" applyProtection="1">
      <alignment horizontal="right"/>
    </xf>
    <xf numFmtId="0" fontId="1" fillId="0" borderId="83" xfId="3" applyFont="1" applyBorder="1" applyAlignment="1">
      <alignment horizontal="center"/>
    </xf>
    <xf numFmtId="37" fontId="1" fillId="0" borderId="0" xfId="3" applyNumberFormat="1" applyFont="1" applyFill="1" applyBorder="1" applyProtection="1"/>
    <xf numFmtId="37" fontId="1" fillId="0" borderId="73" xfId="3" applyNumberFormat="1" applyFont="1" applyBorder="1" applyProtection="1"/>
    <xf numFmtId="164" fontId="1" fillId="0" borderId="73" xfId="1" applyNumberFormat="1" applyFont="1" applyBorder="1"/>
    <xf numFmtId="164" fontId="1" fillId="0" borderId="73" xfId="1" applyNumberFormat="1" applyFont="1" applyBorder="1" applyProtection="1"/>
    <xf numFmtId="0" fontId="39" fillId="0" borderId="87" xfId="3" applyFont="1" applyBorder="1" applyAlignment="1">
      <alignment horizontal="left"/>
    </xf>
    <xf numFmtId="3" fontId="12" fillId="0" borderId="0" xfId="3" applyNumberFormat="1" applyFont="1" applyFill="1" applyBorder="1" applyProtection="1"/>
    <xf numFmtId="3" fontId="12" fillId="0" borderId="0" xfId="1" applyNumberFormat="1" applyFont="1" applyFill="1" applyBorder="1"/>
    <xf numFmtId="164" fontId="38" fillId="0" borderId="0" xfId="1" applyNumberFormat="1" applyFont="1" applyFill="1" applyBorder="1" applyProtection="1"/>
    <xf numFmtId="164" fontId="12" fillId="0" borderId="0" xfId="1" applyNumberFormat="1" applyFont="1" applyFill="1" applyBorder="1" applyProtection="1"/>
    <xf numFmtId="3" fontId="44" fillId="0" borderId="0" xfId="1" applyNumberFormat="1" applyFont="1" applyBorder="1" applyProtection="1"/>
    <xf numFmtId="3" fontId="12" fillId="0" borderId="0" xfId="3" applyNumberFormat="1" applyFont="1" applyBorder="1" applyProtection="1"/>
    <xf numFmtId="3" fontId="79" fillId="0" borderId="88" xfId="3" applyNumberFormat="1" applyFont="1" applyFill="1" applyBorder="1" applyProtection="1"/>
    <xf numFmtId="3" fontId="79" fillId="0" borderId="84" xfId="3" applyNumberFormat="1" applyFont="1" applyFill="1" applyBorder="1" applyProtection="1"/>
    <xf numFmtId="3" fontId="79" fillId="0" borderId="0" xfId="1" applyNumberFormat="1" applyFont="1" applyFill="1" applyBorder="1" applyAlignment="1">
      <alignment horizontal="right"/>
    </xf>
    <xf numFmtId="3" fontId="1" fillId="0" borderId="0" xfId="3" applyNumberFormat="1" applyFont="1" applyBorder="1"/>
    <xf numFmtId="3" fontId="79" fillId="0" borderId="0" xfId="1" applyNumberFormat="1" applyFont="1" applyBorder="1" applyAlignment="1">
      <alignment horizontal="right"/>
    </xf>
    <xf numFmtId="164" fontId="1" fillId="0" borderId="0" xfId="1" applyNumberFormat="1" applyFont="1" applyFill="1" applyBorder="1" applyProtection="1"/>
    <xf numFmtId="164" fontId="44" fillId="0" borderId="0" xfId="1" applyNumberFormat="1" applyFont="1" applyFill="1" applyBorder="1" applyProtection="1"/>
    <xf numFmtId="3" fontId="1" fillId="0" borderId="0" xfId="3" quotePrefix="1" applyNumberFormat="1" applyFont="1" applyBorder="1"/>
    <xf numFmtId="3" fontId="79" fillId="0" borderId="81" xfId="3" applyNumberFormat="1" applyFont="1" applyFill="1" applyBorder="1" applyProtection="1"/>
    <xf numFmtId="3" fontId="1" fillId="0" borderId="81" xfId="3" applyNumberFormat="1" applyFont="1" applyFill="1" applyBorder="1"/>
    <xf numFmtId="3" fontId="1" fillId="0" borderId="88" xfId="3" applyNumberFormat="1" applyFont="1" applyFill="1" applyBorder="1"/>
    <xf numFmtId="3" fontId="79" fillId="0" borderId="89" xfId="3" applyNumberFormat="1" applyFont="1" applyFill="1" applyBorder="1" applyProtection="1"/>
    <xf numFmtId="3" fontId="1" fillId="0" borderId="89" xfId="3" applyNumberFormat="1" applyFont="1" applyFill="1" applyBorder="1"/>
    <xf numFmtId="3" fontId="79" fillId="0" borderId="88" xfId="1" applyNumberFormat="1" applyFont="1" applyBorder="1" applyAlignment="1">
      <alignment horizontal="right"/>
    </xf>
    <xf numFmtId="164" fontId="79" fillId="0" borderId="88" xfId="1" applyNumberFormat="1" applyFont="1" applyBorder="1" applyAlignment="1" applyProtection="1">
      <alignment horizontal="right"/>
    </xf>
    <xf numFmtId="3" fontId="1" fillId="0" borderId="0" xfId="3" applyNumberFormat="1" applyFont="1"/>
    <xf numFmtId="3" fontId="79" fillId="0" borderId="83" xfId="3" applyNumberFormat="1" applyFont="1" applyFill="1" applyBorder="1" applyProtection="1"/>
    <xf numFmtId="3" fontId="79" fillId="0" borderId="88" xfId="1" applyNumberFormat="1" applyFont="1" applyBorder="1"/>
    <xf numFmtId="3" fontId="79" fillId="0" borderId="89" xfId="1" applyNumberFormat="1" applyFont="1" applyBorder="1"/>
    <xf numFmtId="3" fontId="1" fillId="0" borderId="81" xfId="3" applyNumberFormat="1" applyFont="1" applyBorder="1" applyProtection="1"/>
    <xf numFmtId="3" fontId="1" fillId="0" borderId="88" xfId="3" applyNumberFormat="1" applyFont="1" applyBorder="1" applyProtection="1"/>
    <xf numFmtId="3" fontId="1" fillId="0" borderId="0" xfId="3" applyNumberFormat="1" applyFont="1" applyFill="1" applyAlignment="1">
      <alignment horizontal="right"/>
    </xf>
    <xf numFmtId="37" fontId="78" fillId="0" borderId="0" xfId="3" applyNumberFormat="1" applyFont="1" applyBorder="1" applyProtection="1"/>
    <xf numFmtId="3" fontId="78" fillId="0" borderId="0" xfId="3" applyNumberFormat="1" applyFont="1" applyBorder="1" applyProtection="1"/>
    <xf numFmtId="164" fontId="79" fillId="0" borderId="88" xfId="1" applyNumberFormat="1" applyFont="1" applyBorder="1"/>
    <xf numFmtId="164" fontId="1" fillId="0" borderId="0" xfId="1" applyNumberFormat="1" applyFont="1" applyBorder="1" applyProtection="1"/>
    <xf numFmtId="164" fontId="79" fillId="0" borderId="88" xfId="1" applyNumberFormat="1" applyFont="1" applyBorder="1" applyProtection="1"/>
    <xf numFmtId="3" fontId="1" fillId="0" borderId="89" xfId="3" applyNumberFormat="1" applyFont="1" applyBorder="1" applyProtection="1"/>
    <xf numFmtId="164" fontId="79" fillId="0" borderId="89" xfId="1" applyNumberFormat="1" applyFont="1" applyBorder="1" applyAlignment="1" applyProtection="1">
      <alignment horizontal="right"/>
    </xf>
    <xf numFmtId="164" fontId="79" fillId="0" borderId="89" xfId="1" applyNumberFormat="1" applyFont="1" applyBorder="1" applyProtection="1"/>
    <xf numFmtId="3" fontId="79" fillId="3" borderId="0" xfId="1" applyNumberFormat="1" applyFont="1" applyFill="1" applyBorder="1" applyAlignment="1">
      <alignment horizontal="right"/>
    </xf>
    <xf numFmtId="164" fontId="80" fillId="3" borderId="0" xfId="1" applyNumberFormat="1" applyFont="1" applyFill="1" applyBorder="1" applyProtection="1"/>
    <xf numFmtId="164" fontId="80" fillId="3" borderId="0" xfId="1" applyNumberFormat="1" applyFont="1" applyFill="1" applyBorder="1"/>
    <xf numFmtId="164" fontId="1" fillId="0" borderId="0" xfId="1" applyNumberFormat="1" applyFont="1" applyBorder="1" applyAlignment="1">
      <alignment horizontal="right"/>
    </xf>
    <xf numFmtId="0" fontId="1" fillId="0" borderId="1" xfId="3" applyFont="1" applyBorder="1"/>
    <xf numFmtId="0" fontId="39" fillId="0" borderId="1" xfId="3" applyFont="1" applyBorder="1" applyAlignment="1">
      <alignment horizontal="center"/>
    </xf>
    <xf numFmtId="0" fontId="39" fillId="0" borderId="1" xfId="3" applyFont="1" applyBorder="1" applyAlignment="1">
      <alignment horizontal="center" wrapText="1"/>
    </xf>
    <xf numFmtId="0" fontId="1" fillId="0" borderId="1" xfId="3" applyFont="1" applyBorder="1" applyAlignment="1">
      <alignment horizontal="right"/>
    </xf>
    <xf numFmtId="0" fontId="1" fillId="0" borderId="1" xfId="3" applyFont="1" applyBorder="1" applyAlignment="1">
      <alignment horizontal="center" wrapText="1"/>
    </xf>
    <xf numFmtId="0" fontId="1" fillId="0" borderId="1" xfId="3" applyFont="1" applyBorder="1" applyAlignment="1">
      <alignment horizontal="center"/>
    </xf>
    <xf numFmtId="0" fontId="81" fillId="0" borderId="1" xfId="3" applyFont="1" applyBorder="1" applyAlignment="1">
      <alignment horizontal="center"/>
    </xf>
    <xf numFmtId="164" fontId="1" fillId="0" borderId="1" xfId="1" applyNumberFormat="1" applyFont="1" applyBorder="1" applyAlignment="1">
      <alignment horizontal="right" wrapText="1"/>
    </xf>
    <xf numFmtId="164" fontId="1" fillId="0" borderId="1" xfId="1" applyNumberFormat="1" applyFont="1" applyBorder="1" applyAlignment="1">
      <alignment horizontal="center" wrapText="1"/>
    </xf>
    <xf numFmtId="0" fontId="39" fillId="0" borderId="0" xfId="3" applyFont="1" applyBorder="1" applyAlignment="1">
      <alignment horizontal="center"/>
    </xf>
    <xf numFmtId="0" fontId="1" fillId="0" borderId="73" xfId="3" applyFont="1" applyBorder="1"/>
    <xf numFmtId="0" fontId="39" fillId="0" borderId="73" xfId="3" applyFont="1" applyBorder="1" applyAlignment="1">
      <alignment horizontal="center"/>
    </xf>
    <xf numFmtId="0" fontId="1" fillId="0" borderId="73" xfId="3" applyFont="1" applyBorder="1" applyAlignment="1">
      <alignment horizontal="center"/>
    </xf>
    <xf numFmtId="164" fontId="1" fillId="0" borderId="0" xfId="1" applyNumberFormat="1" applyFont="1"/>
    <xf numFmtId="0" fontId="80" fillId="0" borderId="0" xfId="3" applyFont="1"/>
    <xf numFmtId="169" fontId="12" fillId="0" borderId="0" xfId="3" applyNumberFormat="1" applyFont="1" applyProtection="1"/>
    <xf numFmtId="0" fontId="63" fillId="3" borderId="0" xfId="0" applyFont="1" applyFill="1"/>
    <xf numFmtId="0" fontId="67" fillId="3" borderId="0" xfId="0" applyFont="1" applyFill="1"/>
    <xf numFmtId="0" fontId="9" fillId="0" borderId="0" xfId="3" applyFont="1"/>
    <xf numFmtId="0" fontId="2" fillId="0" borderId="0" xfId="3" applyFont="1"/>
    <xf numFmtId="0" fontId="1" fillId="0" borderId="0" xfId="3"/>
    <xf numFmtId="0" fontId="31" fillId="0" borderId="0" xfId="3" applyFont="1"/>
    <xf numFmtId="0" fontId="2" fillId="0" borderId="0" xfId="3" applyFont="1" applyBorder="1"/>
    <xf numFmtId="0" fontId="83" fillId="0" borderId="0" xfId="3" applyFont="1" applyBorder="1"/>
    <xf numFmtId="0" fontId="2" fillId="0" borderId="73" xfId="3" applyFont="1" applyBorder="1" applyAlignment="1">
      <alignment horizontal="center"/>
    </xf>
    <xf numFmtId="0" fontId="2" fillId="0" borderId="73" xfId="3" applyFont="1" applyBorder="1" applyAlignment="1">
      <alignment horizontal="right"/>
    </xf>
    <xf numFmtId="0" fontId="2" fillId="0" borderId="73" xfId="3" applyFont="1" applyBorder="1"/>
    <xf numFmtId="0" fontId="2" fillId="0" borderId="1" xfId="3" applyFont="1" applyBorder="1" applyAlignment="1">
      <alignment horizontal="center"/>
    </xf>
    <xf numFmtId="0" fontId="2" fillId="0" borderId="1" xfId="3" applyFont="1" applyBorder="1" applyAlignment="1">
      <alignment horizontal="right" wrapText="1"/>
    </xf>
    <xf numFmtId="0" fontId="2" fillId="0" borderId="1" xfId="3" applyFont="1" applyBorder="1" applyAlignment="1">
      <alignment horizontal="right"/>
    </xf>
    <xf numFmtId="0" fontId="36" fillId="0" borderId="1" xfId="3" applyFont="1" applyBorder="1" applyAlignment="1">
      <alignment horizontal="right"/>
    </xf>
    <xf numFmtId="0" fontId="84" fillId="0" borderId="1" xfId="3" applyFont="1" applyBorder="1" applyAlignment="1">
      <alignment horizontal="center" wrapText="1"/>
    </xf>
    <xf numFmtId="0" fontId="2" fillId="0" borderId="0" xfId="3" applyFont="1" applyAlignment="1">
      <alignment horizontal="right"/>
    </xf>
    <xf numFmtId="0" fontId="2" fillId="0" borderId="0" xfId="3" applyFont="1" applyBorder="1" applyAlignment="1">
      <alignment horizontal="center"/>
    </xf>
    <xf numFmtId="3" fontId="85" fillId="0" borderId="0" xfId="3" applyNumberFormat="1" applyFont="1" applyBorder="1"/>
    <xf numFmtId="3" fontId="9" fillId="0" borderId="0" xfId="3" applyNumberFormat="1" applyFont="1"/>
    <xf numFmtId="187" fontId="9" fillId="0" borderId="0" xfId="3" applyNumberFormat="1" applyFont="1" applyBorder="1"/>
    <xf numFmtId="3" fontId="9" fillId="0" borderId="0" xfId="3" applyNumberFormat="1" applyFont="1" applyBorder="1"/>
    <xf numFmtId="0" fontId="2" fillId="0" borderId="0" xfId="3" applyFont="1" applyBorder="1" applyAlignment="1">
      <alignment horizontal="right"/>
    </xf>
    <xf numFmtId="0" fontId="1" fillId="0" borderId="0" xfId="3" applyFont="1" applyAlignment="1">
      <alignment horizontal="right"/>
    </xf>
    <xf numFmtId="3" fontId="6" fillId="0" borderId="0" xfId="3" applyNumberFormat="1" applyFont="1" applyBorder="1"/>
    <xf numFmtId="3" fontId="2" fillId="0" borderId="0" xfId="3" applyNumberFormat="1" applyFont="1"/>
    <xf numFmtId="0" fontId="36" fillId="0" borderId="0" xfId="3" applyFont="1" applyBorder="1"/>
    <xf numFmtId="0" fontId="6" fillId="0" borderId="0" xfId="3" applyFont="1" applyBorder="1"/>
    <xf numFmtId="3" fontId="6" fillId="0" borderId="12" xfId="1" applyNumberFormat="1" applyFont="1" applyFill="1" applyBorder="1"/>
    <xf numFmtId="3" fontId="6" fillId="0" borderId="0" xfId="3" applyNumberFormat="1" applyFont="1" applyFill="1" applyBorder="1"/>
    <xf numFmtId="3" fontId="6" fillId="0" borderId="13" xfId="3" applyNumberFormat="1" applyFont="1" applyFill="1" applyBorder="1"/>
    <xf numFmtId="3" fontId="2" fillId="0" borderId="0" xfId="1" applyNumberFormat="1" applyFont="1" applyBorder="1" applyProtection="1"/>
    <xf numFmtId="3" fontId="2" fillId="0" borderId="13" xfId="3" applyNumberFormat="1" applyFont="1" applyFill="1" applyBorder="1"/>
    <xf numFmtId="0" fontId="2" fillId="0" borderId="0" xfId="3" applyFont="1" applyFill="1" applyBorder="1" applyAlignment="1">
      <alignment horizontal="center"/>
    </xf>
    <xf numFmtId="3" fontId="41" fillId="0" borderId="0" xfId="3" applyNumberFormat="1" applyFont="1" applyFill="1" applyBorder="1"/>
    <xf numFmtId="0" fontId="2" fillId="0" borderId="0" xfId="3" applyFont="1" applyAlignment="1">
      <alignment horizontal="center"/>
    </xf>
    <xf numFmtId="3" fontId="9" fillId="0" borderId="73" xfId="3" applyNumberFormat="1" applyFont="1" applyFill="1" applyBorder="1"/>
    <xf numFmtId="3" fontId="9" fillId="0" borderId="0" xfId="3" applyNumberFormat="1" applyFont="1" applyFill="1" applyBorder="1"/>
    <xf numFmtId="3" fontId="9" fillId="0" borderId="1" xfId="3" applyNumberFormat="1" applyFont="1" applyBorder="1"/>
    <xf numFmtId="0" fontId="1" fillId="0" borderId="0" xfId="3" applyFill="1"/>
    <xf numFmtId="166" fontId="9" fillId="0" borderId="0" xfId="3" applyNumberFormat="1" applyFont="1" applyFill="1"/>
    <xf numFmtId="0" fontId="2" fillId="0" borderId="0" xfId="3" applyFont="1" applyFill="1"/>
    <xf numFmtId="3" fontId="2" fillId="0" borderId="0" xfId="3" applyNumberFormat="1" applyFont="1" applyFill="1"/>
    <xf numFmtId="0" fontId="7" fillId="0" borderId="0" xfId="3" applyFont="1"/>
    <xf numFmtId="0" fontId="36" fillId="0" borderId="0" xfId="3" applyFont="1"/>
    <xf numFmtId="0" fontId="86" fillId="0" borderId="0" xfId="3" applyFont="1" applyBorder="1" applyAlignment="1">
      <alignment horizontal="left"/>
    </xf>
    <xf numFmtId="0" fontId="36" fillId="0" borderId="0" xfId="3" applyFont="1" applyBorder="1" applyAlignment="1">
      <alignment horizontal="center"/>
    </xf>
    <xf numFmtId="0" fontId="2" fillId="0" borderId="86" xfId="3" applyFont="1" applyBorder="1" applyAlignment="1">
      <alignment horizontal="center"/>
    </xf>
    <xf numFmtId="0" fontId="2" fillId="0" borderId="86" xfId="3" applyFont="1" applyBorder="1" applyAlignment="1">
      <alignment horizontal="right" wrapText="1"/>
    </xf>
    <xf numFmtId="0" fontId="2" fillId="0" borderId="73" xfId="3" applyFont="1" applyBorder="1" applyAlignment="1">
      <alignment horizontal="right" wrapText="1"/>
    </xf>
    <xf numFmtId="0" fontId="2" fillId="3" borderId="73" xfId="3" applyFont="1" applyFill="1" applyBorder="1" applyAlignment="1">
      <alignment horizontal="right"/>
    </xf>
    <xf numFmtId="0" fontId="2" fillId="3" borderId="86" xfId="3" applyFont="1" applyFill="1" applyBorder="1" applyAlignment="1">
      <alignment horizontal="right" wrapText="1"/>
    </xf>
    <xf numFmtId="0" fontId="2" fillId="0" borderId="86" xfId="3" applyFont="1" applyBorder="1" applyAlignment="1">
      <alignment horizontal="right"/>
    </xf>
    <xf numFmtId="3" fontId="9" fillId="0" borderId="12" xfId="3" applyNumberFormat="1" applyFont="1" applyBorder="1"/>
    <xf numFmtId="37" fontId="9" fillId="0" borderId="0" xfId="3" applyNumberFormat="1" applyFont="1"/>
    <xf numFmtId="4" fontId="9" fillId="0" borderId="0" xfId="3" applyNumberFormat="1" applyFont="1"/>
    <xf numFmtId="3" fontId="9" fillId="0" borderId="13" xfId="3" applyNumberFormat="1" applyFont="1" applyBorder="1"/>
    <xf numFmtId="3" fontId="9" fillId="0" borderId="75" xfId="3" applyNumberFormat="1" applyFont="1" applyBorder="1"/>
    <xf numFmtId="3" fontId="9" fillId="0" borderId="90" xfId="3" applyNumberFormat="1" applyFont="1" applyBorder="1"/>
    <xf numFmtId="37" fontId="2" fillId="0" borderId="0" xfId="3" applyNumberFormat="1" applyFont="1" applyAlignment="1">
      <alignment horizontal="right"/>
    </xf>
    <xf numFmtId="0" fontId="87" fillId="3" borderId="73" xfId="3" applyFont="1" applyFill="1" applyBorder="1"/>
    <xf numFmtId="0" fontId="2" fillId="3" borderId="73" xfId="3" applyFont="1" applyFill="1" applyBorder="1"/>
    <xf numFmtId="0" fontId="9" fillId="0" borderId="0" xfId="3" applyFont="1" applyBorder="1"/>
    <xf numFmtId="4" fontId="9" fillId="0" borderId="0" xfId="3" applyNumberFormat="1" applyFont="1" applyBorder="1"/>
    <xf numFmtId="0" fontId="2" fillId="0" borderId="1" xfId="3" applyFont="1" applyBorder="1"/>
    <xf numFmtId="4" fontId="9" fillId="0" borderId="1" xfId="3" applyNumberFormat="1" applyFont="1" applyBorder="1"/>
    <xf numFmtId="0" fontId="1" fillId="0" borderId="0" xfId="3" applyBorder="1"/>
    <xf numFmtId="0" fontId="87" fillId="0" borderId="73" xfId="3" applyFont="1" applyBorder="1"/>
    <xf numFmtId="0" fontId="7" fillId="0" borderId="0" xfId="0" applyFont="1"/>
    <xf numFmtId="3" fontId="80" fillId="0" borderId="0" xfId="1" applyNumberFormat="1" applyFont="1" applyFill="1" applyBorder="1" applyAlignment="1">
      <alignment horizontal="right"/>
    </xf>
    <xf numFmtId="3" fontId="1" fillId="0" borderId="0" xfId="1" applyNumberFormat="1" applyFont="1" applyBorder="1" applyAlignment="1">
      <alignment horizontal="right"/>
    </xf>
    <xf numFmtId="3" fontId="1" fillId="0" borderId="0" xfId="1" applyNumberFormat="1" applyFont="1" applyFill="1" applyBorder="1" applyAlignment="1">
      <alignment horizontal="right"/>
    </xf>
    <xf numFmtId="3" fontId="77" fillId="0" borderId="0" xfId="3" applyNumberFormat="1" applyFont="1" applyFill="1" applyBorder="1"/>
    <xf numFmtId="3" fontId="77" fillId="0" borderId="0" xfId="3" applyNumberFormat="1" applyFont="1" applyBorder="1"/>
    <xf numFmtId="3" fontId="77" fillId="0" borderId="0" xfId="1" applyNumberFormat="1" applyFont="1" applyBorder="1" applyProtection="1"/>
    <xf numFmtId="3" fontId="1" fillId="0" borderId="88" xfId="3" applyNumberFormat="1" applyFont="1" applyFill="1" applyBorder="1" applyProtection="1"/>
    <xf numFmtId="3" fontId="2" fillId="0" borderId="0" xfId="0" applyNumberFormat="1" applyFont="1" applyBorder="1"/>
    <xf numFmtId="3" fontId="88" fillId="0" borderId="0" xfId="0" applyNumberFormat="1" applyFont="1" applyBorder="1"/>
    <xf numFmtId="37" fontId="88" fillId="0" borderId="0" xfId="0" applyNumberFormat="1" applyFont="1" applyBorder="1" applyProtection="1"/>
    <xf numFmtId="3" fontId="12" fillId="0" borderId="0" xfId="3" applyNumberFormat="1" applyFont="1" applyBorder="1" applyAlignment="1" applyProtection="1">
      <alignment horizontal="center"/>
    </xf>
    <xf numFmtId="175" fontId="78" fillId="2" borderId="35" xfId="0" applyNumberFormat="1" applyFont="1" applyFill="1" applyBorder="1" applyProtection="1"/>
    <xf numFmtId="175" fontId="78" fillId="2" borderId="0" xfId="0" applyNumberFormat="1" applyFont="1" applyFill="1"/>
    <xf numFmtId="0" fontId="44" fillId="0" borderId="86" xfId="0" quotePrefix="1" applyFont="1" applyBorder="1" applyAlignment="1">
      <alignment horizontal="left"/>
    </xf>
    <xf numFmtId="0" fontId="1" fillId="0" borderId="1" xfId="0" quotePrefix="1" applyFont="1" applyBorder="1" applyAlignment="1">
      <alignment horizontal="left"/>
    </xf>
    <xf numFmtId="2" fontId="12" fillId="0" borderId="0" xfId="3" applyNumberFormat="1" applyFont="1"/>
    <xf numFmtId="0" fontId="39" fillId="0" borderId="0" xfId="3" applyFont="1"/>
    <xf numFmtId="3" fontId="12" fillId="3" borderId="0" xfId="1" applyNumberFormat="1" applyFont="1" applyFill="1" applyBorder="1"/>
    <xf numFmtId="3" fontId="12" fillId="0" borderId="0" xfId="3" applyNumberFormat="1" applyFont="1"/>
    <xf numFmtId="3" fontId="12" fillId="0" borderId="0" xfId="3" applyNumberFormat="1" applyFont="1" applyBorder="1"/>
    <xf numFmtId="3" fontId="12" fillId="0" borderId="0" xfId="1" applyNumberFormat="1" applyFont="1" applyBorder="1"/>
    <xf numFmtId="37" fontId="12" fillId="0" borderId="0" xfId="3" applyNumberFormat="1" applyFont="1" applyBorder="1" applyProtection="1"/>
    <xf numFmtId="37" fontId="12" fillId="0" borderId="0" xfId="3" applyNumberFormat="1" applyFont="1" applyBorder="1" applyAlignment="1" applyProtection="1">
      <alignment horizontal="center"/>
    </xf>
    <xf numFmtId="2" fontId="12" fillId="0" borderId="0" xfId="3" applyNumberFormat="1" applyFont="1" applyFill="1"/>
    <xf numFmtId="2" fontId="1" fillId="0" borderId="0" xfId="3" applyNumberFormat="1" applyFont="1"/>
    <xf numFmtId="0" fontId="41" fillId="2" borderId="1" xfId="0" applyFont="1" applyFill="1" applyBorder="1" applyAlignment="1">
      <alignment horizontal="right"/>
    </xf>
    <xf numFmtId="0" fontId="9" fillId="0" borderId="0" xfId="0" applyFont="1"/>
    <xf numFmtId="3" fontId="9" fillId="0" borderId="0" xfId="0" applyNumberFormat="1" applyFont="1"/>
    <xf numFmtId="3" fontId="9" fillId="0" borderId="0" xfId="0" applyNumberFormat="1" applyFont="1" applyAlignment="1">
      <alignment horizontal="right"/>
    </xf>
    <xf numFmtId="3" fontId="9" fillId="0" borderId="0" xfId="0" applyNumberFormat="1" applyFont="1" applyFill="1"/>
    <xf numFmtId="0" fontId="12" fillId="0" borderId="0" xfId="0" applyFont="1" applyAlignment="1">
      <alignment horizontal="center"/>
    </xf>
    <xf numFmtId="188" fontId="12" fillId="0" borderId="0" xfId="0" applyNumberFormat="1" applyFont="1"/>
    <xf numFmtId="2" fontId="12" fillId="0" borderId="0" xfId="0" applyNumberFormat="1" applyFont="1"/>
    <xf numFmtId="3" fontId="9" fillId="3" borderId="0" xfId="0" applyNumberFormat="1" applyFont="1" applyFill="1"/>
    <xf numFmtId="3" fontId="9" fillId="0" borderId="86" xfId="0" applyNumberFormat="1" applyFont="1" applyBorder="1"/>
    <xf numFmtId="189" fontId="12" fillId="0" borderId="0" xfId="0" applyNumberFormat="1" applyFont="1"/>
    <xf numFmtId="165" fontId="12" fillId="2" borderId="86" xfId="0" applyNumberFormat="1" applyFont="1" applyFill="1" applyBorder="1"/>
    <xf numFmtId="165" fontId="12" fillId="2" borderId="1" xfId="0" applyNumberFormat="1" applyFont="1" applyFill="1" applyBorder="1"/>
    <xf numFmtId="3" fontId="9" fillId="0" borderId="0" xfId="0" applyNumberFormat="1" applyFont="1" applyBorder="1"/>
    <xf numFmtId="179" fontId="9" fillId="0" borderId="0" xfId="0" applyNumberFormat="1" applyFont="1" applyBorder="1" applyAlignment="1" applyProtection="1">
      <alignment horizontal="right"/>
    </xf>
    <xf numFmtId="3" fontId="9" fillId="0" borderId="0" xfId="0" applyNumberFormat="1" applyFont="1" applyFill="1" applyBorder="1"/>
    <xf numFmtId="3" fontId="9" fillId="2" borderId="0" xfId="0" applyNumberFormat="1" applyFont="1" applyFill="1" applyBorder="1"/>
    <xf numFmtId="179" fontId="9" fillId="2" borderId="0" xfId="0" applyNumberFormat="1" applyFont="1" applyFill="1" applyBorder="1" applyAlignment="1" applyProtection="1">
      <alignment horizontal="right"/>
    </xf>
    <xf numFmtId="166" fontId="9" fillId="0" borderId="0" xfId="0" applyNumberFormat="1" applyFont="1"/>
    <xf numFmtId="2" fontId="9" fillId="0" borderId="0" xfId="0" applyNumberFormat="1" applyFont="1"/>
    <xf numFmtId="3" fontId="9" fillId="2" borderId="1" xfId="0" applyNumberFormat="1" applyFont="1" applyFill="1" applyBorder="1"/>
    <xf numFmtId="3" fontId="9" fillId="2" borderId="0" xfId="0" applyNumberFormat="1" applyFont="1" applyFill="1"/>
    <xf numFmtId="2" fontId="9" fillId="0" borderId="86" xfId="0" applyNumberFormat="1" applyFont="1" applyBorder="1"/>
    <xf numFmtId="1" fontId="9" fillId="0" borderId="0" xfId="0" applyNumberFormat="1" applyFont="1"/>
    <xf numFmtId="0" fontId="78" fillId="0" borderId="0" xfId="3" applyFont="1"/>
    <xf numFmtId="3" fontId="1" fillId="0" borderId="0" xfId="3" applyNumberFormat="1" applyFont="1" applyFill="1" applyBorder="1" applyProtection="1"/>
    <xf numFmtId="3" fontId="1" fillId="0" borderId="0" xfId="1" applyNumberFormat="1" applyFont="1" applyFill="1" applyBorder="1"/>
    <xf numFmtId="182" fontId="1" fillId="0" borderId="0" xfId="0" applyNumberFormat="1" applyFont="1" applyBorder="1"/>
    <xf numFmtId="0" fontId="1" fillId="0" borderId="0" xfId="0" applyFont="1" applyFill="1" applyBorder="1" applyAlignment="1">
      <alignment horizontal="center"/>
    </xf>
    <xf numFmtId="3" fontId="12" fillId="0" borderId="86" xfId="1" applyNumberFormat="1" applyFont="1" applyFill="1" applyBorder="1" applyAlignment="1" applyProtection="1">
      <alignment horizontal="right"/>
    </xf>
    <xf numFmtId="0" fontId="58" fillId="0" borderId="0" xfId="0" applyFont="1" applyFill="1"/>
    <xf numFmtId="3" fontId="0" fillId="0" borderId="0" xfId="0" applyNumberFormat="1" applyFill="1"/>
    <xf numFmtId="0" fontId="0" fillId="0" borderId="0" xfId="0" applyFill="1"/>
    <xf numFmtId="0" fontId="58" fillId="0" borderId="0" xfId="0" applyFont="1" applyFill="1" applyAlignment="1">
      <alignment horizontal="right"/>
    </xf>
    <xf numFmtId="164" fontId="78" fillId="0" borderId="0" xfId="1" applyNumberFormat="1" applyFont="1" applyBorder="1"/>
    <xf numFmtId="3" fontId="78" fillId="0" borderId="0" xfId="3" applyNumberFormat="1" applyFont="1" applyBorder="1"/>
    <xf numFmtId="3" fontId="78" fillId="0" borderId="0" xfId="3" applyNumberFormat="1" applyFont="1"/>
    <xf numFmtId="0" fontId="0" fillId="3" borderId="14" xfId="0" applyFill="1" applyBorder="1"/>
    <xf numFmtId="3" fontId="2" fillId="0" borderId="0" xfId="3" applyNumberFormat="1" applyFont="1" applyFill="1" applyBorder="1"/>
    <xf numFmtId="3" fontId="80" fillId="3" borderId="0" xfId="3" applyNumberFormat="1" applyFont="1" applyFill="1" applyBorder="1" applyProtection="1"/>
    <xf numFmtId="3" fontId="1" fillId="0" borderId="0" xfId="3" applyNumberFormat="1" applyFont="1" applyFill="1"/>
    <xf numFmtId="0" fontId="37" fillId="0" borderId="0" xfId="0" applyFont="1" applyAlignment="1" applyProtection="1">
      <alignment horizontal="center" vertical="center"/>
      <protection locked="0"/>
    </xf>
    <xf numFmtId="3" fontId="77" fillId="3" borderId="0" xfId="3" applyNumberFormat="1" applyFont="1" applyFill="1"/>
    <xf numFmtId="3" fontId="12" fillId="4" borderId="73" xfId="1" applyNumberFormat="1" applyFont="1" applyFill="1" applyBorder="1" applyAlignment="1" applyProtection="1">
      <alignment horizontal="right"/>
    </xf>
    <xf numFmtId="187" fontId="9" fillId="0" borderId="73" xfId="3" applyNumberFormat="1" applyFont="1" applyFill="1" applyBorder="1"/>
    <xf numFmtId="187" fontId="9" fillId="0" borderId="0" xfId="3" applyNumberFormat="1" applyFont="1" applyFill="1" applyBorder="1"/>
    <xf numFmtId="0" fontId="88" fillId="0" borderId="73" xfId="3" applyFont="1" applyBorder="1" applyAlignment="1">
      <alignment horizontal="center"/>
    </xf>
    <xf numFmtId="187" fontId="9" fillId="0" borderId="1" xfId="3" applyNumberFormat="1" applyFont="1" applyBorder="1"/>
    <xf numFmtId="0" fontId="91" fillId="0" borderId="6" xfId="0" applyFont="1" applyBorder="1"/>
    <xf numFmtId="0" fontId="91" fillId="0" borderId="6" xfId="0" applyFont="1" applyBorder="1" applyAlignment="1">
      <alignment horizontal="centerContinuous"/>
    </xf>
    <xf numFmtId="171" fontId="2" fillId="0" borderId="0" xfId="0" applyNumberFormat="1" applyFont="1" applyProtection="1"/>
    <xf numFmtId="37" fontId="93" fillId="0" borderId="6" xfId="0" applyNumberFormat="1" applyFont="1" applyBorder="1" applyProtection="1"/>
    <xf numFmtId="165" fontId="12" fillId="0" borderId="0" xfId="0" quotePrefix="1" applyNumberFormat="1" applyFont="1" applyFill="1" applyBorder="1"/>
    <xf numFmtId="2" fontId="6" fillId="0" borderId="0" xfId="0" applyNumberFormat="1" applyFont="1" applyFill="1" applyBorder="1" applyAlignment="1" applyProtection="1">
      <alignment horizontal="right"/>
    </xf>
    <xf numFmtId="2" fontId="6" fillId="3" borderId="0" xfId="0" applyNumberFormat="1" applyFont="1" applyFill="1" applyBorder="1" applyAlignment="1" applyProtection="1">
      <alignment horizontal="right"/>
    </xf>
    <xf numFmtId="2" fontId="6" fillId="0" borderId="0" xfId="0" applyNumberFormat="1" applyFont="1" applyBorder="1" applyAlignment="1" applyProtection="1">
      <alignment horizontal="right"/>
    </xf>
    <xf numFmtId="2" fontId="2" fillId="3" borderId="0" xfId="0" applyNumberFormat="1" applyFont="1" applyFill="1" applyBorder="1"/>
    <xf numFmtId="2" fontId="2" fillId="0" borderId="0" xfId="0" applyNumberFormat="1" applyFont="1" applyBorder="1"/>
    <xf numFmtId="176" fontId="0" fillId="0" borderId="14" xfId="0" applyNumberFormat="1" applyBorder="1" applyProtection="1"/>
    <xf numFmtId="176" fontId="0" fillId="0" borderId="0" xfId="0" applyNumberFormat="1" applyBorder="1" applyProtection="1"/>
    <xf numFmtId="176" fontId="26" fillId="0" borderId="17" xfId="0" applyNumberFormat="1" applyFont="1" applyBorder="1" applyProtection="1"/>
    <xf numFmtId="3" fontId="78" fillId="0" borderId="17" xfId="0" applyNumberFormat="1" applyFont="1" applyBorder="1" applyAlignment="1">
      <alignment horizontal="center"/>
    </xf>
    <xf numFmtId="3" fontId="78" fillId="3" borderId="17" xfId="0" applyNumberFormat="1" applyFont="1" applyFill="1" applyBorder="1" applyAlignment="1">
      <alignment horizontal="center"/>
    </xf>
    <xf numFmtId="3" fontId="78" fillId="0" borderId="18" xfId="0" applyNumberFormat="1" applyFont="1" applyBorder="1" applyAlignment="1">
      <alignment horizontal="center"/>
    </xf>
    <xf numFmtId="3" fontId="78" fillId="0" borderId="0" xfId="0" applyNumberFormat="1" applyFont="1" applyBorder="1"/>
    <xf numFmtId="164" fontId="12" fillId="0" borderId="0" xfId="1" applyNumberFormat="1" applyFont="1" applyBorder="1" applyAlignment="1"/>
    <xf numFmtId="10" fontId="9" fillId="2" borderId="0" xfId="2" applyNumberFormat="1" applyFont="1" applyFill="1" applyBorder="1" applyAlignment="1"/>
    <xf numFmtId="10" fontId="9" fillId="0" borderId="10" xfId="2" applyNumberFormat="1" applyFont="1" applyBorder="1" applyAlignment="1"/>
    <xf numFmtId="0" fontId="26" fillId="0" borderId="64" xfId="0" applyFont="1" applyBorder="1" applyAlignment="1">
      <alignment horizontal="left"/>
    </xf>
    <xf numFmtId="0" fontId="26" fillId="0" borderId="42" xfId="0" applyFont="1" applyBorder="1" applyAlignment="1">
      <alignment horizontal="left"/>
    </xf>
    <xf numFmtId="9" fontId="9" fillId="0" borderId="15" xfId="0" applyNumberFormat="1" applyFont="1" applyBorder="1"/>
    <xf numFmtId="3" fontId="9" fillId="3" borderId="0" xfId="1" applyNumberFormat="1" applyFont="1" applyFill="1" applyBorder="1" applyAlignment="1" applyProtection="1">
      <alignment horizontal="right"/>
    </xf>
    <xf numFmtId="37" fontId="9" fillId="3" borderId="0" xfId="0" applyNumberFormat="1" applyFont="1" applyFill="1" applyBorder="1" applyProtection="1"/>
    <xf numFmtId="179" fontId="9" fillId="3" borderId="0" xfId="0" applyNumberFormat="1" applyFont="1" applyFill="1" applyBorder="1" applyProtection="1"/>
    <xf numFmtId="179" fontId="9" fillId="3" borderId="0" xfId="0" applyNumberFormat="1" applyFont="1" applyFill="1" applyBorder="1" applyAlignment="1" applyProtection="1"/>
    <xf numFmtId="3" fontId="53" fillId="3" borderId="0" xfId="0" applyNumberFormat="1" applyFont="1" applyFill="1" applyBorder="1"/>
    <xf numFmtId="37" fontId="9" fillId="0" borderId="0" xfId="3" applyNumberFormat="1" applyFont="1" applyAlignment="1">
      <alignment horizontal="right"/>
    </xf>
    <xf numFmtId="182" fontId="9" fillId="0" borderId="0" xfId="3" applyNumberFormat="1" applyFont="1"/>
    <xf numFmtId="0" fontId="68" fillId="0" borderId="0" xfId="0" applyFont="1" applyAlignment="1"/>
    <xf numFmtId="0" fontId="38" fillId="0" borderId="0" xfId="0" applyFont="1" applyAlignment="1"/>
    <xf numFmtId="164" fontId="1" fillId="0" borderId="0" xfId="3" applyNumberFormat="1" applyFont="1"/>
    <xf numFmtId="0" fontId="2" fillId="0" borderId="46" xfId="3" applyFont="1" applyBorder="1"/>
    <xf numFmtId="0" fontId="2" fillId="0" borderId="16" xfId="3" applyFont="1" applyBorder="1"/>
    <xf numFmtId="0" fontId="2" fillId="0" borderId="19" xfId="3" applyFont="1" applyBorder="1"/>
    <xf numFmtId="0" fontId="1" fillId="5" borderId="0" xfId="3" applyFont="1" applyFill="1"/>
    <xf numFmtId="0" fontId="12" fillId="5" borderId="0" xfId="3" applyFont="1" applyFill="1"/>
    <xf numFmtId="0" fontId="1" fillId="0" borderId="46" xfId="3" applyFont="1" applyFill="1" applyBorder="1"/>
    <xf numFmtId="0" fontId="1" fillId="0" borderId="15" xfId="3" applyFont="1" applyFill="1" applyBorder="1"/>
    <xf numFmtId="0" fontId="1" fillId="0" borderId="16" xfId="3" applyFont="1" applyFill="1" applyBorder="1"/>
    <xf numFmtId="0" fontId="1" fillId="0" borderId="19" xfId="3" applyFont="1" applyFill="1" applyBorder="1"/>
    <xf numFmtId="0" fontId="1" fillId="5" borderId="17" xfId="3" applyFont="1" applyFill="1" applyBorder="1"/>
    <xf numFmtId="0" fontId="1" fillId="5" borderId="18" xfId="3" applyFont="1" applyFill="1" applyBorder="1"/>
    <xf numFmtId="164" fontId="8" fillId="0" borderId="0" xfId="1" applyNumberFormat="1" applyFont="1" applyFill="1" applyBorder="1"/>
    <xf numFmtId="0" fontId="2" fillId="0" borderId="91" xfId="0" applyFont="1" applyFill="1" applyBorder="1" applyAlignment="1">
      <alignment horizontal="right"/>
    </xf>
    <xf numFmtId="171" fontId="9" fillId="0" borderId="6" xfId="0" applyNumberFormat="1" applyFont="1" applyBorder="1" applyAlignment="1" applyProtection="1">
      <alignment horizontal="right"/>
    </xf>
    <xf numFmtId="0" fontId="77" fillId="0" borderId="37" xfId="0" applyFont="1" applyBorder="1" applyAlignment="1">
      <alignment horizontal="center"/>
    </xf>
    <xf numFmtId="0" fontId="77" fillId="0" borderId="0" xfId="0" applyFont="1" applyBorder="1" applyAlignment="1">
      <alignment horizontal="center"/>
    </xf>
    <xf numFmtId="0" fontId="12" fillId="0" borderId="0" xfId="0" applyFont="1" applyBorder="1"/>
    <xf numFmtId="0" fontId="95" fillId="0" borderId="6" xfId="0" applyFont="1" applyBorder="1"/>
    <xf numFmtId="0" fontId="96" fillId="0" borderId="6" xfId="0" applyFont="1" applyBorder="1" applyAlignment="1">
      <alignment wrapText="1"/>
    </xf>
    <xf numFmtId="0" fontId="2" fillId="0" borderId="1" xfId="0" applyFont="1" applyBorder="1" applyAlignment="1">
      <alignment horizontal="center" wrapText="1"/>
    </xf>
    <xf numFmtId="37" fontId="9" fillId="0" borderId="0" xfId="0" applyNumberFormat="1" applyFont="1" applyBorder="1" applyAlignment="1" applyProtection="1">
      <alignment horizontal="right"/>
    </xf>
    <xf numFmtId="37" fontId="12" fillId="0" borderId="0" xfId="0" applyNumberFormat="1" applyFont="1"/>
    <xf numFmtId="164" fontId="1" fillId="0" borderId="73" xfId="1" applyNumberFormat="1" applyFont="1" applyBorder="1" applyAlignment="1">
      <alignment horizontal="center"/>
    </xf>
    <xf numFmtId="0" fontId="1" fillId="5" borderId="1" xfId="3" applyFont="1" applyFill="1" applyBorder="1" applyAlignment="1">
      <alignment horizontal="center" wrapText="1"/>
    </xf>
    <xf numFmtId="164" fontId="92" fillId="5" borderId="7" xfId="1" applyNumberFormat="1" applyFont="1" applyFill="1" applyBorder="1"/>
    <xf numFmtId="164" fontId="92" fillId="5" borderId="0" xfId="1" applyNumberFormat="1" applyFont="1" applyFill="1" applyBorder="1"/>
    <xf numFmtId="0" fontId="2" fillId="0" borderId="92" xfId="0" applyFont="1" applyBorder="1"/>
    <xf numFmtId="0" fontId="2" fillId="0" borderId="93" xfId="0" applyFont="1" applyBorder="1" applyAlignment="1">
      <alignment horizontal="center"/>
    </xf>
    <xf numFmtId="0" fontId="2" fillId="0" borderId="94" xfId="0" applyFont="1" applyBorder="1" applyAlignment="1">
      <alignment horizontal="center"/>
    </xf>
    <xf numFmtId="0" fontId="2" fillId="0" borderId="95" xfId="0" applyFont="1" applyBorder="1" applyAlignment="1">
      <alignment horizontal="centerContinuous"/>
    </xf>
    <xf numFmtId="0" fontId="2" fillId="0" borderId="96" xfId="0" applyFont="1" applyBorder="1" applyAlignment="1">
      <alignment horizontal="centerContinuous"/>
    </xf>
    <xf numFmtId="0" fontId="2" fillId="0" borderId="97" xfId="0" applyFont="1" applyBorder="1" applyAlignment="1">
      <alignment horizontal="center"/>
    </xf>
    <xf numFmtId="0" fontId="2" fillId="0" borderId="98" xfId="0" applyFont="1" applyBorder="1" applyAlignment="1">
      <alignment horizontal="center"/>
    </xf>
    <xf numFmtId="0" fontId="2" fillId="0" borderId="99" xfId="0" applyFont="1" applyBorder="1" applyAlignment="1">
      <alignment horizontal="center"/>
    </xf>
    <xf numFmtId="0" fontId="2" fillId="0" borderId="100" xfId="0" applyFont="1" applyBorder="1" applyAlignment="1">
      <alignment horizontal="centerContinuous"/>
    </xf>
    <xf numFmtId="0" fontId="2" fillId="0" borderId="100" xfId="0" applyFont="1" applyBorder="1" applyAlignment="1">
      <alignment horizontal="center"/>
    </xf>
    <xf numFmtId="0" fontId="2" fillId="0" borderId="100" xfId="0" quotePrefix="1" applyFont="1" applyBorder="1" applyAlignment="1">
      <alignment horizontal="centerContinuous"/>
    </xf>
    <xf numFmtId="0" fontId="2" fillId="0" borderId="101" xfId="0" applyFont="1" applyBorder="1" applyAlignment="1">
      <alignment horizontal="centerContinuous"/>
    </xf>
    <xf numFmtId="0" fontId="2" fillId="5" borderId="1" xfId="0" applyFont="1" applyFill="1" applyBorder="1" applyAlignment="1">
      <alignment horizontal="center" wrapText="1"/>
    </xf>
    <xf numFmtId="3" fontId="12" fillId="5" borderId="89" xfId="0" applyNumberFormat="1" applyFont="1" applyFill="1" applyBorder="1"/>
    <xf numFmtId="3" fontId="12" fillId="5" borderId="88" xfId="0" applyNumberFormat="1" applyFont="1" applyFill="1" applyBorder="1"/>
    <xf numFmtId="3" fontId="12" fillId="5" borderId="81" xfId="0" applyNumberFormat="1" applyFont="1" applyFill="1" applyBorder="1"/>
    <xf numFmtId="0" fontId="11" fillId="0" borderId="38" xfId="0" applyFont="1" applyBorder="1"/>
    <xf numFmtId="0" fontId="43" fillId="0" borderId="73" xfId="0" applyFont="1" applyBorder="1" applyAlignment="1">
      <alignment horizontal="center"/>
    </xf>
    <xf numFmtId="43" fontId="5" fillId="0" borderId="0" xfId="1" applyFont="1"/>
    <xf numFmtId="164" fontId="53" fillId="0" borderId="0" xfId="1" applyNumberFormat="1" applyFont="1" applyFill="1" applyBorder="1"/>
    <xf numFmtId="0" fontId="0" fillId="5" borderId="0" xfId="0" applyFill="1" applyBorder="1"/>
    <xf numFmtId="164" fontId="8" fillId="0" borderId="0" xfId="1" applyNumberFormat="1" applyFont="1" applyBorder="1" applyAlignment="1">
      <alignment horizontal="right"/>
    </xf>
    <xf numFmtId="0" fontId="7" fillId="5" borderId="0" xfId="0" applyFont="1" applyFill="1" applyBorder="1"/>
    <xf numFmtId="164" fontId="8" fillId="5" borderId="0" xfId="1" applyNumberFormat="1" applyFont="1" applyFill="1" applyBorder="1"/>
    <xf numFmtId="0" fontId="7" fillId="5" borderId="0" xfId="0" applyFont="1" applyFill="1" applyBorder="1" applyAlignment="1">
      <alignment horizontal="right"/>
    </xf>
    <xf numFmtId="9" fontId="8" fillId="5" borderId="0" xfId="2" applyNumberFormat="1" applyFont="1" applyFill="1" applyBorder="1"/>
    <xf numFmtId="3" fontId="8" fillId="5" borderId="0" xfId="1" applyNumberFormat="1" applyFont="1" applyFill="1" applyBorder="1"/>
    <xf numFmtId="0" fontId="7" fillId="5" borderId="1" xfId="0" applyFont="1" applyFill="1" applyBorder="1"/>
    <xf numFmtId="164" fontId="8" fillId="5" borderId="1" xfId="1" applyNumberFormat="1" applyFont="1" applyFill="1" applyBorder="1"/>
    <xf numFmtId="164" fontId="57" fillId="5" borderId="74" xfId="1" applyNumberFormat="1" applyFont="1" applyFill="1" applyBorder="1"/>
    <xf numFmtId="164" fontId="8" fillId="0" borderId="10" xfId="1" applyNumberFormat="1" applyFont="1" applyFill="1" applyBorder="1"/>
    <xf numFmtId="10" fontId="90" fillId="2" borderId="86" xfId="2" applyNumberFormat="1" applyFont="1" applyFill="1" applyBorder="1"/>
    <xf numFmtId="10" fontId="90" fillId="2" borderId="1" xfId="2" applyNumberFormat="1" applyFont="1" applyFill="1" applyBorder="1"/>
    <xf numFmtId="9" fontId="0" fillId="0" borderId="0" xfId="2" applyNumberFormat="1" applyFont="1"/>
    <xf numFmtId="0" fontId="0" fillId="3" borderId="0" xfId="0" applyFill="1"/>
    <xf numFmtId="3" fontId="12" fillId="3" borderId="0" xfId="0" applyNumberFormat="1" applyFont="1" applyFill="1" applyBorder="1"/>
    <xf numFmtId="0" fontId="1" fillId="0" borderId="0" xfId="0" applyFont="1" applyBorder="1"/>
    <xf numFmtId="0" fontId="13" fillId="0" borderId="0" xfId="0" applyFont="1" applyFill="1" applyBorder="1" applyAlignment="1">
      <alignment horizontal="centerContinuous"/>
    </xf>
    <xf numFmtId="0" fontId="5" fillId="0" borderId="0" xfId="0" applyFont="1" applyFill="1"/>
    <xf numFmtId="0" fontId="1" fillId="0" borderId="0" xfId="0" applyFont="1" applyFill="1" applyBorder="1"/>
    <xf numFmtId="175" fontId="78" fillId="0" borderId="0" xfId="0" applyNumberFormat="1" applyFont="1" applyFill="1" applyBorder="1"/>
    <xf numFmtId="0" fontId="1" fillId="0" borderId="86" xfId="0" applyFont="1" applyBorder="1" applyAlignment="1">
      <alignment horizontal="center"/>
    </xf>
    <xf numFmtId="0" fontId="1" fillId="0" borderId="86" xfId="0" applyFont="1" applyBorder="1" applyAlignment="1">
      <alignment horizontal="right" wrapText="1"/>
    </xf>
    <xf numFmtId="0" fontId="1" fillId="0" borderId="86" xfId="0" applyFont="1" applyBorder="1" applyAlignment="1">
      <alignment horizontal="right"/>
    </xf>
    <xf numFmtId="0" fontId="79" fillId="5" borderId="86" xfId="0" applyFont="1" applyFill="1" applyBorder="1" applyAlignment="1">
      <alignment horizontal="right" wrapText="1"/>
    </xf>
    <xf numFmtId="3" fontId="9" fillId="0" borderId="0" xfId="1" applyNumberFormat="1" applyFont="1" applyFill="1" applyBorder="1" applyAlignment="1" applyProtection="1">
      <alignment horizontal="right"/>
    </xf>
    <xf numFmtId="0" fontId="0" fillId="0" borderId="86" xfId="0" applyBorder="1"/>
    <xf numFmtId="0" fontId="0" fillId="5" borderId="86" xfId="0" applyFill="1" applyBorder="1"/>
    <xf numFmtId="3" fontId="12" fillId="5" borderId="0" xfId="0" applyNumberFormat="1" applyFont="1" applyFill="1"/>
    <xf numFmtId="0" fontId="1" fillId="3" borderId="86" xfId="0" applyFont="1" applyFill="1" applyBorder="1" applyAlignment="1">
      <alignment horizontal="right"/>
    </xf>
    <xf numFmtId="166" fontId="12" fillId="0" borderId="0" xfId="0" applyNumberFormat="1" applyFont="1"/>
    <xf numFmtId="190" fontId="12" fillId="0" borderId="0" xfId="0" applyNumberFormat="1" applyFont="1"/>
    <xf numFmtId="0" fontId="15" fillId="0" borderId="0" xfId="0" applyFont="1"/>
    <xf numFmtId="3" fontId="1" fillId="0" borderId="46" xfId="0" applyNumberFormat="1" applyFont="1" applyBorder="1" applyAlignment="1">
      <alignment horizontal="right"/>
    </xf>
    <xf numFmtId="38" fontId="12" fillId="0" borderId="14" xfId="0" applyNumberFormat="1" applyFont="1" applyBorder="1"/>
    <xf numFmtId="0" fontId="1" fillId="0" borderId="16" xfId="0" applyFont="1" applyBorder="1" applyAlignment="1">
      <alignment horizontal="right"/>
    </xf>
    <xf numFmtId="166" fontId="12" fillId="0" borderId="0" xfId="0" applyNumberFormat="1" applyFont="1" applyBorder="1"/>
    <xf numFmtId="0" fontId="1" fillId="0" borderId="17" xfId="0" applyFont="1" applyBorder="1"/>
    <xf numFmtId="0" fontId="1" fillId="0" borderId="19" xfId="0" applyFont="1" applyBorder="1" applyAlignment="1">
      <alignment horizontal="right"/>
    </xf>
    <xf numFmtId="3" fontId="12" fillId="0" borderId="10" xfId="0" applyNumberFormat="1" applyFont="1" applyBorder="1"/>
    <xf numFmtId="190" fontId="12" fillId="0" borderId="10" xfId="0" applyNumberFormat="1" applyFont="1" applyBorder="1"/>
    <xf numFmtId="0" fontId="0" fillId="0" borderId="23" xfId="0" applyBorder="1" applyAlignment="1" applyProtection="1">
      <alignment horizontal="right"/>
    </xf>
    <xf numFmtId="180" fontId="97" fillId="0" borderId="37" xfId="0" applyNumberFormat="1" applyFont="1" applyBorder="1" applyProtection="1"/>
    <xf numFmtId="0" fontId="0" fillId="0" borderId="39" xfId="0" applyBorder="1" applyAlignment="1" applyProtection="1">
      <alignment horizontal="right"/>
    </xf>
    <xf numFmtId="0" fontId="98" fillId="0" borderId="40" xfId="0" applyFont="1" applyBorder="1" applyProtection="1"/>
    <xf numFmtId="0" fontId="0" fillId="0" borderId="4" xfId="0" applyBorder="1" applyProtection="1"/>
    <xf numFmtId="0" fontId="0" fillId="0" borderId="5" xfId="0" applyBorder="1" applyAlignment="1" applyProtection="1">
      <alignment horizontal="center"/>
    </xf>
    <xf numFmtId="0" fontId="0" fillId="0" borderId="4" xfId="0" applyBorder="1" applyAlignment="1" applyProtection="1">
      <alignment horizontal="center"/>
    </xf>
    <xf numFmtId="179" fontId="0" fillId="0" borderId="5" xfId="0" applyNumberFormat="1" applyBorder="1" applyAlignment="1" applyProtection="1">
      <alignment horizontal="center"/>
    </xf>
    <xf numFmtId="0" fontId="0" fillId="0" borderId="23" xfId="0" applyBorder="1" applyAlignment="1" applyProtection="1">
      <alignment horizontal="center"/>
    </xf>
    <xf numFmtId="179" fontId="0" fillId="0" borderId="37" xfId="0" applyNumberFormat="1" applyBorder="1" applyAlignment="1" applyProtection="1">
      <alignment horizontal="center"/>
    </xf>
    <xf numFmtId="0" fontId="0" fillId="0" borderId="38" xfId="0" applyBorder="1" applyAlignment="1" applyProtection="1">
      <alignment horizontal="center"/>
    </xf>
    <xf numFmtId="179" fontId="0" fillId="0" borderId="35" xfId="0" applyNumberFormat="1" applyBorder="1" applyAlignment="1" applyProtection="1">
      <alignment horizontal="center"/>
    </xf>
    <xf numFmtId="179" fontId="0" fillId="0" borderId="41" xfId="0" applyNumberFormat="1" applyBorder="1" applyAlignment="1" applyProtection="1">
      <alignment horizontal="center"/>
    </xf>
    <xf numFmtId="0" fontId="0" fillId="0" borderId="39" xfId="0" applyBorder="1" applyAlignment="1" applyProtection="1">
      <alignment horizontal="center"/>
    </xf>
    <xf numFmtId="179" fontId="0" fillId="0" borderId="40" xfId="0" applyNumberFormat="1" applyBorder="1" applyAlignment="1" applyProtection="1">
      <alignment horizontal="center"/>
    </xf>
    <xf numFmtId="180" fontId="97" fillId="0" borderId="0" xfId="0" applyNumberFormat="1" applyFont="1" applyBorder="1" applyProtection="1"/>
    <xf numFmtId="0" fontId="98" fillId="0" borderId="0" xfId="0" applyFont="1" applyBorder="1" applyProtection="1"/>
    <xf numFmtId="0" fontId="1" fillId="0" borderId="0" xfId="0" applyFont="1" applyBorder="1" applyAlignment="1">
      <alignment horizontal="right" wrapText="1"/>
    </xf>
    <xf numFmtId="0" fontId="0" fillId="0" borderId="83" xfId="0" applyBorder="1"/>
    <xf numFmtId="0" fontId="1" fillId="0" borderId="73" xfId="0" applyFont="1" applyBorder="1" applyAlignment="1">
      <alignment horizontal="right"/>
    </xf>
    <xf numFmtId="3" fontId="12" fillId="0" borderId="102" xfId="0" applyNumberFormat="1" applyFont="1" applyBorder="1"/>
    <xf numFmtId="0" fontId="0" fillId="0" borderId="84" xfId="0" applyBorder="1"/>
    <xf numFmtId="0" fontId="1" fillId="0" borderId="0" xfId="0" applyFont="1" applyBorder="1" applyAlignment="1">
      <alignment horizontal="right"/>
    </xf>
    <xf numFmtId="3" fontId="12" fillId="0" borderId="41" xfId="0" applyNumberFormat="1" applyFont="1" applyBorder="1"/>
    <xf numFmtId="0" fontId="0" fillId="0" borderId="29" xfId="0" applyBorder="1"/>
    <xf numFmtId="0" fontId="1" fillId="0" borderId="1" xfId="0" applyFont="1" applyBorder="1" applyAlignment="1">
      <alignment horizontal="right"/>
    </xf>
    <xf numFmtId="3" fontId="12" fillId="0" borderId="28" xfId="0" applyNumberFormat="1" applyFont="1" applyBorder="1"/>
    <xf numFmtId="38" fontId="12" fillId="0" borderId="0" xfId="0" applyNumberFormat="1" applyFont="1" applyBorder="1"/>
    <xf numFmtId="40" fontId="12" fillId="0" borderId="0" xfId="0" applyNumberFormat="1" applyFont="1" applyBorder="1"/>
    <xf numFmtId="0" fontId="1" fillId="0" borderId="73" xfId="0" applyFont="1" applyBorder="1"/>
    <xf numFmtId="3" fontId="12" fillId="0" borderId="1" xfId="0" applyNumberFormat="1" applyFont="1" applyBorder="1"/>
    <xf numFmtId="0" fontId="1" fillId="6" borderId="0" xfId="0" applyFont="1" applyFill="1"/>
    <xf numFmtId="0" fontId="1" fillId="6" borderId="86" xfId="0" applyFont="1" applyFill="1" applyBorder="1"/>
    <xf numFmtId="0" fontId="1" fillId="6" borderId="86" xfId="0" applyFont="1" applyFill="1" applyBorder="1" applyAlignment="1">
      <alignment horizontal="right"/>
    </xf>
    <xf numFmtId="0" fontId="1" fillId="6" borderId="0" xfId="0" applyFont="1" applyFill="1" applyAlignment="1">
      <alignment horizontal="center"/>
    </xf>
    <xf numFmtId="3" fontId="1" fillId="6" borderId="0" xfId="0" applyNumberFormat="1" applyFont="1" applyFill="1"/>
    <xf numFmtId="3" fontId="1" fillId="6" borderId="0" xfId="0" applyNumberFormat="1" applyFont="1" applyFill="1" applyAlignment="1">
      <alignment horizontal="center"/>
    </xf>
    <xf numFmtId="3" fontId="1" fillId="6" borderId="0" xfId="0" applyNumberFormat="1" applyFont="1" applyFill="1" applyAlignment="1">
      <alignment horizontal="right"/>
    </xf>
    <xf numFmtId="3" fontId="12" fillId="6" borderId="0" xfId="0" applyNumberFormat="1" applyFont="1" applyFill="1"/>
    <xf numFmtId="0" fontId="1" fillId="6" borderId="1" xfId="0" applyFont="1" applyFill="1" applyBorder="1" applyAlignment="1">
      <alignment horizontal="center"/>
    </xf>
    <xf numFmtId="3" fontId="1" fillId="6" borderId="1" xfId="0" applyNumberFormat="1" applyFont="1" applyFill="1" applyBorder="1"/>
    <xf numFmtId="3" fontId="1" fillId="6" borderId="1" xfId="0" applyNumberFormat="1" applyFont="1" applyFill="1" applyBorder="1" applyAlignment="1">
      <alignment horizontal="center"/>
    </xf>
    <xf numFmtId="3" fontId="1" fillId="6" borderId="1" xfId="0" applyNumberFormat="1" applyFont="1" applyFill="1" applyBorder="1" applyAlignment="1">
      <alignment horizontal="right"/>
    </xf>
    <xf numFmtId="0" fontId="1" fillId="6" borderId="1" xfId="0" applyFont="1" applyFill="1" applyBorder="1"/>
    <xf numFmtId="0" fontId="1" fillId="6" borderId="0" xfId="0" applyFont="1" applyFill="1" applyBorder="1"/>
    <xf numFmtId="3" fontId="12" fillId="6" borderId="1" xfId="0" applyNumberFormat="1" applyFont="1" applyFill="1" applyBorder="1"/>
    <xf numFmtId="0" fontId="12" fillId="6" borderId="0" xfId="0" applyFont="1" applyFill="1" applyAlignment="1">
      <alignment horizontal="center"/>
    </xf>
    <xf numFmtId="3" fontId="12" fillId="6" borderId="0" xfId="0" applyNumberFormat="1" applyFont="1" applyFill="1" applyAlignment="1">
      <alignment horizontal="right"/>
    </xf>
    <xf numFmtId="0" fontId="1" fillId="5" borderId="46" xfId="0" applyFont="1" applyFill="1" applyBorder="1"/>
    <xf numFmtId="0" fontId="1" fillId="5" borderId="16" xfId="0" applyFont="1" applyFill="1" applyBorder="1"/>
    <xf numFmtId="0" fontId="1" fillId="5" borderId="19" xfId="0" applyFont="1" applyFill="1" applyBorder="1"/>
    <xf numFmtId="3" fontId="12" fillId="5" borderId="15" xfId="0" applyNumberFormat="1" applyFont="1" applyFill="1" applyBorder="1"/>
    <xf numFmtId="3" fontId="12" fillId="5" borderId="17" xfId="0" applyNumberFormat="1" applyFont="1" applyFill="1" applyBorder="1"/>
    <xf numFmtId="3" fontId="12" fillId="5" borderId="18" xfId="0" applyNumberFormat="1" applyFont="1" applyFill="1" applyBorder="1"/>
    <xf numFmtId="0" fontId="1" fillId="5" borderId="0" xfId="0" applyFont="1" applyFill="1" applyBorder="1"/>
    <xf numFmtId="3" fontId="12" fillId="5" borderId="12" xfId="0" applyNumberFormat="1" applyFont="1" applyFill="1" applyBorder="1"/>
    <xf numFmtId="3" fontId="12" fillId="5" borderId="13" xfId="0" applyNumberFormat="1" applyFont="1" applyFill="1" applyBorder="1"/>
    <xf numFmtId="3" fontId="12" fillId="5" borderId="75" xfId="0" applyNumberFormat="1" applyFont="1" applyFill="1" applyBorder="1"/>
    <xf numFmtId="0" fontId="1" fillId="5" borderId="83" xfId="0" applyFont="1" applyFill="1" applyBorder="1"/>
    <xf numFmtId="0" fontId="1" fillId="5" borderId="84" xfId="0" applyFont="1" applyFill="1" applyBorder="1"/>
    <xf numFmtId="0" fontId="1" fillId="5" borderId="29" xfId="0" applyFont="1" applyFill="1" applyBorder="1"/>
    <xf numFmtId="0" fontId="0" fillId="5" borderId="73" xfId="0" applyFill="1" applyBorder="1"/>
    <xf numFmtId="0" fontId="0" fillId="5" borderId="1" xfId="0" applyFill="1" applyBorder="1"/>
    <xf numFmtId="175" fontId="12" fillId="5" borderId="0" xfId="2" applyNumberFormat="1" applyFont="1" applyFill="1" applyBorder="1"/>
    <xf numFmtId="175" fontId="12" fillId="5" borderId="10" xfId="2" applyNumberFormat="1" applyFont="1" applyFill="1" applyBorder="1"/>
    <xf numFmtId="0" fontId="99" fillId="3" borderId="46" xfId="0" applyFont="1" applyFill="1" applyBorder="1"/>
    <xf numFmtId="0" fontId="99" fillId="3" borderId="14" xfId="0" applyFont="1" applyFill="1" applyBorder="1"/>
    <xf numFmtId="3" fontId="0" fillId="5" borderId="0" xfId="0" applyNumberFormat="1" applyFill="1" applyBorder="1"/>
    <xf numFmtId="0" fontId="80" fillId="3" borderId="86" xfId="0" applyFont="1" applyFill="1" applyBorder="1" applyAlignment="1">
      <alignment horizontal="right" wrapText="1"/>
    </xf>
    <xf numFmtId="175" fontId="0" fillId="0" borderId="0" xfId="2" applyNumberFormat="1" applyFont="1"/>
    <xf numFmtId="3" fontId="12" fillId="5" borderId="46" xfId="0" applyNumberFormat="1" applyFont="1" applyFill="1" applyBorder="1"/>
    <xf numFmtId="3" fontId="12" fillId="5" borderId="16" xfId="0" applyNumberFormat="1" applyFont="1" applyFill="1" applyBorder="1"/>
    <xf numFmtId="3" fontId="12" fillId="5" borderId="19" xfId="0" applyNumberFormat="1" applyFont="1" applyFill="1" applyBorder="1"/>
    <xf numFmtId="0" fontId="2" fillId="0" borderId="0" xfId="0" applyFont="1" applyFill="1" applyBorder="1" applyAlignment="1">
      <alignment horizontal="center"/>
    </xf>
    <xf numFmtId="3" fontId="80" fillId="3" borderId="0" xfId="1" applyNumberFormat="1" applyFont="1" applyFill="1" applyBorder="1"/>
    <xf numFmtId="0" fontId="0" fillId="0" borderId="0" xfId="0" applyFill="1" applyAlignment="1">
      <alignment horizontal="center"/>
    </xf>
    <xf numFmtId="3" fontId="77" fillId="0" borderId="0" xfId="3" applyNumberFormat="1" applyFont="1" applyFill="1"/>
    <xf numFmtId="2" fontId="2" fillId="0" borderId="0" xfId="0" applyNumberFormat="1" applyFont="1" applyBorder="1" applyAlignment="1" applyProtection="1">
      <alignment horizontal="right"/>
    </xf>
    <xf numFmtId="2" fontId="2" fillId="7" borderId="0" xfId="0" applyNumberFormat="1" applyFont="1" applyFill="1" applyBorder="1" applyAlignment="1" applyProtection="1">
      <alignment horizontal="right"/>
    </xf>
    <xf numFmtId="3" fontId="9" fillId="0" borderId="0" xfId="2" applyNumberFormat="1" applyFont="1"/>
    <xf numFmtId="0" fontId="1" fillId="0" borderId="36" xfId="0" applyFont="1" applyBorder="1" applyAlignment="1">
      <alignment horizontal="center"/>
    </xf>
    <xf numFmtId="0" fontId="39" fillId="3" borderId="0" xfId="3" applyFont="1" applyFill="1"/>
    <xf numFmtId="0" fontId="1" fillId="0" borderId="0" xfId="3" applyAlignment="1">
      <alignment horizontal="right" wrapText="1"/>
    </xf>
    <xf numFmtId="0" fontId="1" fillId="0" borderId="0" xfId="3" applyAlignment="1">
      <alignment wrapText="1"/>
    </xf>
    <xf numFmtId="0" fontId="1" fillId="0" borderId="15" xfId="3" applyBorder="1"/>
    <xf numFmtId="182" fontId="9" fillId="0" borderId="0" xfId="3" applyNumberFormat="1" applyFont="1" applyBorder="1"/>
    <xf numFmtId="182" fontId="9" fillId="0" borderId="14" xfId="3" applyNumberFormat="1" applyFont="1" applyBorder="1"/>
    <xf numFmtId="182" fontId="9" fillId="0" borderId="10" xfId="3" applyNumberFormat="1" applyFont="1" applyBorder="1"/>
    <xf numFmtId="2" fontId="78" fillId="0" borderId="17" xfId="3" applyNumberFormat="1" applyFont="1" applyBorder="1"/>
    <xf numFmtId="2" fontId="78" fillId="0" borderId="18" xfId="3" applyNumberFormat="1" applyFont="1" applyBorder="1"/>
    <xf numFmtId="0" fontId="0" fillId="5" borderId="46" xfId="0" applyFill="1" applyBorder="1"/>
    <xf numFmtId="0" fontId="0" fillId="5" borderId="14" xfId="0" applyFill="1" applyBorder="1"/>
    <xf numFmtId="3" fontId="85" fillId="5" borderId="14" xfId="0" applyNumberFormat="1" applyFont="1" applyFill="1" applyBorder="1"/>
    <xf numFmtId="0" fontId="0" fillId="5" borderId="15" xfId="0" applyFill="1" applyBorder="1"/>
    <xf numFmtId="0" fontId="0" fillId="5" borderId="16" xfId="0" applyFill="1" applyBorder="1"/>
    <xf numFmtId="0" fontId="0" fillId="5" borderId="17" xfId="0" applyFill="1" applyBorder="1"/>
    <xf numFmtId="0" fontId="1" fillId="5" borderId="1" xfId="0" applyFont="1" applyFill="1" applyBorder="1" applyAlignment="1">
      <alignment horizontal="right"/>
    </xf>
    <xf numFmtId="0" fontId="1" fillId="5" borderId="53" xfId="0" applyFont="1" applyFill="1" applyBorder="1" applyAlignment="1">
      <alignment horizontal="right"/>
    </xf>
    <xf numFmtId="0" fontId="89" fillId="5" borderId="16" xfId="0" applyFont="1" applyFill="1" applyBorder="1"/>
    <xf numFmtId="0" fontId="89" fillId="5" borderId="0" xfId="0" applyFont="1" applyFill="1" applyBorder="1"/>
    <xf numFmtId="3" fontId="8" fillId="5" borderId="0" xfId="0" applyNumberFormat="1" applyFont="1" applyFill="1" applyBorder="1"/>
    <xf numFmtId="3" fontId="8" fillId="5" borderId="17" xfId="0" applyNumberFormat="1" applyFont="1" applyFill="1" applyBorder="1"/>
    <xf numFmtId="0" fontId="89" fillId="5" borderId="19" xfId="0" applyFont="1" applyFill="1" applyBorder="1"/>
    <xf numFmtId="0" fontId="89" fillId="5" borderId="10" xfId="0" applyFont="1" applyFill="1" applyBorder="1"/>
    <xf numFmtId="3" fontId="8" fillId="5" borderId="10" xfId="0" applyNumberFormat="1" applyFont="1" applyFill="1" applyBorder="1"/>
    <xf numFmtId="3" fontId="8" fillId="5" borderId="18" xfId="0" applyNumberFormat="1" applyFont="1" applyFill="1" applyBorder="1"/>
    <xf numFmtId="0" fontId="16" fillId="5" borderId="14" xfId="0" applyFont="1" applyFill="1" applyBorder="1" applyAlignment="1">
      <alignment horizontal="right"/>
    </xf>
    <xf numFmtId="0" fontId="0" fillId="0" borderId="1" xfId="0" applyBorder="1" applyAlignment="1">
      <alignment horizontal="centerContinuous"/>
    </xf>
    <xf numFmtId="0" fontId="1" fillId="8" borderId="1" xfId="0" applyFont="1" applyFill="1" applyBorder="1" applyAlignment="1">
      <alignment horizontal="centerContinuous"/>
    </xf>
    <xf numFmtId="0" fontId="0" fillId="8" borderId="1" xfId="0" applyFill="1" applyBorder="1" applyAlignment="1">
      <alignment horizontal="centerContinuous"/>
    </xf>
    <xf numFmtId="0" fontId="85" fillId="2" borderId="0" xfId="0" applyFont="1" applyFill="1" applyBorder="1"/>
    <xf numFmtId="0" fontId="85" fillId="0" borderId="0" xfId="0" applyFont="1" applyBorder="1"/>
    <xf numFmtId="166" fontId="78" fillId="0" borderId="0" xfId="0" applyNumberFormat="1" applyFont="1" applyAlignment="1">
      <alignment horizontal="center"/>
    </xf>
    <xf numFmtId="166" fontId="78" fillId="0" borderId="0" xfId="0" applyNumberFormat="1" applyFont="1" applyAlignment="1">
      <alignment horizontal="center" vertical="center"/>
    </xf>
    <xf numFmtId="0" fontId="100" fillId="0" borderId="0" xfId="0" applyFont="1" applyBorder="1" applyAlignment="1">
      <alignment horizontal="right" vertical="center" wrapText="1"/>
    </xf>
    <xf numFmtId="3" fontId="100" fillId="0" borderId="0" xfId="0" applyNumberFormat="1" applyFont="1" applyBorder="1" applyAlignment="1">
      <alignment horizontal="right" vertical="center" wrapText="1"/>
    </xf>
    <xf numFmtId="0" fontId="1" fillId="0" borderId="1" xfId="3" applyFont="1" applyBorder="1" applyAlignment="1">
      <alignment horizontal="center"/>
    </xf>
    <xf numFmtId="0" fontId="1" fillId="0" borderId="86" xfId="3" applyFont="1" applyBorder="1" applyAlignment="1">
      <alignment horizontal="center"/>
    </xf>
    <xf numFmtId="164" fontId="1" fillId="0" borderId="1" xfId="1" applyNumberFormat="1" applyFont="1" applyBorder="1" applyAlignment="1">
      <alignment horizontal="center"/>
    </xf>
    <xf numFmtId="164" fontId="1" fillId="0" borderId="74" xfId="1" applyNumberFormat="1" applyFont="1" applyBorder="1" applyAlignment="1">
      <alignment horizontal="center"/>
    </xf>
    <xf numFmtId="0" fontId="36" fillId="0" borderId="86" xfId="3" applyFont="1" applyFill="1" applyBorder="1" applyAlignment="1">
      <alignment horizontal="center" wrapText="1"/>
    </xf>
    <xf numFmtId="0" fontId="7" fillId="3" borderId="74" xfId="3" applyFont="1" applyFill="1" applyBorder="1" applyAlignment="1">
      <alignment horizontal="center"/>
    </xf>
  </cellXfs>
  <cellStyles count="4">
    <cellStyle name="Comma" xfId="1" builtinId="3"/>
    <cellStyle name="Normal" xfId="0" builtinId="0"/>
    <cellStyle name="Normal 2" xfId="3"/>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sz="1800"/>
              <a:t>Copper and Bering River District Chinook salmon CPF total harvest, 1966 - 2014</a:t>
            </a:r>
          </a:p>
          <a:p>
            <a:pPr>
              <a:defRPr sz="1800" b="1" i="0" u="none" strike="noStrike" baseline="0">
                <a:solidFill>
                  <a:srgbClr val="000000"/>
                </a:solidFill>
                <a:latin typeface="Arial"/>
                <a:ea typeface="Arial"/>
                <a:cs typeface="Arial"/>
              </a:defRPr>
            </a:pPr>
            <a:endParaRPr lang="en-US" sz="1800"/>
          </a:p>
        </c:rich>
      </c:tx>
      <c:layout>
        <c:manualLayout>
          <c:xMode val="edge"/>
          <c:yMode val="edge"/>
          <c:x val="0.16775616974333826"/>
          <c:y val="2.7137042062415559E-2"/>
        </c:manualLayout>
      </c:layout>
      <c:overlay val="0"/>
      <c:spPr>
        <a:noFill/>
        <a:ln w="25400">
          <a:noFill/>
        </a:ln>
      </c:spPr>
    </c:title>
    <c:autoTitleDeleted val="0"/>
    <c:plotArea>
      <c:layout>
        <c:manualLayout>
          <c:layoutTarget val="inner"/>
          <c:xMode val="edge"/>
          <c:yMode val="edge"/>
          <c:x val="0.12527246441872661"/>
          <c:y val="0.15875169606513023"/>
          <c:w val="0.84204882604935871"/>
          <c:h val="0.69470827679782965"/>
        </c:manualLayout>
      </c:layout>
      <c:lineChart>
        <c:grouping val="standard"/>
        <c:varyColors val="0"/>
        <c:ser>
          <c:idx val="1"/>
          <c:order val="0"/>
          <c:spPr>
            <a:ln w="12700">
              <a:solidFill>
                <a:srgbClr val="FF00FF"/>
              </a:solidFill>
              <a:prstDash val="solid"/>
            </a:ln>
          </c:spPr>
          <c:marker>
            <c:symbol val="square"/>
            <c:size val="7"/>
            <c:spPr>
              <a:solidFill>
                <a:srgbClr val="FFFFFF"/>
              </a:solidFill>
              <a:ln>
                <a:solidFill>
                  <a:srgbClr val="000000"/>
                </a:solidFill>
                <a:prstDash val="solid"/>
              </a:ln>
            </c:spPr>
          </c:marker>
          <c:cat>
            <c:numRef>
              <c:f>Harvests!$A$84:$A$132</c:f>
              <c:numCache>
                <c:formatCode>General</c:formatCode>
                <c:ptCount val="49"/>
                <c:pt idx="0">
                  <c:v>1966</c:v>
                </c:pt>
                <c:pt idx="1">
                  <c:v>1967</c:v>
                </c:pt>
                <c:pt idx="2">
                  <c:v>1968</c:v>
                </c:pt>
                <c:pt idx="3">
                  <c:v>1969</c:v>
                </c:pt>
                <c:pt idx="4">
                  <c:v>1970</c:v>
                </c:pt>
                <c:pt idx="5">
                  <c:v>1971</c:v>
                </c:pt>
                <c:pt idx="6">
                  <c:v>1972</c:v>
                </c:pt>
                <c:pt idx="7">
                  <c:v>1973</c:v>
                </c:pt>
                <c:pt idx="8">
                  <c:v>1974</c:v>
                </c:pt>
                <c:pt idx="9">
                  <c:v>1975</c:v>
                </c:pt>
                <c:pt idx="10">
                  <c:v>1976</c:v>
                </c:pt>
                <c:pt idx="11">
                  <c:v>1977</c:v>
                </c:pt>
                <c:pt idx="12">
                  <c:v>1978</c:v>
                </c:pt>
                <c:pt idx="13">
                  <c:v>1979</c:v>
                </c:pt>
                <c:pt idx="14">
                  <c:v>1980</c:v>
                </c:pt>
                <c:pt idx="15">
                  <c:v>1981</c:v>
                </c:pt>
                <c:pt idx="16">
                  <c:v>1982</c:v>
                </c:pt>
                <c:pt idx="17">
                  <c:v>1983</c:v>
                </c:pt>
                <c:pt idx="18">
                  <c:v>1984</c:v>
                </c:pt>
                <c:pt idx="19">
                  <c:v>1985</c:v>
                </c:pt>
                <c:pt idx="20">
                  <c:v>1986</c:v>
                </c:pt>
                <c:pt idx="21">
                  <c:v>1987</c:v>
                </c:pt>
                <c:pt idx="22">
                  <c:v>1988</c:v>
                </c:pt>
                <c:pt idx="23">
                  <c:v>1989</c:v>
                </c:pt>
                <c:pt idx="24">
                  <c:v>1990</c:v>
                </c:pt>
                <c:pt idx="25">
                  <c:v>1991</c:v>
                </c:pt>
                <c:pt idx="26">
                  <c:v>1992</c:v>
                </c:pt>
                <c:pt idx="27">
                  <c:v>1993</c:v>
                </c:pt>
                <c:pt idx="28">
                  <c:v>1994</c:v>
                </c:pt>
                <c:pt idx="29">
                  <c:v>1995</c:v>
                </c:pt>
                <c:pt idx="30">
                  <c:v>1996</c:v>
                </c:pt>
                <c:pt idx="31">
                  <c:v>1997</c:v>
                </c:pt>
                <c:pt idx="32">
                  <c:v>1998</c:v>
                </c:pt>
                <c:pt idx="33">
                  <c:v>1999</c:v>
                </c:pt>
                <c:pt idx="34">
                  <c:v>2000</c:v>
                </c:pt>
                <c:pt idx="35">
                  <c:v>2001</c:v>
                </c:pt>
                <c:pt idx="36">
                  <c:v>2002</c:v>
                </c:pt>
                <c:pt idx="37">
                  <c:v>2003</c:v>
                </c:pt>
                <c:pt idx="38">
                  <c:v>2004</c:v>
                </c:pt>
                <c:pt idx="39">
                  <c:v>2005</c:v>
                </c:pt>
                <c:pt idx="40">
                  <c:v>2006</c:v>
                </c:pt>
                <c:pt idx="41">
                  <c:v>2007</c:v>
                </c:pt>
                <c:pt idx="42">
                  <c:v>2008</c:v>
                </c:pt>
                <c:pt idx="43">
                  <c:v>2009</c:v>
                </c:pt>
                <c:pt idx="44">
                  <c:v>2010</c:v>
                </c:pt>
                <c:pt idx="45">
                  <c:v>2011</c:v>
                </c:pt>
                <c:pt idx="46">
                  <c:v>2012</c:v>
                </c:pt>
                <c:pt idx="47">
                  <c:v>2013</c:v>
                </c:pt>
                <c:pt idx="48">
                  <c:v>2014</c:v>
                </c:pt>
              </c:numCache>
            </c:numRef>
          </c:cat>
          <c:val>
            <c:numRef>
              <c:f>Harvests!$O$84:$O$131</c:f>
              <c:numCache>
                <c:formatCode>#,##0_);\(#,##0\)</c:formatCode>
                <c:ptCount val="48"/>
                <c:pt idx="0">
                  <c:v>12164</c:v>
                </c:pt>
                <c:pt idx="1">
                  <c:v>11322</c:v>
                </c:pt>
                <c:pt idx="2">
                  <c:v>10125</c:v>
                </c:pt>
                <c:pt idx="3">
                  <c:v>15578</c:v>
                </c:pt>
                <c:pt idx="4">
                  <c:v>20465</c:v>
                </c:pt>
                <c:pt idx="5">
                  <c:v>18564</c:v>
                </c:pt>
                <c:pt idx="6">
                  <c:v>24757</c:v>
                </c:pt>
                <c:pt idx="7">
                  <c:v>23068</c:v>
                </c:pt>
                <c:pt idx="8">
                  <c:v>21058</c:v>
                </c:pt>
                <c:pt idx="9">
                  <c:v>22261</c:v>
                </c:pt>
                <c:pt idx="10">
                  <c:v>34166</c:v>
                </c:pt>
                <c:pt idx="11">
                  <c:v>26421</c:v>
                </c:pt>
                <c:pt idx="12">
                  <c:v>33864</c:v>
                </c:pt>
                <c:pt idx="13">
                  <c:v>26008</c:v>
                </c:pt>
                <c:pt idx="14">
                  <c:v>15376</c:v>
                </c:pt>
                <c:pt idx="15">
                  <c:v>25963</c:v>
                </c:pt>
                <c:pt idx="16">
                  <c:v>54142</c:v>
                </c:pt>
                <c:pt idx="17">
                  <c:v>65973</c:v>
                </c:pt>
                <c:pt idx="18">
                  <c:v>44411</c:v>
                </c:pt>
                <c:pt idx="19">
                  <c:v>47743</c:v>
                </c:pt>
                <c:pt idx="20">
                  <c:v>47600</c:v>
                </c:pt>
                <c:pt idx="21">
                  <c:v>47166</c:v>
                </c:pt>
                <c:pt idx="22">
                  <c:v>36367</c:v>
                </c:pt>
                <c:pt idx="23">
                  <c:v>36343</c:v>
                </c:pt>
                <c:pt idx="24">
                  <c:v>27433</c:v>
                </c:pt>
                <c:pt idx="25">
                  <c:v>45219</c:v>
                </c:pt>
                <c:pt idx="26">
                  <c:v>49239</c:v>
                </c:pt>
                <c:pt idx="27">
                  <c:v>42474</c:v>
                </c:pt>
                <c:pt idx="28">
                  <c:v>60260</c:v>
                </c:pt>
                <c:pt idx="29">
                  <c:v>80869</c:v>
                </c:pt>
                <c:pt idx="30">
                  <c:v>72384</c:v>
                </c:pt>
                <c:pt idx="31">
                  <c:v>69118</c:v>
                </c:pt>
                <c:pt idx="32">
                  <c:v>87413</c:v>
                </c:pt>
                <c:pt idx="33">
                  <c:v>79794</c:v>
                </c:pt>
                <c:pt idx="34">
                  <c:v>46254</c:v>
                </c:pt>
                <c:pt idx="35">
                  <c:v>52947</c:v>
                </c:pt>
                <c:pt idx="36">
                  <c:v>51503</c:v>
                </c:pt>
                <c:pt idx="37">
                  <c:v>60489</c:v>
                </c:pt>
                <c:pt idx="38">
                  <c:v>49921</c:v>
                </c:pt>
                <c:pt idx="39">
                  <c:v>44835</c:v>
                </c:pt>
                <c:pt idx="40">
                  <c:v>41441</c:v>
                </c:pt>
                <c:pt idx="41">
                  <c:v>53233</c:v>
                </c:pt>
                <c:pt idx="42">
                  <c:v>21416</c:v>
                </c:pt>
                <c:pt idx="43">
                  <c:v>15233</c:v>
                </c:pt>
                <c:pt idx="44">
                  <c:v>16413</c:v>
                </c:pt>
                <c:pt idx="45">
                  <c:v>25894</c:v>
                </c:pt>
                <c:pt idx="46">
                  <c:v>16849</c:v>
                </c:pt>
                <c:pt idx="47">
                  <c:v>13888</c:v>
                </c:pt>
              </c:numCache>
            </c:numRef>
          </c:val>
          <c:smooth val="0"/>
        </c:ser>
        <c:ser>
          <c:idx val="0"/>
          <c:order val="1"/>
          <c:spPr>
            <a:ln w="25400">
              <a:solidFill>
                <a:srgbClr val="000080"/>
              </a:solidFill>
              <a:prstDash val="solid"/>
            </a:ln>
          </c:spPr>
          <c:marker>
            <c:symbol val="diamond"/>
            <c:size val="7"/>
            <c:spPr>
              <a:solidFill>
                <a:srgbClr val="000080"/>
              </a:solidFill>
              <a:ln>
                <a:solidFill>
                  <a:srgbClr val="000080"/>
                </a:solidFill>
                <a:prstDash val="solid"/>
              </a:ln>
            </c:spPr>
          </c:marker>
          <c:cat>
            <c:numRef>
              <c:f>Harvests!$A$84:$A$132</c:f>
              <c:numCache>
                <c:formatCode>General</c:formatCode>
                <c:ptCount val="49"/>
                <c:pt idx="0">
                  <c:v>1966</c:v>
                </c:pt>
                <c:pt idx="1">
                  <c:v>1967</c:v>
                </c:pt>
                <c:pt idx="2">
                  <c:v>1968</c:v>
                </c:pt>
                <c:pt idx="3">
                  <c:v>1969</c:v>
                </c:pt>
                <c:pt idx="4">
                  <c:v>1970</c:v>
                </c:pt>
                <c:pt idx="5">
                  <c:v>1971</c:v>
                </c:pt>
                <c:pt idx="6">
                  <c:v>1972</c:v>
                </c:pt>
                <c:pt idx="7">
                  <c:v>1973</c:v>
                </c:pt>
                <c:pt idx="8">
                  <c:v>1974</c:v>
                </c:pt>
                <c:pt idx="9">
                  <c:v>1975</c:v>
                </c:pt>
                <c:pt idx="10">
                  <c:v>1976</c:v>
                </c:pt>
                <c:pt idx="11">
                  <c:v>1977</c:v>
                </c:pt>
                <c:pt idx="12">
                  <c:v>1978</c:v>
                </c:pt>
                <c:pt idx="13">
                  <c:v>1979</c:v>
                </c:pt>
                <c:pt idx="14">
                  <c:v>1980</c:v>
                </c:pt>
                <c:pt idx="15">
                  <c:v>1981</c:v>
                </c:pt>
                <c:pt idx="16">
                  <c:v>1982</c:v>
                </c:pt>
                <c:pt idx="17">
                  <c:v>1983</c:v>
                </c:pt>
                <c:pt idx="18">
                  <c:v>1984</c:v>
                </c:pt>
                <c:pt idx="19">
                  <c:v>1985</c:v>
                </c:pt>
                <c:pt idx="20">
                  <c:v>1986</c:v>
                </c:pt>
                <c:pt idx="21">
                  <c:v>1987</c:v>
                </c:pt>
                <c:pt idx="22">
                  <c:v>1988</c:v>
                </c:pt>
                <c:pt idx="23">
                  <c:v>1989</c:v>
                </c:pt>
                <c:pt idx="24">
                  <c:v>1990</c:v>
                </c:pt>
                <c:pt idx="25">
                  <c:v>1991</c:v>
                </c:pt>
                <c:pt idx="26">
                  <c:v>1992</c:v>
                </c:pt>
                <c:pt idx="27">
                  <c:v>1993</c:v>
                </c:pt>
                <c:pt idx="28">
                  <c:v>1994</c:v>
                </c:pt>
                <c:pt idx="29">
                  <c:v>1995</c:v>
                </c:pt>
                <c:pt idx="30">
                  <c:v>1996</c:v>
                </c:pt>
                <c:pt idx="31">
                  <c:v>1997</c:v>
                </c:pt>
                <c:pt idx="32">
                  <c:v>1998</c:v>
                </c:pt>
                <c:pt idx="33">
                  <c:v>1999</c:v>
                </c:pt>
                <c:pt idx="34">
                  <c:v>2000</c:v>
                </c:pt>
                <c:pt idx="35">
                  <c:v>2001</c:v>
                </c:pt>
                <c:pt idx="36">
                  <c:v>2002</c:v>
                </c:pt>
                <c:pt idx="37">
                  <c:v>2003</c:v>
                </c:pt>
                <c:pt idx="38">
                  <c:v>2004</c:v>
                </c:pt>
                <c:pt idx="39">
                  <c:v>2005</c:v>
                </c:pt>
                <c:pt idx="40">
                  <c:v>2006</c:v>
                </c:pt>
                <c:pt idx="41">
                  <c:v>2007</c:v>
                </c:pt>
                <c:pt idx="42">
                  <c:v>2008</c:v>
                </c:pt>
                <c:pt idx="43">
                  <c:v>2009</c:v>
                </c:pt>
                <c:pt idx="44">
                  <c:v>2010</c:v>
                </c:pt>
                <c:pt idx="45">
                  <c:v>2011</c:v>
                </c:pt>
                <c:pt idx="46">
                  <c:v>2012</c:v>
                </c:pt>
                <c:pt idx="47">
                  <c:v>2013</c:v>
                </c:pt>
                <c:pt idx="48">
                  <c:v>2014</c:v>
                </c:pt>
              </c:numCache>
            </c:numRef>
          </c:cat>
          <c:val>
            <c:numRef>
              <c:f>Harvests!$D$84:$D$132</c:f>
              <c:numCache>
                <c:formatCode>#,##0</c:formatCode>
                <c:ptCount val="49"/>
                <c:pt idx="0">
                  <c:v>11062</c:v>
                </c:pt>
                <c:pt idx="1">
                  <c:v>10320</c:v>
                </c:pt>
                <c:pt idx="2">
                  <c:v>8970</c:v>
                </c:pt>
                <c:pt idx="3">
                  <c:v>14343</c:v>
                </c:pt>
                <c:pt idx="4">
                  <c:v>19372</c:v>
                </c:pt>
                <c:pt idx="5">
                  <c:v>16591</c:v>
                </c:pt>
                <c:pt idx="6">
                  <c:v>22357</c:v>
                </c:pt>
                <c:pt idx="7">
                  <c:v>20200</c:v>
                </c:pt>
                <c:pt idx="8">
                  <c:v>19012</c:v>
                </c:pt>
                <c:pt idx="9">
                  <c:v>19806</c:v>
                </c:pt>
                <c:pt idx="10">
                  <c:v>31707</c:v>
                </c:pt>
                <c:pt idx="11">
                  <c:v>21849</c:v>
                </c:pt>
                <c:pt idx="12">
                  <c:v>29393</c:v>
                </c:pt>
                <c:pt idx="13">
                  <c:v>18063</c:v>
                </c:pt>
                <c:pt idx="14">
                  <c:v>8454</c:v>
                </c:pt>
                <c:pt idx="15">
                  <c:v>20378</c:v>
                </c:pt>
                <c:pt idx="16">
                  <c:v>47616</c:v>
                </c:pt>
                <c:pt idx="17">
                  <c:v>53110</c:v>
                </c:pt>
                <c:pt idx="18">
                  <c:v>39287</c:v>
                </c:pt>
                <c:pt idx="19">
                  <c:v>42429</c:v>
                </c:pt>
                <c:pt idx="20">
                  <c:v>40798</c:v>
                </c:pt>
                <c:pt idx="21">
                  <c:v>41035</c:v>
                </c:pt>
                <c:pt idx="22">
                  <c:v>30760</c:v>
                </c:pt>
                <c:pt idx="23">
                  <c:v>30893</c:v>
                </c:pt>
                <c:pt idx="24">
                  <c:v>21716</c:v>
                </c:pt>
                <c:pt idx="25">
                  <c:v>34815</c:v>
                </c:pt>
                <c:pt idx="26">
                  <c:v>39831</c:v>
                </c:pt>
                <c:pt idx="27">
                  <c:v>29857</c:v>
                </c:pt>
                <c:pt idx="28">
                  <c:v>47182</c:v>
                </c:pt>
                <c:pt idx="29">
                  <c:v>65719</c:v>
                </c:pt>
                <c:pt idx="30">
                  <c:v>55757</c:v>
                </c:pt>
                <c:pt idx="31">
                  <c:v>51296</c:v>
                </c:pt>
                <c:pt idx="32">
                  <c:v>68897</c:v>
                </c:pt>
                <c:pt idx="33">
                  <c:v>62379</c:v>
                </c:pt>
                <c:pt idx="34">
                  <c:v>31264</c:v>
                </c:pt>
                <c:pt idx="35">
                  <c:v>39600</c:v>
                </c:pt>
                <c:pt idx="36">
                  <c:v>38748</c:v>
                </c:pt>
                <c:pt idx="37">
                  <c:v>47872</c:v>
                </c:pt>
                <c:pt idx="38">
                  <c:v>38278</c:v>
                </c:pt>
                <c:pt idx="39">
                  <c:v>34885</c:v>
                </c:pt>
                <c:pt idx="40">
                  <c:v>30516</c:v>
                </c:pt>
                <c:pt idx="41">
                  <c:v>39183</c:v>
                </c:pt>
                <c:pt idx="42">
                  <c:v>11479</c:v>
                </c:pt>
                <c:pt idx="43">
                  <c:v>9472</c:v>
                </c:pt>
                <c:pt idx="44">
                  <c:v>9645</c:v>
                </c:pt>
                <c:pt idx="45">
                  <c:v>18500</c:v>
                </c:pt>
                <c:pt idx="46">
                  <c:v>11765</c:v>
                </c:pt>
                <c:pt idx="47">
                  <c:v>8842</c:v>
                </c:pt>
                <c:pt idx="48">
                  <c:v>10207</c:v>
                </c:pt>
              </c:numCache>
            </c:numRef>
          </c:val>
          <c:smooth val="0"/>
        </c:ser>
        <c:dLbls>
          <c:showLegendKey val="0"/>
          <c:showVal val="0"/>
          <c:showCatName val="0"/>
          <c:showSerName val="0"/>
          <c:showPercent val="0"/>
          <c:showBubbleSize val="0"/>
        </c:dLbls>
        <c:marker val="1"/>
        <c:smooth val="0"/>
        <c:axId val="43986944"/>
        <c:axId val="43988864"/>
      </c:lineChart>
      <c:catAx>
        <c:axId val="43986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Arial"/>
                <a:ea typeface="Arial"/>
                <a:cs typeface="Arial"/>
              </a:defRPr>
            </a:pPr>
            <a:endParaRPr lang="en-US"/>
          </a:p>
        </c:txPr>
        <c:crossAx val="43988864"/>
        <c:crosses val="autoZero"/>
        <c:auto val="0"/>
        <c:lblAlgn val="ctr"/>
        <c:lblOffset val="0"/>
        <c:tickLblSkip val="1"/>
        <c:tickMarkSkip val="1"/>
        <c:noMultiLvlLbl val="0"/>
      </c:catAx>
      <c:valAx>
        <c:axId val="43988864"/>
        <c:scaling>
          <c:orientation val="minMax"/>
          <c:max val="100000"/>
          <c:min val="0"/>
        </c:scaling>
        <c:delete val="0"/>
        <c:axPos val="l"/>
        <c:majorGridlines>
          <c:spPr>
            <a:ln w="3175">
              <a:solidFill>
                <a:srgbClr val="C0C0C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Harvest</a:t>
                </a:r>
              </a:p>
            </c:rich>
          </c:tx>
          <c:layout>
            <c:manualLayout>
              <c:xMode val="edge"/>
              <c:yMode val="edge"/>
              <c:x val="9.8039319979874237E-3"/>
              <c:y val="0.45454545454545453"/>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43986944"/>
        <c:crosses val="autoZero"/>
        <c:crossBetween val="between"/>
        <c:majorUnit val="25000"/>
      </c:valAx>
      <c:spPr>
        <a:solidFill>
          <a:srgbClr val="FFFFFF"/>
        </a:solidFill>
        <a:ln w="25400">
          <a:noFill/>
        </a:ln>
      </c:spPr>
    </c:plotArea>
    <c:legend>
      <c:legendPos val="r"/>
      <c:layout>
        <c:manualLayout>
          <c:xMode val="edge"/>
          <c:yMode val="edge"/>
          <c:x val="0.19389998840463771"/>
          <c:y val="0.1994572591587517"/>
          <c:w val="0.36710278703575056"/>
          <c:h val="0.14654002713704326"/>
        </c:manualLayout>
      </c:layout>
      <c:overlay val="0"/>
      <c:spPr>
        <a:solidFill>
          <a:srgbClr val="FFFFFF"/>
        </a:solidFill>
        <a:ln w="25400">
          <a:noFill/>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Copper and Bering River Districts 
Chinook salmon</a:t>
            </a:r>
          </a:p>
        </c:rich>
      </c:tx>
      <c:layout>
        <c:manualLayout>
          <c:xMode val="edge"/>
          <c:yMode val="edge"/>
          <c:x val="0.36093455676767888"/>
          <c:y val="3.1460708677919766E-2"/>
        </c:manualLayout>
      </c:layout>
      <c:overlay val="0"/>
      <c:spPr>
        <a:noFill/>
        <a:ln w="25400">
          <a:noFill/>
        </a:ln>
      </c:spPr>
    </c:title>
    <c:autoTitleDeleted val="0"/>
    <c:plotArea>
      <c:layout>
        <c:manualLayout>
          <c:layoutTarget val="inner"/>
          <c:xMode val="edge"/>
          <c:yMode val="edge"/>
          <c:x val="0.10997787696920062"/>
          <c:y val="8.3146067415730343E-2"/>
          <c:w val="0.86624293624242865"/>
          <c:h val="0.75280981479308273"/>
        </c:manualLayout>
      </c:layout>
      <c:barChart>
        <c:barDir val="col"/>
        <c:grouping val="clustered"/>
        <c:varyColors val="0"/>
        <c:ser>
          <c:idx val="1"/>
          <c:order val="0"/>
          <c:spPr>
            <a:solidFill>
              <a:srgbClr val="802060"/>
            </a:solidFill>
            <a:ln w="12700">
              <a:solidFill>
                <a:srgbClr val="000000"/>
              </a:solidFill>
              <a:prstDash val="solid"/>
            </a:ln>
          </c:spPr>
          <c:invertIfNegative val="0"/>
          <c:cat>
            <c:numRef>
              <c:f>Harvests!$A$8:$A$130</c:f>
              <c:numCache>
                <c:formatCode>General</c:formatCode>
                <c:ptCount val="123"/>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numCache>
            </c:numRef>
          </c:cat>
          <c:val>
            <c:numRef>
              <c:f>Harvests!$D$8:$D$130</c:f>
              <c:numCache>
                <c:formatCode>#,##0</c:formatCode>
                <c:ptCount val="123"/>
                <c:pt idx="0">
                  <c:v>5491</c:v>
                </c:pt>
                <c:pt idx="1">
                  <c:v>6185</c:v>
                </c:pt>
                <c:pt idx="2">
                  <c:v>0</c:v>
                </c:pt>
                <c:pt idx="3">
                  <c:v>8674</c:v>
                </c:pt>
                <c:pt idx="4">
                  <c:v>7494</c:v>
                </c:pt>
                <c:pt idx="5">
                  <c:v>10248</c:v>
                </c:pt>
                <c:pt idx="6">
                  <c:v>1407</c:v>
                </c:pt>
                <c:pt idx="7">
                  <c:v>2044</c:v>
                </c:pt>
                <c:pt idx="8">
                  <c:v>1850</c:v>
                </c:pt>
                <c:pt idx="9">
                  <c:v>4682</c:v>
                </c:pt>
                <c:pt idx="10">
                  <c:v>3462</c:v>
                </c:pt>
                <c:pt idx="11">
                  <c:v>6558</c:v>
                </c:pt>
                <c:pt idx="12">
                  <c:v>2500</c:v>
                </c:pt>
                <c:pt idx="13">
                  <c:v>4600</c:v>
                </c:pt>
                <c:pt idx="14">
                  <c:v>5014</c:v>
                </c:pt>
                <c:pt idx="15">
                  <c:v>20000</c:v>
                </c:pt>
                <c:pt idx="16">
                  <c:v>2165</c:v>
                </c:pt>
                <c:pt idx="17">
                  <c:v>869</c:v>
                </c:pt>
                <c:pt idx="18">
                  <c:v>0</c:v>
                </c:pt>
                <c:pt idx="19">
                  <c:v>3067</c:v>
                </c:pt>
                <c:pt idx="20">
                  <c:v>974</c:v>
                </c:pt>
                <c:pt idx="21">
                  <c:v>1358</c:v>
                </c:pt>
                <c:pt idx="22">
                  <c:v>6181</c:v>
                </c:pt>
                <c:pt idx="23">
                  <c:v>2307</c:v>
                </c:pt>
                <c:pt idx="24">
                  <c:v>3043</c:v>
                </c:pt>
                <c:pt idx="25">
                  <c:v>7338</c:v>
                </c:pt>
                <c:pt idx="26">
                  <c:v>14266</c:v>
                </c:pt>
                <c:pt idx="27">
                  <c:v>14251</c:v>
                </c:pt>
                <c:pt idx="28">
                  <c:v>19766</c:v>
                </c:pt>
                <c:pt idx="29">
                  <c:v>13338</c:v>
                </c:pt>
                <c:pt idx="30">
                  <c:v>23117</c:v>
                </c:pt>
                <c:pt idx="31">
                  <c:v>11469</c:v>
                </c:pt>
                <c:pt idx="32">
                  <c:v>10147</c:v>
                </c:pt>
                <c:pt idx="33">
                  <c:v>10425</c:v>
                </c:pt>
                <c:pt idx="34">
                  <c:v>15973</c:v>
                </c:pt>
                <c:pt idx="35">
                  <c:v>19805</c:v>
                </c:pt>
                <c:pt idx="36">
                  <c:v>21414</c:v>
                </c:pt>
                <c:pt idx="37">
                  <c:v>35598</c:v>
                </c:pt>
                <c:pt idx="38">
                  <c:v>42144</c:v>
                </c:pt>
                <c:pt idx="39">
                  <c:v>43866</c:v>
                </c:pt>
                <c:pt idx="40">
                  <c:v>23181</c:v>
                </c:pt>
                <c:pt idx="41">
                  <c:v>35268</c:v>
                </c:pt>
                <c:pt idx="42">
                  <c:v>29403</c:v>
                </c:pt>
                <c:pt idx="43">
                  <c:v>14073</c:v>
                </c:pt>
                <c:pt idx="44">
                  <c:v>10407</c:v>
                </c:pt>
                <c:pt idx="45">
                  <c:v>2352</c:v>
                </c:pt>
                <c:pt idx="46">
                  <c:v>6939</c:v>
                </c:pt>
                <c:pt idx="47">
                  <c:v>11538</c:v>
                </c:pt>
                <c:pt idx="48">
                  <c:v>7614</c:v>
                </c:pt>
                <c:pt idx="49">
                  <c:v>6555</c:v>
                </c:pt>
                <c:pt idx="50">
                  <c:v>3876</c:v>
                </c:pt>
                <c:pt idx="51">
                  <c:v>9225</c:v>
                </c:pt>
                <c:pt idx="52">
                  <c:v>15762</c:v>
                </c:pt>
                <c:pt idx="53">
                  <c:v>14670</c:v>
                </c:pt>
                <c:pt idx="54">
                  <c:v>7638</c:v>
                </c:pt>
                <c:pt idx="55">
                  <c:v>18063</c:v>
                </c:pt>
                <c:pt idx="56">
                  <c:v>23329</c:v>
                </c:pt>
                <c:pt idx="57">
                  <c:v>15182</c:v>
                </c:pt>
                <c:pt idx="58">
                  <c:v>4367</c:v>
                </c:pt>
                <c:pt idx="59">
                  <c:v>9300</c:v>
                </c:pt>
                <c:pt idx="60">
                  <c:v>17777</c:v>
                </c:pt>
                <c:pt idx="61">
                  <c:v>17473</c:v>
                </c:pt>
                <c:pt idx="62">
                  <c:v>29355</c:v>
                </c:pt>
                <c:pt idx="63">
                  <c:v>12224</c:v>
                </c:pt>
                <c:pt idx="64">
                  <c:v>15764</c:v>
                </c:pt>
                <c:pt idx="65">
                  <c:v>20563</c:v>
                </c:pt>
                <c:pt idx="66">
                  <c:v>11849</c:v>
                </c:pt>
                <c:pt idx="67">
                  <c:v>8222</c:v>
                </c:pt>
                <c:pt idx="68">
                  <c:v>7037</c:v>
                </c:pt>
                <c:pt idx="69">
                  <c:v>9910</c:v>
                </c:pt>
                <c:pt idx="70">
                  <c:v>14115</c:v>
                </c:pt>
                <c:pt idx="71">
                  <c:v>7650</c:v>
                </c:pt>
                <c:pt idx="72">
                  <c:v>15038</c:v>
                </c:pt>
                <c:pt idx="73">
                  <c:v>11043</c:v>
                </c:pt>
                <c:pt idx="74">
                  <c:v>12795</c:v>
                </c:pt>
                <c:pt idx="75">
                  <c:v>15397</c:v>
                </c:pt>
                <c:pt idx="76">
                  <c:v>11062</c:v>
                </c:pt>
                <c:pt idx="77">
                  <c:v>10320</c:v>
                </c:pt>
                <c:pt idx="78">
                  <c:v>8970</c:v>
                </c:pt>
                <c:pt idx="79">
                  <c:v>14343</c:v>
                </c:pt>
                <c:pt idx="80">
                  <c:v>19372</c:v>
                </c:pt>
                <c:pt idx="81">
                  <c:v>16591</c:v>
                </c:pt>
                <c:pt idx="82">
                  <c:v>22357</c:v>
                </c:pt>
                <c:pt idx="83">
                  <c:v>20200</c:v>
                </c:pt>
                <c:pt idx="84">
                  <c:v>19012</c:v>
                </c:pt>
                <c:pt idx="85">
                  <c:v>19806</c:v>
                </c:pt>
                <c:pt idx="86">
                  <c:v>31707</c:v>
                </c:pt>
                <c:pt idx="87">
                  <c:v>21849</c:v>
                </c:pt>
                <c:pt idx="88">
                  <c:v>29393</c:v>
                </c:pt>
                <c:pt idx="89">
                  <c:v>18063</c:v>
                </c:pt>
                <c:pt idx="90">
                  <c:v>8454</c:v>
                </c:pt>
                <c:pt idx="91">
                  <c:v>20378</c:v>
                </c:pt>
                <c:pt idx="92">
                  <c:v>47616</c:v>
                </c:pt>
                <c:pt idx="93">
                  <c:v>53110</c:v>
                </c:pt>
                <c:pt idx="94">
                  <c:v>39287</c:v>
                </c:pt>
                <c:pt idx="95">
                  <c:v>42429</c:v>
                </c:pt>
                <c:pt idx="96">
                  <c:v>40798</c:v>
                </c:pt>
                <c:pt idx="97">
                  <c:v>41035</c:v>
                </c:pt>
                <c:pt idx="98">
                  <c:v>30760</c:v>
                </c:pt>
                <c:pt idx="99">
                  <c:v>30893</c:v>
                </c:pt>
                <c:pt idx="100">
                  <c:v>21716</c:v>
                </c:pt>
                <c:pt idx="101">
                  <c:v>34815</c:v>
                </c:pt>
                <c:pt idx="102">
                  <c:v>39831</c:v>
                </c:pt>
                <c:pt idx="103">
                  <c:v>29857</c:v>
                </c:pt>
                <c:pt idx="104">
                  <c:v>47182</c:v>
                </c:pt>
                <c:pt idx="105">
                  <c:v>65719</c:v>
                </c:pt>
                <c:pt idx="106">
                  <c:v>55757</c:v>
                </c:pt>
                <c:pt idx="107">
                  <c:v>51296</c:v>
                </c:pt>
                <c:pt idx="108">
                  <c:v>68897</c:v>
                </c:pt>
                <c:pt idx="109">
                  <c:v>62379</c:v>
                </c:pt>
                <c:pt idx="110">
                  <c:v>31264</c:v>
                </c:pt>
                <c:pt idx="111">
                  <c:v>39600</c:v>
                </c:pt>
                <c:pt idx="112">
                  <c:v>38748</c:v>
                </c:pt>
                <c:pt idx="113">
                  <c:v>47872</c:v>
                </c:pt>
                <c:pt idx="114">
                  <c:v>38278</c:v>
                </c:pt>
                <c:pt idx="115">
                  <c:v>34885</c:v>
                </c:pt>
                <c:pt idx="116">
                  <c:v>30516</c:v>
                </c:pt>
                <c:pt idx="117">
                  <c:v>39183</c:v>
                </c:pt>
                <c:pt idx="118">
                  <c:v>11479</c:v>
                </c:pt>
                <c:pt idx="119">
                  <c:v>9472</c:v>
                </c:pt>
                <c:pt idx="120">
                  <c:v>9645</c:v>
                </c:pt>
                <c:pt idx="121">
                  <c:v>18500</c:v>
                </c:pt>
                <c:pt idx="122">
                  <c:v>11765</c:v>
                </c:pt>
              </c:numCache>
            </c:numRef>
          </c:val>
        </c:ser>
        <c:dLbls>
          <c:showLegendKey val="0"/>
          <c:showVal val="0"/>
          <c:showCatName val="0"/>
          <c:showSerName val="0"/>
          <c:showPercent val="0"/>
          <c:showBubbleSize val="0"/>
        </c:dLbls>
        <c:gapWidth val="150"/>
        <c:axId val="44032384"/>
        <c:axId val="44034304"/>
      </c:barChart>
      <c:lineChart>
        <c:grouping val="standard"/>
        <c:varyColors val="0"/>
        <c:ser>
          <c:idx val="0"/>
          <c:order val="1"/>
          <c:spPr>
            <a:ln w="25400">
              <a:solidFill>
                <a:srgbClr val="000080"/>
              </a:solidFill>
              <a:prstDash val="solid"/>
            </a:ln>
          </c:spPr>
          <c:marker>
            <c:symbol val="none"/>
          </c:marker>
          <c:val>
            <c:numRef>
              <c:f>Harvests!$Q$8:$Q$133</c:f>
              <c:numCache>
                <c:formatCode>#,##0_);\(#,##0\)</c:formatCode>
                <c:ptCount val="126"/>
                <c:pt idx="0">
                  <c:v>5341.666666666667</c:v>
                </c:pt>
                <c:pt idx="1">
                  <c:v>5341.666666666667</c:v>
                </c:pt>
                <c:pt idx="2">
                  <c:v>5341.666666666667</c:v>
                </c:pt>
                <c:pt idx="3">
                  <c:v>5341.666666666667</c:v>
                </c:pt>
                <c:pt idx="4">
                  <c:v>5341.666666666667</c:v>
                </c:pt>
                <c:pt idx="5">
                  <c:v>5341.666666666667</c:v>
                </c:pt>
                <c:pt idx="6">
                  <c:v>5341.666666666667</c:v>
                </c:pt>
                <c:pt idx="7">
                  <c:v>5341.666666666667</c:v>
                </c:pt>
                <c:pt idx="8">
                  <c:v>5341.666666666667</c:v>
                </c:pt>
                <c:pt idx="9">
                  <c:v>5341.666666666667</c:v>
                </c:pt>
                <c:pt idx="10">
                  <c:v>5359.4444444444443</c:v>
                </c:pt>
                <c:pt idx="11">
                  <c:v>5359.4444444444443</c:v>
                </c:pt>
                <c:pt idx="12">
                  <c:v>5359.4444444444443</c:v>
                </c:pt>
                <c:pt idx="13">
                  <c:v>5359.4444444444443</c:v>
                </c:pt>
                <c:pt idx="14">
                  <c:v>5359.4444444444443</c:v>
                </c:pt>
                <c:pt idx="15">
                  <c:v>5359.4444444444443</c:v>
                </c:pt>
                <c:pt idx="16">
                  <c:v>5359.4444444444443</c:v>
                </c:pt>
                <c:pt idx="17">
                  <c:v>5359.4444444444443</c:v>
                </c:pt>
                <c:pt idx="18">
                  <c:v>5359.4444444444443</c:v>
                </c:pt>
                <c:pt idx="19">
                  <c:v>5359.4444444444443</c:v>
                </c:pt>
                <c:pt idx="20">
                  <c:v>8282.2000000000007</c:v>
                </c:pt>
                <c:pt idx="21">
                  <c:v>8282.2000000000007</c:v>
                </c:pt>
                <c:pt idx="22">
                  <c:v>8282.2000000000007</c:v>
                </c:pt>
                <c:pt idx="23">
                  <c:v>8282.2000000000007</c:v>
                </c:pt>
                <c:pt idx="24">
                  <c:v>8282.2000000000007</c:v>
                </c:pt>
                <c:pt idx="25">
                  <c:v>8282.2000000000007</c:v>
                </c:pt>
                <c:pt idx="26">
                  <c:v>8282.2000000000007</c:v>
                </c:pt>
                <c:pt idx="27">
                  <c:v>8282.2000000000007</c:v>
                </c:pt>
                <c:pt idx="28">
                  <c:v>8282.2000000000007</c:v>
                </c:pt>
                <c:pt idx="29">
                  <c:v>8282.2000000000007</c:v>
                </c:pt>
                <c:pt idx="30">
                  <c:v>23395.8</c:v>
                </c:pt>
                <c:pt idx="31">
                  <c:v>23395.8</c:v>
                </c:pt>
                <c:pt idx="32">
                  <c:v>23395.8</c:v>
                </c:pt>
                <c:pt idx="33">
                  <c:v>23395.8</c:v>
                </c:pt>
                <c:pt idx="34">
                  <c:v>23395.8</c:v>
                </c:pt>
                <c:pt idx="35">
                  <c:v>23395.8</c:v>
                </c:pt>
                <c:pt idx="36">
                  <c:v>23395.8</c:v>
                </c:pt>
                <c:pt idx="37">
                  <c:v>23395.8</c:v>
                </c:pt>
                <c:pt idx="38">
                  <c:v>23395.8</c:v>
                </c:pt>
                <c:pt idx="39">
                  <c:v>23395.8</c:v>
                </c:pt>
                <c:pt idx="40">
                  <c:v>14733</c:v>
                </c:pt>
                <c:pt idx="41">
                  <c:v>14733</c:v>
                </c:pt>
                <c:pt idx="42">
                  <c:v>14733</c:v>
                </c:pt>
                <c:pt idx="43">
                  <c:v>14733</c:v>
                </c:pt>
                <c:pt idx="44">
                  <c:v>14733</c:v>
                </c:pt>
                <c:pt idx="45">
                  <c:v>14733</c:v>
                </c:pt>
                <c:pt idx="46">
                  <c:v>14733</c:v>
                </c:pt>
                <c:pt idx="47">
                  <c:v>14733</c:v>
                </c:pt>
                <c:pt idx="48">
                  <c:v>14733</c:v>
                </c:pt>
                <c:pt idx="49">
                  <c:v>14733</c:v>
                </c:pt>
                <c:pt idx="50">
                  <c:v>12141.2</c:v>
                </c:pt>
                <c:pt idx="51">
                  <c:v>12141.2</c:v>
                </c:pt>
                <c:pt idx="52">
                  <c:v>12141.2</c:v>
                </c:pt>
                <c:pt idx="53">
                  <c:v>12141.2</c:v>
                </c:pt>
                <c:pt idx="54">
                  <c:v>12141.2</c:v>
                </c:pt>
                <c:pt idx="55">
                  <c:v>12141.2</c:v>
                </c:pt>
                <c:pt idx="56">
                  <c:v>12141.2</c:v>
                </c:pt>
                <c:pt idx="57">
                  <c:v>12141.2</c:v>
                </c:pt>
                <c:pt idx="58">
                  <c:v>12141.2</c:v>
                </c:pt>
                <c:pt idx="59">
                  <c:v>12141.2</c:v>
                </c:pt>
                <c:pt idx="60">
                  <c:v>15017.4</c:v>
                </c:pt>
                <c:pt idx="61">
                  <c:v>15017.4</c:v>
                </c:pt>
                <c:pt idx="62">
                  <c:v>15017.4</c:v>
                </c:pt>
                <c:pt idx="63">
                  <c:v>15017.4</c:v>
                </c:pt>
                <c:pt idx="64">
                  <c:v>15017.4</c:v>
                </c:pt>
                <c:pt idx="65">
                  <c:v>15017.4</c:v>
                </c:pt>
                <c:pt idx="66">
                  <c:v>15017.4</c:v>
                </c:pt>
                <c:pt idx="67">
                  <c:v>15017.4</c:v>
                </c:pt>
                <c:pt idx="68">
                  <c:v>15017.4</c:v>
                </c:pt>
                <c:pt idx="69">
                  <c:v>15017.4</c:v>
                </c:pt>
                <c:pt idx="70">
                  <c:v>12073.3</c:v>
                </c:pt>
                <c:pt idx="71">
                  <c:v>12073.3</c:v>
                </c:pt>
                <c:pt idx="72">
                  <c:v>12073.3</c:v>
                </c:pt>
                <c:pt idx="73">
                  <c:v>12073.3</c:v>
                </c:pt>
                <c:pt idx="74">
                  <c:v>12073.3</c:v>
                </c:pt>
                <c:pt idx="75">
                  <c:v>12073.3</c:v>
                </c:pt>
                <c:pt idx="76">
                  <c:v>12073.3</c:v>
                </c:pt>
                <c:pt idx="77">
                  <c:v>12073.3</c:v>
                </c:pt>
                <c:pt idx="78">
                  <c:v>12073.3</c:v>
                </c:pt>
                <c:pt idx="79">
                  <c:v>12073.3</c:v>
                </c:pt>
                <c:pt idx="80" formatCode="#,##0">
                  <c:v>21835</c:v>
                </c:pt>
                <c:pt idx="81" formatCode="#,##0">
                  <c:v>21835</c:v>
                </c:pt>
                <c:pt idx="82" formatCode="#,##0">
                  <c:v>21835</c:v>
                </c:pt>
                <c:pt idx="83" formatCode="#,##0">
                  <c:v>21835</c:v>
                </c:pt>
                <c:pt idx="84" formatCode="#,##0">
                  <c:v>21835</c:v>
                </c:pt>
                <c:pt idx="85" formatCode="#,##0">
                  <c:v>21835</c:v>
                </c:pt>
                <c:pt idx="86" formatCode="#,##0">
                  <c:v>21835</c:v>
                </c:pt>
                <c:pt idx="87" formatCode="#,##0">
                  <c:v>21835</c:v>
                </c:pt>
                <c:pt idx="88" formatCode="#,##0">
                  <c:v>21835</c:v>
                </c:pt>
                <c:pt idx="89" formatCode="#,##0">
                  <c:v>21835</c:v>
                </c:pt>
                <c:pt idx="90" formatCode="#,##0">
                  <c:v>35476</c:v>
                </c:pt>
                <c:pt idx="91" formatCode="#,##0">
                  <c:v>35476</c:v>
                </c:pt>
                <c:pt idx="92" formatCode="#,##0">
                  <c:v>35476</c:v>
                </c:pt>
                <c:pt idx="93" formatCode="#,##0">
                  <c:v>35476</c:v>
                </c:pt>
                <c:pt idx="94" formatCode="#,##0">
                  <c:v>35476</c:v>
                </c:pt>
                <c:pt idx="95" formatCode="#,##0">
                  <c:v>35476</c:v>
                </c:pt>
                <c:pt idx="96" formatCode="#,##0">
                  <c:v>35476</c:v>
                </c:pt>
                <c:pt idx="97" formatCode="#,##0">
                  <c:v>35476</c:v>
                </c:pt>
                <c:pt idx="98" formatCode="#,##0">
                  <c:v>35476</c:v>
                </c:pt>
                <c:pt idx="99" formatCode="#,##0">
                  <c:v>35476</c:v>
                </c:pt>
                <c:pt idx="100" formatCode="#,##0">
                  <c:v>47744.9</c:v>
                </c:pt>
                <c:pt idx="101" formatCode="#,##0">
                  <c:v>47744.9</c:v>
                </c:pt>
                <c:pt idx="102" formatCode="#,##0">
                  <c:v>47744.9</c:v>
                </c:pt>
                <c:pt idx="103" formatCode="#,##0">
                  <c:v>47744.9</c:v>
                </c:pt>
                <c:pt idx="104" formatCode="#,##0">
                  <c:v>47744.9</c:v>
                </c:pt>
                <c:pt idx="105" formatCode="#,##0">
                  <c:v>47744.9</c:v>
                </c:pt>
                <c:pt idx="106" formatCode="#,##0">
                  <c:v>47744.9</c:v>
                </c:pt>
                <c:pt idx="107" formatCode="#,##0">
                  <c:v>47744.9</c:v>
                </c:pt>
                <c:pt idx="108" formatCode="#,##0">
                  <c:v>47744.9</c:v>
                </c:pt>
                <c:pt idx="109" formatCode="#,##0">
                  <c:v>47744.9</c:v>
                </c:pt>
                <c:pt idx="110" formatCode="#,##0">
                  <c:v>32129.7</c:v>
                </c:pt>
                <c:pt idx="111" formatCode="#,##0">
                  <c:v>32129.7</c:v>
                </c:pt>
                <c:pt idx="112" formatCode="#,##0">
                  <c:v>32129.7</c:v>
                </c:pt>
                <c:pt idx="113" formatCode="#,##0">
                  <c:v>32129.7</c:v>
                </c:pt>
                <c:pt idx="114" formatCode="#,##0">
                  <c:v>32129.7</c:v>
                </c:pt>
                <c:pt idx="115" formatCode="#,##0">
                  <c:v>32129.7</c:v>
                </c:pt>
                <c:pt idx="116" formatCode="#,##0">
                  <c:v>32129.7</c:v>
                </c:pt>
                <c:pt idx="117" formatCode="#,##0">
                  <c:v>32129.7</c:v>
                </c:pt>
                <c:pt idx="118" formatCode="#,##0">
                  <c:v>32129.7</c:v>
                </c:pt>
                <c:pt idx="119" formatCode="#,##0">
                  <c:v>32129.7</c:v>
                </c:pt>
                <c:pt idx="120" formatCode="#,##0">
                  <c:v>11791.8</c:v>
                </c:pt>
                <c:pt idx="121" formatCode="#,##0">
                  <c:v>11791.8</c:v>
                </c:pt>
                <c:pt idx="122" formatCode="#,##0">
                  <c:v>11791.8</c:v>
                </c:pt>
                <c:pt idx="123" formatCode="#,##0">
                  <c:v>11791.8</c:v>
                </c:pt>
                <c:pt idx="124" formatCode="#,##0">
                  <c:v>11791.8</c:v>
                </c:pt>
              </c:numCache>
            </c:numRef>
          </c:val>
          <c:smooth val="0"/>
        </c:ser>
        <c:dLbls>
          <c:showLegendKey val="0"/>
          <c:showVal val="0"/>
          <c:showCatName val="0"/>
          <c:showSerName val="0"/>
          <c:showPercent val="0"/>
          <c:showBubbleSize val="0"/>
        </c:dLbls>
        <c:marker val="1"/>
        <c:smooth val="0"/>
        <c:axId val="44036480"/>
        <c:axId val="44038016"/>
      </c:lineChart>
      <c:catAx>
        <c:axId val="4403238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Year</a:t>
                </a:r>
              </a:p>
            </c:rich>
          </c:tx>
          <c:layout>
            <c:manualLayout>
              <c:xMode val="edge"/>
              <c:yMode val="edge"/>
              <c:x val="0.53609397402258163"/>
              <c:y val="0.9168549386136527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44034304"/>
        <c:crosses val="autoZero"/>
        <c:auto val="0"/>
        <c:lblAlgn val="ctr"/>
        <c:lblOffset val="100"/>
        <c:tickLblSkip val="10"/>
        <c:tickMarkSkip val="10"/>
        <c:noMultiLvlLbl val="0"/>
      </c:catAx>
      <c:valAx>
        <c:axId val="44034304"/>
        <c:scaling>
          <c:orientation val="minMax"/>
          <c:max val="70000"/>
        </c:scaling>
        <c:delete val="0"/>
        <c:axPos val="l"/>
        <c:title>
          <c:tx>
            <c:rich>
              <a:bodyPr/>
              <a:lstStyle/>
              <a:p>
                <a:pPr>
                  <a:defRPr sz="1400" b="1" i="0" u="none" strike="noStrike" baseline="0">
                    <a:solidFill>
                      <a:srgbClr val="000000"/>
                    </a:solidFill>
                    <a:latin typeface="Arial"/>
                    <a:ea typeface="Arial"/>
                    <a:cs typeface="Arial"/>
                  </a:defRPr>
                </a:pPr>
                <a:r>
                  <a:rPr lang="en-US"/>
                  <a:t>Commercial  Harvest</a:t>
                </a:r>
              </a:p>
            </c:rich>
          </c:tx>
          <c:layout>
            <c:manualLayout>
              <c:xMode val="edge"/>
              <c:yMode val="edge"/>
              <c:x val="6.3694333547237763E-3"/>
              <c:y val="0.24269689551538001"/>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44032384"/>
        <c:crosses val="autoZero"/>
        <c:crossBetween val="between"/>
      </c:valAx>
      <c:catAx>
        <c:axId val="44036480"/>
        <c:scaling>
          <c:orientation val="minMax"/>
        </c:scaling>
        <c:delete val="1"/>
        <c:axPos val="b"/>
        <c:majorTickMark val="out"/>
        <c:minorTickMark val="none"/>
        <c:tickLblPos val="none"/>
        <c:crossAx val="44038016"/>
        <c:crosses val="autoZero"/>
        <c:auto val="0"/>
        <c:lblAlgn val="ctr"/>
        <c:lblOffset val="100"/>
        <c:noMultiLvlLbl val="0"/>
      </c:catAx>
      <c:valAx>
        <c:axId val="44038016"/>
        <c:scaling>
          <c:orientation val="minMax"/>
        </c:scaling>
        <c:delete val="1"/>
        <c:axPos val="l"/>
        <c:numFmt formatCode="#,##0_);\(#,##0\)" sourceLinked="1"/>
        <c:majorTickMark val="out"/>
        <c:minorTickMark val="none"/>
        <c:tickLblPos val="none"/>
        <c:crossAx val="44036480"/>
        <c:crosses val="autoZero"/>
        <c:crossBetween val="between"/>
      </c:valAx>
      <c:spPr>
        <a:solidFill>
          <a:srgbClr val="FFFFFF"/>
        </a:solidFill>
        <a:ln w="25400">
          <a:noFill/>
        </a:ln>
      </c:spPr>
    </c:plotArea>
    <c:legend>
      <c:legendPos val="r"/>
      <c:layout>
        <c:manualLayout>
          <c:xMode val="edge"/>
          <c:yMode val="edge"/>
          <c:x val="0.14968168383600791"/>
          <c:y val="0.19325863902150525"/>
          <c:w val="0.22717645631847988"/>
          <c:h val="0.11011248037271811"/>
        </c:manualLayout>
      </c:layout>
      <c:overlay val="0"/>
      <c:spPr>
        <a:solidFill>
          <a:srgbClr val="FFFFFF"/>
        </a:solidFill>
        <a:ln w="25400">
          <a:noFill/>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53182556151622"/>
          <c:y val="5.5948449841381503E-2"/>
          <c:w val="0.8406503063348405"/>
          <c:h val="0.77682270741303339"/>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4.3613891651124982E-2"/>
                  <c:y val="-0.31855320115112801"/>
                </c:manualLayout>
              </c:layout>
              <c:numFmt formatCode="General" sourceLinked="0"/>
              <c:spPr>
                <a:noFill/>
                <a:ln w="25400">
                  <a:noFill/>
                </a:ln>
              </c:spPr>
              <c:txPr>
                <a:bodyPr/>
                <a:lstStyle/>
                <a:p>
                  <a:pPr>
                    <a:defRPr sz="850" b="0" i="0" u="none" strike="noStrike" baseline="0">
                      <a:solidFill>
                        <a:srgbClr val="000000"/>
                      </a:solidFill>
                      <a:latin typeface="Times New Roman"/>
                      <a:ea typeface="Times New Roman"/>
                      <a:cs typeface="Times New Roman"/>
                    </a:defRPr>
                  </a:pPr>
                  <a:endParaRPr lang="en-US"/>
                </a:p>
              </c:txPr>
            </c:trendlineLbl>
          </c:trendline>
          <c:xVal>
            <c:numRef>
              <c:f>Escapements!#REF!</c:f>
            </c:numRef>
          </c:xVal>
          <c:yVal>
            <c:numRef>
              <c:f>Escapements!$K$28:$K$33</c:f>
              <c:numCache>
                <c:formatCode>#,##0</c:formatCode>
                <c:ptCount val="6"/>
                <c:pt idx="0">
                  <c:v>32090</c:v>
                </c:pt>
                <c:pt idx="1">
                  <c:v>38047</c:v>
                </c:pt>
                <c:pt idx="2">
                  <c:v>39778</c:v>
                </c:pt>
                <c:pt idx="3">
                  <c:v>32873</c:v>
                </c:pt>
                <c:pt idx="4">
                  <c:v>44764</c:v>
                </c:pt>
                <c:pt idx="5">
                  <c:v>40564</c:v>
                </c:pt>
              </c:numCache>
            </c:numRef>
          </c:yVal>
          <c:smooth val="0"/>
        </c:ser>
        <c:dLbls>
          <c:showLegendKey val="0"/>
          <c:showVal val="0"/>
          <c:showCatName val="0"/>
          <c:showSerName val="0"/>
          <c:showPercent val="0"/>
          <c:showBubbleSize val="0"/>
        </c:dLbls>
        <c:axId val="123115008"/>
        <c:axId val="123116928"/>
      </c:scatterChart>
      <c:valAx>
        <c:axId val="123115008"/>
        <c:scaling>
          <c:orientation val="minMax"/>
          <c:min val="17000"/>
        </c:scaling>
        <c:delete val="0"/>
        <c:axPos val="b"/>
        <c:title>
          <c:tx>
            <c:rich>
              <a:bodyPr/>
              <a:lstStyle/>
              <a:p>
                <a:pPr>
                  <a:defRPr sz="1375" b="1" i="0" u="none" strike="noStrike" baseline="0">
                    <a:solidFill>
                      <a:srgbClr val="000000"/>
                    </a:solidFill>
                    <a:latin typeface="Times New Roman"/>
                    <a:ea typeface="Times New Roman"/>
                    <a:cs typeface="Times New Roman"/>
                  </a:defRPr>
                </a:pPr>
                <a:r>
                  <a:rPr lang="en-US"/>
                  <a:t>Inriver from PU/SUB Proportion</a:t>
                </a:r>
              </a:p>
            </c:rich>
          </c:tx>
          <c:layout>
            <c:manualLayout>
              <c:xMode val="edge"/>
              <c:yMode val="edge"/>
              <c:x val="0.39750895064325403"/>
              <c:y val="0.92530128583823246"/>
            </c:manualLayout>
          </c:layout>
          <c:overlay val="0"/>
          <c:spPr>
            <a:noFill/>
            <a:ln w="25400">
              <a:noFill/>
            </a:ln>
          </c:spPr>
        </c:title>
        <c:numFmt formatCode="_(* #,##0_);_(* \(#,##0\);_(* &quot;-&quot;??_);_(@_)" sourceLinked="1"/>
        <c:majorTickMark val="out"/>
        <c:minorTickMark val="none"/>
        <c:tickLblPos val="nextTo"/>
        <c:spPr>
          <a:ln w="3175">
            <a:solidFill>
              <a:srgbClr val="000000"/>
            </a:solidFill>
            <a:prstDash val="solid"/>
          </a:ln>
        </c:spPr>
        <c:txPr>
          <a:bodyPr rot="0" vert="horz"/>
          <a:lstStyle/>
          <a:p>
            <a:pPr>
              <a:defRPr sz="1425" b="0" i="0" u="none" strike="noStrike" baseline="0">
                <a:solidFill>
                  <a:srgbClr val="000000"/>
                </a:solidFill>
                <a:latin typeface="Times New Roman"/>
                <a:ea typeface="Times New Roman"/>
                <a:cs typeface="Times New Roman"/>
              </a:defRPr>
            </a:pPr>
            <a:endParaRPr lang="en-US"/>
          </a:p>
        </c:txPr>
        <c:crossAx val="123116928"/>
        <c:crosses val="autoZero"/>
        <c:crossBetween val="midCat"/>
      </c:valAx>
      <c:valAx>
        <c:axId val="123116928"/>
        <c:scaling>
          <c:orientation val="minMax"/>
          <c:min val="25000"/>
        </c:scaling>
        <c:delete val="0"/>
        <c:axPos val="l"/>
        <c:title>
          <c:tx>
            <c:rich>
              <a:bodyPr/>
              <a:lstStyle/>
              <a:p>
                <a:pPr>
                  <a:defRPr sz="1375" b="1" i="0" u="none" strike="noStrike" baseline="0">
                    <a:solidFill>
                      <a:srgbClr val="000000"/>
                    </a:solidFill>
                    <a:latin typeface="Times New Roman"/>
                    <a:ea typeface="Times New Roman"/>
                    <a:cs typeface="Times New Roman"/>
                  </a:defRPr>
                </a:pPr>
                <a:r>
                  <a:rPr lang="en-US"/>
                  <a:t>Mark-Recapture 
Point Estimate</a:t>
                </a:r>
              </a:p>
            </c:rich>
          </c:tx>
          <c:layout>
            <c:manualLayout>
              <c:xMode val="edge"/>
              <c:yMode val="edge"/>
              <c:x val="1.0140534455184981E-2"/>
              <c:y val="0.29910902030584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123115008"/>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22" r="0.75000000000000422"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Times New Roman"/>
                <a:ea typeface="Times New Roman"/>
                <a:cs typeface="Times New Roman"/>
              </a:defRPr>
            </a:pPr>
            <a:r>
              <a:rPr lang="en-US"/>
              <a:t>Copper River Chinook salmon</a:t>
            </a:r>
          </a:p>
        </c:rich>
      </c:tx>
      <c:layout>
        <c:manualLayout>
          <c:xMode val="edge"/>
          <c:yMode val="edge"/>
          <c:x val="0.32105318162894525"/>
          <c:y val="2.9661047633333652E-2"/>
        </c:manualLayout>
      </c:layout>
      <c:overlay val="0"/>
      <c:spPr>
        <a:noFill/>
        <a:ln w="25400">
          <a:noFill/>
        </a:ln>
      </c:spPr>
    </c:title>
    <c:autoTitleDeleted val="0"/>
    <c:plotArea>
      <c:layout>
        <c:manualLayout>
          <c:layoutTarget val="inner"/>
          <c:xMode val="edge"/>
          <c:yMode val="edge"/>
          <c:x val="0.19298278677149719"/>
          <c:y val="0.10805095923571492"/>
          <c:w val="0.78596625885118354"/>
          <c:h val="0.77966182350477187"/>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'Mean run forecasts'!$R$7:$R$22</c:f>
              <c:numCache>
                <c:formatCode>General</c:formatCode>
                <c:ptCount val="16"/>
                <c:pt idx="0">
                  <c:v>1999</c:v>
                </c:pt>
                <c:pt idx="1">
                  <c:v>2000</c:v>
                </c:pt>
                <c:pt idx="2">
                  <c:v>2001</c:v>
                </c:pt>
                <c:pt idx="3">
                  <c:v>2002</c:v>
                </c:pt>
                <c:pt idx="4">
                  <c:v>2003</c:v>
                </c:pt>
                <c:pt idx="5">
                  <c:v>2004</c:v>
                </c:pt>
                <c:pt idx="6">
                  <c:v>2005</c:v>
                </c:pt>
                <c:pt idx="7">
                  <c:v>2006</c:v>
                </c:pt>
                <c:pt idx="8">
                  <c:v>2007</c:v>
                </c:pt>
                <c:pt idx="9">
                  <c:v>2008</c:v>
                </c:pt>
                <c:pt idx="10">
                  <c:v>2009</c:v>
                </c:pt>
                <c:pt idx="11">
                  <c:v>2010</c:v>
                </c:pt>
                <c:pt idx="12">
                  <c:v>2011</c:v>
                </c:pt>
                <c:pt idx="13">
                  <c:v>2012</c:v>
                </c:pt>
                <c:pt idx="14">
                  <c:v>2013</c:v>
                </c:pt>
                <c:pt idx="15">
                  <c:v>2014</c:v>
                </c:pt>
              </c:numCache>
            </c:numRef>
          </c:cat>
          <c:val>
            <c:numRef>
              <c:f>'Mean run forecasts'!$P$7:$P$22</c:f>
              <c:numCache>
                <c:formatCode>#,##0</c:formatCode>
                <c:ptCount val="16"/>
                <c:pt idx="0">
                  <c:v>95909</c:v>
                </c:pt>
                <c:pt idx="1">
                  <c:v>70741</c:v>
                </c:pt>
                <c:pt idx="2">
                  <c:v>81079</c:v>
                </c:pt>
                <c:pt idx="3">
                  <c:v>72958</c:v>
                </c:pt>
                <c:pt idx="4">
                  <c:v>94354</c:v>
                </c:pt>
                <c:pt idx="5">
                  <c:v>80472</c:v>
                </c:pt>
                <c:pt idx="6">
                  <c:v>66064</c:v>
                </c:pt>
                <c:pt idx="7">
                  <c:v>99639</c:v>
                </c:pt>
                <c:pt idx="8">
                  <c:v>87682</c:v>
                </c:pt>
                <c:pt idx="9">
                  <c:v>53838</c:v>
                </c:pt>
                <c:pt idx="10">
                  <c:v>42996</c:v>
                </c:pt>
                <c:pt idx="11">
                  <c:v>33184</c:v>
                </c:pt>
                <c:pt idx="12">
                  <c:v>53887</c:v>
                </c:pt>
                <c:pt idx="13">
                  <c:v>46443</c:v>
                </c:pt>
                <c:pt idx="14">
                  <c:v>42884</c:v>
                </c:pt>
                <c:pt idx="15">
                  <c:v>35529</c:v>
                </c:pt>
              </c:numCache>
            </c:numRef>
          </c:val>
          <c:smooth val="0"/>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cat>
            <c:numRef>
              <c:f>'Mean run forecasts'!$R$7:$R$22</c:f>
              <c:numCache>
                <c:formatCode>General</c:formatCode>
                <c:ptCount val="16"/>
                <c:pt idx="0">
                  <c:v>1999</c:v>
                </c:pt>
                <c:pt idx="1">
                  <c:v>2000</c:v>
                </c:pt>
                <c:pt idx="2">
                  <c:v>2001</c:v>
                </c:pt>
                <c:pt idx="3">
                  <c:v>2002</c:v>
                </c:pt>
                <c:pt idx="4">
                  <c:v>2003</c:v>
                </c:pt>
                <c:pt idx="5">
                  <c:v>2004</c:v>
                </c:pt>
                <c:pt idx="6">
                  <c:v>2005</c:v>
                </c:pt>
                <c:pt idx="7">
                  <c:v>2006</c:v>
                </c:pt>
                <c:pt idx="8">
                  <c:v>2007</c:v>
                </c:pt>
                <c:pt idx="9">
                  <c:v>2008</c:v>
                </c:pt>
                <c:pt idx="10">
                  <c:v>2009</c:v>
                </c:pt>
                <c:pt idx="11">
                  <c:v>2010</c:v>
                </c:pt>
                <c:pt idx="12">
                  <c:v>2011</c:v>
                </c:pt>
                <c:pt idx="13">
                  <c:v>2012</c:v>
                </c:pt>
                <c:pt idx="14">
                  <c:v>2013</c:v>
                </c:pt>
                <c:pt idx="15">
                  <c:v>2014</c:v>
                </c:pt>
              </c:numCache>
            </c:numRef>
          </c:cat>
          <c:val>
            <c:numRef>
              <c:f>'Mean run forecasts'!$N$7:$N$22</c:f>
              <c:numCache>
                <c:formatCode>#,##0</c:formatCode>
                <c:ptCount val="16"/>
                <c:pt idx="0">
                  <c:v>16157</c:v>
                </c:pt>
                <c:pt idx="1">
                  <c:v>24492</c:v>
                </c:pt>
                <c:pt idx="2">
                  <c:v>28208</c:v>
                </c:pt>
                <c:pt idx="3">
                  <c:v>21469</c:v>
                </c:pt>
                <c:pt idx="4">
                  <c:v>34016</c:v>
                </c:pt>
                <c:pt idx="5">
                  <c:v>30638</c:v>
                </c:pt>
                <c:pt idx="6">
                  <c:v>21506</c:v>
                </c:pt>
                <c:pt idx="7">
                  <c:v>58436</c:v>
                </c:pt>
                <c:pt idx="8">
                  <c:v>34537</c:v>
                </c:pt>
                <c:pt idx="9">
                  <c:v>32464</c:v>
                </c:pt>
                <c:pt idx="10">
                  <c:v>27778</c:v>
                </c:pt>
                <c:pt idx="11">
                  <c:v>16771</c:v>
                </c:pt>
                <c:pt idx="12">
                  <c:v>27994</c:v>
                </c:pt>
                <c:pt idx="13">
                  <c:v>29595</c:v>
                </c:pt>
                <c:pt idx="14">
                  <c:v>29012</c:v>
                </c:pt>
                <c:pt idx="15">
                  <c:v>19432.8</c:v>
                </c:pt>
              </c:numCache>
            </c:numRef>
          </c:val>
          <c:smooth val="0"/>
        </c:ser>
        <c:dLbls>
          <c:showLegendKey val="0"/>
          <c:showVal val="0"/>
          <c:showCatName val="0"/>
          <c:showSerName val="0"/>
          <c:showPercent val="0"/>
          <c:showBubbleSize val="0"/>
        </c:dLbls>
        <c:marker val="1"/>
        <c:smooth val="0"/>
        <c:axId val="122883072"/>
        <c:axId val="122897536"/>
      </c:lineChart>
      <c:catAx>
        <c:axId val="122883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200" b="0" i="0" u="none" strike="noStrike" baseline="0">
                <a:solidFill>
                  <a:srgbClr val="000000"/>
                </a:solidFill>
                <a:latin typeface="Times New Roman"/>
                <a:ea typeface="Times New Roman"/>
                <a:cs typeface="Times New Roman"/>
              </a:defRPr>
            </a:pPr>
            <a:endParaRPr lang="en-US"/>
          </a:p>
        </c:txPr>
        <c:crossAx val="122897536"/>
        <c:crosses val="autoZero"/>
        <c:auto val="1"/>
        <c:lblAlgn val="ctr"/>
        <c:lblOffset val="100"/>
        <c:tickLblSkip val="1"/>
        <c:tickMarkSkip val="1"/>
        <c:noMultiLvlLbl val="0"/>
      </c:catAx>
      <c:valAx>
        <c:axId val="122897536"/>
        <c:scaling>
          <c:orientation val="minMax"/>
        </c:scaling>
        <c:delete val="0"/>
        <c:axPos val="l"/>
        <c:title>
          <c:tx>
            <c:rich>
              <a:bodyPr/>
              <a:lstStyle/>
              <a:p>
                <a:pPr>
                  <a:defRPr sz="1200" b="1" i="0" u="none" strike="noStrike" baseline="0">
                    <a:solidFill>
                      <a:srgbClr val="000000"/>
                    </a:solidFill>
                    <a:latin typeface="Times New Roman"/>
                    <a:ea typeface="Times New Roman"/>
                    <a:cs typeface="Times New Roman"/>
                  </a:defRPr>
                </a:pPr>
                <a:r>
                  <a:rPr lang="en-US"/>
                  <a:t>Number of fish </a:t>
                </a:r>
              </a:p>
            </c:rich>
          </c:tx>
          <c:layout>
            <c:manualLayout>
              <c:xMode val="edge"/>
              <c:yMode val="edge"/>
              <c:x val="2.6315834559749451E-2"/>
              <c:y val="0.3898309117523855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22883072"/>
        <c:crosses val="autoZero"/>
        <c:crossBetween val="between"/>
      </c:valAx>
      <c:spPr>
        <a:solidFill>
          <a:srgbClr val="FFFFFF"/>
        </a:solidFill>
        <a:ln w="25400">
          <a:noFill/>
        </a:ln>
      </c:spPr>
    </c:plotArea>
    <c:legend>
      <c:legendPos val="r"/>
      <c:layout>
        <c:manualLayout>
          <c:xMode val="edge"/>
          <c:yMode val="edge"/>
          <c:x val="0.2298249551551452"/>
          <c:y val="0.52118697984285522"/>
          <c:w val="0.25438640074424768"/>
          <c:h val="8.6864496640477448E-2"/>
        </c:manualLayout>
      </c:layout>
      <c:overlay val="0"/>
      <c:spPr>
        <a:solidFill>
          <a:srgbClr val="FFFFFF"/>
        </a:solidFill>
        <a:ln w="25400">
          <a:noFill/>
        </a:ln>
      </c:spPr>
      <c:txPr>
        <a:bodyPr/>
        <a:lstStyle/>
        <a:p>
          <a:pPr>
            <a:defRPr sz="850"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278" r="0.75000000000000278"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Copper River Chinook Salmon
Brood Years 1980-1999</a:t>
            </a:r>
          </a:p>
        </c:rich>
      </c:tx>
      <c:layout>
        <c:manualLayout>
          <c:xMode val="edge"/>
          <c:yMode val="edge"/>
          <c:x val="0.32287042646211039"/>
          <c:y val="3.1111178626689932E-2"/>
        </c:manualLayout>
      </c:layout>
      <c:overlay val="0"/>
      <c:spPr>
        <a:noFill/>
        <a:ln w="25400">
          <a:noFill/>
        </a:ln>
      </c:spPr>
    </c:title>
    <c:autoTitleDeleted val="0"/>
    <c:plotArea>
      <c:layout>
        <c:manualLayout>
          <c:layoutTarget val="inner"/>
          <c:xMode val="edge"/>
          <c:yMode val="edge"/>
          <c:x val="0.13303457386633191"/>
          <c:y val="0.15555589313344936"/>
          <c:w val="0.81913423009831365"/>
          <c:h val="0.69555706501099157"/>
        </c:manualLayout>
      </c:layout>
      <c:scatterChart>
        <c:scatterStyle val="lineMarker"/>
        <c:varyColors val="0"/>
        <c:ser>
          <c:idx val="0"/>
          <c:order val="0"/>
          <c:tx>
            <c:v>Ricker</c:v>
          </c:tx>
          <c:spPr>
            <a:ln w="25400">
              <a:solidFill>
                <a:srgbClr val="000000"/>
              </a:solidFill>
              <a:prstDash val="solid"/>
            </a:ln>
          </c:spPr>
          <c:marker>
            <c:symbol val="none"/>
          </c:marker>
          <c:xVal>
            <c:numRef>
              <c:f>Ricker!$C$7:$C$27</c:f>
              <c:numCache>
                <c:formatCode>#,##0</c:formatCode>
                <c:ptCount val="21"/>
                <c:pt idx="0">
                  <c:v>0</c:v>
                </c:pt>
                <c:pt idx="1">
                  <c:v>1000</c:v>
                </c:pt>
                <c:pt idx="2">
                  <c:v>1500</c:v>
                </c:pt>
                <c:pt idx="3">
                  <c:v>2500</c:v>
                </c:pt>
                <c:pt idx="4">
                  <c:v>27781.748314976161</c:v>
                </c:pt>
                <c:pt idx="5">
                  <c:v>14244.078590640129</c:v>
                </c:pt>
                <c:pt idx="6">
                  <c:v>6571.6211261023891</c:v>
                </c:pt>
                <c:pt idx="7">
                  <c:v>16930.206639779477</c:v>
                </c:pt>
                <c:pt idx="8">
                  <c:v>13239.593658838436</c:v>
                </c:pt>
                <c:pt idx="9">
                  <c:v>9572.1381273123989</c:v>
                </c:pt>
                <c:pt idx="10">
                  <c:v>13821.065847773632</c:v>
                </c:pt>
                <c:pt idx="11">
                  <c:v>20038.042632236058</c:v>
                </c:pt>
                <c:pt idx="12">
                  <c:v>23122.039815358257</c:v>
                </c:pt>
                <c:pt idx="13">
                  <c:v>16821.837731152205</c:v>
                </c:pt>
                <c:pt idx="14">
                  <c:v>14723.229653929488</c:v>
                </c:pt>
                <c:pt idx="15">
                  <c:v>15167.794866684937</c:v>
                </c:pt>
                <c:pt idx="16">
                  <c:v>11942.753800524621</c:v>
                </c:pt>
                <c:pt idx="17">
                  <c:v>10534.883543528496</c:v>
                </c:pt>
                <c:pt idx="18">
                  <c:v>12783.91549585489</c:v>
                </c:pt>
                <c:pt idx="19">
                  <c:v>16068.301711637534</c:v>
                </c:pt>
                <c:pt idx="20">
                  <c:v>15333.581211050758</c:v>
                </c:pt>
              </c:numCache>
            </c:numRef>
          </c:xVal>
          <c:yVal>
            <c:numRef>
              <c:f>Ricker!$I$7:$I$27</c:f>
              <c:numCache>
                <c:formatCode>_(* #,##0_);_(* \(#,##0\);_(* "-"??_);_(@_)</c:formatCode>
                <c:ptCount val="21"/>
                <c:pt idx="0" formatCode="#,##0">
                  <c:v>0</c:v>
                </c:pt>
                <c:pt idx="1">
                  <c:v>15620.821534492217</c:v>
                </c:pt>
                <c:pt idx="2">
                  <c:v>22470.189913983126</c:v>
                </c:pt>
                <c:pt idx="3">
                  <c:v>34441.235247670491</c:v>
                </c:pt>
                <c:pt idx="4">
                  <c:v>46050.023119020501</c:v>
                </c:pt>
                <c:pt idx="5">
                  <c:v>73377.242258950297</c:v>
                </c:pt>
                <c:pt idx="6">
                  <c:v>64372.264692304976</c:v>
                </c:pt>
                <c:pt idx="7">
                  <c:v>69642.862243479132</c:v>
                </c:pt>
                <c:pt idx="8">
                  <c:v>74189.356036067664</c:v>
                </c:pt>
                <c:pt idx="9">
                  <c:v>72926.622637672495</c:v>
                </c:pt>
                <c:pt idx="10">
                  <c:v>73766.028019164994</c:v>
                </c:pt>
                <c:pt idx="11">
                  <c:v>63535.522154662191</c:v>
                </c:pt>
                <c:pt idx="12">
                  <c:v>56624.135566996498</c:v>
                </c:pt>
                <c:pt idx="13">
                  <c:v>69828.048277981099</c:v>
                </c:pt>
                <c:pt idx="14">
                  <c:v>72861.841113653907</c:v>
                </c:pt>
                <c:pt idx="15">
                  <c:v>72318.207531712134</c:v>
                </c:pt>
                <c:pt idx="16">
                  <c:v>74601.279180307072</c:v>
                </c:pt>
                <c:pt idx="17">
                  <c:v>74043.222430367183</c:v>
                </c:pt>
                <c:pt idx="18">
                  <c:v>74422.959764005296</c:v>
                </c:pt>
                <c:pt idx="19">
                  <c:v>71045.676020765939</c:v>
                </c:pt>
                <c:pt idx="20">
                  <c:v>72100.459435088123</c:v>
                </c:pt>
              </c:numCache>
            </c:numRef>
          </c:yVal>
          <c:smooth val="0"/>
        </c:ser>
        <c:ser>
          <c:idx val="2"/>
          <c:order val="1"/>
          <c:tx>
            <c:v>Replacement</c:v>
          </c:tx>
          <c:spPr>
            <a:ln w="25400">
              <a:solidFill>
                <a:srgbClr val="000000"/>
              </a:solidFill>
              <a:prstDash val="solid"/>
            </a:ln>
          </c:spPr>
          <c:marker>
            <c:symbol val="none"/>
          </c:marker>
          <c:xVal>
            <c:numRef>
              <c:f>Ricker!$C$7:$C$27</c:f>
              <c:numCache>
                <c:formatCode>#,##0</c:formatCode>
                <c:ptCount val="21"/>
                <c:pt idx="0">
                  <c:v>0</c:v>
                </c:pt>
                <c:pt idx="1">
                  <c:v>1000</c:v>
                </c:pt>
                <c:pt idx="2">
                  <c:v>1500</c:v>
                </c:pt>
                <c:pt idx="3">
                  <c:v>2500</c:v>
                </c:pt>
                <c:pt idx="4">
                  <c:v>27781.748314976161</c:v>
                </c:pt>
                <c:pt idx="5">
                  <c:v>14244.078590640129</c:v>
                </c:pt>
                <c:pt idx="6">
                  <c:v>6571.6211261023891</c:v>
                </c:pt>
                <c:pt idx="7">
                  <c:v>16930.206639779477</c:v>
                </c:pt>
                <c:pt idx="8">
                  <c:v>13239.593658838436</c:v>
                </c:pt>
                <c:pt idx="9">
                  <c:v>9572.1381273123989</c:v>
                </c:pt>
                <c:pt idx="10">
                  <c:v>13821.065847773632</c:v>
                </c:pt>
                <c:pt idx="11">
                  <c:v>20038.042632236058</c:v>
                </c:pt>
                <c:pt idx="12">
                  <c:v>23122.039815358257</c:v>
                </c:pt>
                <c:pt idx="13">
                  <c:v>16821.837731152205</c:v>
                </c:pt>
                <c:pt idx="14">
                  <c:v>14723.229653929488</c:v>
                </c:pt>
                <c:pt idx="15">
                  <c:v>15167.794866684937</c:v>
                </c:pt>
                <c:pt idx="16">
                  <c:v>11942.753800524621</c:v>
                </c:pt>
                <c:pt idx="17">
                  <c:v>10534.883543528496</c:v>
                </c:pt>
                <c:pt idx="18">
                  <c:v>12783.91549585489</c:v>
                </c:pt>
                <c:pt idx="19">
                  <c:v>16068.301711637534</c:v>
                </c:pt>
                <c:pt idx="20">
                  <c:v>15333.581211050758</c:v>
                </c:pt>
              </c:numCache>
            </c:numRef>
          </c:xVal>
          <c:yVal>
            <c:numRef>
              <c:f>Ricker!$C$7:$C$27</c:f>
              <c:numCache>
                <c:formatCode>#,##0</c:formatCode>
                <c:ptCount val="21"/>
                <c:pt idx="0">
                  <c:v>0</c:v>
                </c:pt>
                <c:pt idx="1">
                  <c:v>1000</c:v>
                </c:pt>
                <c:pt idx="2">
                  <c:v>1500</c:v>
                </c:pt>
                <c:pt idx="3">
                  <c:v>2500</c:v>
                </c:pt>
                <c:pt idx="4">
                  <c:v>27781.748314976161</c:v>
                </c:pt>
                <c:pt idx="5">
                  <c:v>14244.078590640129</c:v>
                </c:pt>
                <c:pt idx="6">
                  <c:v>6571.6211261023891</c:v>
                </c:pt>
                <c:pt idx="7">
                  <c:v>16930.206639779477</c:v>
                </c:pt>
                <c:pt idx="8">
                  <c:v>13239.593658838436</c:v>
                </c:pt>
                <c:pt idx="9">
                  <c:v>9572.1381273123989</c:v>
                </c:pt>
                <c:pt idx="10">
                  <c:v>13821.065847773632</c:v>
                </c:pt>
                <c:pt idx="11">
                  <c:v>20038.042632236058</c:v>
                </c:pt>
                <c:pt idx="12">
                  <c:v>23122.039815358257</c:v>
                </c:pt>
                <c:pt idx="13">
                  <c:v>16821.837731152205</c:v>
                </c:pt>
                <c:pt idx="14">
                  <c:v>14723.229653929488</c:v>
                </c:pt>
                <c:pt idx="15">
                  <c:v>15167.794866684937</c:v>
                </c:pt>
                <c:pt idx="16">
                  <c:v>11942.753800524621</c:v>
                </c:pt>
                <c:pt idx="17">
                  <c:v>10534.883543528496</c:v>
                </c:pt>
                <c:pt idx="18">
                  <c:v>12783.91549585489</c:v>
                </c:pt>
                <c:pt idx="19">
                  <c:v>16068.301711637534</c:v>
                </c:pt>
                <c:pt idx="20">
                  <c:v>15333.581211050758</c:v>
                </c:pt>
              </c:numCache>
            </c:numRef>
          </c:yVal>
          <c:smooth val="0"/>
        </c:ser>
        <c:ser>
          <c:idx val="1"/>
          <c:order val="2"/>
          <c:tx>
            <c:v>1980-2001</c:v>
          </c:tx>
          <c:spPr>
            <a:ln w="28575">
              <a:noFill/>
            </a:ln>
          </c:spPr>
          <c:marker>
            <c:symbol val="square"/>
            <c:size val="5"/>
            <c:spPr>
              <a:solidFill>
                <a:srgbClr val="FF00FF"/>
              </a:solidFill>
              <a:ln>
                <a:solidFill>
                  <a:srgbClr val="FF00FF"/>
                </a:solidFill>
                <a:prstDash val="solid"/>
              </a:ln>
            </c:spPr>
          </c:marker>
          <c:dLbls>
            <c:dLbl>
              <c:idx val="0"/>
              <c:tx>
                <c:strRef>
                  <c:f>Ricker!$B$11</c:f>
                  <c:strCache>
                    <c:ptCount val="1"/>
                    <c:pt idx="0">
                      <c:v>80</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
              <c:layout>
                <c:manualLayout>
                  <c:x val="8.6068478212600363E-4"/>
                  <c:y val="-3.3572602782723601E-2"/>
                </c:manualLayout>
              </c:layout>
              <c:tx>
                <c:strRef>
                  <c:f>Ricker!$B$12</c:f>
                  <c:strCache>
                    <c:ptCount val="1"/>
                    <c:pt idx="0">
                      <c:v>81</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0"/>
              <c:showCatName val="0"/>
              <c:showSerName val="0"/>
              <c:showPercent val="0"/>
              <c:showBubbleSize val="0"/>
            </c:dLbl>
            <c:dLbl>
              <c:idx val="2"/>
              <c:layout/>
              <c:tx>
                <c:strRef>
                  <c:f>Ricker!$B$13</c:f>
                  <c:strCache>
                    <c:ptCount val="1"/>
                    <c:pt idx="0">
                      <c:v>82</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3"/>
              <c:layout/>
              <c:tx>
                <c:strRef>
                  <c:f>Ricker!$B$14</c:f>
                  <c:strCache>
                    <c:ptCount val="1"/>
                    <c:pt idx="0">
                      <c:v>83</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4"/>
              <c:layout/>
              <c:tx>
                <c:strRef>
                  <c:f>Ricker!$B$15</c:f>
                  <c:strCache>
                    <c:ptCount val="1"/>
                    <c:pt idx="0">
                      <c:v>84</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5"/>
              <c:layout/>
              <c:tx>
                <c:strRef>
                  <c:f>Ricker!$B$16</c:f>
                  <c:strCache>
                    <c:ptCount val="1"/>
                    <c:pt idx="0">
                      <c:v>85</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6"/>
              <c:layout/>
              <c:tx>
                <c:strRef>
                  <c:f>Ricker!$B$17</c:f>
                  <c:strCache>
                    <c:ptCount val="1"/>
                    <c:pt idx="0">
                      <c:v>86</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7"/>
              <c:tx>
                <c:strRef>
                  <c:f>Ricker!$B$18</c:f>
                  <c:strCache>
                    <c:ptCount val="1"/>
                    <c:pt idx="0">
                      <c:v>87</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8"/>
              <c:tx>
                <c:strRef>
                  <c:f>Ricker!$B$19</c:f>
                  <c:strCache>
                    <c:ptCount val="1"/>
                    <c:pt idx="0">
                      <c:v>88</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9"/>
              <c:layout/>
              <c:tx>
                <c:strRef>
                  <c:f>Ricker!$B$20</c:f>
                  <c:strCache>
                    <c:ptCount val="1"/>
                    <c:pt idx="0">
                      <c:v>89</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0"/>
              <c:layout/>
              <c:tx>
                <c:strRef>
                  <c:f>Ricker!$B$21</c:f>
                  <c:strCache>
                    <c:ptCount val="1"/>
                    <c:pt idx="0">
                      <c:v>90</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1"/>
              <c:layout/>
              <c:tx>
                <c:strRef>
                  <c:f>Ricker!$B$22</c:f>
                  <c:strCache>
                    <c:ptCount val="1"/>
                    <c:pt idx="0">
                      <c:v>91</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2"/>
              <c:layout/>
              <c:tx>
                <c:strRef>
                  <c:f>Ricker!$B$23</c:f>
                  <c:strCache>
                    <c:ptCount val="1"/>
                    <c:pt idx="0">
                      <c:v>92</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3"/>
              <c:layout/>
              <c:tx>
                <c:strRef>
                  <c:f>Ricker!$B$24</c:f>
                  <c:strCache>
                    <c:ptCount val="1"/>
                    <c:pt idx="0">
                      <c:v>93</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4"/>
              <c:layout/>
              <c:tx>
                <c:strRef>
                  <c:f>Ricker!$B$25</c:f>
                  <c:strCache>
                    <c:ptCount val="1"/>
                    <c:pt idx="0">
                      <c:v>94</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5"/>
              <c:layout/>
              <c:tx>
                <c:strRef>
                  <c:f>Ricker!$B$26</c:f>
                  <c:strCache>
                    <c:ptCount val="1"/>
                    <c:pt idx="0">
                      <c:v>95</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6"/>
              <c:layout/>
              <c:tx>
                <c:strRef>
                  <c:f>Ricker!$B$27</c:f>
                  <c:strCache>
                    <c:ptCount val="1"/>
                    <c:pt idx="0">
                      <c:v>96</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showLegendKey val="0"/>
            <c:showVal val="0"/>
            <c:showCatName val="0"/>
            <c:showSerName val="0"/>
            <c:showPercent val="0"/>
            <c:showBubbleSize val="0"/>
          </c:dLbls>
          <c:xVal>
            <c:numRef>
              <c:f>Ricker!$C$11:$C$30</c:f>
              <c:numCache>
                <c:formatCode>#,##0</c:formatCode>
                <c:ptCount val="20"/>
                <c:pt idx="0">
                  <c:v>27781.748314976161</c:v>
                </c:pt>
                <c:pt idx="1">
                  <c:v>14244.078590640129</c:v>
                </c:pt>
                <c:pt idx="2">
                  <c:v>6571.6211261023891</c:v>
                </c:pt>
                <c:pt idx="3">
                  <c:v>16930.206639779477</c:v>
                </c:pt>
                <c:pt idx="4">
                  <c:v>13239.593658838436</c:v>
                </c:pt>
                <c:pt idx="5">
                  <c:v>9572.1381273123989</c:v>
                </c:pt>
                <c:pt idx="6">
                  <c:v>13821.065847773632</c:v>
                </c:pt>
                <c:pt idx="7">
                  <c:v>20038.042632236058</c:v>
                </c:pt>
                <c:pt idx="8">
                  <c:v>23122.039815358257</c:v>
                </c:pt>
                <c:pt idx="9">
                  <c:v>16821.837731152205</c:v>
                </c:pt>
                <c:pt idx="10">
                  <c:v>14723.229653929488</c:v>
                </c:pt>
                <c:pt idx="11">
                  <c:v>15167.794866684937</c:v>
                </c:pt>
                <c:pt idx="12">
                  <c:v>11942.753800524621</c:v>
                </c:pt>
                <c:pt idx="13">
                  <c:v>10534.883543528496</c:v>
                </c:pt>
                <c:pt idx="14">
                  <c:v>12783.91549585489</c:v>
                </c:pt>
                <c:pt idx="15">
                  <c:v>16068.301711637534</c:v>
                </c:pt>
                <c:pt idx="16">
                  <c:v>15333.581211050758</c:v>
                </c:pt>
                <c:pt idx="17">
                  <c:v>22650.051129357271</c:v>
                </c:pt>
                <c:pt idx="18">
                  <c:v>18134.783078621651</c:v>
                </c:pt>
                <c:pt idx="19">
                  <c:v>16157</c:v>
                </c:pt>
              </c:numCache>
            </c:numRef>
          </c:xVal>
          <c:yVal>
            <c:numRef>
              <c:f>Ricker!$E$11:$E$30</c:f>
              <c:numCache>
                <c:formatCode>#,##0_);\(#,##0\)</c:formatCode>
                <c:ptCount val="20"/>
                <c:pt idx="0">
                  <c:v>31560.948560059544</c:v>
                </c:pt>
                <c:pt idx="1">
                  <c:v>54616.967915391098</c:v>
                </c:pt>
                <c:pt idx="2">
                  <c:v>34766.708449348887</c:v>
                </c:pt>
                <c:pt idx="3">
                  <c:v>30849.06547229514</c:v>
                </c:pt>
                <c:pt idx="4">
                  <c:v>21826.641024549521</c:v>
                </c:pt>
                <c:pt idx="5">
                  <c:v>21510.453920260963</c:v>
                </c:pt>
                <c:pt idx="6">
                  <c:v>67560.466389581823</c:v>
                </c:pt>
                <c:pt idx="7">
                  <c:v>27548.454278320864</c:v>
                </c:pt>
                <c:pt idx="8">
                  <c:v>72769.690931419915</c:v>
                </c:pt>
                <c:pt idx="9">
                  <c:v>69641.083395748617</c:v>
                </c:pt>
                <c:pt idx="10">
                  <c:v>97679.968679626356</c:v>
                </c:pt>
                <c:pt idx="11">
                  <c:v>78719.237027894982</c:v>
                </c:pt>
                <c:pt idx="12">
                  <c:v>92788.327797677266</c:v>
                </c:pt>
                <c:pt idx="13">
                  <c:v>106430.35627915662</c:v>
                </c:pt>
                <c:pt idx="14">
                  <c:v>79051.478919924019</c:v>
                </c:pt>
                <c:pt idx="15">
                  <c:v>76293.203574343555</c:v>
                </c:pt>
                <c:pt idx="16">
                  <c:v>76990.745140068466</c:v>
                </c:pt>
                <c:pt idx="17">
                  <c:v>84461.237888165342</c:v>
                </c:pt>
                <c:pt idx="18">
                  <c:v>96482.08221429617</c:v>
                </c:pt>
                <c:pt idx="19">
                  <c:v>76599.877524403302</c:v>
                </c:pt>
              </c:numCache>
            </c:numRef>
          </c:yVal>
          <c:smooth val="0"/>
        </c:ser>
        <c:dLbls>
          <c:showLegendKey val="0"/>
          <c:showVal val="0"/>
          <c:showCatName val="0"/>
          <c:showSerName val="0"/>
          <c:showPercent val="0"/>
          <c:showBubbleSize val="0"/>
        </c:dLbls>
        <c:axId val="124771712"/>
        <c:axId val="124597760"/>
      </c:scatterChart>
      <c:valAx>
        <c:axId val="124771712"/>
        <c:scaling>
          <c:orientation val="minMax"/>
          <c:max val="20000"/>
        </c:scaling>
        <c:delete val="0"/>
        <c:axPos val="b"/>
        <c:title>
          <c:tx>
            <c:rich>
              <a:bodyPr/>
              <a:lstStyle/>
              <a:p>
                <a:pPr>
                  <a:defRPr sz="1200" b="1" i="0" u="none" strike="noStrike" baseline="0">
                    <a:solidFill>
                      <a:srgbClr val="000000"/>
                    </a:solidFill>
                    <a:latin typeface="Arial"/>
                    <a:ea typeface="Arial"/>
                    <a:cs typeface="Arial"/>
                  </a:defRPr>
                </a:pPr>
                <a:r>
                  <a:rPr lang="en-US"/>
                  <a:t>Escapement index</a:t>
                </a:r>
              </a:p>
            </c:rich>
          </c:tx>
          <c:layout>
            <c:manualLayout>
              <c:xMode val="edge"/>
              <c:yMode val="edge"/>
              <c:x val="0.43348344293523888"/>
              <c:y val="0.91111308835305627"/>
            </c:manualLayout>
          </c:layout>
          <c:overlay val="0"/>
          <c:spPr>
            <a:noFill/>
            <a:ln w="25400">
              <a:noFill/>
            </a:ln>
          </c:spPr>
        </c:title>
        <c:numFmt formatCode="#,##0" sourceLinked="0"/>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4597760"/>
        <c:crosses val="autoZero"/>
        <c:crossBetween val="midCat"/>
        <c:majorUnit val="5000"/>
        <c:minorUnit val="1000"/>
      </c:valAx>
      <c:valAx>
        <c:axId val="124597760"/>
        <c:scaling>
          <c:orientation val="minMax"/>
        </c:scaling>
        <c:delete val="0"/>
        <c:axPos val="l"/>
        <c:majorGridlines>
          <c:spPr>
            <a:ln w="3175">
              <a:solidFill>
                <a:srgbClr val="969696"/>
              </a:solidFill>
              <a:prstDash val="sysDash"/>
            </a:ln>
          </c:spPr>
        </c:majorGridlines>
        <c:title>
          <c:tx>
            <c:rich>
              <a:bodyPr/>
              <a:lstStyle/>
              <a:p>
                <a:pPr>
                  <a:defRPr sz="1200" b="1" i="0" u="none" strike="noStrike" baseline="0">
                    <a:solidFill>
                      <a:srgbClr val="000000"/>
                    </a:solidFill>
                    <a:latin typeface="Arial"/>
                    <a:ea typeface="Arial"/>
                    <a:cs typeface="Arial"/>
                  </a:defRPr>
                </a:pPr>
                <a:r>
                  <a:rPr lang="en-US"/>
                  <a:t>Estimated total return</a:t>
                </a:r>
              </a:p>
            </c:rich>
          </c:tx>
          <c:layout>
            <c:manualLayout>
              <c:xMode val="edge"/>
              <c:yMode val="edge"/>
              <c:x val="1.644247542168157E-2"/>
              <c:y val="0.3155562403564243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4771712"/>
        <c:crosses val="autoZero"/>
        <c:crossBetween val="midCat"/>
      </c:valAx>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Copper River Chinook Salmon </a:t>
            </a:r>
          </a:p>
        </c:rich>
      </c:tx>
      <c:layout>
        <c:manualLayout>
          <c:xMode val="edge"/>
          <c:yMode val="edge"/>
          <c:x val="0.26008090119481669"/>
          <c:y val="3.0303094356851908E-2"/>
        </c:manualLayout>
      </c:layout>
      <c:overlay val="0"/>
      <c:spPr>
        <a:noFill/>
        <a:ln w="25400">
          <a:noFill/>
        </a:ln>
      </c:spPr>
    </c:title>
    <c:autoTitleDeleted val="0"/>
    <c:plotArea>
      <c:layout>
        <c:manualLayout>
          <c:layoutTarget val="inner"/>
          <c:xMode val="edge"/>
          <c:yMode val="edge"/>
          <c:x val="0.1895163155993235"/>
          <c:y val="0.15800899200358495"/>
          <c:w val="0.72177490409103362"/>
          <c:h val="0.73593229152354922"/>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xVal>
            <c:numRef>
              <c:f>Ricker!$Z$7:$Z$97</c:f>
              <c:numCache>
                <c:formatCode>General</c:formatCode>
                <c:ptCount val="91"/>
                <c:pt idx="0">
                  <c:v>0</c:v>
                </c:pt>
                <c:pt idx="1">
                  <c:v>100</c:v>
                </c:pt>
                <c:pt idx="2">
                  <c:v>250</c:v>
                </c:pt>
                <c:pt idx="3" formatCode="#,##0">
                  <c:v>500</c:v>
                </c:pt>
                <c:pt idx="4" formatCode="#,##0">
                  <c:v>1000</c:v>
                </c:pt>
                <c:pt idx="5" formatCode="#,##0">
                  <c:v>1500</c:v>
                </c:pt>
                <c:pt idx="6" formatCode="#,##0">
                  <c:v>2000</c:v>
                </c:pt>
                <c:pt idx="7" formatCode="#,##0">
                  <c:v>2500</c:v>
                </c:pt>
                <c:pt idx="8" formatCode="#,##0">
                  <c:v>3000</c:v>
                </c:pt>
                <c:pt idx="9" formatCode="#,##0">
                  <c:v>3500</c:v>
                </c:pt>
                <c:pt idx="10" formatCode="#,##0">
                  <c:v>4000</c:v>
                </c:pt>
                <c:pt idx="11" formatCode="#,##0">
                  <c:v>4500</c:v>
                </c:pt>
                <c:pt idx="12" formatCode="#,##0">
                  <c:v>5000</c:v>
                </c:pt>
                <c:pt idx="13" formatCode="#,##0">
                  <c:v>5500</c:v>
                </c:pt>
                <c:pt idx="14" formatCode="#,##0">
                  <c:v>6000</c:v>
                </c:pt>
                <c:pt idx="15" formatCode="#,##0">
                  <c:v>6500</c:v>
                </c:pt>
                <c:pt idx="16" formatCode="#,##0">
                  <c:v>7000</c:v>
                </c:pt>
                <c:pt idx="17" formatCode="#,##0">
                  <c:v>7500</c:v>
                </c:pt>
                <c:pt idx="18" formatCode="#,##0">
                  <c:v>8000</c:v>
                </c:pt>
                <c:pt idx="19" formatCode="#,##0">
                  <c:v>8500</c:v>
                </c:pt>
                <c:pt idx="20" formatCode="#,##0">
                  <c:v>9250</c:v>
                </c:pt>
                <c:pt idx="21" formatCode="#,##0">
                  <c:v>9500</c:v>
                </c:pt>
                <c:pt idx="22" formatCode="#,##0">
                  <c:v>10000</c:v>
                </c:pt>
                <c:pt idx="23" formatCode="#,##0">
                  <c:v>10500</c:v>
                </c:pt>
                <c:pt idx="24" formatCode="#,##0">
                  <c:v>11000</c:v>
                </c:pt>
                <c:pt idx="25" formatCode="#,##0">
                  <c:v>11500</c:v>
                </c:pt>
                <c:pt idx="26" formatCode="#,##0">
                  <c:v>12000</c:v>
                </c:pt>
                <c:pt idx="27" formatCode="#,##0">
                  <c:v>12500</c:v>
                </c:pt>
                <c:pt idx="28" formatCode="#,##0">
                  <c:v>13000</c:v>
                </c:pt>
                <c:pt idx="29" formatCode="#,##0">
                  <c:v>13500</c:v>
                </c:pt>
                <c:pt idx="30" formatCode="#,##0">
                  <c:v>14000</c:v>
                </c:pt>
                <c:pt idx="31" formatCode="#,##0">
                  <c:v>14708</c:v>
                </c:pt>
                <c:pt idx="32" formatCode="#,##0">
                  <c:v>15000</c:v>
                </c:pt>
                <c:pt idx="33" formatCode="#,##0">
                  <c:v>15500</c:v>
                </c:pt>
                <c:pt idx="34" formatCode="#,##0">
                  <c:v>16000</c:v>
                </c:pt>
                <c:pt idx="35" formatCode="#,##0">
                  <c:v>16500</c:v>
                </c:pt>
                <c:pt idx="36" formatCode="#,##0">
                  <c:v>17000</c:v>
                </c:pt>
                <c:pt idx="37" formatCode="#,##0">
                  <c:v>17500</c:v>
                </c:pt>
                <c:pt idx="38" formatCode="#,##0">
                  <c:v>18000</c:v>
                </c:pt>
                <c:pt idx="39" formatCode="#,##0">
                  <c:v>18500</c:v>
                </c:pt>
                <c:pt idx="40" formatCode="#,##0">
                  <c:v>19000</c:v>
                </c:pt>
                <c:pt idx="41" formatCode="#,##0">
                  <c:v>19500</c:v>
                </c:pt>
                <c:pt idx="42" formatCode="#,##0">
                  <c:v>20000</c:v>
                </c:pt>
                <c:pt idx="43" formatCode="#,##0">
                  <c:v>20500</c:v>
                </c:pt>
                <c:pt idx="44" formatCode="#,##0">
                  <c:v>21000</c:v>
                </c:pt>
                <c:pt idx="45" formatCode="#,##0">
                  <c:v>21425</c:v>
                </c:pt>
                <c:pt idx="46" formatCode="#,##0">
                  <c:v>22000</c:v>
                </c:pt>
                <c:pt idx="47" formatCode="#,##0">
                  <c:v>22500</c:v>
                </c:pt>
                <c:pt idx="48" formatCode="#,##0">
                  <c:v>23000</c:v>
                </c:pt>
                <c:pt idx="49" formatCode="#,##0">
                  <c:v>23500</c:v>
                </c:pt>
                <c:pt idx="50" formatCode="#,##0">
                  <c:v>24000</c:v>
                </c:pt>
                <c:pt idx="51" formatCode="#,##0">
                  <c:v>24500</c:v>
                </c:pt>
                <c:pt idx="52" formatCode="#,##0">
                  <c:v>25000</c:v>
                </c:pt>
                <c:pt idx="53" formatCode="#,##0">
                  <c:v>25500</c:v>
                </c:pt>
                <c:pt idx="54" formatCode="#,##0">
                  <c:v>26000</c:v>
                </c:pt>
                <c:pt idx="55" formatCode="#,##0">
                  <c:v>26500</c:v>
                </c:pt>
                <c:pt idx="56" formatCode="#,##0">
                  <c:v>27000</c:v>
                </c:pt>
                <c:pt idx="57" formatCode="#,##0">
                  <c:v>27500</c:v>
                </c:pt>
                <c:pt idx="58" formatCode="#,##0">
                  <c:v>28000</c:v>
                </c:pt>
                <c:pt idx="59" formatCode="#,##0">
                  <c:v>28500</c:v>
                </c:pt>
                <c:pt idx="60" formatCode="#,##0">
                  <c:v>29000</c:v>
                </c:pt>
                <c:pt idx="61" formatCode="#,##0">
                  <c:v>29500</c:v>
                </c:pt>
                <c:pt idx="62" formatCode="#,##0">
                  <c:v>30000</c:v>
                </c:pt>
                <c:pt idx="63" formatCode="#,##0">
                  <c:v>30500</c:v>
                </c:pt>
                <c:pt idx="64" formatCode="#,##0">
                  <c:v>31000</c:v>
                </c:pt>
                <c:pt idx="65" formatCode="#,##0">
                  <c:v>31500</c:v>
                </c:pt>
                <c:pt idx="66" formatCode="#,##0">
                  <c:v>32000</c:v>
                </c:pt>
                <c:pt idx="67" formatCode="#,##0">
                  <c:v>32500</c:v>
                </c:pt>
                <c:pt idx="68" formatCode="#,##0">
                  <c:v>33000</c:v>
                </c:pt>
                <c:pt idx="69" formatCode="#,##0">
                  <c:v>33500</c:v>
                </c:pt>
                <c:pt idx="70" formatCode="#,##0">
                  <c:v>34000</c:v>
                </c:pt>
                <c:pt idx="71" formatCode="#,##0">
                  <c:v>34500</c:v>
                </c:pt>
                <c:pt idx="72" formatCode="#,##0">
                  <c:v>35000</c:v>
                </c:pt>
                <c:pt idx="73" formatCode="#,##0">
                  <c:v>35500</c:v>
                </c:pt>
                <c:pt idx="74" formatCode="#,##0">
                  <c:v>36000</c:v>
                </c:pt>
                <c:pt idx="75" formatCode="#,##0">
                  <c:v>36500</c:v>
                </c:pt>
                <c:pt idx="76" formatCode="#,##0">
                  <c:v>37000</c:v>
                </c:pt>
                <c:pt idx="77" formatCode="#,##0">
                  <c:v>37500</c:v>
                </c:pt>
                <c:pt idx="78" formatCode="#,##0">
                  <c:v>38000</c:v>
                </c:pt>
                <c:pt idx="79" formatCode="#,##0">
                  <c:v>38500</c:v>
                </c:pt>
                <c:pt idx="80" formatCode="#,##0">
                  <c:v>39000</c:v>
                </c:pt>
                <c:pt idx="81" formatCode="#,##0">
                  <c:v>39500</c:v>
                </c:pt>
                <c:pt idx="82" formatCode="#,##0">
                  <c:v>40000</c:v>
                </c:pt>
                <c:pt idx="83" formatCode="#,##0">
                  <c:v>40500</c:v>
                </c:pt>
                <c:pt idx="84" formatCode="#,##0">
                  <c:v>41000</c:v>
                </c:pt>
                <c:pt idx="85" formatCode="#,##0">
                  <c:v>41500</c:v>
                </c:pt>
                <c:pt idx="86" formatCode="#,##0">
                  <c:v>42000</c:v>
                </c:pt>
                <c:pt idx="87" formatCode="#,##0">
                  <c:v>42500</c:v>
                </c:pt>
                <c:pt idx="88" formatCode="#,##0">
                  <c:v>43000</c:v>
                </c:pt>
                <c:pt idx="89" formatCode="#,##0">
                  <c:v>43500</c:v>
                </c:pt>
                <c:pt idx="90" formatCode="#,##0">
                  <c:v>44000</c:v>
                </c:pt>
              </c:numCache>
            </c:numRef>
          </c:xVal>
          <c:yVal>
            <c:numRef>
              <c:f>Ricker!$AB$7:$AB$97</c:f>
              <c:numCache>
                <c:formatCode>#,##0</c:formatCode>
                <c:ptCount val="91"/>
                <c:pt idx="0">
                  <c:v>0</c:v>
                </c:pt>
                <c:pt idx="1">
                  <c:v>1584.3912114755294</c:v>
                </c:pt>
                <c:pt idx="2">
                  <c:v>3908.4018888494847</c:v>
                </c:pt>
                <c:pt idx="3">
                  <c:v>7644.4593819590718</c:v>
                </c:pt>
                <c:pt idx="4">
                  <c:v>14620.821534492217</c:v>
                </c:pt>
                <c:pt idx="5">
                  <c:v>20970.189913983126</c:v>
                </c:pt>
                <c:pt idx="6">
                  <c:v>26731.420141484137</c:v>
                </c:pt>
                <c:pt idx="7">
                  <c:v>31941.235247670491</c:v>
                </c:pt>
                <c:pt idx="8">
                  <c:v>36634.33524560689</c:v>
                </c:pt>
                <c:pt idx="9">
                  <c:v>40843.501302748613</c:v>
                </c:pt>
                <c:pt idx="10">
                  <c:v>44599.694770875634</c:v>
                </c:pt>
                <c:pt idx="11">
                  <c:v>47932.151320523677</c:v>
                </c:pt>
                <c:pt idx="12">
                  <c:v>50868.47041489918</c:v>
                </c:pt>
                <c:pt idx="13">
                  <c:v>53434.700347225727</c:v>
                </c:pt>
                <c:pt idx="14">
                  <c:v>55655.419054938589</c:v>
                </c:pt>
                <c:pt idx="15">
                  <c:v>57553.810914100359</c:v>
                </c:pt>
                <c:pt idx="16">
                  <c:v>59151.739707833287</c:v>
                </c:pt>
                <c:pt idx="17">
                  <c:v>60469.817953427904</c:v>
                </c:pt>
                <c:pt idx="18">
                  <c:v>61527.472764077203</c:v>
                </c:pt>
                <c:pt idx="19">
                  <c:v>62343.008412876385</c:v>
                </c:pt>
                <c:pt idx="20">
                  <c:v>63149.776007777109</c:v>
                </c:pt>
                <c:pt idx="21">
                  <c:v>63315.678686881351</c:v>
                </c:pt>
                <c:pt idx="22">
                  <c:v>63504.327707371529</c:v>
                </c:pt>
                <c:pt idx="23">
                  <c:v>63513.990852279807</c:v>
                </c:pt>
                <c:pt idx="24">
                  <c:v>63358.19200053114</c:v>
                </c:pt>
                <c:pt idx="25">
                  <c:v>63049.646757226103</c:v>
                </c:pt>
                <c:pt idx="26">
                  <c:v>62600.30600629015</c:v>
                </c:pt>
                <c:pt idx="27">
                  <c:v>62021.397250191876</c:v>
                </c:pt>
                <c:pt idx="28">
                  <c:v>61323.46384499289</c:v>
                </c:pt>
                <c:pt idx="29">
                  <c:v>60516.402233831919</c:v>
                </c:pt>
                <c:pt idx="30">
                  <c:v>59609.497277029906</c:v>
                </c:pt>
                <c:pt idx="31">
                  <c:v>58171.382058265124</c:v>
                </c:pt>
                <c:pt idx="32">
                  <c:v>57530.438254200999</c:v>
                </c:pt>
                <c:pt idx="33">
                  <c:v>56374.089157285169</c:v>
                </c:pt>
                <c:pt idx="34">
                  <c:v>55149.565424190543</c:v>
                </c:pt>
                <c:pt idx="35">
                  <c:v>53863.563634986684</c:v>
                </c:pt>
                <c:pt idx="36">
                  <c:v>52522.34573125279</c:v>
                </c:pt>
                <c:pt idx="37">
                  <c:v>51131.763404425816</c:v>
                </c:pt>
                <c:pt idx="38">
                  <c:v>49697.281214728297</c:v>
                </c:pt>
                <c:pt idx="39">
                  <c:v>48223.998503780123</c:v>
                </c:pt>
                <c:pt idx="40">
                  <c:v>46716.670160957467</c:v>
                </c:pt>
                <c:pt idx="41">
                  <c:v>45179.726300663664</c:v>
                </c:pt>
                <c:pt idx="42">
                  <c:v>43617.290904916801</c:v>
                </c:pt>
                <c:pt idx="43">
                  <c:v>42033.199483027325</c:v>
                </c:pt>
                <c:pt idx="44">
                  <c:v>40431.015797632885</c:v>
                </c:pt>
                <c:pt idx="45">
                  <c:v>39057.412225180538</c:v>
                </c:pt>
                <c:pt idx="46">
                  <c:v>37185.362146985361</c:v>
                </c:pt>
                <c:pt idx="47">
                  <c:v>35547.799358727949</c:v>
                </c:pt>
                <c:pt idx="48">
                  <c:v>33903.986296388503</c:v>
                </c:pt>
                <c:pt idx="49">
                  <c:v>32256.349359398511</c:v>
                </c:pt>
                <c:pt idx="50">
                  <c:v>30607.126422118701</c:v>
                </c:pt>
                <c:pt idx="51">
                  <c:v>28958.378216867008</c:v>
                </c:pt>
                <c:pt idx="52">
                  <c:v>27311.999100336281</c:v>
                </c:pt>
                <c:pt idx="53">
                  <c:v>25669.727234833219</c:v>
                </c:pt>
                <c:pt idx="54">
                  <c:v>24033.15421422942</c:v>
                </c:pt>
                <c:pt idx="55">
                  <c:v>22403.734163047688</c:v>
                </c:pt>
                <c:pt idx="56">
                  <c:v>20782.792335709535</c:v>
                </c:pt>
                <c:pt idx="57">
                  <c:v>19171.533241638754</c:v>
                </c:pt>
                <c:pt idx="58">
                  <c:v>17571.048320649417</c:v>
                </c:pt>
                <c:pt idx="59">
                  <c:v>15982.323191840347</c:v>
                </c:pt>
                <c:pt idx="60">
                  <c:v>14406.244498069449</c:v>
                </c:pt>
                <c:pt idx="61">
                  <c:v>12843.606366988533</c:v>
                </c:pt>
                <c:pt idx="62">
                  <c:v>11295.11650857803</c:v>
                </c:pt>
                <c:pt idx="63">
                  <c:v>9761.4019681308273</c:v>
                </c:pt>
                <c:pt idx="64">
                  <c:v>8243.0145526912747</c:v>
                </c:pt>
                <c:pt idx="65">
                  <c:v>6740.4359480581261</c:v>
                </c:pt>
                <c:pt idx="66">
                  <c:v>5254.0825426059528</c:v>
                </c:pt>
                <c:pt idx="67">
                  <c:v>3784.3099733668423</c:v>
                </c:pt>
                <c:pt idx="68">
                  <c:v>2331.4174090406814</c:v>
                </c:pt>
                <c:pt idx="69">
                  <c:v>895.65158386618714</c:v>
                </c:pt>
                <c:pt idx="70">
                  <c:v>-522.78940441515442</c:v>
                </c:pt>
                <c:pt idx="71">
                  <c:v>-1923.7525199369229</c:v>
                </c:pt>
                <c:pt idx="72">
                  <c:v>-3307.126425495313</c:v>
                </c:pt>
                <c:pt idx="73">
                  <c:v>-4672.8383194180133</c:v>
                </c:pt>
                <c:pt idx="74">
                  <c:v>-6020.8509617592244</c:v>
                </c:pt>
                <c:pt idx="75">
                  <c:v>-7351.1598796114886</c:v>
                </c:pt>
                <c:pt idx="76">
                  <c:v>-8663.7907418440045</c:v>
                </c:pt>
                <c:pt idx="77">
                  <c:v>-9958.7968940705359</c:v>
                </c:pt>
                <c:pt idx="78">
                  <c:v>-11236.257045119641</c:v>
                </c:pt>
                <c:pt idx="79">
                  <c:v>-12496.27309672608</c:v>
                </c:pt>
                <c:pt idx="80">
                  <c:v>-13738.968108586992</c:v>
                </c:pt>
                <c:pt idx="81">
                  <c:v>-14964.484391329457</c:v>
                </c:pt>
                <c:pt idx="82">
                  <c:v>-16172.981720320498</c:v>
                </c:pt>
                <c:pt idx="83">
                  <c:v>-17364.635663614539</c:v>
                </c:pt>
                <c:pt idx="84">
                  <c:v>-18539.636017680441</c:v>
                </c:pt>
                <c:pt idx="85">
                  <c:v>-19698.185344879821</c:v>
                </c:pt>
                <c:pt idx="86">
                  <c:v>-20840.497606981226</c:v>
                </c:pt>
                <c:pt idx="87">
                  <c:v>-21966.796889292811</c:v>
                </c:pt>
                <c:pt idx="88">
                  <c:v>-23077.316210278612</c:v>
                </c:pt>
                <c:pt idx="89">
                  <c:v>-24172.296411792693</c:v>
                </c:pt>
                <c:pt idx="90">
                  <c:v>-25251.985125320251</c:v>
                </c:pt>
              </c:numCache>
            </c:numRef>
          </c:yVal>
          <c:smooth val="0"/>
        </c:ser>
        <c:dLbls>
          <c:showLegendKey val="0"/>
          <c:showVal val="0"/>
          <c:showCatName val="0"/>
          <c:showSerName val="0"/>
          <c:showPercent val="0"/>
          <c:showBubbleSize val="0"/>
        </c:dLbls>
        <c:axId val="123143296"/>
        <c:axId val="123144832"/>
      </c:scatterChart>
      <c:valAx>
        <c:axId val="12314329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Spawning escapement</a:t>
                </a:r>
              </a:p>
            </c:rich>
          </c:tx>
          <c:layout>
            <c:manualLayout>
              <c:xMode val="edge"/>
              <c:yMode val="edge"/>
              <c:x val="0.40121007238579781"/>
              <c:y val="0.9177508576646612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3144832"/>
        <c:crosses val="autoZero"/>
        <c:crossBetween val="midCat"/>
      </c:valAx>
      <c:valAx>
        <c:axId val="123144832"/>
        <c:scaling>
          <c:orientation val="minMax"/>
        </c:scaling>
        <c:delete val="0"/>
        <c:axPos val="l"/>
        <c:majorGridlines>
          <c:spPr>
            <a:ln w="3175">
              <a:solidFill>
                <a:srgbClr val="969696"/>
              </a:solidFill>
              <a:prstDash val="sysDash"/>
            </a:ln>
          </c:spPr>
        </c:majorGridlines>
        <c:title>
          <c:tx>
            <c:rich>
              <a:bodyPr/>
              <a:lstStyle/>
              <a:p>
                <a:pPr>
                  <a:defRPr sz="1000" b="1" i="0" u="none" strike="noStrike" baseline="0">
                    <a:solidFill>
                      <a:srgbClr val="000000"/>
                    </a:solidFill>
                    <a:latin typeface="Arial"/>
                    <a:ea typeface="Arial"/>
                    <a:cs typeface="Arial"/>
                  </a:defRPr>
                </a:pPr>
                <a:r>
                  <a:rPr lang="en-US"/>
                  <a:t>Yield</a:t>
                </a:r>
              </a:p>
            </c:rich>
          </c:tx>
          <c:layout>
            <c:manualLayout>
              <c:xMode val="edge"/>
              <c:yMode val="edge"/>
              <c:x val="3.2258096272225006E-2"/>
              <c:y val="0.4870140164494072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3143296"/>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Tahoma"/>
                <a:ea typeface="Tahoma"/>
                <a:cs typeface="Tahoma"/>
              </a:defRPr>
            </a:pPr>
            <a:r>
              <a:rPr lang="en-US"/>
              <a:t># of CR Chinook Age 1.2 vs. 1.3</a:t>
            </a:r>
          </a:p>
        </c:rich>
      </c:tx>
      <c:layout>
        <c:manualLayout>
          <c:xMode val="edge"/>
          <c:yMode val="edge"/>
          <c:x val="0.22549055589153771"/>
          <c:y val="3.3639244192123746E-2"/>
        </c:manualLayout>
      </c:layout>
      <c:overlay val="0"/>
      <c:spPr>
        <a:noFill/>
        <a:ln w="25400">
          <a:noFill/>
        </a:ln>
      </c:spPr>
    </c:title>
    <c:autoTitleDeleted val="0"/>
    <c:plotArea>
      <c:layout>
        <c:manualLayout>
          <c:layoutTarget val="inner"/>
          <c:xMode val="edge"/>
          <c:yMode val="edge"/>
          <c:x val="0.19444475471806499"/>
          <c:y val="0.16819622096061768"/>
          <c:w val="0.76143912351780074"/>
          <c:h val="0.5963320561330997"/>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7.9288422280548262E-2"/>
                  <c:y val="0.42711454646150881"/>
                </c:manualLayout>
              </c:layout>
              <c:numFmt formatCode="General" sourceLinked="0"/>
              <c:spPr>
                <a:noFill/>
                <a:ln w="25400">
                  <a:noFill/>
                </a:ln>
              </c:spPr>
              <c:txPr>
                <a:bodyPr/>
                <a:lstStyle/>
                <a:p>
                  <a:pPr>
                    <a:defRPr sz="1200" b="0" i="0" u="none" strike="noStrike" baseline="0">
                      <a:solidFill>
                        <a:srgbClr val="000000"/>
                      </a:solidFill>
                      <a:latin typeface="Tahoma"/>
                      <a:ea typeface="Tahoma"/>
                      <a:cs typeface="Tahoma"/>
                    </a:defRPr>
                  </a:pPr>
                  <a:endParaRPr lang="en-US"/>
                </a:p>
              </c:txPr>
            </c:trendlineLbl>
          </c:trendline>
          <c:xVal>
            <c:numRef>
              <c:f>FBrood!$D$28:$D$43</c:f>
              <c:numCache>
                <c:formatCode>#,##0.00</c:formatCode>
                <c:ptCount val="16"/>
                <c:pt idx="0">
                  <c:v>9.2605604038339493</c:v>
                </c:pt>
                <c:pt idx="1">
                  <c:v>8.4705336805144125</c:v>
                </c:pt>
                <c:pt idx="2">
                  <c:v>9.061447046282419</c:v>
                </c:pt>
                <c:pt idx="3">
                  <c:v>8.7963925947843205</c:v>
                </c:pt>
                <c:pt idx="4">
                  <c:v>8.6952154020610539</c:v>
                </c:pt>
                <c:pt idx="5">
                  <c:v>8.5210133554423404</c:v>
                </c:pt>
                <c:pt idx="6">
                  <c:v>8.6811084983337157</c:v>
                </c:pt>
                <c:pt idx="7">
                  <c:v>9.1658104658028474</c:v>
                </c:pt>
                <c:pt idx="8">
                  <c:v>8.5487557909792695</c:v>
                </c:pt>
                <c:pt idx="9">
                  <c:v>8.2872039919989202</c:v>
                </c:pt>
                <c:pt idx="10">
                  <c:v>8.4319659397064264</c:v>
                </c:pt>
                <c:pt idx="11">
                  <c:v>8.5943219857568938</c:v>
                </c:pt>
                <c:pt idx="12">
                  <c:v>8.6077656370610249</c:v>
                </c:pt>
                <c:pt idx="13">
                  <c:v>8.2485657535855932</c:v>
                </c:pt>
                <c:pt idx="14">
                  <c:v>8.6691577171146683</c:v>
                </c:pt>
                <c:pt idx="15">
                  <c:v>9.0947814204775597</c:v>
                </c:pt>
              </c:numCache>
            </c:numRef>
          </c:xVal>
          <c:yVal>
            <c:numRef>
              <c:f>FBrood!$H$28:$H$43</c:f>
              <c:numCache>
                <c:formatCode>#,##0.00</c:formatCode>
                <c:ptCount val="16"/>
                <c:pt idx="0">
                  <c:v>10.78923861340083</c:v>
                </c:pt>
                <c:pt idx="1">
                  <c:v>10.932946823519012</c:v>
                </c:pt>
                <c:pt idx="2">
                  <c:v>10.803088354437625</c:v>
                </c:pt>
                <c:pt idx="3">
                  <c:v>11.032103697402947</c:v>
                </c:pt>
                <c:pt idx="4">
                  <c:v>10.768289630773207</c:v>
                </c:pt>
                <c:pt idx="5">
                  <c:v>10.535268813895561</c:v>
                </c:pt>
                <c:pt idx="6">
                  <c:v>11.130479873503816</c:v>
                </c:pt>
                <c:pt idx="7">
                  <c:v>10.967819581276032</c:v>
                </c:pt>
                <c:pt idx="8">
                  <c:v>10.379176371820273</c:v>
                </c:pt>
                <c:pt idx="9">
                  <c:v>10.205029621448679</c:v>
                </c:pt>
                <c:pt idx="10">
                  <c:v>9.8896200751423216</c:v>
                </c:pt>
                <c:pt idx="11">
                  <c:v>10.623064262285222</c:v>
                </c:pt>
                <c:pt idx="12">
                  <c:v>10.473047734898355</c:v>
                </c:pt>
                <c:pt idx="13">
                  <c:v>10.180696807910829</c:v>
                </c:pt>
                <c:pt idx="14">
                  <c:v>9.6838897695936783</c:v>
                </c:pt>
              </c:numCache>
            </c:numRef>
          </c:yVal>
          <c:smooth val="0"/>
        </c:ser>
        <c:dLbls>
          <c:showLegendKey val="0"/>
          <c:showVal val="0"/>
          <c:showCatName val="0"/>
          <c:showSerName val="0"/>
          <c:showPercent val="0"/>
          <c:showBubbleSize val="0"/>
        </c:dLbls>
        <c:axId val="128344064"/>
        <c:axId val="128345984"/>
      </c:scatterChart>
      <c:valAx>
        <c:axId val="128344064"/>
        <c:scaling>
          <c:orientation val="minMax"/>
        </c:scaling>
        <c:delete val="0"/>
        <c:axPos val="b"/>
        <c:title>
          <c:tx>
            <c:rich>
              <a:bodyPr/>
              <a:lstStyle/>
              <a:p>
                <a:pPr>
                  <a:defRPr sz="1200" b="1" i="0" u="none" strike="noStrike" baseline="0">
                    <a:solidFill>
                      <a:srgbClr val="000000"/>
                    </a:solidFill>
                    <a:latin typeface="Tahoma"/>
                    <a:ea typeface="Tahoma"/>
                    <a:cs typeface="Tahoma"/>
                  </a:defRPr>
                </a:pPr>
                <a:r>
                  <a:rPr lang="en-US"/>
                  <a:t>Ln Total Return of Age 1.2 at Year T0</a:t>
                </a:r>
              </a:p>
            </c:rich>
          </c:tx>
          <c:layout>
            <c:manualLayout>
              <c:xMode val="edge"/>
              <c:yMode val="edge"/>
              <c:x val="0.32026194894740267"/>
              <c:y val="0.87462034899521279"/>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ahoma"/>
                <a:ea typeface="Tahoma"/>
                <a:cs typeface="Tahoma"/>
              </a:defRPr>
            </a:pPr>
            <a:endParaRPr lang="en-US"/>
          </a:p>
        </c:txPr>
        <c:crossAx val="128345984"/>
        <c:crosses val="autoZero"/>
        <c:crossBetween val="midCat"/>
      </c:valAx>
      <c:valAx>
        <c:axId val="128345984"/>
        <c:scaling>
          <c:orientation val="minMax"/>
        </c:scaling>
        <c:delete val="0"/>
        <c:axPos val="l"/>
        <c:title>
          <c:tx>
            <c:rich>
              <a:bodyPr/>
              <a:lstStyle/>
              <a:p>
                <a:pPr>
                  <a:defRPr sz="1200" b="1" i="0" u="none" strike="noStrike" baseline="0">
                    <a:solidFill>
                      <a:srgbClr val="000000"/>
                    </a:solidFill>
                    <a:latin typeface="Tahoma"/>
                    <a:ea typeface="Tahoma"/>
                    <a:cs typeface="Tahoma"/>
                  </a:defRPr>
                </a:pPr>
                <a:r>
                  <a:rPr lang="en-US"/>
                  <a:t>Ln Total Return of Age 1.3 at Year T1</a:t>
                </a:r>
              </a:p>
            </c:rich>
          </c:tx>
          <c:layout>
            <c:manualLayout>
              <c:xMode val="edge"/>
              <c:yMode val="edge"/>
              <c:x val="2.6143832567134977E-2"/>
              <c:y val="0.1712543340689935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ahoma"/>
                <a:ea typeface="Tahoma"/>
                <a:cs typeface="Tahoma"/>
              </a:defRPr>
            </a:pPr>
            <a:endParaRPr lang="en-US"/>
          </a:p>
        </c:txPr>
        <c:crossAx val="128344064"/>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Tahoma"/>
          <a:ea typeface="Tahoma"/>
          <a:cs typeface="Tahoma"/>
        </a:defRPr>
      </a:pPr>
      <a:endParaRPr lang="en-US"/>
    </a:p>
  </c:txPr>
  <c:printSettings>
    <c:headerFooter alignWithMargins="0"/>
    <c:pageMargins b="1" l="0.75000000000000278" r="0.75000000000000278"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Copper River Chinook Salmon Sibling</a:t>
            </a:r>
          </a:p>
        </c:rich>
      </c:tx>
      <c:layout>
        <c:manualLayout>
          <c:xMode val="edge"/>
          <c:yMode val="edge"/>
          <c:x val="0.30161054172767204"/>
          <c:y val="6.4623310975017015E-2"/>
        </c:manualLayout>
      </c:layout>
      <c:overlay val="0"/>
      <c:spPr>
        <a:noFill/>
        <a:ln w="25400">
          <a:noFill/>
        </a:ln>
      </c:spPr>
    </c:title>
    <c:autoTitleDeleted val="0"/>
    <c:plotArea>
      <c:layout>
        <c:manualLayout>
          <c:layoutTarget val="inner"/>
          <c:xMode val="edge"/>
          <c:yMode val="edge"/>
          <c:x val="0.1566617862371889"/>
          <c:y val="0.14310356874963687"/>
          <c:w val="0.80527086383601754"/>
          <c:h val="0.66896608041998962"/>
        </c:manualLayout>
      </c:layout>
      <c:scatterChart>
        <c:scatterStyle val="lineMarker"/>
        <c:varyColors val="0"/>
        <c:ser>
          <c:idx val="0"/>
          <c:order val="0"/>
          <c:tx>
            <c:v>Lower 80%</c:v>
          </c:tx>
          <c:spPr>
            <a:ln w="3175">
              <a:solidFill>
                <a:srgbClr val="0000FF"/>
              </a:solidFill>
              <a:prstDash val="solid"/>
            </a:ln>
          </c:spPr>
          <c:marker>
            <c:symbol val="none"/>
          </c:marker>
          <c:xVal>
            <c:numRef>
              <c:f>'Ln1.3=ln1.2'!$Z$11:$Z$39</c:f>
              <c:numCache>
                <c:formatCode>General</c:formatCode>
                <c:ptCount val="29"/>
                <c:pt idx="0" formatCode="0.00">
                  <c:v>6.9651992487549279</c:v>
                </c:pt>
                <c:pt idx="1">
                  <c:v>8.1821467439441573</c:v>
                </c:pt>
                <c:pt idx="2">
                  <c:v>7.6266639812934791</c:v>
                </c:pt>
                <c:pt idx="3">
                  <c:v>6.802035215661534</c:v>
                </c:pt>
                <c:pt idx="4">
                  <c:v>7.9476460397232467</c:v>
                </c:pt>
                <c:pt idx="5">
                  <c:v>7.7631542768994439</c:v>
                </c:pt>
                <c:pt idx="6">
                  <c:v>6.7171833238616028</c:v>
                </c:pt>
                <c:pt idx="7">
                  <c:v>6.8778079534695964</c:v>
                </c:pt>
                <c:pt idx="8">
                  <c:v>6.6748803830749788</c:v>
                </c:pt>
                <c:pt idx="9">
                  <c:v>7.1447413077131872</c:v>
                </c:pt>
                <c:pt idx="10">
                  <c:v>7.041702195532543</c:v>
                </c:pt>
                <c:pt idx="11">
                  <c:v>8.2490610282566887</c:v>
                </c:pt>
                <c:pt idx="12">
                  <c:v>8.321441565187742</c:v>
                </c:pt>
                <c:pt idx="13">
                  <c:v>8.3212883245325262</c:v>
                </c:pt>
                <c:pt idx="14">
                  <c:v>8.8738517478878638</c:v>
                </c:pt>
                <c:pt idx="15">
                  <c:v>8.6722411839442763</c:v>
                </c:pt>
                <c:pt idx="16">
                  <c:v>8.8698947177703342</c:v>
                </c:pt>
                <c:pt idx="17">
                  <c:v>8.7240094787744606</c:v>
                </c:pt>
                <c:pt idx="18">
                  <c:v>9.2605604038339493</c:v>
                </c:pt>
                <c:pt idx="19">
                  <c:v>8.4705336805144125</c:v>
                </c:pt>
                <c:pt idx="20">
                  <c:v>9.061447046282419</c:v>
                </c:pt>
                <c:pt idx="21">
                  <c:v>8.7963925947843205</c:v>
                </c:pt>
                <c:pt idx="22">
                  <c:v>8.6952154020610539</c:v>
                </c:pt>
                <c:pt idx="23">
                  <c:v>8.5210133554423404</c:v>
                </c:pt>
                <c:pt idx="24">
                  <c:v>8.6811084983337157</c:v>
                </c:pt>
                <c:pt idx="25">
                  <c:v>9.1658104658028474</c:v>
                </c:pt>
                <c:pt idx="26">
                  <c:v>8.5487557909792695</c:v>
                </c:pt>
                <c:pt idx="27">
                  <c:v>8.2872039919989202</c:v>
                </c:pt>
                <c:pt idx="28">
                  <c:v>8.4319659397064264</c:v>
                </c:pt>
              </c:numCache>
            </c:numRef>
          </c:xVal>
          <c:yVal>
            <c:numRef>
              <c:f>'Ln1.3=ln1.2'!$AD$11:$AD$39</c:f>
              <c:numCache>
                <c:formatCode>0.0000</c:formatCode>
                <c:ptCount val="29"/>
                <c:pt idx="0">
                  <c:v>8.8050219052779095</c:v>
                </c:pt>
                <c:pt idx="1">
                  <c:v>9.7671050474140255</c:v>
                </c:pt>
                <c:pt idx="2">
                  <c:v>9.327956601153149</c:v>
                </c:pt>
                <c:pt idx="3">
                  <c:v>8.6760291868059571</c:v>
                </c:pt>
                <c:pt idx="4">
                  <c:v>9.5817156405235462</c:v>
                </c:pt>
                <c:pt idx="5">
                  <c:v>9.4358618419189018</c:v>
                </c:pt>
                <c:pt idx="6">
                  <c:v>8.6089477597092365</c:v>
                </c:pt>
                <c:pt idx="7">
                  <c:v>8.7359328999627035</c:v>
                </c:pt>
                <c:pt idx="8">
                  <c:v>8.5755042904104535</c:v>
                </c:pt>
                <c:pt idx="9">
                  <c:v>8.9469626125894361</c:v>
                </c:pt>
                <c:pt idx="10">
                  <c:v>8.8655029003162671</c:v>
                </c:pt>
                <c:pt idx="11">
                  <c:v>9.8200055259964465</c:v>
                </c:pt>
                <c:pt idx="12">
                  <c:v>9.8772274642274791</c:v>
                </c:pt>
                <c:pt idx="13">
                  <c:v>9.8771063166416901</c:v>
                </c:pt>
                <c:pt idx="14">
                  <c:v>10.313946818530829</c:v>
                </c:pt>
                <c:pt idx="15">
                  <c:v>10.154559395808436</c:v>
                </c:pt>
                <c:pt idx="16">
                  <c:v>10.310818506106463</c:v>
                </c:pt>
                <c:pt idx="17">
                  <c:v>10.195485897526991</c:v>
                </c:pt>
                <c:pt idx="18">
                  <c:v>10.619667385995401</c:v>
                </c:pt>
                <c:pt idx="19">
                  <c:v>9.9950953355598404</c:v>
                </c:pt>
                <c:pt idx="20">
                  <c:v>10.462254181702097</c:v>
                </c:pt>
                <c:pt idx="21">
                  <c:v>10.252709874702392</c:v>
                </c:pt>
                <c:pt idx="22">
                  <c:v>10.172722141564753</c:v>
                </c:pt>
                <c:pt idx="23">
                  <c:v>10.035003092024812</c:v>
                </c:pt>
                <c:pt idx="24">
                  <c:v>10.161569635546654</c:v>
                </c:pt>
                <c:pt idx="25">
                  <c:v>10.544760852674512</c:v>
                </c:pt>
                <c:pt idx="26">
                  <c:v>10.056935451191817</c:v>
                </c:pt>
                <c:pt idx="27">
                  <c:v>9.8501602389586562</c:v>
                </c:pt>
                <c:pt idx="28">
                  <c:v>9.9646048062573662</c:v>
                </c:pt>
              </c:numCache>
            </c:numRef>
          </c:yVal>
          <c:smooth val="0"/>
        </c:ser>
        <c:ser>
          <c:idx val="3"/>
          <c:order val="1"/>
          <c:tx>
            <c:v>Upper 80%</c:v>
          </c:tx>
          <c:spPr>
            <a:ln w="3175">
              <a:solidFill>
                <a:srgbClr val="996666"/>
              </a:solidFill>
              <a:prstDash val="solid"/>
            </a:ln>
          </c:spPr>
          <c:marker>
            <c:symbol val="none"/>
          </c:marker>
          <c:xVal>
            <c:numRef>
              <c:f>'Ln1.3=ln1.2'!$Z$11:$Z$39</c:f>
              <c:numCache>
                <c:formatCode>General</c:formatCode>
                <c:ptCount val="29"/>
                <c:pt idx="0" formatCode="0.00">
                  <c:v>6.9651992487549279</c:v>
                </c:pt>
                <c:pt idx="1">
                  <c:v>8.1821467439441573</c:v>
                </c:pt>
                <c:pt idx="2">
                  <c:v>7.6266639812934791</c:v>
                </c:pt>
                <c:pt idx="3">
                  <c:v>6.802035215661534</c:v>
                </c:pt>
                <c:pt idx="4">
                  <c:v>7.9476460397232467</c:v>
                </c:pt>
                <c:pt idx="5">
                  <c:v>7.7631542768994439</c:v>
                </c:pt>
                <c:pt idx="6">
                  <c:v>6.7171833238616028</c:v>
                </c:pt>
                <c:pt idx="7">
                  <c:v>6.8778079534695964</c:v>
                </c:pt>
                <c:pt idx="8">
                  <c:v>6.6748803830749788</c:v>
                </c:pt>
                <c:pt idx="9">
                  <c:v>7.1447413077131872</c:v>
                </c:pt>
                <c:pt idx="10">
                  <c:v>7.041702195532543</c:v>
                </c:pt>
                <c:pt idx="11">
                  <c:v>8.2490610282566887</c:v>
                </c:pt>
                <c:pt idx="12">
                  <c:v>8.321441565187742</c:v>
                </c:pt>
                <c:pt idx="13">
                  <c:v>8.3212883245325262</c:v>
                </c:pt>
                <c:pt idx="14">
                  <c:v>8.8738517478878638</c:v>
                </c:pt>
                <c:pt idx="15">
                  <c:v>8.6722411839442763</c:v>
                </c:pt>
                <c:pt idx="16">
                  <c:v>8.8698947177703342</c:v>
                </c:pt>
                <c:pt idx="17">
                  <c:v>8.7240094787744606</c:v>
                </c:pt>
                <c:pt idx="18">
                  <c:v>9.2605604038339493</c:v>
                </c:pt>
                <c:pt idx="19">
                  <c:v>8.4705336805144125</c:v>
                </c:pt>
                <c:pt idx="20">
                  <c:v>9.061447046282419</c:v>
                </c:pt>
                <c:pt idx="21">
                  <c:v>8.7963925947843205</c:v>
                </c:pt>
                <c:pt idx="22">
                  <c:v>8.6952154020610539</c:v>
                </c:pt>
                <c:pt idx="23">
                  <c:v>8.5210133554423404</c:v>
                </c:pt>
                <c:pt idx="24">
                  <c:v>8.6811084983337157</c:v>
                </c:pt>
                <c:pt idx="25">
                  <c:v>9.1658104658028474</c:v>
                </c:pt>
                <c:pt idx="26">
                  <c:v>8.5487557909792695</c:v>
                </c:pt>
                <c:pt idx="27">
                  <c:v>8.2872039919989202</c:v>
                </c:pt>
                <c:pt idx="28">
                  <c:v>8.4319659397064264</c:v>
                </c:pt>
              </c:numCache>
            </c:numRef>
          </c:xVal>
          <c:yVal>
            <c:numRef>
              <c:f>'Ln1.3=ln1.2'!$AE$11:$AE$39</c:f>
              <c:numCache>
                <c:formatCode>0.0000</c:formatCode>
                <c:ptCount val="29"/>
                <c:pt idx="0">
                  <c:v>9.7585262604202985</c:v>
                </c:pt>
                <c:pt idx="1">
                  <c:v>10.720609402556414</c:v>
                </c:pt>
                <c:pt idx="2">
                  <c:v>10.281460956295538</c:v>
                </c:pt>
                <c:pt idx="3">
                  <c:v>9.6295335419483461</c:v>
                </c:pt>
                <c:pt idx="4">
                  <c:v>10.535219995665935</c:v>
                </c:pt>
                <c:pt idx="5">
                  <c:v>10.389366197061291</c:v>
                </c:pt>
                <c:pt idx="6">
                  <c:v>9.5624521148516255</c:v>
                </c:pt>
                <c:pt idx="7">
                  <c:v>9.6894372551050925</c:v>
                </c:pt>
                <c:pt idx="8">
                  <c:v>9.5290086455528424</c:v>
                </c:pt>
                <c:pt idx="9">
                  <c:v>9.9004669677318251</c:v>
                </c:pt>
                <c:pt idx="10">
                  <c:v>9.819007255458656</c:v>
                </c:pt>
                <c:pt idx="11">
                  <c:v>10.773509881138835</c:v>
                </c:pt>
                <c:pt idx="12">
                  <c:v>10.830731819369868</c:v>
                </c:pt>
                <c:pt idx="13">
                  <c:v>10.830610671784079</c:v>
                </c:pt>
                <c:pt idx="14">
                  <c:v>11.267451173673217</c:v>
                </c:pt>
                <c:pt idx="15">
                  <c:v>11.108063750950825</c:v>
                </c:pt>
                <c:pt idx="16">
                  <c:v>11.264322861248852</c:v>
                </c:pt>
                <c:pt idx="17">
                  <c:v>11.14899025266938</c:v>
                </c:pt>
                <c:pt idx="18">
                  <c:v>11.57317174113779</c:v>
                </c:pt>
                <c:pt idx="19">
                  <c:v>10.948599690702229</c:v>
                </c:pt>
                <c:pt idx="20">
                  <c:v>11.415758536844486</c:v>
                </c:pt>
                <c:pt idx="21">
                  <c:v>11.206214229844781</c:v>
                </c:pt>
                <c:pt idx="22">
                  <c:v>11.126226496707142</c:v>
                </c:pt>
                <c:pt idx="23">
                  <c:v>10.988507447167201</c:v>
                </c:pt>
                <c:pt idx="24">
                  <c:v>11.115073990689043</c:v>
                </c:pt>
                <c:pt idx="25">
                  <c:v>11.498265207816901</c:v>
                </c:pt>
                <c:pt idx="26">
                  <c:v>11.010439806334206</c:v>
                </c:pt>
                <c:pt idx="27">
                  <c:v>10.803664594101045</c:v>
                </c:pt>
                <c:pt idx="28">
                  <c:v>10.918109161399755</c:v>
                </c:pt>
              </c:numCache>
            </c:numRef>
          </c:yVal>
          <c:smooth val="0"/>
        </c:ser>
        <c:ser>
          <c:idx val="1"/>
          <c:order val="2"/>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1"/>
            <c:dispEq val="1"/>
            <c:trendlineLbl>
              <c:layout>
                <c:manualLayout>
                  <c:x val="-0.5164218381926271"/>
                  <c:y val="-8.7043841742004469E-2"/>
                </c:manualLayout>
              </c:layout>
              <c:numFmt formatCode="General" sourceLinked="0"/>
              <c:spPr>
                <a:noFill/>
                <a:ln w="25400">
                  <a:noFill/>
                </a:ln>
              </c:spPr>
              <c:txPr>
                <a:bodyPr/>
                <a:lstStyle/>
                <a:p>
                  <a:pPr>
                    <a:defRPr sz="950" b="0" i="0" u="none" strike="noStrike" baseline="0">
                      <a:solidFill>
                        <a:srgbClr val="000000"/>
                      </a:solidFill>
                      <a:latin typeface="Arial"/>
                      <a:ea typeface="Arial"/>
                      <a:cs typeface="Arial"/>
                    </a:defRPr>
                  </a:pPr>
                  <a:endParaRPr lang="en-US"/>
                </a:p>
              </c:txPr>
            </c:trendlineLbl>
          </c:trendline>
          <c:xVal>
            <c:numRef>
              <c:f>'Ln1.3=ln1.2'!$Z$11:$Z$43</c:f>
              <c:numCache>
                <c:formatCode>General</c:formatCode>
                <c:ptCount val="33"/>
                <c:pt idx="0" formatCode="0.00">
                  <c:v>6.9651992487549279</c:v>
                </c:pt>
                <c:pt idx="1">
                  <c:v>8.1821467439441573</c:v>
                </c:pt>
                <c:pt idx="2">
                  <c:v>7.6266639812934791</c:v>
                </c:pt>
                <c:pt idx="3">
                  <c:v>6.802035215661534</c:v>
                </c:pt>
                <c:pt idx="4">
                  <c:v>7.9476460397232467</c:v>
                </c:pt>
                <c:pt idx="5">
                  <c:v>7.7631542768994439</c:v>
                </c:pt>
                <c:pt idx="6">
                  <c:v>6.7171833238616028</c:v>
                </c:pt>
                <c:pt idx="7">
                  <c:v>6.8778079534695964</c:v>
                </c:pt>
                <c:pt idx="8">
                  <c:v>6.6748803830749788</c:v>
                </c:pt>
                <c:pt idx="9">
                  <c:v>7.1447413077131872</c:v>
                </c:pt>
                <c:pt idx="10">
                  <c:v>7.041702195532543</c:v>
                </c:pt>
                <c:pt idx="11">
                  <c:v>8.2490610282566887</c:v>
                </c:pt>
                <c:pt idx="12">
                  <c:v>8.321441565187742</c:v>
                </c:pt>
                <c:pt idx="13">
                  <c:v>8.3212883245325262</c:v>
                </c:pt>
                <c:pt idx="14">
                  <c:v>8.8738517478878638</c:v>
                </c:pt>
                <c:pt idx="15">
                  <c:v>8.6722411839442763</c:v>
                </c:pt>
                <c:pt idx="16">
                  <c:v>8.8698947177703342</c:v>
                </c:pt>
                <c:pt idx="17">
                  <c:v>8.7240094787744606</c:v>
                </c:pt>
                <c:pt idx="18">
                  <c:v>9.2605604038339493</c:v>
                </c:pt>
                <c:pt idx="19">
                  <c:v>8.4705336805144125</c:v>
                </c:pt>
                <c:pt idx="20">
                  <c:v>9.061447046282419</c:v>
                </c:pt>
                <c:pt idx="21">
                  <c:v>8.7963925947843205</c:v>
                </c:pt>
                <c:pt idx="22">
                  <c:v>8.6952154020610539</c:v>
                </c:pt>
                <c:pt idx="23">
                  <c:v>8.5210133554423404</c:v>
                </c:pt>
                <c:pt idx="24">
                  <c:v>8.6811084983337157</c:v>
                </c:pt>
                <c:pt idx="25">
                  <c:v>9.1658104658028474</c:v>
                </c:pt>
                <c:pt idx="26">
                  <c:v>8.5487557909792695</c:v>
                </c:pt>
                <c:pt idx="27">
                  <c:v>8.2872039919989202</c:v>
                </c:pt>
                <c:pt idx="28">
                  <c:v>8.4319659397064264</c:v>
                </c:pt>
                <c:pt idx="29">
                  <c:v>8.5943219857568938</c:v>
                </c:pt>
                <c:pt idx="30">
                  <c:v>8.6077656370610249</c:v>
                </c:pt>
                <c:pt idx="31">
                  <c:v>8.2485657535855932</c:v>
                </c:pt>
                <c:pt idx="32">
                  <c:v>8.6691577171146683</c:v>
                </c:pt>
              </c:numCache>
            </c:numRef>
          </c:xVal>
          <c:yVal>
            <c:numRef>
              <c:f>'Ln1.3=ln1.2'!$AB$11:$AB$43</c:f>
              <c:numCache>
                <c:formatCode>General</c:formatCode>
                <c:ptCount val="33"/>
                <c:pt idx="0">
                  <c:v>10.13504358499859</c:v>
                </c:pt>
                <c:pt idx="1">
                  <c:v>10.431687290277248</c:v>
                </c:pt>
                <c:pt idx="2">
                  <c:v>9.4867647439893457</c:v>
                </c:pt>
                <c:pt idx="3">
                  <c:v>9.4124522170203111</c:v>
                </c:pt>
                <c:pt idx="4">
                  <c:v>9.9934902869486333</c:v>
                </c:pt>
                <c:pt idx="5">
                  <c:v>9.2071524487385759</c:v>
                </c:pt>
                <c:pt idx="6">
                  <c:v>8.9586545817934145</c:v>
                </c:pt>
                <c:pt idx="7">
                  <c:v>8.9353240460756513</c:v>
                </c:pt>
                <c:pt idx="8">
                  <c:v>8.6042949606337302</c:v>
                </c:pt>
                <c:pt idx="9">
                  <c:v>9.8900490779554673</c:v>
                </c:pt>
                <c:pt idx="10">
                  <c:v>9.1458366599460579</c:v>
                </c:pt>
                <c:pt idx="11">
                  <c:v>10.352881735694568</c:v>
                </c:pt>
                <c:pt idx="12">
                  <c:v>10.364719107135071</c:v>
                </c:pt>
                <c:pt idx="13">
                  <c:v>10.932271267111018</c:v>
                </c:pt>
                <c:pt idx="14">
                  <c:v>10.656044336780424</c:v>
                </c:pt>
                <c:pt idx="15">
                  <c:v>10.933752274858877</c:v>
                </c:pt>
                <c:pt idx="16">
                  <c:v>11.130952477925446</c:v>
                </c:pt>
                <c:pt idx="17">
                  <c:v>10.927145676643779</c:v>
                </c:pt>
                <c:pt idx="18">
                  <c:v>10.78923861340083</c:v>
                </c:pt>
                <c:pt idx="19">
                  <c:v>10.932946823519012</c:v>
                </c:pt>
                <c:pt idx="20">
                  <c:v>10.803088354437625</c:v>
                </c:pt>
                <c:pt idx="21">
                  <c:v>11.032103697402947</c:v>
                </c:pt>
                <c:pt idx="22">
                  <c:v>10.768289630773207</c:v>
                </c:pt>
                <c:pt idx="23">
                  <c:v>10.535268813895561</c:v>
                </c:pt>
                <c:pt idx="24">
                  <c:v>11.130479873503816</c:v>
                </c:pt>
                <c:pt idx="25">
                  <c:v>10.967819581276032</c:v>
                </c:pt>
                <c:pt idx="26">
                  <c:v>10.379176371820273</c:v>
                </c:pt>
                <c:pt idx="27">
                  <c:v>10.205029621448679</c:v>
                </c:pt>
                <c:pt idx="28">
                  <c:v>9.8896200751423216</c:v>
                </c:pt>
                <c:pt idx="29">
                  <c:v>10.623064262285222</c:v>
                </c:pt>
                <c:pt idx="30">
                  <c:v>10.473047734898355</c:v>
                </c:pt>
                <c:pt idx="31">
                  <c:v>10.180696807910829</c:v>
                </c:pt>
                <c:pt idx="32">
                  <c:v>9.6838897695936783</c:v>
                </c:pt>
              </c:numCache>
            </c:numRef>
          </c:yVal>
          <c:smooth val="0"/>
        </c:ser>
        <c:dLbls>
          <c:showLegendKey val="0"/>
          <c:showVal val="0"/>
          <c:showCatName val="0"/>
          <c:showSerName val="0"/>
          <c:showPercent val="0"/>
          <c:showBubbleSize val="0"/>
        </c:dLbls>
        <c:axId val="130156416"/>
        <c:axId val="130199552"/>
      </c:scatterChart>
      <c:valAx>
        <c:axId val="130156416"/>
        <c:scaling>
          <c:orientation val="minMax"/>
          <c:min val="6.5"/>
        </c:scaling>
        <c:delete val="0"/>
        <c:axPos val="b"/>
        <c:title>
          <c:tx>
            <c:rich>
              <a:bodyPr/>
              <a:lstStyle/>
              <a:p>
                <a:pPr>
                  <a:defRPr sz="1400" b="1" i="0" u="none" strike="noStrike" baseline="0">
                    <a:solidFill>
                      <a:srgbClr val="000000"/>
                    </a:solidFill>
                    <a:latin typeface="Arial"/>
                    <a:ea typeface="Arial"/>
                    <a:cs typeface="Arial"/>
                  </a:defRPr>
                </a:pPr>
                <a:r>
                  <a:rPr lang="en-US"/>
                  <a:t>Ln(1.2)</a:t>
                </a:r>
              </a:p>
            </c:rich>
          </c:tx>
          <c:layout>
            <c:manualLayout>
              <c:xMode val="edge"/>
              <c:yMode val="edge"/>
              <c:x val="0.5095168374816984"/>
              <c:y val="0.86551797002792152"/>
            </c:manualLayout>
          </c:layout>
          <c:overlay val="0"/>
          <c:spPr>
            <a:noFill/>
            <a:ln w="25400">
              <a:noFill/>
            </a:ln>
          </c:spPr>
        </c:title>
        <c:numFmt formatCode="0.00" sourceLinked="1"/>
        <c:majorTickMark val="out"/>
        <c:minorTickMark val="in"/>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30199552"/>
        <c:crosses val="autoZero"/>
        <c:crossBetween val="midCat"/>
      </c:valAx>
      <c:valAx>
        <c:axId val="130199552"/>
        <c:scaling>
          <c:orientation val="minMax"/>
          <c:min val="8"/>
        </c:scaling>
        <c:delete val="0"/>
        <c:axPos val="l"/>
        <c:majorGridlines>
          <c:spPr>
            <a:ln w="3175">
              <a:solidFill>
                <a:srgbClr val="C0C0C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Ln(1.3)</a:t>
                </a:r>
              </a:p>
            </c:rich>
          </c:tx>
          <c:layout>
            <c:manualLayout>
              <c:xMode val="edge"/>
              <c:yMode val="edge"/>
              <c:x val="2.4890190336749635E-2"/>
              <c:y val="0.41896586995375923"/>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30156416"/>
        <c:crosses val="autoZero"/>
        <c:crossBetween val="midCat"/>
        <c:majorUnit val="1"/>
      </c:valAx>
      <c:spPr>
        <a:solidFill>
          <a:srgbClr val="FFFFFF"/>
        </a:solidFill>
        <a:ln w="25400">
          <a:noFill/>
        </a:ln>
      </c:spPr>
    </c:plotArea>
    <c:legend>
      <c:legendPos val="b"/>
      <c:layout>
        <c:manualLayout>
          <c:xMode val="edge"/>
          <c:yMode val="edge"/>
          <c:x val="5.1244509516837455E-2"/>
          <c:y val="0.94482838162410965"/>
          <c:w val="0.91508052708638354"/>
          <c:h val="4.1379345180617581E-2"/>
        </c:manualLayout>
      </c:layout>
      <c:overlay val="0"/>
      <c:spPr>
        <a:solidFill>
          <a:srgbClr val="FFFFFF"/>
        </a:solidFill>
        <a:ln w="25400">
          <a:noFill/>
        </a:ln>
      </c:spPr>
      <c:txPr>
        <a:bodyPr/>
        <a:lstStyle/>
        <a:p>
          <a:pPr>
            <a:defRPr sz="8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Copper River Chinook Salmon Sibling</a:t>
            </a:r>
          </a:p>
        </c:rich>
      </c:tx>
      <c:layout>
        <c:manualLayout>
          <c:xMode val="edge"/>
          <c:yMode val="edge"/>
          <c:x val="0.30161054172767443"/>
          <c:y val="2.7586230120412052E-2"/>
        </c:manualLayout>
      </c:layout>
      <c:overlay val="0"/>
      <c:spPr>
        <a:noFill/>
        <a:ln w="25400">
          <a:noFill/>
        </a:ln>
      </c:spPr>
    </c:title>
    <c:autoTitleDeleted val="0"/>
    <c:plotArea>
      <c:layout>
        <c:manualLayout>
          <c:layoutTarget val="inner"/>
          <c:xMode val="edge"/>
          <c:yMode val="edge"/>
          <c:x val="0.1566617862371889"/>
          <c:y val="0.14310356874963687"/>
          <c:w val="0.80527086383601754"/>
          <c:h val="0.66896608041998962"/>
        </c:manualLayout>
      </c:layout>
      <c:scatterChart>
        <c:scatterStyle val="lineMarker"/>
        <c:varyColors val="0"/>
        <c:ser>
          <c:idx val="0"/>
          <c:order val="0"/>
          <c:tx>
            <c:v>Lower 80%</c:v>
          </c:tx>
          <c:spPr>
            <a:ln w="3175">
              <a:solidFill>
                <a:srgbClr val="0000FF"/>
              </a:solidFill>
              <a:prstDash val="solid"/>
            </a:ln>
          </c:spPr>
          <c:marker>
            <c:symbol val="none"/>
          </c:marker>
          <c:xVal>
            <c:numRef>
              <c:f>'Ln1.3=ln1.2 (2)'!$Z$11:$Z$22</c:f>
              <c:numCache>
                <c:formatCode>General</c:formatCode>
                <c:ptCount val="12"/>
                <c:pt idx="0">
                  <c:v>8.7240094787744606</c:v>
                </c:pt>
                <c:pt idx="1">
                  <c:v>9.2605604038339493</c:v>
                </c:pt>
                <c:pt idx="2">
                  <c:v>8.4705336805144125</c:v>
                </c:pt>
                <c:pt idx="3">
                  <c:v>9.061447046282419</c:v>
                </c:pt>
                <c:pt idx="4">
                  <c:v>8.7963925947843205</c:v>
                </c:pt>
                <c:pt idx="5">
                  <c:v>8.6952154020610539</c:v>
                </c:pt>
                <c:pt idx="6">
                  <c:v>8.5210133554423404</c:v>
                </c:pt>
                <c:pt idx="7">
                  <c:v>8.6811084983337157</c:v>
                </c:pt>
                <c:pt idx="8">
                  <c:v>9.1658104658028474</c:v>
                </c:pt>
                <c:pt idx="9">
                  <c:v>8.5487557909792695</c:v>
                </c:pt>
                <c:pt idx="10">
                  <c:v>8.2872039919989202</c:v>
                </c:pt>
                <c:pt idx="11">
                  <c:v>8.4319659397064264</c:v>
                </c:pt>
              </c:numCache>
            </c:numRef>
          </c:xVal>
          <c:yVal>
            <c:numRef>
              <c:f>'Ln1.3=ln1.2 (2)'!$AD$11:$AD$22</c:f>
              <c:numCache>
                <c:formatCode>0.0000</c:formatCode>
                <c:ptCount val="12"/>
                <c:pt idx="0">
                  <c:v>10.26878656231569</c:v>
                </c:pt>
                <c:pt idx="1">
                  <c:v>10.638250749882555</c:v>
                </c:pt>
                <c:pt idx="2">
                  <c:v>10.094245385517555</c:v>
                </c:pt>
                <c:pt idx="3">
                  <c:v>10.501143065512558</c:v>
                </c:pt>
                <c:pt idx="4">
                  <c:v>10.31862893123375</c:v>
                </c:pt>
                <c:pt idx="5">
                  <c:v>10.248959217579536</c:v>
                </c:pt>
                <c:pt idx="6">
                  <c:v>10.129005240015651</c:v>
                </c:pt>
                <c:pt idx="7">
                  <c:v>10.23924532933281</c:v>
                </c:pt>
                <c:pt idx="8">
                  <c:v>10.573006786557377</c:v>
                </c:pt>
                <c:pt idx="9">
                  <c:v>10.148108434005374</c:v>
                </c:pt>
                <c:pt idx="10">
                  <c:v>9.9680061950497478</c:v>
                </c:pt>
                <c:pt idx="11">
                  <c:v>10.067687982746639</c:v>
                </c:pt>
              </c:numCache>
            </c:numRef>
          </c:yVal>
          <c:smooth val="0"/>
        </c:ser>
        <c:ser>
          <c:idx val="3"/>
          <c:order val="1"/>
          <c:tx>
            <c:v>Upper 80%</c:v>
          </c:tx>
          <c:spPr>
            <a:ln w="3175">
              <a:solidFill>
                <a:srgbClr val="996666"/>
              </a:solidFill>
              <a:prstDash val="solid"/>
            </a:ln>
          </c:spPr>
          <c:marker>
            <c:symbol val="none"/>
          </c:marker>
          <c:xVal>
            <c:numRef>
              <c:f>'Ln1.3=ln1.2 (2)'!$Z$11:$Z$22</c:f>
              <c:numCache>
                <c:formatCode>General</c:formatCode>
                <c:ptCount val="12"/>
                <c:pt idx="0">
                  <c:v>8.7240094787744606</c:v>
                </c:pt>
                <c:pt idx="1">
                  <c:v>9.2605604038339493</c:v>
                </c:pt>
                <c:pt idx="2">
                  <c:v>8.4705336805144125</c:v>
                </c:pt>
                <c:pt idx="3">
                  <c:v>9.061447046282419</c:v>
                </c:pt>
                <c:pt idx="4">
                  <c:v>8.7963925947843205</c:v>
                </c:pt>
                <c:pt idx="5">
                  <c:v>8.6952154020610539</c:v>
                </c:pt>
                <c:pt idx="6">
                  <c:v>8.5210133554423404</c:v>
                </c:pt>
                <c:pt idx="7">
                  <c:v>8.6811084983337157</c:v>
                </c:pt>
                <c:pt idx="8">
                  <c:v>9.1658104658028474</c:v>
                </c:pt>
                <c:pt idx="9">
                  <c:v>8.5487557909792695</c:v>
                </c:pt>
                <c:pt idx="10">
                  <c:v>8.2872039919989202</c:v>
                </c:pt>
                <c:pt idx="11">
                  <c:v>8.4319659397064264</c:v>
                </c:pt>
              </c:numCache>
            </c:numRef>
          </c:xVal>
          <c:yVal>
            <c:numRef>
              <c:f>'Ln1.3=ln1.2 (2)'!$AE$11:$AE$22</c:f>
              <c:numCache>
                <c:formatCode>0.0000</c:formatCode>
                <c:ptCount val="12"/>
                <c:pt idx="0">
                  <c:v>11.11071063552486</c:v>
                </c:pt>
                <c:pt idx="1">
                  <c:v>11.480174823091726</c:v>
                </c:pt>
                <c:pt idx="2">
                  <c:v>10.936169458726726</c:v>
                </c:pt>
                <c:pt idx="3">
                  <c:v>11.343067138721729</c:v>
                </c:pt>
                <c:pt idx="4">
                  <c:v>11.160553004442921</c:v>
                </c:pt>
                <c:pt idx="5">
                  <c:v>11.090883290788707</c:v>
                </c:pt>
                <c:pt idx="6">
                  <c:v>10.970929313224822</c:v>
                </c:pt>
                <c:pt idx="7">
                  <c:v>11.081169402541981</c:v>
                </c:pt>
                <c:pt idx="8">
                  <c:v>11.414930859766548</c:v>
                </c:pt>
                <c:pt idx="9">
                  <c:v>10.990032507214545</c:v>
                </c:pt>
                <c:pt idx="10">
                  <c:v>10.809930268258919</c:v>
                </c:pt>
                <c:pt idx="11">
                  <c:v>10.90961205595581</c:v>
                </c:pt>
              </c:numCache>
            </c:numRef>
          </c:yVal>
          <c:smooth val="0"/>
        </c:ser>
        <c:ser>
          <c:idx val="1"/>
          <c:order val="2"/>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1"/>
            <c:dispEq val="1"/>
            <c:trendlineLbl>
              <c:layout>
                <c:manualLayout>
                  <c:x val="-0.50290543111100861"/>
                  <c:y val="-9.1446383272442727E-2"/>
                </c:manualLayout>
              </c:layout>
              <c:numFmt formatCode="General" sourceLinked="0"/>
              <c:spPr>
                <a:noFill/>
                <a:ln w="25400">
                  <a:noFill/>
                </a:ln>
              </c:spPr>
              <c:txPr>
                <a:bodyPr/>
                <a:lstStyle/>
                <a:p>
                  <a:pPr>
                    <a:defRPr sz="950" b="0" i="0" u="none" strike="noStrike" baseline="0">
                      <a:solidFill>
                        <a:srgbClr val="000000"/>
                      </a:solidFill>
                      <a:latin typeface="Arial"/>
                      <a:ea typeface="Arial"/>
                      <a:cs typeface="Arial"/>
                    </a:defRPr>
                  </a:pPr>
                  <a:endParaRPr lang="en-US"/>
                </a:p>
              </c:txPr>
            </c:trendlineLbl>
          </c:trendline>
          <c:xVal>
            <c:numRef>
              <c:f>'Ln1.3=ln1.2 (2)'!$Z$11:$Z$25</c:f>
              <c:numCache>
                <c:formatCode>General</c:formatCode>
                <c:ptCount val="15"/>
                <c:pt idx="0">
                  <c:v>8.7240094787744606</c:v>
                </c:pt>
                <c:pt idx="1">
                  <c:v>9.2605604038339493</c:v>
                </c:pt>
                <c:pt idx="2">
                  <c:v>8.4705336805144125</c:v>
                </c:pt>
                <c:pt idx="3">
                  <c:v>9.061447046282419</c:v>
                </c:pt>
                <c:pt idx="4">
                  <c:v>8.7963925947843205</c:v>
                </c:pt>
                <c:pt idx="5">
                  <c:v>8.6952154020610539</c:v>
                </c:pt>
                <c:pt idx="6">
                  <c:v>8.5210133554423404</c:v>
                </c:pt>
                <c:pt idx="7">
                  <c:v>8.6811084983337157</c:v>
                </c:pt>
                <c:pt idx="8">
                  <c:v>9.1658104658028474</c:v>
                </c:pt>
                <c:pt idx="9">
                  <c:v>8.5487557909792695</c:v>
                </c:pt>
                <c:pt idx="10">
                  <c:v>8.2872039919989202</c:v>
                </c:pt>
                <c:pt idx="11">
                  <c:v>8.4319659397064264</c:v>
                </c:pt>
                <c:pt idx="12">
                  <c:v>8.5943219857568938</c:v>
                </c:pt>
                <c:pt idx="13">
                  <c:v>8.6077656370610249</c:v>
                </c:pt>
                <c:pt idx="14">
                  <c:v>8.2485657535855932</c:v>
                </c:pt>
              </c:numCache>
            </c:numRef>
          </c:xVal>
          <c:yVal>
            <c:numRef>
              <c:f>'Ln1.3=ln1.2 (2)'!$AB$11:$AB$25</c:f>
              <c:numCache>
                <c:formatCode>General</c:formatCode>
                <c:ptCount val="15"/>
                <c:pt idx="0">
                  <c:v>10.927145676643779</c:v>
                </c:pt>
                <c:pt idx="1">
                  <c:v>10.78923861340083</c:v>
                </c:pt>
                <c:pt idx="2">
                  <c:v>10.932946823519012</c:v>
                </c:pt>
                <c:pt idx="3">
                  <c:v>10.803088354437625</c:v>
                </c:pt>
                <c:pt idx="4">
                  <c:v>11.032103697402947</c:v>
                </c:pt>
                <c:pt idx="5">
                  <c:v>10.768289630773207</c:v>
                </c:pt>
                <c:pt idx="6">
                  <c:v>10.535268813895561</c:v>
                </c:pt>
                <c:pt idx="7">
                  <c:v>11.130479873503816</c:v>
                </c:pt>
                <c:pt idx="8">
                  <c:v>10.967819581276032</c:v>
                </c:pt>
                <c:pt idx="9">
                  <c:v>10.379176371820273</c:v>
                </c:pt>
                <c:pt idx="10">
                  <c:v>10.205029621448679</c:v>
                </c:pt>
                <c:pt idx="11">
                  <c:v>9.8896200751423216</c:v>
                </c:pt>
                <c:pt idx="12">
                  <c:v>10.623064262285222</c:v>
                </c:pt>
                <c:pt idx="13">
                  <c:v>10.473047734898355</c:v>
                </c:pt>
                <c:pt idx="14">
                  <c:v>10.180696807910829</c:v>
                </c:pt>
              </c:numCache>
            </c:numRef>
          </c:yVal>
          <c:smooth val="0"/>
        </c:ser>
        <c:dLbls>
          <c:showLegendKey val="0"/>
          <c:showVal val="0"/>
          <c:showCatName val="0"/>
          <c:showSerName val="0"/>
          <c:showPercent val="0"/>
          <c:showBubbleSize val="0"/>
        </c:dLbls>
        <c:axId val="129978752"/>
        <c:axId val="129980672"/>
      </c:scatterChart>
      <c:valAx>
        <c:axId val="129978752"/>
        <c:scaling>
          <c:orientation val="minMax"/>
        </c:scaling>
        <c:delete val="0"/>
        <c:axPos val="b"/>
        <c:title>
          <c:tx>
            <c:rich>
              <a:bodyPr/>
              <a:lstStyle/>
              <a:p>
                <a:pPr>
                  <a:defRPr sz="1400" b="1" i="0" u="none" strike="noStrike" baseline="0">
                    <a:solidFill>
                      <a:srgbClr val="000000"/>
                    </a:solidFill>
                    <a:latin typeface="Arial"/>
                    <a:ea typeface="Arial"/>
                    <a:cs typeface="Arial"/>
                  </a:defRPr>
                </a:pPr>
                <a:r>
                  <a:rPr lang="en-US"/>
                  <a:t>Ln(1.2)</a:t>
                </a:r>
              </a:p>
            </c:rich>
          </c:tx>
          <c:layout>
            <c:manualLayout>
              <c:xMode val="edge"/>
              <c:yMode val="edge"/>
              <c:x val="0.5095168374816984"/>
              <c:y val="0.86551797002792152"/>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29980672"/>
        <c:crosses val="autoZero"/>
        <c:crossBetween val="midCat"/>
      </c:valAx>
      <c:valAx>
        <c:axId val="129980672"/>
        <c:scaling>
          <c:orientation val="minMax"/>
        </c:scaling>
        <c:delete val="0"/>
        <c:axPos val="l"/>
        <c:majorGridlines>
          <c:spPr>
            <a:ln w="3175">
              <a:solidFill>
                <a:srgbClr val="C0C0C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Ln(1.3)</a:t>
                </a:r>
              </a:p>
            </c:rich>
          </c:tx>
          <c:layout>
            <c:manualLayout>
              <c:xMode val="edge"/>
              <c:yMode val="edge"/>
              <c:x val="2.4890190336749635E-2"/>
              <c:y val="0.41896586995375923"/>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29978752"/>
        <c:crosses val="autoZero"/>
        <c:crossBetween val="midCat"/>
        <c:majorUnit val="1"/>
      </c:valAx>
      <c:spPr>
        <a:solidFill>
          <a:srgbClr val="FFFFFF"/>
        </a:solidFill>
        <a:ln w="25400">
          <a:noFill/>
        </a:ln>
      </c:spPr>
    </c:plotArea>
    <c:legend>
      <c:legendPos val="b"/>
      <c:layout>
        <c:manualLayout>
          <c:xMode val="edge"/>
          <c:yMode val="edge"/>
          <c:x val="5.1244509516837455E-2"/>
          <c:y val="0.94482838162410965"/>
          <c:w val="0.91508052708638354"/>
          <c:h val="4.1379345180617581E-2"/>
        </c:manualLayout>
      </c:layout>
      <c:overlay val="0"/>
      <c:spPr>
        <a:solidFill>
          <a:srgbClr val="FFFFFF"/>
        </a:solidFill>
        <a:ln w="25400">
          <a:noFill/>
        </a:ln>
      </c:spPr>
      <c:txPr>
        <a:bodyPr/>
        <a:lstStyle/>
        <a:p>
          <a:pPr>
            <a:defRPr sz="8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CR Chinook Sibling for Return Years 1981</a:t>
            </a:r>
            <a:r>
              <a:rPr lang="en-US" baseline="0"/>
              <a:t> - 2010</a:t>
            </a:r>
            <a:endParaRPr lang="en-US"/>
          </a:p>
        </c:rich>
      </c:tx>
      <c:layout>
        <c:manualLayout>
          <c:xMode val="edge"/>
          <c:yMode val="edge"/>
          <c:x val="0.19784400367675556"/>
          <c:y val="2.8764850117419541E-2"/>
        </c:manualLayout>
      </c:layout>
      <c:overlay val="0"/>
      <c:spPr>
        <a:noFill/>
        <a:ln w="25400">
          <a:noFill/>
        </a:ln>
      </c:spPr>
    </c:title>
    <c:autoTitleDeleted val="0"/>
    <c:plotArea>
      <c:layout>
        <c:manualLayout>
          <c:layoutTarget val="inner"/>
          <c:xMode val="edge"/>
          <c:yMode val="edge"/>
          <c:x val="0.11251773541575386"/>
          <c:y val="9.1370709355682506E-2"/>
          <c:w val="0.84388301561815726"/>
          <c:h val="0.73942592571172649"/>
        </c:manualLayout>
      </c:layout>
      <c:scatterChart>
        <c:scatterStyle val="lineMarker"/>
        <c:varyColors val="0"/>
        <c:ser>
          <c:idx val="0"/>
          <c:order val="0"/>
          <c:spPr>
            <a:ln w="28575">
              <a:noFill/>
            </a:ln>
          </c:spPr>
          <c:dLbls>
            <c:dLbl>
              <c:idx val="0"/>
              <c:tx>
                <c:strRef>
                  <c:f>'Ln1.4=Ln1.3'!$AC$11</c:f>
                  <c:strCache>
                    <c:ptCount val="1"/>
                    <c:pt idx="0">
                      <c:v>81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
              <c:tx>
                <c:strRef>
                  <c:f>'Ln1.4=Ln1.3'!$AC$12</c:f>
                  <c:strCache>
                    <c:ptCount val="1"/>
                    <c:pt idx="0">
                      <c:v>82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2"/>
              <c:tx>
                <c:strRef>
                  <c:f>'Ln1.4=Ln1.3'!$AC$13</c:f>
                  <c:strCache>
                    <c:ptCount val="1"/>
                    <c:pt idx="0">
                      <c:v>83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3"/>
              <c:tx>
                <c:strRef>
                  <c:f>'Ln1.4=Ln1.3'!$AC$14</c:f>
                  <c:strCache>
                    <c:ptCount val="1"/>
                    <c:pt idx="0">
                      <c:v>84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4"/>
              <c:tx>
                <c:strRef>
                  <c:f>'Ln1.4=Ln1.3'!$AC$15</c:f>
                  <c:strCache>
                    <c:ptCount val="1"/>
                    <c:pt idx="0">
                      <c:v>85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5"/>
              <c:tx>
                <c:strRef>
                  <c:f>'Ln1.4=Ln1.3'!$AC$16</c:f>
                  <c:strCache>
                    <c:ptCount val="1"/>
                    <c:pt idx="0">
                      <c:v>86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6"/>
              <c:tx>
                <c:strRef>
                  <c:f>'Ln1.4=Ln1.3'!$AC$17</c:f>
                  <c:strCache>
                    <c:ptCount val="1"/>
                    <c:pt idx="0">
                      <c:v>87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7"/>
              <c:tx>
                <c:strRef>
                  <c:f>'Ln1.4=Ln1.3'!$AC$18</c:f>
                  <c:strCache>
                    <c:ptCount val="1"/>
                    <c:pt idx="0">
                      <c:v>88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8"/>
              <c:tx>
                <c:strRef>
                  <c:f>'Ln1.4=Ln1.3'!$AC$19</c:f>
                  <c:strCache>
                    <c:ptCount val="1"/>
                    <c:pt idx="0">
                      <c:v>89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9"/>
              <c:tx>
                <c:strRef>
                  <c:f>'Ln1.4=Ln1.3'!$AC$20</c:f>
                  <c:strCache>
                    <c:ptCount val="1"/>
                    <c:pt idx="0">
                      <c:v>90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0"/>
              <c:tx>
                <c:strRef>
                  <c:f>'Ln1.4=Ln1.3'!$AC$21</c:f>
                  <c:strCache>
                    <c:ptCount val="1"/>
                    <c:pt idx="0">
                      <c:v>91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1"/>
              <c:tx>
                <c:strRef>
                  <c:f>'Ln1.4=Ln1.3'!$AC$22</c:f>
                  <c:strCache>
                    <c:ptCount val="1"/>
                    <c:pt idx="0">
                      <c:v>92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2"/>
              <c:tx>
                <c:strRef>
                  <c:f>'Ln1.4=Ln1.3'!$AC$23</c:f>
                  <c:strCache>
                    <c:ptCount val="1"/>
                    <c:pt idx="0">
                      <c:v>93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3"/>
              <c:tx>
                <c:strRef>
                  <c:f>'Ln1.4=Ln1.3'!$AC$24</c:f>
                  <c:strCache>
                    <c:ptCount val="1"/>
                    <c:pt idx="0">
                      <c:v>94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4"/>
              <c:tx>
                <c:strRef>
                  <c:f>'Ln1.4=Ln1.3'!$AC$25</c:f>
                  <c:strCache>
                    <c:ptCount val="1"/>
                    <c:pt idx="0">
                      <c:v>95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5"/>
              <c:tx>
                <c:strRef>
                  <c:f>'Ln1.4=Ln1.3'!$AC$26</c:f>
                  <c:strCache>
                    <c:ptCount val="1"/>
                    <c:pt idx="0">
                      <c:v>96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6"/>
              <c:tx>
                <c:strRef>
                  <c:f>'Ln1.4=Ln1.3'!$AC$27</c:f>
                  <c:strCache>
                    <c:ptCount val="1"/>
                    <c:pt idx="0">
                      <c:v>97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7"/>
              <c:tx>
                <c:strRef>
                  <c:f>'Ln1.4=Ln1.3'!$AC$28</c:f>
                  <c:strCache>
                    <c:ptCount val="1"/>
                    <c:pt idx="0">
                      <c:v>98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8"/>
              <c:tx>
                <c:strRef>
                  <c:f>'Ln1.4=Ln1.3'!$AC$29</c:f>
                  <c:strCache>
                    <c:ptCount val="1"/>
                    <c:pt idx="0">
                      <c:v>99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19"/>
              <c:tx>
                <c:strRef>
                  <c:f>'Ln1.4=Ln1.3'!$AC$30</c:f>
                  <c:strCache>
                    <c:ptCount val="1"/>
                    <c:pt idx="0">
                      <c:v>00</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20"/>
              <c:tx>
                <c:strRef>
                  <c:f>'Ln1.4=Ln1.3'!$AC$31</c:f>
                  <c:strCache>
                    <c:ptCount val="1"/>
                    <c:pt idx="0">
                      <c:v>01</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dLblPos val="r"/>
              <c:showLegendKey val="0"/>
              <c:showVal val="1"/>
              <c:showCatName val="0"/>
              <c:showSerName val="0"/>
              <c:showPercent val="0"/>
              <c:showBubbleSize val="0"/>
            </c:dLbl>
            <c:dLbl>
              <c:idx val="21"/>
              <c:tx>
                <c:strRef>
                  <c:f>'Ln1.4=Ln1.3'!$AC$32</c:f>
                  <c:strCache>
                    <c:ptCount val="1"/>
                    <c:pt idx="0">
                      <c:v>02</c:v>
                    </c:pt>
                  </c:strCache>
                </c:strRef>
              </c:tx>
              <c:dLblPos val="r"/>
              <c:showLegendKey val="0"/>
              <c:showVal val="1"/>
              <c:showCatName val="0"/>
              <c:showSerName val="0"/>
              <c:showPercent val="0"/>
              <c:showBubbleSize val="0"/>
            </c:dLbl>
            <c:dLbl>
              <c:idx val="22"/>
              <c:tx>
                <c:strRef>
                  <c:f>'Ln1.4=Ln1.3'!$AC$33</c:f>
                  <c:strCache>
                    <c:ptCount val="1"/>
                    <c:pt idx="0">
                      <c:v>03</c:v>
                    </c:pt>
                  </c:strCache>
                </c:strRef>
              </c:tx>
              <c:dLblPos val="r"/>
              <c:showLegendKey val="0"/>
              <c:showVal val="1"/>
              <c:showCatName val="0"/>
              <c:showSerName val="0"/>
              <c:showPercent val="0"/>
              <c:showBubbleSize val="0"/>
            </c:dLbl>
            <c:dLbl>
              <c:idx val="23"/>
              <c:tx>
                <c:strRef>
                  <c:f>'Ln1.4=Ln1.3'!$AC$34</c:f>
                  <c:strCache>
                    <c:ptCount val="1"/>
                    <c:pt idx="0">
                      <c:v>04</c:v>
                    </c:pt>
                  </c:strCache>
                </c:strRef>
              </c:tx>
              <c:dLblPos val="r"/>
              <c:showLegendKey val="0"/>
              <c:showVal val="1"/>
              <c:showCatName val="0"/>
              <c:showSerName val="0"/>
              <c:showPercent val="0"/>
              <c:showBubbleSize val="0"/>
            </c:dLbl>
            <c:dLbl>
              <c:idx val="24"/>
              <c:tx>
                <c:strRef>
                  <c:f>'Ln1.4=Ln1.3'!$AC$35</c:f>
                  <c:strCache>
                    <c:ptCount val="1"/>
                    <c:pt idx="0">
                      <c:v>05</c:v>
                    </c:pt>
                  </c:strCache>
                </c:strRef>
              </c:tx>
              <c:dLblPos val="r"/>
              <c:showLegendKey val="0"/>
              <c:showVal val="1"/>
              <c:showCatName val="0"/>
              <c:showSerName val="0"/>
              <c:showPercent val="0"/>
              <c:showBubbleSize val="0"/>
            </c:dLbl>
            <c:dLbl>
              <c:idx val="25"/>
              <c:tx>
                <c:strRef>
                  <c:f>'Ln1.4=Ln1.3'!$AC$36</c:f>
                  <c:strCache>
                    <c:ptCount val="1"/>
                    <c:pt idx="0">
                      <c:v>06</c:v>
                    </c:pt>
                  </c:strCache>
                </c:strRef>
              </c:tx>
              <c:dLblPos val="r"/>
              <c:showLegendKey val="0"/>
              <c:showVal val="1"/>
              <c:showCatName val="0"/>
              <c:showSerName val="0"/>
              <c:showPercent val="0"/>
              <c:showBubbleSize val="0"/>
            </c:dLbl>
            <c:dLbl>
              <c:idx val="26"/>
              <c:tx>
                <c:strRef>
                  <c:f>'Ln1.4=Ln1.3'!$AC$37</c:f>
                  <c:strCache>
                    <c:ptCount val="1"/>
                    <c:pt idx="0">
                      <c:v>07</c:v>
                    </c:pt>
                  </c:strCache>
                </c:strRef>
              </c:tx>
              <c:dLblPos val="r"/>
              <c:showLegendKey val="0"/>
              <c:showVal val="1"/>
              <c:showCatName val="0"/>
              <c:showSerName val="0"/>
              <c:showPercent val="0"/>
              <c:showBubbleSize val="0"/>
            </c:dLbl>
            <c:dLbl>
              <c:idx val="27"/>
              <c:tx>
                <c:strRef>
                  <c:f>'Ln1.4=Ln1.3'!$AC$38</c:f>
                  <c:strCache>
                    <c:ptCount val="1"/>
                    <c:pt idx="0">
                      <c:v>08</c:v>
                    </c:pt>
                  </c:strCache>
                </c:strRef>
              </c:tx>
              <c:dLblPos val="r"/>
              <c:showLegendKey val="0"/>
              <c:showVal val="1"/>
              <c:showCatName val="0"/>
              <c:showSerName val="0"/>
              <c:showPercent val="0"/>
              <c:showBubbleSize val="0"/>
            </c:dLbl>
            <c:dLbl>
              <c:idx val="28"/>
              <c:tx>
                <c:strRef>
                  <c:f>'Ln1.4=Ln1.3'!$AC$39</c:f>
                  <c:strCache>
                    <c:ptCount val="1"/>
                    <c:pt idx="0">
                      <c:v>09</c:v>
                    </c:pt>
                  </c:strCache>
                </c:strRef>
              </c:tx>
              <c:dLblPos val="r"/>
              <c:showLegendKey val="0"/>
              <c:showVal val="1"/>
              <c:showCatName val="0"/>
              <c:showSerName val="0"/>
              <c:showPercent val="0"/>
              <c:showBubbleSize val="0"/>
            </c:dLbl>
            <c:dLbl>
              <c:idx val="29"/>
              <c:tx>
                <c:strRef>
                  <c:f>'Ln1.4=Ln1.3'!$AC$40</c:f>
                  <c:strCache>
                    <c:ptCount val="1"/>
                    <c:pt idx="0">
                      <c:v>10</c:v>
                    </c:pt>
                  </c:strCache>
                </c:strRef>
              </c:tx>
              <c:dLblPos val="r"/>
              <c:showLegendKey val="0"/>
              <c:showVal val="1"/>
              <c:showCatName val="0"/>
              <c:showSerName val="0"/>
              <c:showPercent val="0"/>
              <c:showBubbleSize val="0"/>
            </c:dLbl>
            <c:dLblPos val="r"/>
            <c:showLegendKey val="0"/>
            <c:showVal val="1"/>
            <c:showCatName val="0"/>
            <c:showSerName val="0"/>
            <c:showPercent val="0"/>
            <c:showBubbleSize val="0"/>
            <c:showLeaderLines val="0"/>
          </c:dLbls>
          <c:trendline>
            <c:trendlineType val="linear"/>
            <c:dispRSqr val="1"/>
            <c:dispEq val="1"/>
            <c:trendlineLbl>
              <c:layout>
                <c:manualLayout>
                  <c:x val="6.3211845354773685E-2"/>
                  <c:y val="-0.34678861942257277"/>
                </c:manualLayout>
              </c:layout>
              <c:numFmt formatCode="General" sourceLinked="0"/>
            </c:trendlineLbl>
          </c:trendline>
          <c:xVal>
            <c:numRef>
              <c:f>'Ln1.4=Ln1.3'!$Z$11:$Z$42</c:f>
              <c:numCache>
                <c:formatCode>General</c:formatCode>
                <c:ptCount val="32"/>
                <c:pt idx="0">
                  <c:v>7.7827025714270546</c:v>
                </c:pt>
                <c:pt idx="1">
                  <c:v>9.0623403675341656</c:v>
                </c:pt>
                <c:pt idx="2">
                  <c:v>10.13504358499859</c:v>
                </c:pt>
                <c:pt idx="3">
                  <c:v>10.431687290277248</c:v>
                </c:pt>
                <c:pt idx="4">
                  <c:v>9.4867647439893457</c:v>
                </c:pt>
                <c:pt idx="5">
                  <c:v>9.4124522170203111</c:v>
                </c:pt>
                <c:pt idx="6">
                  <c:v>9.9934902869486333</c:v>
                </c:pt>
                <c:pt idx="7">
                  <c:v>9.2071524487385759</c:v>
                </c:pt>
                <c:pt idx="8">
                  <c:v>8.9586545817934145</c:v>
                </c:pt>
                <c:pt idx="9">
                  <c:v>8.9353240460756513</c:v>
                </c:pt>
                <c:pt idx="10">
                  <c:v>8.6042949606337302</c:v>
                </c:pt>
                <c:pt idx="11">
                  <c:v>9.8900490779554673</c:v>
                </c:pt>
                <c:pt idx="12">
                  <c:v>9.1458366599460579</c:v>
                </c:pt>
                <c:pt idx="13">
                  <c:v>10.352881735694568</c:v>
                </c:pt>
                <c:pt idx="14">
                  <c:v>10.364719107135071</c:v>
                </c:pt>
                <c:pt idx="15">
                  <c:v>10.932271267111018</c:v>
                </c:pt>
                <c:pt idx="16">
                  <c:v>10.656044336780424</c:v>
                </c:pt>
                <c:pt idx="17">
                  <c:v>10.933752274858877</c:v>
                </c:pt>
                <c:pt idx="18">
                  <c:v>11.130952477925446</c:v>
                </c:pt>
                <c:pt idx="19">
                  <c:v>10.927145676643779</c:v>
                </c:pt>
                <c:pt idx="20">
                  <c:v>10.78923861340083</c:v>
                </c:pt>
                <c:pt idx="21">
                  <c:v>10.932946823519012</c:v>
                </c:pt>
                <c:pt idx="22">
                  <c:v>10.803088354437625</c:v>
                </c:pt>
                <c:pt idx="23">
                  <c:v>11.032103697402947</c:v>
                </c:pt>
                <c:pt idx="24">
                  <c:v>10.768289630773207</c:v>
                </c:pt>
                <c:pt idx="25">
                  <c:v>10.535268813895561</c:v>
                </c:pt>
                <c:pt idx="26">
                  <c:v>11.130479873503816</c:v>
                </c:pt>
                <c:pt idx="27">
                  <c:v>10.967819581276032</c:v>
                </c:pt>
                <c:pt idx="28">
                  <c:v>10.379176371820273</c:v>
                </c:pt>
                <c:pt idx="29">
                  <c:v>10.205029621448679</c:v>
                </c:pt>
                <c:pt idx="30">
                  <c:v>9.8896200751423216</c:v>
                </c:pt>
                <c:pt idx="31">
                  <c:v>10.623064262285222</c:v>
                </c:pt>
              </c:numCache>
            </c:numRef>
          </c:xVal>
          <c:yVal>
            <c:numRef>
              <c:f>'Ln1.4=Ln1.3'!$AB$11:$AB$42</c:f>
              <c:numCache>
                <c:formatCode>General</c:formatCode>
                <c:ptCount val="32"/>
                <c:pt idx="0">
                  <c:v>9.0266222849320847</c:v>
                </c:pt>
                <c:pt idx="1">
                  <c:v>9.3970948900131841</c:v>
                </c:pt>
                <c:pt idx="2">
                  <c:v>9.7404193385339362</c:v>
                </c:pt>
                <c:pt idx="3">
                  <c:v>10.004092431196456</c:v>
                </c:pt>
                <c:pt idx="4">
                  <c:v>10.165489904262202</c:v>
                </c:pt>
                <c:pt idx="5">
                  <c:v>9.5501302436281446</c:v>
                </c:pt>
                <c:pt idx="6">
                  <c:v>10.175338997470613</c:v>
                </c:pt>
                <c:pt idx="7">
                  <c:v>9.8572667978459574</c:v>
                </c:pt>
                <c:pt idx="8">
                  <c:v>9.8569871705196999</c:v>
                </c:pt>
                <c:pt idx="9">
                  <c:v>9.3718654215637898</c:v>
                </c:pt>
                <c:pt idx="10">
                  <c:v>9.3915699147220675</c:v>
                </c:pt>
                <c:pt idx="11">
                  <c:v>10.675430079793667</c:v>
                </c:pt>
                <c:pt idx="12">
                  <c:v>9.5380695207337673</c:v>
                </c:pt>
                <c:pt idx="13">
                  <c:v>10.497136035360006</c:v>
                </c:pt>
                <c:pt idx="14">
                  <c:v>10.371901569062425</c:v>
                </c:pt>
                <c:pt idx="15">
                  <c:v>10.474139220153468</c:v>
                </c:pt>
                <c:pt idx="16">
                  <c:v>10.173574540562221</c:v>
                </c:pt>
                <c:pt idx="17">
                  <c:v>10.297389612131679</c:v>
                </c:pt>
                <c:pt idx="18">
                  <c:v>10.233885379277817</c:v>
                </c:pt>
                <c:pt idx="19">
                  <c:v>9.6805214018126637</c:v>
                </c:pt>
                <c:pt idx="20">
                  <c:v>9.6203579044648269</c:v>
                </c:pt>
                <c:pt idx="21">
                  <c:v>9.5569926764167583</c:v>
                </c:pt>
                <c:pt idx="22">
                  <c:v>10.094707271345696</c:v>
                </c:pt>
                <c:pt idx="23">
                  <c:v>10.166442378556209</c:v>
                </c:pt>
                <c:pt idx="24">
                  <c:v>9.9183556610394348</c:v>
                </c:pt>
                <c:pt idx="25">
                  <c:v>9.7025697851178307</c:v>
                </c:pt>
                <c:pt idx="26">
                  <c:v>10.020350510159048</c:v>
                </c:pt>
                <c:pt idx="27">
                  <c:v>9.7436231850942363</c:v>
                </c:pt>
                <c:pt idx="28">
                  <c:v>9.1721890248461087</c:v>
                </c:pt>
                <c:pt idx="29">
                  <c:v>8.8186735071419058</c:v>
                </c:pt>
                <c:pt idx="30">
                  <c:v>8.6999836364458236</c:v>
                </c:pt>
                <c:pt idx="31">
                  <c:v>8.5808976884951669</c:v>
                </c:pt>
              </c:numCache>
            </c:numRef>
          </c:yVal>
          <c:smooth val="0"/>
        </c:ser>
        <c:ser>
          <c:idx val="1"/>
          <c:order val="1"/>
          <c:spPr>
            <a:ln w="3175">
              <a:solidFill>
                <a:srgbClr val="0000FF"/>
              </a:solidFill>
              <a:prstDash val="solid"/>
            </a:ln>
          </c:spPr>
          <c:marker>
            <c:symbol val="none"/>
          </c:marker>
          <c:xVal>
            <c:numRef>
              <c:f>'Ln1.4=Ln1.3'!$Z$11:$Z$40</c:f>
              <c:numCache>
                <c:formatCode>General</c:formatCode>
                <c:ptCount val="30"/>
                <c:pt idx="0">
                  <c:v>7.7827025714270546</c:v>
                </c:pt>
                <c:pt idx="1">
                  <c:v>9.0623403675341656</c:v>
                </c:pt>
                <c:pt idx="2">
                  <c:v>10.13504358499859</c:v>
                </c:pt>
                <c:pt idx="3">
                  <c:v>10.431687290277248</c:v>
                </c:pt>
                <c:pt idx="4">
                  <c:v>9.4867647439893457</c:v>
                </c:pt>
                <c:pt idx="5">
                  <c:v>9.4124522170203111</c:v>
                </c:pt>
                <c:pt idx="6">
                  <c:v>9.9934902869486333</c:v>
                </c:pt>
                <c:pt idx="7">
                  <c:v>9.2071524487385759</c:v>
                </c:pt>
                <c:pt idx="8">
                  <c:v>8.9586545817934145</c:v>
                </c:pt>
                <c:pt idx="9">
                  <c:v>8.9353240460756513</c:v>
                </c:pt>
                <c:pt idx="10">
                  <c:v>8.6042949606337302</c:v>
                </c:pt>
                <c:pt idx="11">
                  <c:v>9.8900490779554673</c:v>
                </c:pt>
                <c:pt idx="12">
                  <c:v>9.1458366599460579</c:v>
                </c:pt>
                <c:pt idx="13">
                  <c:v>10.352881735694568</c:v>
                </c:pt>
                <c:pt idx="14">
                  <c:v>10.364719107135071</c:v>
                </c:pt>
                <c:pt idx="15">
                  <c:v>10.932271267111018</c:v>
                </c:pt>
                <c:pt idx="16">
                  <c:v>10.656044336780424</c:v>
                </c:pt>
                <c:pt idx="17">
                  <c:v>10.933752274858877</c:v>
                </c:pt>
                <c:pt idx="18">
                  <c:v>11.130952477925446</c:v>
                </c:pt>
                <c:pt idx="19">
                  <c:v>10.927145676643779</c:v>
                </c:pt>
                <c:pt idx="20">
                  <c:v>10.78923861340083</c:v>
                </c:pt>
                <c:pt idx="21">
                  <c:v>10.932946823519012</c:v>
                </c:pt>
                <c:pt idx="22">
                  <c:v>10.803088354437625</c:v>
                </c:pt>
                <c:pt idx="23">
                  <c:v>11.032103697402947</c:v>
                </c:pt>
                <c:pt idx="24">
                  <c:v>10.768289630773207</c:v>
                </c:pt>
                <c:pt idx="25">
                  <c:v>10.535268813895561</c:v>
                </c:pt>
                <c:pt idx="26">
                  <c:v>11.130479873503816</c:v>
                </c:pt>
                <c:pt idx="27">
                  <c:v>10.967819581276032</c:v>
                </c:pt>
                <c:pt idx="28">
                  <c:v>10.379176371820273</c:v>
                </c:pt>
                <c:pt idx="29">
                  <c:v>10.205029621448679</c:v>
                </c:pt>
              </c:numCache>
            </c:numRef>
          </c:xVal>
          <c:yVal>
            <c:numRef>
              <c:f>'Ln1.4=Ln1.3'!$AD$11:$AD$40</c:f>
              <c:numCache>
                <c:formatCode>0.0000</c:formatCode>
                <c:ptCount val="30"/>
                <c:pt idx="0">
                  <c:v>8.6453594208319284</c:v>
                </c:pt>
                <c:pt idx="1">
                  <c:v>8.9764020731792904</c:v>
                </c:pt>
                <c:pt idx="2">
                  <c:v>9.2539106927052863</c:v>
                </c:pt>
                <c:pt idx="3">
                  <c:v>9.3306525014392463</c:v>
                </c:pt>
                <c:pt idx="4">
                  <c:v>9.0862007769453346</c:v>
                </c:pt>
                <c:pt idx="5">
                  <c:v>9.0669761056318556</c:v>
                </c:pt>
                <c:pt idx="6">
                  <c:v>9.2172908152856508</c:v>
                </c:pt>
                <c:pt idx="7">
                  <c:v>9.0138649987037542</c:v>
                </c:pt>
                <c:pt idx="8">
                  <c:v>8.9495785316843772</c:v>
                </c:pt>
                <c:pt idx="9">
                  <c:v>8.9435429156309993</c:v>
                </c:pt>
                <c:pt idx="10">
                  <c:v>8.8579055995231197</c:v>
                </c:pt>
                <c:pt idx="11">
                  <c:v>9.1905305458630924</c:v>
                </c:pt>
                <c:pt idx="12">
                  <c:v>8.9980025871569893</c:v>
                </c:pt>
                <c:pt idx="13">
                  <c:v>9.3102654826374263</c:v>
                </c:pt>
                <c:pt idx="14">
                  <c:v>9.3133278139083568</c:v>
                </c:pt>
                <c:pt idx="15">
                  <c:v>9.4601537149215105</c:v>
                </c:pt>
                <c:pt idx="16">
                  <c:v>9.3886937315226184</c:v>
                </c:pt>
                <c:pt idx="17">
                  <c:v>9.4605368520361601</c:v>
                </c:pt>
                <c:pt idx="18">
                  <c:v>9.5115525991992982</c:v>
                </c:pt>
                <c:pt idx="19">
                  <c:v>9.4588277232477083</c:v>
                </c:pt>
                <c:pt idx="20">
                  <c:v>9.4231511277827522</c:v>
                </c:pt>
                <c:pt idx="21">
                  <c:v>9.4603284815514055</c:v>
                </c:pt>
                <c:pt idx="22">
                  <c:v>9.4267340596257245</c:v>
                </c:pt>
                <c:pt idx="23">
                  <c:v>9.48598039229433</c:v>
                </c:pt>
                <c:pt idx="24">
                  <c:v>9.4177316201735479</c:v>
                </c:pt>
                <c:pt idx="25">
                  <c:v>9.3574490702942015</c:v>
                </c:pt>
                <c:pt idx="26">
                  <c:v>9.5114303363044996</c:v>
                </c:pt>
                <c:pt idx="27">
                  <c:v>9.4693500736438487</c:v>
                </c:pt>
                <c:pt idx="28">
                  <c:v>9.3170679122874738</c:v>
                </c:pt>
                <c:pt idx="29">
                  <c:v>9.2720160997229595</c:v>
                </c:pt>
              </c:numCache>
            </c:numRef>
          </c:yVal>
          <c:smooth val="0"/>
        </c:ser>
        <c:ser>
          <c:idx val="2"/>
          <c:order val="2"/>
          <c:spPr>
            <a:ln w="3175">
              <a:solidFill>
                <a:srgbClr val="996666"/>
              </a:solidFill>
              <a:prstDash val="solid"/>
            </a:ln>
          </c:spPr>
          <c:marker>
            <c:symbol val="none"/>
          </c:marker>
          <c:xVal>
            <c:numRef>
              <c:f>'Ln1.4=Ln1.3'!$Z$11:$Z$40</c:f>
              <c:numCache>
                <c:formatCode>General</c:formatCode>
                <c:ptCount val="30"/>
                <c:pt idx="0">
                  <c:v>7.7827025714270546</c:v>
                </c:pt>
                <c:pt idx="1">
                  <c:v>9.0623403675341656</c:v>
                </c:pt>
                <c:pt idx="2">
                  <c:v>10.13504358499859</c:v>
                </c:pt>
                <c:pt idx="3">
                  <c:v>10.431687290277248</c:v>
                </c:pt>
                <c:pt idx="4">
                  <c:v>9.4867647439893457</c:v>
                </c:pt>
                <c:pt idx="5">
                  <c:v>9.4124522170203111</c:v>
                </c:pt>
                <c:pt idx="6">
                  <c:v>9.9934902869486333</c:v>
                </c:pt>
                <c:pt idx="7">
                  <c:v>9.2071524487385759</c:v>
                </c:pt>
                <c:pt idx="8">
                  <c:v>8.9586545817934145</c:v>
                </c:pt>
                <c:pt idx="9">
                  <c:v>8.9353240460756513</c:v>
                </c:pt>
                <c:pt idx="10">
                  <c:v>8.6042949606337302</c:v>
                </c:pt>
                <c:pt idx="11">
                  <c:v>9.8900490779554673</c:v>
                </c:pt>
                <c:pt idx="12">
                  <c:v>9.1458366599460579</c:v>
                </c:pt>
                <c:pt idx="13">
                  <c:v>10.352881735694568</c:v>
                </c:pt>
                <c:pt idx="14">
                  <c:v>10.364719107135071</c:v>
                </c:pt>
                <c:pt idx="15">
                  <c:v>10.932271267111018</c:v>
                </c:pt>
                <c:pt idx="16">
                  <c:v>10.656044336780424</c:v>
                </c:pt>
                <c:pt idx="17">
                  <c:v>10.933752274858877</c:v>
                </c:pt>
                <c:pt idx="18">
                  <c:v>11.130952477925446</c:v>
                </c:pt>
                <c:pt idx="19">
                  <c:v>10.927145676643779</c:v>
                </c:pt>
                <c:pt idx="20">
                  <c:v>10.78923861340083</c:v>
                </c:pt>
                <c:pt idx="21">
                  <c:v>10.932946823519012</c:v>
                </c:pt>
                <c:pt idx="22">
                  <c:v>10.803088354437625</c:v>
                </c:pt>
                <c:pt idx="23">
                  <c:v>11.032103697402947</c:v>
                </c:pt>
                <c:pt idx="24">
                  <c:v>10.768289630773207</c:v>
                </c:pt>
                <c:pt idx="25">
                  <c:v>10.535268813895561</c:v>
                </c:pt>
                <c:pt idx="26">
                  <c:v>11.130479873503816</c:v>
                </c:pt>
                <c:pt idx="27">
                  <c:v>10.967819581276032</c:v>
                </c:pt>
                <c:pt idx="28">
                  <c:v>10.379176371820273</c:v>
                </c:pt>
                <c:pt idx="29">
                  <c:v>10.205029621448679</c:v>
                </c:pt>
              </c:numCache>
            </c:numRef>
          </c:xVal>
          <c:yVal>
            <c:numRef>
              <c:f>'Ln1.4=Ln1.3'!$AE$11:$AE$40</c:f>
              <c:numCache>
                <c:formatCode>0.0000</c:formatCode>
                <c:ptCount val="30"/>
                <c:pt idx="0">
                  <c:v>10.084788844529937</c:v>
                </c:pt>
                <c:pt idx="1">
                  <c:v>10.415831496877299</c:v>
                </c:pt>
                <c:pt idx="2">
                  <c:v>10.693340116403295</c:v>
                </c:pt>
                <c:pt idx="3">
                  <c:v>10.770081925137255</c:v>
                </c:pt>
                <c:pt idx="4">
                  <c:v>10.525630200643343</c:v>
                </c:pt>
                <c:pt idx="5">
                  <c:v>10.506405529329864</c:v>
                </c:pt>
                <c:pt idx="6">
                  <c:v>10.656720238983659</c:v>
                </c:pt>
                <c:pt idx="7">
                  <c:v>10.453294422401763</c:v>
                </c:pt>
                <c:pt idx="8">
                  <c:v>10.389007955382386</c:v>
                </c:pt>
                <c:pt idx="9">
                  <c:v>10.382972339329008</c:v>
                </c:pt>
                <c:pt idx="10">
                  <c:v>10.297335023221128</c:v>
                </c:pt>
                <c:pt idx="11">
                  <c:v>10.629959969561101</c:v>
                </c:pt>
                <c:pt idx="12">
                  <c:v>10.437432010854998</c:v>
                </c:pt>
                <c:pt idx="13">
                  <c:v>10.749694906335435</c:v>
                </c:pt>
                <c:pt idx="14">
                  <c:v>10.752757237606366</c:v>
                </c:pt>
                <c:pt idx="15">
                  <c:v>10.899583138619519</c:v>
                </c:pt>
                <c:pt idx="16">
                  <c:v>10.828123155220627</c:v>
                </c:pt>
                <c:pt idx="17">
                  <c:v>10.899966275734169</c:v>
                </c:pt>
                <c:pt idx="18">
                  <c:v>10.950982022897307</c:v>
                </c:pt>
                <c:pt idx="19">
                  <c:v>10.898257146945717</c:v>
                </c:pt>
                <c:pt idx="20">
                  <c:v>10.862580551480761</c:v>
                </c:pt>
                <c:pt idx="21">
                  <c:v>10.899757905249414</c:v>
                </c:pt>
                <c:pt idx="22">
                  <c:v>10.866163483323733</c:v>
                </c:pt>
                <c:pt idx="23">
                  <c:v>10.925409815992339</c:v>
                </c:pt>
                <c:pt idx="24">
                  <c:v>10.857161043871557</c:v>
                </c:pt>
                <c:pt idx="25">
                  <c:v>10.79687849399221</c:v>
                </c:pt>
                <c:pt idx="26">
                  <c:v>10.950859760002508</c:v>
                </c:pt>
                <c:pt idx="27">
                  <c:v>10.908779497341857</c:v>
                </c:pt>
                <c:pt idx="28">
                  <c:v>10.756497335985483</c:v>
                </c:pt>
                <c:pt idx="29">
                  <c:v>10.711445523420968</c:v>
                </c:pt>
              </c:numCache>
            </c:numRef>
          </c:yVal>
          <c:smooth val="0"/>
        </c:ser>
        <c:ser>
          <c:idx val="4"/>
          <c:order val="3"/>
          <c:spPr>
            <a:ln w="12700">
              <a:solidFill>
                <a:srgbClr val="000000"/>
              </a:solidFill>
              <a:prstDash val="solid"/>
            </a:ln>
          </c:spPr>
          <c:marker>
            <c:symbol val="none"/>
          </c:marker>
          <c:xVal>
            <c:numRef>
              <c:f>'Ln1.4=Ln1.3'!$Z$11:$Z$40</c:f>
              <c:numCache>
                <c:formatCode>General</c:formatCode>
                <c:ptCount val="30"/>
                <c:pt idx="0">
                  <c:v>7.7827025714270546</c:v>
                </c:pt>
                <c:pt idx="1">
                  <c:v>9.0623403675341656</c:v>
                </c:pt>
                <c:pt idx="2">
                  <c:v>10.13504358499859</c:v>
                </c:pt>
                <c:pt idx="3">
                  <c:v>10.431687290277248</c:v>
                </c:pt>
                <c:pt idx="4">
                  <c:v>9.4867647439893457</c:v>
                </c:pt>
                <c:pt idx="5">
                  <c:v>9.4124522170203111</c:v>
                </c:pt>
                <c:pt idx="6">
                  <c:v>9.9934902869486333</c:v>
                </c:pt>
                <c:pt idx="7">
                  <c:v>9.2071524487385759</c:v>
                </c:pt>
                <c:pt idx="8">
                  <c:v>8.9586545817934145</c:v>
                </c:pt>
                <c:pt idx="9">
                  <c:v>8.9353240460756513</c:v>
                </c:pt>
                <c:pt idx="10">
                  <c:v>8.6042949606337302</c:v>
                </c:pt>
                <c:pt idx="11">
                  <c:v>9.8900490779554673</c:v>
                </c:pt>
                <c:pt idx="12">
                  <c:v>9.1458366599460579</c:v>
                </c:pt>
                <c:pt idx="13">
                  <c:v>10.352881735694568</c:v>
                </c:pt>
                <c:pt idx="14">
                  <c:v>10.364719107135071</c:v>
                </c:pt>
                <c:pt idx="15">
                  <c:v>10.932271267111018</c:v>
                </c:pt>
                <c:pt idx="16">
                  <c:v>10.656044336780424</c:v>
                </c:pt>
                <c:pt idx="17">
                  <c:v>10.933752274858877</c:v>
                </c:pt>
                <c:pt idx="18">
                  <c:v>11.130952477925446</c:v>
                </c:pt>
                <c:pt idx="19">
                  <c:v>10.927145676643779</c:v>
                </c:pt>
                <c:pt idx="20">
                  <c:v>10.78923861340083</c:v>
                </c:pt>
                <c:pt idx="21">
                  <c:v>10.932946823519012</c:v>
                </c:pt>
                <c:pt idx="22">
                  <c:v>10.803088354437625</c:v>
                </c:pt>
                <c:pt idx="23">
                  <c:v>11.032103697402947</c:v>
                </c:pt>
                <c:pt idx="24">
                  <c:v>10.768289630773207</c:v>
                </c:pt>
                <c:pt idx="25">
                  <c:v>10.535268813895561</c:v>
                </c:pt>
                <c:pt idx="26">
                  <c:v>11.130479873503816</c:v>
                </c:pt>
                <c:pt idx="27">
                  <c:v>10.967819581276032</c:v>
                </c:pt>
                <c:pt idx="28">
                  <c:v>10.379176371820273</c:v>
                </c:pt>
                <c:pt idx="29">
                  <c:v>10.205029621448679</c:v>
                </c:pt>
              </c:numCache>
            </c:numRef>
          </c:xVal>
          <c:yVal>
            <c:numRef>
              <c:f>'Ln1.4=Ln1.3'!$AA$11:$AA$40</c:f>
              <c:numCache>
                <c:formatCode>0.0000_)</c:formatCode>
                <c:ptCount val="30"/>
                <c:pt idx="0">
                  <c:v>9.3650741326809328</c:v>
                </c:pt>
                <c:pt idx="1">
                  <c:v>9.6961167850282948</c:v>
                </c:pt>
                <c:pt idx="2">
                  <c:v>9.9736254045542907</c:v>
                </c:pt>
                <c:pt idx="3">
                  <c:v>10.050367213288251</c:v>
                </c:pt>
                <c:pt idx="4">
                  <c:v>9.8059154887943389</c:v>
                </c:pt>
                <c:pt idx="5">
                  <c:v>9.78669081748086</c:v>
                </c:pt>
                <c:pt idx="6">
                  <c:v>9.9370055271346551</c:v>
                </c:pt>
                <c:pt idx="7">
                  <c:v>9.7335797105527586</c:v>
                </c:pt>
                <c:pt idx="8">
                  <c:v>9.6692932435333816</c:v>
                </c:pt>
                <c:pt idx="9">
                  <c:v>9.6632576274800037</c:v>
                </c:pt>
                <c:pt idx="10">
                  <c:v>9.5776203113721241</c:v>
                </c:pt>
                <c:pt idx="11">
                  <c:v>9.9102452577120967</c:v>
                </c:pt>
                <c:pt idx="12">
                  <c:v>9.7177172990059937</c:v>
                </c:pt>
                <c:pt idx="13">
                  <c:v>10.029980194486431</c:v>
                </c:pt>
                <c:pt idx="14">
                  <c:v>10.033042525757361</c:v>
                </c:pt>
                <c:pt idx="15">
                  <c:v>10.179868426770515</c:v>
                </c:pt>
                <c:pt idx="16">
                  <c:v>10.108408443371623</c:v>
                </c:pt>
                <c:pt idx="17">
                  <c:v>10.180251563885165</c:v>
                </c:pt>
                <c:pt idx="18">
                  <c:v>10.231267311048303</c:v>
                </c:pt>
                <c:pt idx="19">
                  <c:v>10.178542435096713</c:v>
                </c:pt>
                <c:pt idx="20">
                  <c:v>10.142865839631757</c:v>
                </c:pt>
                <c:pt idx="21">
                  <c:v>10.18004319340041</c:v>
                </c:pt>
                <c:pt idx="22">
                  <c:v>10.146448771474729</c:v>
                </c:pt>
                <c:pt idx="23">
                  <c:v>10.205695104143334</c:v>
                </c:pt>
                <c:pt idx="24">
                  <c:v>10.137446332022552</c:v>
                </c:pt>
                <c:pt idx="25">
                  <c:v>10.077163782143206</c:v>
                </c:pt>
                <c:pt idx="26">
                  <c:v>10.231145048153504</c:v>
                </c:pt>
                <c:pt idx="27">
                  <c:v>10.189064785492853</c:v>
                </c:pt>
                <c:pt idx="28">
                  <c:v>10.036782624136478</c:v>
                </c:pt>
                <c:pt idx="29">
                  <c:v>9.9917308115719639</c:v>
                </c:pt>
              </c:numCache>
            </c:numRef>
          </c:yVal>
          <c:smooth val="0"/>
        </c:ser>
        <c:ser>
          <c:idx val="3"/>
          <c:order val="4"/>
          <c:spPr>
            <a:ln w="28575">
              <a:noFill/>
            </a:ln>
          </c:spPr>
          <c:marker>
            <c:symbol val="triangle"/>
            <c:size val="7"/>
            <c:spPr>
              <a:solidFill>
                <a:srgbClr val="000000"/>
              </a:solidFill>
              <a:ln>
                <a:solidFill>
                  <a:srgbClr val="000000"/>
                </a:solidFill>
                <a:prstDash val="solid"/>
              </a:ln>
            </c:spPr>
          </c:marker>
          <c:xVal>
            <c:numRef>
              <c:f>'Ln1.4=Ln1.3'!$Z$11:$Z$45</c:f>
              <c:numCache>
                <c:formatCode>General</c:formatCode>
                <c:ptCount val="35"/>
                <c:pt idx="0">
                  <c:v>7.7827025714270546</c:v>
                </c:pt>
                <c:pt idx="1">
                  <c:v>9.0623403675341656</c:v>
                </c:pt>
                <c:pt idx="2">
                  <c:v>10.13504358499859</c:v>
                </c:pt>
                <c:pt idx="3">
                  <c:v>10.431687290277248</c:v>
                </c:pt>
                <c:pt idx="4">
                  <c:v>9.4867647439893457</c:v>
                </c:pt>
                <c:pt idx="5">
                  <c:v>9.4124522170203111</c:v>
                </c:pt>
                <c:pt idx="6">
                  <c:v>9.9934902869486333</c:v>
                </c:pt>
                <c:pt idx="7">
                  <c:v>9.2071524487385759</c:v>
                </c:pt>
                <c:pt idx="8">
                  <c:v>8.9586545817934145</c:v>
                </c:pt>
                <c:pt idx="9">
                  <c:v>8.9353240460756513</c:v>
                </c:pt>
                <c:pt idx="10">
                  <c:v>8.6042949606337302</c:v>
                </c:pt>
                <c:pt idx="11">
                  <c:v>9.8900490779554673</c:v>
                </c:pt>
                <c:pt idx="12">
                  <c:v>9.1458366599460579</c:v>
                </c:pt>
                <c:pt idx="13">
                  <c:v>10.352881735694568</c:v>
                </c:pt>
                <c:pt idx="14">
                  <c:v>10.364719107135071</c:v>
                </c:pt>
                <c:pt idx="15">
                  <c:v>10.932271267111018</c:v>
                </c:pt>
                <c:pt idx="16">
                  <c:v>10.656044336780424</c:v>
                </c:pt>
                <c:pt idx="17">
                  <c:v>10.933752274858877</c:v>
                </c:pt>
                <c:pt idx="18">
                  <c:v>11.130952477925446</c:v>
                </c:pt>
                <c:pt idx="19">
                  <c:v>10.927145676643779</c:v>
                </c:pt>
                <c:pt idx="20">
                  <c:v>10.78923861340083</c:v>
                </c:pt>
                <c:pt idx="21">
                  <c:v>10.932946823519012</c:v>
                </c:pt>
                <c:pt idx="22">
                  <c:v>10.803088354437625</c:v>
                </c:pt>
                <c:pt idx="23">
                  <c:v>11.032103697402947</c:v>
                </c:pt>
                <c:pt idx="24">
                  <c:v>10.768289630773207</c:v>
                </c:pt>
                <c:pt idx="25">
                  <c:v>10.535268813895561</c:v>
                </c:pt>
                <c:pt idx="26">
                  <c:v>11.130479873503816</c:v>
                </c:pt>
                <c:pt idx="27">
                  <c:v>10.967819581276032</c:v>
                </c:pt>
                <c:pt idx="28">
                  <c:v>10.379176371820273</c:v>
                </c:pt>
                <c:pt idx="29">
                  <c:v>10.205029621448679</c:v>
                </c:pt>
                <c:pt idx="30">
                  <c:v>9.8896200751423216</c:v>
                </c:pt>
                <c:pt idx="31">
                  <c:v>10.623064262285222</c:v>
                </c:pt>
                <c:pt idx="32">
                  <c:v>10.473047734898355</c:v>
                </c:pt>
                <c:pt idx="34" formatCode="0.00">
                  <c:v>10.180696807910829</c:v>
                </c:pt>
              </c:numCache>
            </c:numRef>
          </c:xVal>
          <c:yVal>
            <c:numRef>
              <c:f>'Ln1.4=Ln1.3'!$AF$11:$AF$45</c:f>
              <c:numCache>
                <c:formatCode>General</c:formatCode>
                <c:ptCount val="35"/>
                <c:pt idx="34" formatCode="0.0000_)">
                  <c:v>9.9854359059688704</c:v>
                </c:pt>
              </c:numCache>
            </c:numRef>
          </c:yVal>
          <c:smooth val="0"/>
        </c:ser>
        <c:dLbls>
          <c:showLegendKey val="0"/>
          <c:showVal val="0"/>
          <c:showCatName val="0"/>
          <c:showSerName val="0"/>
          <c:showPercent val="0"/>
          <c:showBubbleSize val="0"/>
        </c:dLbls>
        <c:axId val="130540288"/>
        <c:axId val="130542592"/>
      </c:scatterChart>
      <c:valAx>
        <c:axId val="130540288"/>
        <c:scaling>
          <c:orientation val="minMax"/>
          <c:min val="8.5"/>
        </c:scaling>
        <c:delete val="0"/>
        <c:axPos val="b"/>
        <c:title>
          <c:tx>
            <c:rich>
              <a:bodyPr/>
              <a:lstStyle/>
              <a:p>
                <a:pPr>
                  <a:defRPr sz="1200" b="1" i="0" u="none" strike="noStrike" baseline="0">
                    <a:solidFill>
                      <a:srgbClr val="000000"/>
                    </a:solidFill>
                    <a:latin typeface="Arial"/>
                    <a:ea typeface="Arial"/>
                    <a:cs typeface="Arial"/>
                  </a:defRPr>
                </a:pPr>
                <a:r>
                  <a:rPr lang="en-US"/>
                  <a:t>Ln(1.3)</a:t>
                </a:r>
              </a:p>
            </c:rich>
          </c:tx>
          <c:layout>
            <c:manualLayout>
              <c:xMode val="edge"/>
              <c:yMode val="edge"/>
              <c:x val="0.49367156413662139"/>
              <c:y val="0.88494224061151761"/>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30542592"/>
        <c:crosses val="autoZero"/>
        <c:crossBetween val="midCat"/>
      </c:valAx>
      <c:valAx>
        <c:axId val="130542592"/>
        <c:scaling>
          <c:orientation val="minMax"/>
          <c:min val="8"/>
        </c:scaling>
        <c:delete val="0"/>
        <c:axPos val="l"/>
        <c:majorGridlines>
          <c:spPr>
            <a:ln w="3175">
              <a:solidFill>
                <a:srgbClr val="C0C0C0"/>
              </a:solidFill>
              <a:prstDash val="sysDash"/>
            </a:ln>
          </c:spPr>
        </c:majorGridlines>
        <c:title>
          <c:tx>
            <c:rich>
              <a:bodyPr/>
              <a:lstStyle/>
              <a:p>
                <a:pPr>
                  <a:defRPr sz="1200" b="1" i="0" u="none" strike="noStrike" baseline="0">
                    <a:solidFill>
                      <a:srgbClr val="000000"/>
                    </a:solidFill>
                    <a:latin typeface="Arial"/>
                    <a:ea typeface="Arial"/>
                    <a:cs typeface="Arial"/>
                  </a:defRPr>
                </a:pPr>
                <a:r>
                  <a:rPr lang="en-US"/>
                  <a:t>Ln(1.4)</a:t>
                </a:r>
              </a:p>
            </c:rich>
          </c:tx>
          <c:layout>
            <c:manualLayout>
              <c:xMode val="edge"/>
              <c:yMode val="edge"/>
              <c:x val="1.5471188619666273E-2"/>
              <c:y val="0.4111681921005713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30540288"/>
        <c:crosses val="autoZero"/>
        <c:crossBetween val="midCat"/>
        <c:majorUnit val="0.5"/>
      </c:valAx>
      <c:spPr>
        <a:solidFill>
          <a:srgbClr val="FFFFFF"/>
        </a:solidFill>
        <a:ln w="25400">
          <a:noFill/>
        </a:ln>
      </c:spPr>
    </c:plotArea>
    <c:legend>
      <c:legendPos val="b"/>
      <c:layout>
        <c:manualLayout>
          <c:xMode val="edge"/>
          <c:yMode val="edge"/>
          <c:x val="9.4233603410693853E-2"/>
          <c:y val="0.94416399667538575"/>
          <c:w val="0.87763833624288612"/>
          <c:h val="3.8917153984827736E-2"/>
        </c:manualLayout>
      </c:layout>
      <c:overlay val="0"/>
      <c:spPr>
        <a:solidFill>
          <a:srgbClr val="FFFFFF"/>
        </a:solidFill>
        <a:ln w="25400">
          <a:noFill/>
        </a:ln>
      </c:spPr>
      <c:txPr>
        <a:bodyPr/>
        <a:lstStyle/>
        <a:p>
          <a:pPr>
            <a:defRPr sz="9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0278" r="0.75000000000000278"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Times New Roman"/>
                <a:ea typeface="Times New Roman"/>
                <a:cs typeface="Times New Roman"/>
              </a:defRPr>
            </a:pPr>
            <a:r>
              <a:rPr lang="en-US"/>
              <a:t>Observations and regression line</a:t>
            </a:r>
          </a:p>
        </c:rich>
      </c:tx>
      <c:layout>
        <c:manualLayout>
          <c:xMode val="edge"/>
          <c:yMode val="edge"/>
          <c:x val="0.40681618453826585"/>
          <c:y val="3.4682129868883596E-2"/>
        </c:manualLayout>
      </c:layout>
      <c:overlay val="0"/>
      <c:spPr>
        <a:noFill/>
        <a:ln w="25400">
          <a:noFill/>
        </a:ln>
      </c:spPr>
    </c:title>
    <c:autoTitleDeleted val="0"/>
    <c:plotArea>
      <c:layout>
        <c:manualLayout>
          <c:layoutTarget val="inner"/>
          <c:xMode val="edge"/>
          <c:yMode val="edge"/>
          <c:x val="5.3248191693489842E-2"/>
          <c:y val="0.16763029436627094"/>
          <c:w val="0.92332364396511823"/>
          <c:h val="0.67919170993230382"/>
        </c:manualLayout>
      </c:layout>
      <c:scatterChart>
        <c:scatterStyle val="lineMarker"/>
        <c:varyColors val="0"/>
        <c:ser>
          <c:idx val="0"/>
          <c:order val="0"/>
          <c:tx>
            <c:strRef>
              <c:f>'Linear Regression'!$E$63</c:f>
              <c:strCache>
                <c:ptCount val="1"/>
                <c:pt idx="0">
                  <c:v>10.28686085</c:v>
                </c:pt>
              </c:strCache>
            </c:strRef>
          </c:tx>
          <c:spPr>
            <a:ln w="28575">
              <a:noFill/>
            </a:ln>
          </c:spPr>
          <c:marker>
            <c:symbol val="circle"/>
            <c:size val="5"/>
            <c:spPr>
              <a:solidFill>
                <a:srgbClr val="FF0000"/>
              </a:solidFill>
              <a:ln>
                <a:solidFill>
                  <a:srgbClr val="FF0000"/>
                </a:solidFill>
                <a:prstDash val="solid"/>
              </a:ln>
            </c:spPr>
          </c:marker>
          <c:xVal>
            <c:numRef>
              <c:f>'Linear Regression'!$D$64:$D$88</c:f>
              <c:numCache>
                <c:formatCode>0.000</c:formatCode>
                <c:ptCount val="25"/>
                <c:pt idx="0">
                  <c:v>8.3339640077467898</c:v>
                </c:pt>
                <c:pt idx="1">
                  <c:v>7.9208539438314238</c:v>
                </c:pt>
                <c:pt idx="2">
                  <c:v>7.0318197718057061</c:v>
                </c:pt>
                <c:pt idx="3">
                  <c:v>8.137296461638476</c:v>
                </c:pt>
                <c:pt idx="4">
                  <c:v>8.0674888933612454</c:v>
                </c:pt>
                <c:pt idx="5">
                  <c:v>7.0344709337083833</c:v>
                </c:pt>
                <c:pt idx="6">
                  <c:v>7.3256315010300197</c:v>
                </c:pt>
                <c:pt idx="7">
                  <c:v>7.0544782454746455</c:v>
                </c:pt>
                <c:pt idx="8">
                  <c:v>7.6123227568174423</c:v>
                </c:pt>
                <c:pt idx="9">
                  <c:v>7.441476431073812</c:v>
                </c:pt>
                <c:pt idx="10">
                  <c:v>7.7482165633620141</c:v>
                </c:pt>
                <c:pt idx="11">
                  <c:v>8.0142885800603185</c:v>
                </c:pt>
                <c:pt idx="12">
                  <c:v>8.1167899122756957</c:v>
                </c:pt>
                <c:pt idx="13">
                  <c:v>8.5402114237869746</c:v>
                </c:pt>
                <c:pt idx="14">
                  <c:v>8.5428184657409094</c:v>
                </c:pt>
                <c:pt idx="15">
                  <c:v>8.9040168391425318</c:v>
                </c:pt>
                <c:pt idx="16">
                  <c:v>8.7280159474840087</c:v>
                </c:pt>
                <c:pt idx="17">
                  <c:v>9.1310467208944601</c:v>
                </c:pt>
                <c:pt idx="18">
                  <c:v>8.3530039854300533</c:v>
                </c:pt>
                <c:pt idx="19">
                  <c:v>9.1791120316712416</c:v>
                </c:pt>
                <c:pt idx="20">
                  <c:v>9.1345342790197055</c:v>
                </c:pt>
                <c:pt idx="21">
                  <c:v>8.6164021903793095</c:v>
                </c:pt>
                <c:pt idx="22">
                  <c:v>8.5165609549320731</c:v>
                </c:pt>
                <c:pt idx="23">
                  <c:v>8.4156237872522635</c:v>
                </c:pt>
                <c:pt idx="24">
                  <c:v>9.3593667428840597</c:v>
                </c:pt>
              </c:numCache>
            </c:numRef>
          </c:xVal>
          <c:yVal>
            <c:numRef>
              <c:f>'Linear Regression'!$E$64:$E$88</c:f>
              <c:numCache>
                <c:formatCode>0.000</c:formatCode>
                <c:ptCount val="25"/>
                <c:pt idx="0">
                  <c:v>10.725877252815192</c:v>
                </c:pt>
                <c:pt idx="1">
                  <c:v>9.7165493001335186</c:v>
                </c:pt>
                <c:pt idx="2">
                  <c:v>9.6021026389355413</c:v>
                </c:pt>
                <c:pt idx="3">
                  <c:v>10.297824903410435</c:v>
                </c:pt>
                <c:pt idx="4">
                  <c:v>9.5244400585853572</c:v>
                </c:pt>
                <c:pt idx="5">
                  <c:v>9.4064781293538378</c:v>
                </c:pt>
                <c:pt idx="6">
                  <c:v>9.3149219084753181</c:v>
                </c:pt>
                <c:pt idx="7">
                  <c:v>9.0718764097379854</c:v>
                </c:pt>
                <c:pt idx="8">
                  <c:v>10.289823313496736</c:v>
                </c:pt>
                <c:pt idx="9">
                  <c:v>8.8515347430675373</c:v>
                </c:pt>
                <c:pt idx="10">
                  <c:v>10.275244353074381</c:v>
                </c:pt>
                <c:pt idx="11">
                  <c:v>10.136340880191563</c:v>
                </c:pt>
                <c:pt idx="12">
                  <c:v>10.750790077334518</c:v>
                </c:pt>
                <c:pt idx="13">
                  <c:v>10.509569182443961</c:v>
                </c:pt>
                <c:pt idx="14">
                  <c:v>10.722295417865729</c:v>
                </c:pt>
                <c:pt idx="15">
                  <c:v>11.004120163228457</c:v>
                </c:pt>
                <c:pt idx="16">
                  <c:v>10.815852875061397</c:v>
                </c:pt>
                <c:pt idx="17">
                  <c:v>10.803922512200318</c:v>
                </c:pt>
                <c:pt idx="18">
                  <c:v>10.864168522131981</c:v>
                </c:pt>
                <c:pt idx="19">
                  <c:v>10.708056717042606</c:v>
                </c:pt>
                <c:pt idx="20">
                  <c:v>10.994477680867268</c:v>
                </c:pt>
                <c:pt idx="21">
                  <c:v>10.605659612459453</c:v>
                </c:pt>
                <c:pt idx="22">
                  <c:v>10.540930529216613</c:v>
                </c:pt>
                <c:pt idx="23">
                  <c:v>10.701877606168955</c:v>
                </c:pt>
                <c:pt idx="24">
                  <c:v>10.679491324869399</c:v>
                </c:pt>
              </c:numCache>
            </c:numRef>
          </c:yVal>
          <c:smooth val="0"/>
        </c:ser>
        <c:ser>
          <c:idx val="1"/>
          <c:order val="1"/>
          <c:spPr>
            <a:ln w="12700">
              <a:solidFill>
                <a:srgbClr val="000000"/>
              </a:solidFill>
              <a:prstDash val="solid"/>
            </a:ln>
          </c:spPr>
          <c:marker>
            <c:symbol val="none"/>
          </c:marker>
          <c:xVal>
            <c:numRef>
              <c:f>Sheet2!$A$1:$A$2</c:f>
              <c:numCache>
                <c:formatCode>0.000</c:formatCode>
                <c:ptCount val="2"/>
                <c:pt idx="0">
                  <c:v>7.0318197718057061</c:v>
                </c:pt>
                <c:pt idx="1">
                  <c:v>9.3593667428840597</c:v>
                </c:pt>
              </c:numCache>
            </c:numRef>
          </c:xVal>
          <c:yVal>
            <c:numRef>
              <c:f>Sheet2!$B$1:$B$2</c:f>
              <c:numCache>
                <c:formatCode>0.000</c:formatCode>
                <c:ptCount val="2"/>
                <c:pt idx="0">
                  <c:v>9.3644284148547623</c:v>
                </c:pt>
                <c:pt idx="1">
                  <c:v>11.165802390574306</c:v>
                </c:pt>
              </c:numCache>
            </c:numRef>
          </c:yVal>
          <c:smooth val="0"/>
        </c:ser>
        <c:ser>
          <c:idx val="2"/>
          <c:order val="2"/>
          <c:spPr>
            <a:ln w="12700">
              <a:solidFill>
                <a:srgbClr val="808080"/>
              </a:solidFill>
              <a:prstDash val="solid"/>
            </a:ln>
          </c:spPr>
          <c:marker>
            <c:symbol val="none"/>
          </c:marker>
          <c:xVal>
            <c:numRef>
              <c:f>Sheet2!$C$1:$C$151</c:f>
              <c:numCache>
                <c:formatCode>0.000</c:formatCode>
                <c:ptCount val="151"/>
                <c:pt idx="0">
                  <c:v>7.0318197718057061</c:v>
                </c:pt>
                <c:pt idx="1">
                  <c:v>7.0473367516128951</c:v>
                </c:pt>
                <c:pt idx="2">
                  <c:v>7.0628537314200841</c:v>
                </c:pt>
                <c:pt idx="3">
                  <c:v>7.0783707112272731</c:v>
                </c:pt>
                <c:pt idx="4">
                  <c:v>7.0938876910344622</c:v>
                </c:pt>
                <c:pt idx="5">
                  <c:v>7.1094046708416512</c:v>
                </c:pt>
                <c:pt idx="6">
                  <c:v>7.1249216506488402</c:v>
                </c:pt>
                <c:pt idx="7">
                  <c:v>7.1404386304560292</c:v>
                </c:pt>
                <c:pt idx="8">
                  <c:v>7.1559556102632182</c:v>
                </c:pt>
                <c:pt idx="9">
                  <c:v>7.1714725900704073</c:v>
                </c:pt>
                <c:pt idx="10">
                  <c:v>7.1869895698775963</c:v>
                </c:pt>
                <c:pt idx="11">
                  <c:v>7.2025065496847853</c:v>
                </c:pt>
                <c:pt idx="12">
                  <c:v>7.2180235294919743</c:v>
                </c:pt>
                <c:pt idx="13">
                  <c:v>7.2335405092991634</c:v>
                </c:pt>
                <c:pt idx="14">
                  <c:v>7.2490574891063524</c:v>
                </c:pt>
                <c:pt idx="15">
                  <c:v>7.2645744689135414</c:v>
                </c:pt>
                <c:pt idx="16">
                  <c:v>7.2800914487207304</c:v>
                </c:pt>
                <c:pt idx="17">
                  <c:v>7.2956084285279195</c:v>
                </c:pt>
                <c:pt idx="18">
                  <c:v>7.3111254083351085</c:v>
                </c:pt>
                <c:pt idx="19">
                  <c:v>7.3266423881422975</c:v>
                </c:pt>
                <c:pt idx="20">
                  <c:v>7.3421593679494865</c:v>
                </c:pt>
                <c:pt idx="21">
                  <c:v>7.3576763477566756</c:v>
                </c:pt>
                <c:pt idx="22">
                  <c:v>7.3731933275638646</c:v>
                </c:pt>
                <c:pt idx="23">
                  <c:v>7.3887103073710536</c:v>
                </c:pt>
                <c:pt idx="24">
                  <c:v>7.4042272871782426</c:v>
                </c:pt>
                <c:pt idx="25">
                  <c:v>7.4197442669854317</c:v>
                </c:pt>
                <c:pt idx="26">
                  <c:v>7.4352612467926207</c:v>
                </c:pt>
                <c:pt idx="27">
                  <c:v>7.4507782265998097</c:v>
                </c:pt>
                <c:pt idx="28">
                  <c:v>7.4662952064069987</c:v>
                </c:pt>
                <c:pt idx="29">
                  <c:v>7.4818121862141878</c:v>
                </c:pt>
                <c:pt idx="30">
                  <c:v>7.4973291660213768</c:v>
                </c:pt>
                <c:pt idx="31">
                  <c:v>7.5128461458285658</c:v>
                </c:pt>
                <c:pt idx="32">
                  <c:v>7.5283631256357548</c:v>
                </c:pt>
                <c:pt idx="33">
                  <c:v>7.5438801054429439</c:v>
                </c:pt>
                <c:pt idx="34">
                  <c:v>7.5593970852501329</c:v>
                </c:pt>
                <c:pt idx="35">
                  <c:v>7.5749140650573219</c:v>
                </c:pt>
                <c:pt idx="36">
                  <c:v>7.5904310448645109</c:v>
                </c:pt>
                <c:pt idx="37">
                  <c:v>7.6059480246716999</c:v>
                </c:pt>
                <c:pt idx="38">
                  <c:v>7.621465004478889</c:v>
                </c:pt>
                <c:pt idx="39">
                  <c:v>7.636981984286078</c:v>
                </c:pt>
                <c:pt idx="40">
                  <c:v>7.652498964093267</c:v>
                </c:pt>
                <c:pt idx="41">
                  <c:v>7.668015943900456</c:v>
                </c:pt>
                <c:pt idx="42">
                  <c:v>7.6835329237076451</c:v>
                </c:pt>
                <c:pt idx="43">
                  <c:v>7.6990499035148341</c:v>
                </c:pt>
                <c:pt idx="44">
                  <c:v>7.7145668833220231</c:v>
                </c:pt>
                <c:pt idx="45">
                  <c:v>7.7300838631292121</c:v>
                </c:pt>
                <c:pt idx="46">
                  <c:v>7.7456008429364012</c:v>
                </c:pt>
                <c:pt idx="47">
                  <c:v>7.7611178227435902</c:v>
                </c:pt>
                <c:pt idx="48">
                  <c:v>7.7766348025507792</c:v>
                </c:pt>
                <c:pt idx="49">
                  <c:v>7.7921517823579682</c:v>
                </c:pt>
                <c:pt idx="50">
                  <c:v>7.8076687621651573</c:v>
                </c:pt>
                <c:pt idx="51">
                  <c:v>7.8231857419723463</c:v>
                </c:pt>
                <c:pt idx="52">
                  <c:v>7.8387027217795353</c:v>
                </c:pt>
                <c:pt idx="53">
                  <c:v>7.8542197015867243</c:v>
                </c:pt>
                <c:pt idx="54">
                  <c:v>7.8697366813939134</c:v>
                </c:pt>
                <c:pt idx="55">
                  <c:v>7.8852536612011024</c:v>
                </c:pt>
                <c:pt idx="56">
                  <c:v>7.9007706410082914</c:v>
                </c:pt>
                <c:pt idx="57">
                  <c:v>7.9162876208154804</c:v>
                </c:pt>
                <c:pt idx="58">
                  <c:v>7.9318046006226695</c:v>
                </c:pt>
                <c:pt idx="59">
                  <c:v>7.9473215804298585</c:v>
                </c:pt>
                <c:pt idx="60">
                  <c:v>7.9628385602370475</c:v>
                </c:pt>
                <c:pt idx="61">
                  <c:v>7.9783555400442365</c:v>
                </c:pt>
                <c:pt idx="62">
                  <c:v>7.9938725198514256</c:v>
                </c:pt>
                <c:pt idx="63">
                  <c:v>8.0093894996586137</c:v>
                </c:pt>
                <c:pt idx="64">
                  <c:v>8.0249064794658036</c:v>
                </c:pt>
                <c:pt idx="65">
                  <c:v>8.0404234592729935</c:v>
                </c:pt>
                <c:pt idx="66">
                  <c:v>8.0559404390801816</c:v>
                </c:pt>
                <c:pt idx="67">
                  <c:v>8.0714574188873698</c:v>
                </c:pt>
                <c:pt idx="68">
                  <c:v>8.0869743986945597</c:v>
                </c:pt>
                <c:pt idx="69">
                  <c:v>8.1024913785017496</c:v>
                </c:pt>
                <c:pt idx="70">
                  <c:v>8.1180083583089377</c:v>
                </c:pt>
                <c:pt idx="71">
                  <c:v>8.1335253381161259</c:v>
                </c:pt>
                <c:pt idx="72">
                  <c:v>8.1490423179233158</c:v>
                </c:pt>
                <c:pt idx="73">
                  <c:v>8.1645592977305057</c:v>
                </c:pt>
                <c:pt idx="74">
                  <c:v>8.1800762775376938</c:v>
                </c:pt>
                <c:pt idx="75">
                  <c:v>8.195593257344882</c:v>
                </c:pt>
                <c:pt idx="76">
                  <c:v>8.2111102371520719</c:v>
                </c:pt>
                <c:pt idx="77">
                  <c:v>8.2266272169592618</c:v>
                </c:pt>
                <c:pt idx="78">
                  <c:v>8.2421441967664499</c:v>
                </c:pt>
                <c:pt idx="79">
                  <c:v>8.2576611765736381</c:v>
                </c:pt>
                <c:pt idx="80">
                  <c:v>8.273178156380828</c:v>
                </c:pt>
                <c:pt idx="81">
                  <c:v>8.2886951361880179</c:v>
                </c:pt>
                <c:pt idx="82">
                  <c:v>8.304212115995206</c:v>
                </c:pt>
                <c:pt idx="83">
                  <c:v>8.3197290958023942</c:v>
                </c:pt>
                <c:pt idx="84">
                  <c:v>8.3352460756095841</c:v>
                </c:pt>
                <c:pt idx="85">
                  <c:v>8.350763055416774</c:v>
                </c:pt>
                <c:pt idx="86">
                  <c:v>8.3662800352239621</c:v>
                </c:pt>
                <c:pt idx="87">
                  <c:v>8.3817970150311503</c:v>
                </c:pt>
                <c:pt idx="88">
                  <c:v>8.3973139948383402</c:v>
                </c:pt>
                <c:pt idx="89">
                  <c:v>8.4128309746455301</c:v>
                </c:pt>
                <c:pt idx="90">
                  <c:v>8.4283479544527182</c:v>
                </c:pt>
                <c:pt idx="91">
                  <c:v>8.4438649342599064</c:v>
                </c:pt>
                <c:pt idx="92">
                  <c:v>8.4593819140670963</c:v>
                </c:pt>
                <c:pt idx="93">
                  <c:v>8.4748988938742862</c:v>
                </c:pt>
                <c:pt idx="94">
                  <c:v>8.4904158736814743</c:v>
                </c:pt>
                <c:pt idx="95">
                  <c:v>8.5059328534886625</c:v>
                </c:pt>
                <c:pt idx="96">
                  <c:v>8.5214498332958524</c:v>
                </c:pt>
                <c:pt idx="97">
                  <c:v>8.5369668131030423</c:v>
                </c:pt>
                <c:pt idx="98">
                  <c:v>8.5524837929102304</c:v>
                </c:pt>
                <c:pt idx="99">
                  <c:v>8.5680007727174186</c:v>
                </c:pt>
                <c:pt idx="100">
                  <c:v>8.5835177525246085</c:v>
                </c:pt>
                <c:pt idx="101">
                  <c:v>8.5990347323317984</c:v>
                </c:pt>
                <c:pt idx="102">
                  <c:v>8.6145517121389865</c:v>
                </c:pt>
                <c:pt idx="103">
                  <c:v>8.6300686919461747</c:v>
                </c:pt>
                <c:pt idx="104">
                  <c:v>8.6455856717533646</c:v>
                </c:pt>
                <c:pt idx="105">
                  <c:v>8.6611026515605545</c:v>
                </c:pt>
                <c:pt idx="106">
                  <c:v>8.6766196313677426</c:v>
                </c:pt>
                <c:pt idx="107">
                  <c:v>8.6921366111749307</c:v>
                </c:pt>
                <c:pt idx="108">
                  <c:v>8.7076535909821207</c:v>
                </c:pt>
                <c:pt idx="109">
                  <c:v>8.7231705707893106</c:v>
                </c:pt>
                <c:pt idx="110">
                  <c:v>8.7386875505964987</c:v>
                </c:pt>
                <c:pt idx="111">
                  <c:v>8.7542045304036868</c:v>
                </c:pt>
                <c:pt idx="112">
                  <c:v>8.7697215102108768</c:v>
                </c:pt>
                <c:pt idx="113">
                  <c:v>8.7852384900180667</c:v>
                </c:pt>
                <c:pt idx="114">
                  <c:v>8.8007554698252548</c:v>
                </c:pt>
                <c:pt idx="115">
                  <c:v>8.8162724496324429</c:v>
                </c:pt>
                <c:pt idx="116">
                  <c:v>8.8317894294396329</c:v>
                </c:pt>
                <c:pt idx="117">
                  <c:v>8.8473064092468228</c:v>
                </c:pt>
                <c:pt idx="118">
                  <c:v>8.8628233890540109</c:v>
                </c:pt>
                <c:pt idx="119">
                  <c:v>8.878340368861199</c:v>
                </c:pt>
                <c:pt idx="120">
                  <c:v>8.893857348668389</c:v>
                </c:pt>
                <c:pt idx="121">
                  <c:v>8.9093743284755789</c:v>
                </c:pt>
                <c:pt idx="122">
                  <c:v>8.924891308282767</c:v>
                </c:pt>
                <c:pt idx="123">
                  <c:v>8.9404082880899551</c:v>
                </c:pt>
                <c:pt idx="124">
                  <c:v>8.955925267897145</c:v>
                </c:pt>
                <c:pt idx="125">
                  <c:v>8.971442247704335</c:v>
                </c:pt>
                <c:pt idx="126">
                  <c:v>8.9869592275115231</c:v>
                </c:pt>
                <c:pt idx="127">
                  <c:v>9.0024762073187112</c:v>
                </c:pt>
                <c:pt idx="128">
                  <c:v>9.0179931871259011</c:v>
                </c:pt>
                <c:pt idx="129">
                  <c:v>9.0335101669330911</c:v>
                </c:pt>
                <c:pt idx="130">
                  <c:v>9.0490271467402792</c:v>
                </c:pt>
                <c:pt idx="131">
                  <c:v>9.0645441265474673</c:v>
                </c:pt>
                <c:pt idx="132">
                  <c:v>9.0800611063546572</c:v>
                </c:pt>
                <c:pt idx="133">
                  <c:v>9.0955780861618472</c:v>
                </c:pt>
                <c:pt idx="134">
                  <c:v>9.1110950659690353</c:v>
                </c:pt>
                <c:pt idx="135">
                  <c:v>9.1266120457762234</c:v>
                </c:pt>
                <c:pt idx="136">
                  <c:v>9.1421290255834133</c:v>
                </c:pt>
                <c:pt idx="137">
                  <c:v>9.1576460053906032</c:v>
                </c:pt>
                <c:pt idx="138">
                  <c:v>9.1731629851977914</c:v>
                </c:pt>
                <c:pt idx="139">
                  <c:v>9.1886799650049795</c:v>
                </c:pt>
                <c:pt idx="140">
                  <c:v>9.2041969448121694</c:v>
                </c:pt>
                <c:pt idx="141">
                  <c:v>9.2197139246193593</c:v>
                </c:pt>
                <c:pt idx="142">
                  <c:v>9.2352309044265475</c:v>
                </c:pt>
                <c:pt idx="143">
                  <c:v>9.2507478842337356</c:v>
                </c:pt>
                <c:pt idx="144">
                  <c:v>9.2662648640409255</c:v>
                </c:pt>
                <c:pt idx="145">
                  <c:v>9.2817818438481154</c:v>
                </c:pt>
                <c:pt idx="146">
                  <c:v>9.2972988236553036</c:v>
                </c:pt>
                <c:pt idx="147">
                  <c:v>9.3128158034624917</c:v>
                </c:pt>
                <c:pt idx="148">
                  <c:v>9.3283327832696816</c:v>
                </c:pt>
                <c:pt idx="149">
                  <c:v>9.3438497630768715</c:v>
                </c:pt>
                <c:pt idx="150">
                  <c:v>9.3593667428840597</c:v>
                </c:pt>
              </c:numCache>
            </c:numRef>
          </c:xVal>
          <c:yVal>
            <c:numRef>
              <c:f>Sheet2!$D$1:$D$151</c:f>
              <c:numCache>
                <c:formatCode>0.000</c:formatCode>
                <c:ptCount val="151"/>
                <c:pt idx="0">
                  <c:v>8.588954817484252</c:v>
                </c:pt>
                <c:pt idx="1">
                  <c:v>8.6009662514292167</c:v>
                </c:pt>
                <c:pt idx="2">
                  <c:v>8.6129776852028268</c:v>
                </c:pt>
                <c:pt idx="3">
                  <c:v>8.6249891188050825</c:v>
                </c:pt>
                <c:pt idx="4">
                  <c:v>8.6370005522359854</c:v>
                </c:pt>
                <c:pt idx="5">
                  <c:v>8.6490119854955321</c:v>
                </c:pt>
                <c:pt idx="6">
                  <c:v>8.6610234185837172</c:v>
                </c:pt>
                <c:pt idx="7">
                  <c:v>8.6730348515005442</c:v>
                </c:pt>
                <c:pt idx="8">
                  <c:v>8.6850462842460097</c:v>
                </c:pt>
                <c:pt idx="9">
                  <c:v>8.6970577168201135</c:v>
                </c:pt>
                <c:pt idx="10">
                  <c:v>8.7090691492228505</c:v>
                </c:pt>
                <c:pt idx="11">
                  <c:v>8.721080581454224</c:v>
                </c:pt>
                <c:pt idx="12">
                  <c:v>8.7330920135142289</c:v>
                </c:pt>
                <c:pt idx="13">
                  <c:v>8.7451034454028651</c:v>
                </c:pt>
                <c:pt idx="14">
                  <c:v>8.757114877120129</c:v>
                </c:pt>
                <c:pt idx="15">
                  <c:v>8.7691263086660225</c:v>
                </c:pt>
                <c:pt idx="16">
                  <c:v>8.7811377400405437</c:v>
                </c:pt>
                <c:pt idx="17">
                  <c:v>8.7931491712436873</c:v>
                </c:pt>
                <c:pt idx="18">
                  <c:v>8.8051606022754552</c:v>
                </c:pt>
                <c:pt idx="19">
                  <c:v>8.8171720331358472</c:v>
                </c:pt>
                <c:pt idx="20">
                  <c:v>8.8291834638248581</c:v>
                </c:pt>
                <c:pt idx="21">
                  <c:v>8.8411948943424878</c:v>
                </c:pt>
                <c:pt idx="22">
                  <c:v>8.8532063246887365</c:v>
                </c:pt>
                <c:pt idx="23">
                  <c:v>8.8652177548636004</c:v>
                </c:pt>
                <c:pt idx="24">
                  <c:v>8.8772291848670779</c:v>
                </c:pt>
                <c:pt idx="25">
                  <c:v>8.8892406146991689</c:v>
                </c:pt>
                <c:pt idx="26">
                  <c:v>8.9012520443598717</c:v>
                </c:pt>
                <c:pt idx="27">
                  <c:v>8.9132634738491863</c:v>
                </c:pt>
                <c:pt idx="28">
                  <c:v>8.9252749031671055</c:v>
                </c:pt>
                <c:pt idx="29">
                  <c:v>8.9372863323136329</c:v>
                </c:pt>
                <c:pt idx="30">
                  <c:v>8.9492977612887668</c:v>
                </c:pt>
                <c:pt idx="31">
                  <c:v>8.9613091900925053</c:v>
                </c:pt>
                <c:pt idx="32">
                  <c:v>8.9733206187248449</c:v>
                </c:pt>
                <c:pt idx="33">
                  <c:v>8.9853320471857856</c:v>
                </c:pt>
                <c:pt idx="34">
                  <c:v>8.9973434754753274</c:v>
                </c:pt>
                <c:pt idx="35">
                  <c:v>9.009354903593465</c:v>
                </c:pt>
                <c:pt idx="36">
                  <c:v>9.0213663315401984</c:v>
                </c:pt>
                <c:pt idx="37">
                  <c:v>9.0333777593155293</c:v>
                </c:pt>
                <c:pt idx="38">
                  <c:v>9.0453891869194525</c:v>
                </c:pt>
                <c:pt idx="39">
                  <c:v>9.0574006143519679</c:v>
                </c:pt>
                <c:pt idx="40">
                  <c:v>9.0694120416130719</c:v>
                </c:pt>
                <c:pt idx="41">
                  <c:v>9.0814234687027664</c:v>
                </c:pt>
                <c:pt idx="42">
                  <c:v>9.0934348956210496</c:v>
                </c:pt>
                <c:pt idx="43">
                  <c:v>9.1054463223679161</c:v>
                </c:pt>
                <c:pt idx="44">
                  <c:v>9.1174577489433695</c:v>
                </c:pt>
                <c:pt idx="45">
                  <c:v>9.1294691753474062</c:v>
                </c:pt>
                <c:pt idx="46">
                  <c:v>9.141480601580021</c:v>
                </c:pt>
                <c:pt idx="47">
                  <c:v>9.1534920276412173</c:v>
                </c:pt>
                <c:pt idx="48">
                  <c:v>9.1655034535309916</c:v>
                </c:pt>
                <c:pt idx="49">
                  <c:v>9.1775148792493439</c:v>
                </c:pt>
                <c:pt idx="50">
                  <c:v>9.1895263047962708</c:v>
                </c:pt>
                <c:pt idx="51">
                  <c:v>9.2015377301717702</c:v>
                </c:pt>
                <c:pt idx="52">
                  <c:v>9.2135491553758442</c:v>
                </c:pt>
                <c:pt idx="53">
                  <c:v>9.2255605804084908</c:v>
                </c:pt>
                <c:pt idx="54">
                  <c:v>9.237572005269703</c:v>
                </c:pt>
                <c:pt idx="55">
                  <c:v>9.2495834299594843</c:v>
                </c:pt>
                <c:pt idx="56">
                  <c:v>9.261594854477833</c:v>
                </c:pt>
                <c:pt idx="57">
                  <c:v>9.2736062788247455</c:v>
                </c:pt>
                <c:pt idx="58">
                  <c:v>9.28561770300022</c:v>
                </c:pt>
                <c:pt idx="59">
                  <c:v>9.2976291270042601</c:v>
                </c:pt>
                <c:pt idx="60">
                  <c:v>9.3096405508368587</c:v>
                </c:pt>
                <c:pt idx="61">
                  <c:v>9.3216519744980157</c:v>
                </c:pt>
                <c:pt idx="62">
                  <c:v>9.3336633979877295</c:v>
                </c:pt>
                <c:pt idx="63">
                  <c:v>9.3456748213059999</c:v>
                </c:pt>
                <c:pt idx="64">
                  <c:v>9.3576862444528253</c:v>
                </c:pt>
                <c:pt idx="65">
                  <c:v>9.369697667428202</c:v>
                </c:pt>
                <c:pt idx="66">
                  <c:v>9.3817090902321318</c:v>
                </c:pt>
                <c:pt idx="67">
                  <c:v>9.3937205128646095</c:v>
                </c:pt>
                <c:pt idx="68">
                  <c:v>9.4057319353256386</c:v>
                </c:pt>
                <c:pt idx="69">
                  <c:v>9.4177433576152136</c:v>
                </c:pt>
                <c:pt idx="70">
                  <c:v>9.4297547797333312</c:v>
                </c:pt>
                <c:pt idx="71">
                  <c:v>9.4417662016799948</c:v>
                </c:pt>
                <c:pt idx="72">
                  <c:v>9.4537776234552009</c:v>
                </c:pt>
                <c:pt idx="73">
                  <c:v>9.4657890450589477</c:v>
                </c:pt>
                <c:pt idx="74">
                  <c:v>9.4778004664912334</c:v>
                </c:pt>
                <c:pt idx="75">
                  <c:v>9.4898118877520581</c:v>
                </c:pt>
                <c:pt idx="76">
                  <c:v>9.5018233088414163</c:v>
                </c:pt>
                <c:pt idx="77">
                  <c:v>9.5138347297593118</c:v>
                </c:pt>
                <c:pt idx="78">
                  <c:v>9.5258461505057426</c:v>
                </c:pt>
                <c:pt idx="79">
                  <c:v>9.5378575710807016</c:v>
                </c:pt>
                <c:pt idx="80">
                  <c:v>9.5498689914841908</c:v>
                </c:pt>
                <c:pt idx="81">
                  <c:v>9.5618804117162117</c:v>
                </c:pt>
                <c:pt idx="82">
                  <c:v>9.5738918317767574</c:v>
                </c:pt>
                <c:pt idx="83">
                  <c:v>9.5859032516658296</c:v>
                </c:pt>
                <c:pt idx="84">
                  <c:v>9.5979146713834265</c:v>
                </c:pt>
                <c:pt idx="85">
                  <c:v>9.6099260909295481</c:v>
                </c:pt>
                <c:pt idx="86">
                  <c:v>9.6219375103041873</c:v>
                </c:pt>
                <c:pt idx="87">
                  <c:v>9.6339489295073477</c:v>
                </c:pt>
                <c:pt idx="88">
                  <c:v>9.6459603485390275</c:v>
                </c:pt>
                <c:pt idx="89">
                  <c:v>9.6579717673992249</c:v>
                </c:pt>
                <c:pt idx="90">
                  <c:v>9.6699831860879364</c:v>
                </c:pt>
                <c:pt idx="91">
                  <c:v>9.6819946046051601</c:v>
                </c:pt>
                <c:pt idx="92">
                  <c:v>9.6940060229508997</c:v>
                </c:pt>
                <c:pt idx="93">
                  <c:v>9.7060174411251481</c:v>
                </c:pt>
                <c:pt idx="94">
                  <c:v>9.7180288591279052</c:v>
                </c:pt>
                <c:pt idx="95">
                  <c:v>9.730040276959171</c:v>
                </c:pt>
                <c:pt idx="96">
                  <c:v>9.7420516946189437</c:v>
                </c:pt>
                <c:pt idx="97">
                  <c:v>9.7540631121072217</c:v>
                </c:pt>
                <c:pt idx="98">
                  <c:v>9.7660745294240012</c:v>
                </c:pt>
                <c:pt idx="99">
                  <c:v>9.7780859465692824</c:v>
                </c:pt>
                <c:pt idx="100">
                  <c:v>9.790097363543067</c:v>
                </c:pt>
                <c:pt idx="101">
                  <c:v>9.8021087803453479</c:v>
                </c:pt>
                <c:pt idx="102">
                  <c:v>9.8141201969761251</c:v>
                </c:pt>
                <c:pt idx="103">
                  <c:v>9.8261316134354004</c:v>
                </c:pt>
                <c:pt idx="104">
                  <c:v>9.838143029723172</c:v>
                </c:pt>
                <c:pt idx="105">
                  <c:v>9.8501544458394328</c:v>
                </c:pt>
                <c:pt idx="106">
                  <c:v>9.8621658617841845</c:v>
                </c:pt>
                <c:pt idx="107">
                  <c:v>9.874177277557429</c:v>
                </c:pt>
                <c:pt idx="108">
                  <c:v>9.8861886931591627</c:v>
                </c:pt>
                <c:pt idx="109">
                  <c:v>9.8982001085893803</c:v>
                </c:pt>
                <c:pt idx="110">
                  <c:v>9.9102115238480852</c:v>
                </c:pt>
                <c:pt idx="111">
                  <c:v>9.9222229389352723</c:v>
                </c:pt>
                <c:pt idx="112">
                  <c:v>9.9342343538509432</c:v>
                </c:pt>
                <c:pt idx="113">
                  <c:v>9.9462457685950945</c:v>
                </c:pt>
                <c:pt idx="114">
                  <c:v>9.9582571831677242</c:v>
                </c:pt>
                <c:pt idx="115">
                  <c:v>9.9702685975688325</c:v>
                </c:pt>
                <c:pt idx="116">
                  <c:v>9.9822800117984176</c:v>
                </c:pt>
                <c:pt idx="117">
                  <c:v>9.9942914258564777</c:v>
                </c:pt>
                <c:pt idx="118">
                  <c:v>10.006302839743011</c:v>
                </c:pt>
                <c:pt idx="119">
                  <c:v>10.018314253458017</c:v>
                </c:pt>
                <c:pt idx="120">
                  <c:v>10.030325667001492</c:v>
                </c:pt>
                <c:pt idx="121">
                  <c:v>10.042337080373438</c:v>
                </c:pt>
                <c:pt idx="122">
                  <c:v>10.054348493573849</c:v>
                </c:pt>
                <c:pt idx="123">
                  <c:v>10.066359906602727</c:v>
                </c:pt>
                <c:pt idx="124">
                  <c:v>10.078371319460068</c:v>
                </c:pt>
                <c:pt idx="125">
                  <c:v>10.090382732145876</c:v>
                </c:pt>
                <c:pt idx="126">
                  <c:v>10.102394144660142</c:v>
                </c:pt>
                <c:pt idx="127">
                  <c:v>10.114405557002868</c:v>
                </c:pt>
                <c:pt idx="128">
                  <c:v>10.126416969174052</c:v>
                </c:pt>
                <c:pt idx="129">
                  <c:v>10.138428381173698</c:v>
                </c:pt>
                <c:pt idx="130">
                  <c:v>10.150439793001794</c:v>
                </c:pt>
                <c:pt idx="131">
                  <c:v>10.162451204658344</c:v>
                </c:pt>
                <c:pt idx="132">
                  <c:v>10.17446261614335</c:v>
                </c:pt>
                <c:pt idx="133">
                  <c:v>10.186474027456805</c:v>
                </c:pt>
                <c:pt idx="134">
                  <c:v>10.198485438598709</c:v>
                </c:pt>
                <c:pt idx="135">
                  <c:v>10.210496849569061</c:v>
                </c:pt>
                <c:pt idx="136">
                  <c:v>10.222508260367862</c:v>
                </c:pt>
                <c:pt idx="137">
                  <c:v>10.234519670995107</c:v>
                </c:pt>
                <c:pt idx="138">
                  <c:v>10.246531081450794</c:v>
                </c:pt>
                <c:pt idx="139">
                  <c:v>10.258542491734921</c:v>
                </c:pt>
                <c:pt idx="140">
                  <c:v>10.270553901847492</c:v>
                </c:pt>
                <c:pt idx="141">
                  <c:v>10.282565311788503</c:v>
                </c:pt>
                <c:pt idx="142">
                  <c:v>10.294576721557949</c:v>
                </c:pt>
                <c:pt idx="143">
                  <c:v>10.306588131155831</c:v>
                </c:pt>
                <c:pt idx="144">
                  <c:v>10.31859954058215</c:v>
                </c:pt>
                <c:pt idx="145">
                  <c:v>10.330610949836901</c:v>
                </c:pt>
                <c:pt idx="146">
                  <c:v>10.342622358920082</c:v>
                </c:pt>
                <c:pt idx="147">
                  <c:v>10.354633767831693</c:v>
                </c:pt>
                <c:pt idx="148">
                  <c:v>10.366645176571735</c:v>
                </c:pt>
                <c:pt idx="149">
                  <c:v>10.378656585140202</c:v>
                </c:pt>
                <c:pt idx="150">
                  <c:v>10.390667993537095</c:v>
                </c:pt>
              </c:numCache>
            </c:numRef>
          </c:yVal>
          <c:smooth val="0"/>
        </c:ser>
        <c:ser>
          <c:idx val="3"/>
          <c:order val="3"/>
          <c:spPr>
            <a:ln w="12700">
              <a:solidFill>
                <a:srgbClr val="808080"/>
              </a:solidFill>
              <a:prstDash val="solid"/>
            </a:ln>
          </c:spPr>
          <c:marker>
            <c:symbol val="none"/>
          </c:marker>
          <c:xVal>
            <c:numRef>
              <c:f>Sheet2!$C$1:$C$151</c:f>
              <c:numCache>
                <c:formatCode>0.000</c:formatCode>
                <c:ptCount val="151"/>
                <c:pt idx="0">
                  <c:v>7.0318197718057061</c:v>
                </c:pt>
                <c:pt idx="1">
                  <c:v>7.0473367516128951</c:v>
                </c:pt>
                <c:pt idx="2">
                  <c:v>7.0628537314200841</c:v>
                </c:pt>
                <c:pt idx="3">
                  <c:v>7.0783707112272731</c:v>
                </c:pt>
                <c:pt idx="4">
                  <c:v>7.0938876910344622</c:v>
                </c:pt>
                <c:pt idx="5">
                  <c:v>7.1094046708416512</c:v>
                </c:pt>
                <c:pt idx="6">
                  <c:v>7.1249216506488402</c:v>
                </c:pt>
                <c:pt idx="7">
                  <c:v>7.1404386304560292</c:v>
                </c:pt>
                <c:pt idx="8">
                  <c:v>7.1559556102632182</c:v>
                </c:pt>
                <c:pt idx="9">
                  <c:v>7.1714725900704073</c:v>
                </c:pt>
                <c:pt idx="10">
                  <c:v>7.1869895698775963</c:v>
                </c:pt>
                <c:pt idx="11">
                  <c:v>7.2025065496847853</c:v>
                </c:pt>
                <c:pt idx="12">
                  <c:v>7.2180235294919743</c:v>
                </c:pt>
                <c:pt idx="13">
                  <c:v>7.2335405092991634</c:v>
                </c:pt>
                <c:pt idx="14">
                  <c:v>7.2490574891063524</c:v>
                </c:pt>
                <c:pt idx="15">
                  <c:v>7.2645744689135414</c:v>
                </c:pt>
                <c:pt idx="16">
                  <c:v>7.2800914487207304</c:v>
                </c:pt>
                <c:pt idx="17">
                  <c:v>7.2956084285279195</c:v>
                </c:pt>
                <c:pt idx="18">
                  <c:v>7.3111254083351085</c:v>
                </c:pt>
                <c:pt idx="19">
                  <c:v>7.3266423881422975</c:v>
                </c:pt>
                <c:pt idx="20">
                  <c:v>7.3421593679494865</c:v>
                </c:pt>
                <c:pt idx="21">
                  <c:v>7.3576763477566756</c:v>
                </c:pt>
                <c:pt idx="22">
                  <c:v>7.3731933275638646</c:v>
                </c:pt>
                <c:pt idx="23">
                  <c:v>7.3887103073710536</c:v>
                </c:pt>
                <c:pt idx="24">
                  <c:v>7.4042272871782426</c:v>
                </c:pt>
                <c:pt idx="25">
                  <c:v>7.4197442669854317</c:v>
                </c:pt>
                <c:pt idx="26">
                  <c:v>7.4352612467926207</c:v>
                </c:pt>
                <c:pt idx="27">
                  <c:v>7.4507782265998097</c:v>
                </c:pt>
                <c:pt idx="28">
                  <c:v>7.4662952064069987</c:v>
                </c:pt>
                <c:pt idx="29">
                  <c:v>7.4818121862141878</c:v>
                </c:pt>
                <c:pt idx="30">
                  <c:v>7.4973291660213768</c:v>
                </c:pt>
                <c:pt idx="31">
                  <c:v>7.5128461458285658</c:v>
                </c:pt>
                <c:pt idx="32">
                  <c:v>7.5283631256357548</c:v>
                </c:pt>
                <c:pt idx="33">
                  <c:v>7.5438801054429439</c:v>
                </c:pt>
                <c:pt idx="34">
                  <c:v>7.5593970852501329</c:v>
                </c:pt>
                <c:pt idx="35">
                  <c:v>7.5749140650573219</c:v>
                </c:pt>
                <c:pt idx="36">
                  <c:v>7.5904310448645109</c:v>
                </c:pt>
                <c:pt idx="37">
                  <c:v>7.6059480246716999</c:v>
                </c:pt>
                <c:pt idx="38">
                  <c:v>7.621465004478889</c:v>
                </c:pt>
                <c:pt idx="39">
                  <c:v>7.636981984286078</c:v>
                </c:pt>
                <c:pt idx="40">
                  <c:v>7.652498964093267</c:v>
                </c:pt>
                <c:pt idx="41">
                  <c:v>7.668015943900456</c:v>
                </c:pt>
                <c:pt idx="42">
                  <c:v>7.6835329237076451</c:v>
                </c:pt>
                <c:pt idx="43">
                  <c:v>7.6990499035148341</c:v>
                </c:pt>
                <c:pt idx="44">
                  <c:v>7.7145668833220231</c:v>
                </c:pt>
                <c:pt idx="45">
                  <c:v>7.7300838631292121</c:v>
                </c:pt>
                <c:pt idx="46">
                  <c:v>7.7456008429364012</c:v>
                </c:pt>
                <c:pt idx="47">
                  <c:v>7.7611178227435902</c:v>
                </c:pt>
                <c:pt idx="48">
                  <c:v>7.7766348025507792</c:v>
                </c:pt>
                <c:pt idx="49">
                  <c:v>7.7921517823579682</c:v>
                </c:pt>
                <c:pt idx="50">
                  <c:v>7.8076687621651573</c:v>
                </c:pt>
                <c:pt idx="51">
                  <c:v>7.8231857419723463</c:v>
                </c:pt>
                <c:pt idx="52">
                  <c:v>7.8387027217795353</c:v>
                </c:pt>
                <c:pt idx="53">
                  <c:v>7.8542197015867243</c:v>
                </c:pt>
                <c:pt idx="54">
                  <c:v>7.8697366813939134</c:v>
                </c:pt>
                <c:pt idx="55">
                  <c:v>7.8852536612011024</c:v>
                </c:pt>
                <c:pt idx="56">
                  <c:v>7.9007706410082914</c:v>
                </c:pt>
                <c:pt idx="57">
                  <c:v>7.9162876208154804</c:v>
                </c:pt>
                <c:pt idx="58">
                  <c:v>7.9318046006226695</c:v>
                </c:pt>
                <c:pt idx="59">
                  <c:v>7.9473215804298585</c:v>
                </c:pt>
                <c:pt idx="60">
                  <c:v>7.9628385602370475</c:v>
                </c:pt>
                <c:pt idx="61">
                  <c:v>7.9783555400442365</c:v>
                </c:pt>
                <c:pt idx="62">
                  <c:v>7.9938725198514256</c:v>
                </c:pt>
                <c:pt idx="63">
                  <c:v>8.0093894996586137</c:v>
                </c:pt>
                <c:pt idx="64">
                  <c:v>8.0249064794658036</c:v>
                </c:pt>
                <c:pt idx="65">
                  <c:v>8.0404234592729935</c:v>
                </c:pt>
                <c:pt idx="66">
                  <c:v>8.0559404390801816</c:v>
                </c:pt>
                <c:pt idx="67">
                  <c:v>8.0714574188873698</c:v>
                </c:pt>
                <c:pt idx="68">
                  <c:v>8.0869743986945597</c:v>
                </c:pt>
                <c:pt idx="69">
                  <c:v>8.1024913785017496</c:v>
                </c:pt>
                <c:pt idx="70">
                  <c:v>8.1180083583089377</c:v>
                </c:pt>
                <c:pt idx="71">
                  <c:v>8.1335253381161259</c:v>
                </c:pt>
                <c:pt idx="72">
                  <c:v>8.1490423179233158</c:v>
                </c:pt>
                <c:pt idx="73">
                  <c:v>8.1645592977305057</c:v>
                </c:pt>
                <c:pt idx="74">
                  <c:v>8.1800762775376938</c:v>
                </c:pt>
                <c:pt idx="75">
                  <c:v>8.195593257344882</c:v>
                </c:pt>
                <c:pt idx="76">
                  <c:v>8.2111102371520719</c:v>
                </c:pt>
                <c:pt idx="77">
                  <c:v>8.2266272169592618</c:v>
                </c:pt>
                <c:pt idx="78">
                  <c:v>8.2421441967664499</c:v>
                </c:pt>
                <c:pt idx="79">
                  <c:v>8.2576611765736381</c:v>
                </c:pt>
                <c:pt idx="80">
                  <c:v>8.273178156380828</c:v>
                </c:pt>
                <c:pt idx="81">
                  <c:v>8.2886951361880179</c:v>
                </c:pt>
                <c:pt idx="82">
                  <c:v>8.304212115995206</c:v>
                </c:pt>
                <c:pt idx="83">
                  <c:v>8.3197290958023942</c:v>
                </c:pt>
                <c:pt idx="84">
                  <c:v>8.3352460756095841</c:v>
                </c:pt>
                <c:pt idx="85">
                  <c:v>8.350763055416774</c:v>
                </c:pt>
                <c:pt idx="86">
                  <c:v>8.3662800352239621</c:v>
                </c:pt>
                <c:pt idx="87">
                  <c:v>8.3817970150311503</c:v>
                </c:pt>
                <c:pt idx="88">
                  <c:v>8.3973139948383402</c:v>
                </c:pt>
                <c:pt idx="89">
                  <c:v>8.4128309746455301</c:v>
                </c:pt>
                <c:pt idx="90">
                  <c:v>8.4283479544527182</c:v>
                </c:pt>
                <c:pt idx="91">
                  <c:v>8.4438649342599064</c:v>
                </c:pt>
                <c:pt idx="92">
                  <c:v>8.4593819140670963</c:v>
                </c:pt>
                <c:pt idx="93">
                  <c:v>8.4748988938742862</c:v>
                </c:pt>
                <c:pt idx="94">
                  <c:v>8.4904158736814743</c:v>
                </c:pt>
                <c:pt idx="95">
                  <c:v>8.5059328534886625</c:v>
                </c:pt>
                <c:pt idx="96">
                  <c:v>8.5214498332958524</c:v>
                </c:pt>
                <c:pt idx="97">
                  <c:v>8.5369668131030423</c:v>
                </c:pt>
                <c:pt idx="98">
                  <c:v>8.5524837929102304</c:v>
                </c:pt>
                <c:pt idx="99">
                  <c:v>8.5680007727174186</c:v>
                </c:pt>
                <c:pt idx="100">
                  <c:v>8.5835177525246085</c:v>
                </c:pt>
                <c:pt idx="101">
                  <c:v>8.5990347323317984</c:v>
                </c:pt>
                <c:pt idx="102">
                  <c:v>8.6145517121389865</c:v>
                </c:pt>
                <c:pt idx="103">
                  <c:v>8.6300686919461747</c:v>
                </c:pt>
                <c:pt idx="104">
                  <c:v>8.6455856717533646</c:v>
                </c:pt>
                <c:pt idx="105">
                  <c:v>8.6611026515605545</c:v>
                </c:pt>
                <c:pt idx="106">
                  <c:v>8.6766196313677426</c:v>
                </c:pt>
                <c:pt idx="107">
                  <c:v>8.6921366111749307</c:v>
                </c:pt>
                <c:pt idx="108">
                  <c:v>8.7076535909821207</c:v>
                </c:pt>
                <c:pt idx="109">
                  <c:v>8.7231705707893106</c:v>
                </c:pt>
                <c:pt idx="110">
                  <c:v>8.7386875505964987</c:v>
                </c:pt>
                <c:pt idx="111">
                  <c:v>8.7542045304036868</c:v>
                </c:pt>
                <c:pt idx="112">
                  <c:v>8.7697215102108768</c:v>
                </c:pt>
                <c:pt idx="113">
                  <c:v>8.7852384900180667</c:v>
                </c:pt>
                <c:pt idx="114">
                  <c:v>8.8007554698252548</c:v>
                </c:pt>
                <c:pt idx="115">
                  <c:v>8.8162724496324429</c:v>
                </c:pt>
                <c:pt idx="116">
                  <c:v>8.8317894294396329</c:v>
                </c:pt>
                <c:pt idx="117">
                  <c:v>8.8473064092468228</c:v>
                </c:pt>
                <c:pt idx="118">
                  <c:v>8.8628233890540109</c:v>
                </c:pt>
                <c:pt idx="119">
                  <c:v>8.878340368861199</c:v>
                </c:pt>
                <c:pt idx="120">
                  <c:v>8.893857348668389</c:v>
                </c:pt>
                <c:pt idx="121">
                  <c:v>8.9093743284755789</c:v>
                </c:pt>
                <c:pt idx="122">
                  <c:v>8.924891308282767</c:v>
                </c:pt>
                <c:pt idx="123">
                  <c:v>8.9404082880899551</c:v>
                </c:pt>
                <c:pt idx="124">
                  <c:v>8.955925267897145</c:v>
                </c:pt>
                <c:pt idx="125">
                  <c:v>8.971442247704335</c:v>
                </c:pt>
                <c:pt idx="126">
                  <c:v>8.9869592275115231</c:v>
                </c:pt>
                <c:pt idx="127">
                  <c:v>9.0024762073187112</c:v>
                </c:pt>
                <c:pt idx="128">
                  <c:v>9.0179931871259011</c:v>
                </c:pt>
                <c:pt idx="129">
                  <c:v>9.0335101669330911</c:v>
                </c:pt>
                <c:pt idx="130">
                  <c:v>9.0490271467402792</c:v>
                </c:pt>
                <c:pt idx="131">
                  <c:v>9.0645441265474673</c:v>
                </c:pt>
                <c:pt idx="132">
                  <c:v>9.0800611063546572</c:v>
                </c:pt>
                <c:pt idx="133">
                  <c:v>9.0955780861618472</c:v>
                </c:pt>
                <c:pt idx="134">
                  <c:v>9.1110950659690353</c:v>
                </c:pt>
                <c:pt idx="135">
                  <c:v>9.1266120457762234</c:v>
                </c:pt>
                <c:pt idx="136">
                  <c:v>9.1421290255834133</c:v>
                </c:pt>
                <c:pt idx="137">
                  <c:v>9.1576460053906032</c:v>
                </c:pt>
                <c:pt idx="138">
                  <c:v>9.1731629851977914</c:v>
                </c:pt>
                <c:pt idx="139">
                  <c:v>9.1886799650049795</c:v>
                </c:pt>
                <c:pt idx="140">
                  <c:v>9.2041969448121694</c:v>
                </c:pt>
                <c:pt idx="141">
                  <c:v>9.2197139246193593</c:v>
                </c:pt>
                <c:pt idx="142">
                  <c:v>9.2352309044265475</c:v>
                </c:pt>
                <c:pt idx="143">
                  <c:v>9.2507478842337356</c:v>
                </c:pt>
                <c:pt idx="144">
                  <c:v>9.2662648640409255</c:v>
                </c:pt>
                <c:pt idx="145">
                  <c:v>9.2817818438481154</c:v>
                </c:pt>
                <c:pt idx="146">
                  <c:v>9.2972988236553036</c:v>
                </c:pt>
                <c:pt idx="147">
                  <c:v>9.3128158034624917</c:v>
                </c:pt>
                <c:pt idx="148">
                  <c:v>9.3283327832696816</c:v>
                </c:pt>
                <c:pt idx="149">
                  <c:v>9.3438497630768715</c:v>
                </c:pt>
                <c:pt idx="150">
                  <c:v>9.3593667428840597</c:v>
                </c:pt>
              </c:numCache>
            </c:numRef>
          </c:xVal>
          <c:yVal>
            <c:numRef>
              <c:f>Sheet2!$E$1:$E$151</c:f>
              <c:numCache>
                <c:formatCode>0.000</c:formatCode>
                <c:ptCount val="151"/>
                <c:pt idx="0">
                  <c:v>10.139902012225273</c:v>
                </c:pt>
                <c:pt idx="1">
                  <c:v>10.15190889795657</c:v>
                </c:pt>
                <c:pt idx="2">
                  <c:v>10.163915783859219</c:v>
                </c:pt>
                <c:pt idx="3">
                  <c:v>10.175922669933222</c:v>
                </c:pt>
                <c:pt idx="4">
                  <c:v>10.187929556178581</c:v>
                </c:pt>
                <c:pt idx="5">
                  <c:v>10.199936442595297</c:v>
                </c:pt>
                <c:pt idx="6">
                  <c:v>10.21194332918337</c:v>
                </c:pt>
                <c:pt idx="7">
                  <c:v>10.223950215942802</c:v>
                </c:pt>
                <c:pt idx="8">
                  <c:v>10.235957102873599</c:v>
                </c:pt>
                <c:pt idx="9">
                  <c:v>10.247963989975757</c:v>
                </c:pt>
                <c:pt idx="10">
                  <c:v>10.259970877249279</c:v>
                </c:pt>
                <c:pt idx="11">
                  <c:v>10.271977764694167</c:v>
                </c:pt>
                <c:pt idx="12">
                  <c:v>10.283984652310425</c:v>
                </c:pt>
                <c:pt idx="13">
                  <c:v>10.295991540098047</c:v>
                </c:pt>
                <c:pt idx="14">
                  <c:v>10.307998428057042</c:v>
                </c:pt>
                <c:pt idx="15">
                  <c:v>10.320005316187411</c:v>
                </c:pt>
                <c:pt idx="16">
                  <c:v>10.332012204489152</c:v>
                </c:pt>
                <c:pt idx="17">
                  <c:v>10.344019092962267</c:v>
                </c:pt>
                <c:pt idx="18">
                  <c:v>10.356025981606757</c:v>
                </c:pt>
                <c:pt idx="19">
                  <c:v>10.368032870422628</c:v>
                </c:pt>
                <c:pt idx="20">
                  <c:v>10.380039759409879</c:v>
                </c:pt>
                <c:pt idx="21">
                  <c:v>10.392046648568508</c:v>
                </c:pt>
                <c:pt idx="22">
                  <c:v>10.404053537898521</c:v>
                </c:pt>
                <c:pt idx="23">
                  <c:v>10.41606042739992</c:v>
                </c:pt>
                <c:pt idx="24">
                  <c:v>10.428067317072701</c:v>
                </c:pt>
                <c:pt idx="25">
                  <c:v>10.440074206916869</c:v>
                </c:pt>
                <c:pt idx="26">
                  <c:v>10.452081096932428</c:v>
                </c:pt>
                <c:pt idx="27">
                  <c:v>10.464087987119376</c:v>
                </c:pt>
                <c:pt idx="28">
                  <c:v>10.476094877477715</c:v>
                </c:pt>
                <c:pt idx="29">
                  <c:v>10.488101768007446</c:v>
                </c:pt>
                <c:pt idx="30">
                  <c:v>10.500108658708575</c:v>
                </c:pt>
                <c:pt idx="31">
                  <c:v>10.512115549581099</c:v>
                </c:pt>
                <c:pt idx="32">
                  <c:v>10.524122440625018</c:v>
                </c:pt>
                <c:pt idx="33">
                  <c:v>10.536129331840339</c:v>
                </c:pt>
                <c:pt idx="34">
                  <c:v>10.548136223227059</c:v>
                </c:pt>
                <c:pt idx="35">
                  <c:v>10.560143114785181</c:v>
                </c:pt>
                <c:pt idx="36">
                  <c:v>10.572150006514706</c:v>
                </c:pt>
                <c:pt idx="37">
                  <c:v>10.584156898415637</c:v>
                </c:pt>
                <c:pt idx="38">
                  <c:v>10.596163790487976</c:v>
                </c:pt>
                <c:pt idx="39">
                  <c:v>10.608170682731719</c:v>
                </c:pt>
                <c:pt idx="40">
                  <c:v>10.620177575146874</c:v>
                </c:pt>
                <c:pt idx="41">
                  <c:v>10.632184467733442</c:v>
                </c:pt>
                <c:pt idx="42">
                  <c:v>10.644191360491421</c:v>
                </c:pt>
                <c:pt idx="43">
                  <c:v>10.656198253420813</c:v>
                </c:pt>
                <c:pt idx="44">
                  <c:v>10.668205146521622</c:v>
                </c:pt>
                <c:pt idx="45">
                  <c:v>10.680212039793847</c:v>
                </c:pt>
                <c:pt idx="46">
                  <c:v>10.692218933237491</c:v>
                </c:pt>
                <c:pt idx="47">
                  <c:v>10.704225826852554</c:v>
                </c:pt>
                <c:pt idx="48">
                  <c:v>10.716232720639042</c:v>
                </c:pt>
                <c:pt idx="49">
                  <c:v>10.728239614596951</c:v>
                </c:pt>
                <c:pt idx="50">
                  <c:v>10.740246508726283</c:v>
                </c:pt>
                <c:pt idx="51">
                  <c:v>10.752253403027042</c:v>
                </c:pt>
                <c:pt idx="52">
                  <c:v>10.764260297499231</c:v>
                </c:pt>
                <c:pt idx="53">
                  <c:v>10.776267192142846</c:v>
                </c:pt>
                <c:pt idx="54">
                  <c:v>10.788274086957893</c:v>
                </c:pt>
                <c:pt idx="55">
                  <c:v>10.800280981944374</c:v>
                </c:pt>
                <c:pt idx="56">
                  <c:v>10.812287877102287</c:v>
                </c:pt>
                <c:pt idx="57">
                  <c:v>10.824294772431633</c:v>
                </c:pt>
                <c:pt idx="58">
                  <c:v>10.836301667932418</c:v>
                </c:pt>
                <c:pt idx="59">
                  <c:v>10.84830856360464</c:v>
                </c:pt>
                <c:pt idx="60">
                  <c:v>10.860315459448303</c:v>
                </c:pt>
                <c:pt idx="61">
                  <c:v>10.872322355463405</c:v>
                </c:pt>
                <c:pt idx="62">
                  <c:v>10.88432925164995</c:v>
                </c:pt>
                <c:pt idx="63">
                  <c:v>10.896336148007942</c:v>
                </c:pt>
                <c:pt idx="64">
                  <c:v>10.908343044537379</c:v>
                </c:pt>
                <c:pt idx="65">
                  <c:v>10.920349941238261</c:v>
                </c:pt>
                <c:pt idx="66">
                  <c:v>10.932356838110593</c:v>
                </c:pt>
                <c:pt idx="67">
                  <c:v>10.944363735154374</c:v>
                </c:pt>
                <c:pt idx="68">
                  <c:v>10.956370632369607</c:v>
                </c:pt>
                <c:pt idx="69">
                  <c:v>10.968377529756294</c:v>
                </c:pt>
                <c:pt idx="70">
                  <c:v>10.980384427314435</c:v>
                </c:pt>
                <c:pt idx="71">
                  <c:v>10.99239132504403</c:v>
                </c:pt>
                <c:pt idx="72">
                  <c:v>11.004398222945087</c:v>
                </c:pt>
                <c:pt idx="73">
                  <c:v>11.016405121017602</c:v>
                </c:pt>
                <c:pt idx="74">
                  <c:v>11.028412019261575</c:v>
                </c:pt>
                <c:pt idx="75">
                  <c:v>11.040418917677012</c:v>
                </c:pt>
                <c:pt idx="76">
                  <c:v>11.052425816263913</c:v>
                </c:pt>
                <c:pt idx="77">
                  <c:v>11.06443271502228</c:v>
                </c:pt>
                <c:pt idx="78">
                  <c:v>11.076439613952111</c:v>
                </c:pt>
                <c:pt idx="79">
                  <c:v>11.088446513053411</c:v>
                </c:pt>
                <c:pt idx="80">
                  <c:v>11.10045341232618</c:v>
                </c:pt>
                <c:pt idx="81">
                  <c:v>11.112460311770425</c:v>
                </c:pt>
                <c:pt idx="82">
                  <c:v>11.124467211386138</c:v>
                </c:pt>
                <c:pt idx="83">
                  <c:v>11.136474111173325</c:v>
                </c:pt>
                <c:pt idx="84">
                  <c:v>11.148481011131986</c:v>
                </c:pt>
                <c:pt idx="85">
                  <c:v>11.16048791126213</c:v>
                </c:pt>
                <c:pt idx="86">
                  <c:v>11.17249481156375</c:v>
                </c:pt>
                <c:pt idx="87">
                  <c:v>11.184501712036848</c:v>
                </c:pt>
                <c:pt idx="88">
                  <c:v>11.196508612681431</c:v>
                </c:pt>
                <c:pt idx="89">
                  <c:v>11.208515513497495</c:v>
                </c:pt>
                <c:pt idx="90">
                  <c:v>11.220522414485043</c:v>
                </c:pt>
                <c:pt idx="91">
                  <c:v>11.232529315644078</c:v>
                </c:pt>
                <c:pt idx="92">
                  <c:v>11.2445362169746</c:v>
                </c:pt>
                <c:pt idx="93">
                  <c:v>11.256543118476614</c:v>
                </c:pt>
                <c:pt idx="94">
                  <c:v>11.268550020150116</c:v>
                </c:pt>
                <c:pt idx="95">
                  <c:v>11.280556921995109</c:v>
                </c:pt>
                <c:pt idx="96">
                  <c:v>11.292563824011598</c:v>
                </c:pt>
                <c:pt idx="97">
                  <c:v>11.304570726199582</c:v>
                </c:pt>
                <c:pt idx="98">
                  <c:v>11.316577628559061</c:v>
                </c:pt>
                <c:pt idx="99">
                  <c:v>11.328584531090039</c:v>
                </c:pt>
                <c:pt idx="100">
                  <c:v>11.34059143379252</c:v>
                </c:pt>
                <c:pt idx="101">
                  <c:v>11.352598336666498</c:v>
                </c:pt>
                <c:pt idx="102">
                  <c:v>11.364605239711979</c:v>
                </c:pt>
                <c:pt idx="103">
                  <c:v>11.376612142928963</c:v>
                </c:pt>
                <c:pt idx="104">
                  <c:v>11.388619046317457</c:v>
                </c:pt>
                <c:pt idx="105">
                  <c:v>11.400625949877455</c:v>
                </c:pt>
                <c:pt idx="106">
                  <c:v>11.412632853608962</c:v>
                </c:pt>
                <c:pt idx="107">
                  <c:v>11.424639757511979</c:v>
                </c:pt>
                <c:pt idx="108">
                  <c:v>11.436646661586508</c:v>
                </c:pt>
                <c:pt idx="109">
                  <c:v>11.448653565832549</c:v>
                </c:pt>
                <c:pt idx="110">
                  <c:v>11.460660470250106</c:v>
                </c:pt>
                <c:pt idx="111">
                  <c:v>11.472667374839178</c:v>
                </c:pt>
                <c:pt idx="112">
                  <c:v>11.484674279599769</c:v>
                </c:pt>
                <c:pt idx="113">
                  <c:v>11.49668118453188</c:v>
                </c:pt>
                <c:pt idx="114">
                  <c:v>11.508688089635509</c:v>
                </c:pt>
                <c:pt idx="115">
                  <c:v>11.520694994910659</c:v>
                </c:pt>
                <c:pt idx="116">
                  <c:v>11.532701900357337</c:v>
                </c:pt>
                <c:pt idx="117">
                  <c:v>11.544708805975539</c:v>
                </c:pt>
                <c:pt idx="118">
                  <c:v>11.556715711765264</c:v>
                </c:pt>
                <c:pt idx="119">
                  <c:v>11.56872261772652</c:v>
                </c:pt>
                <c:pt idx="120">
                  <c:v>11.580729523859304</c:v>
                </c:pt>
                <c:pt idx="121">
                  <c:v>11.592736430163621</c:v>
                </c:pt>
                <c:pt idx="122">
                  <c:v>11.604743336639471</c:v>
                </c:pt>
                <c:pt idx="123">
                  <c:v>11.616750243286852</c:v>
                </c:pt>
                <c:pt idx="124">
                  <c:v>11.62875715010577</c:v>
                </c:pt>
                <c:pt idx="125">
                  <c:v>11.640764057096227</c:v>
                </c:pt>
                <c:pt idx="126">
                  <c:v>11.65277096425822</c:v>
                </c:pt>
                <c:pt idx="127">
                  <c:v>11.664777871591753</c:v>
                </c:pt>
                <c:pt idx="128">
                  <c:v>11.676784779096828</c:v>
                </c:pt>
                <c:pt idx="129">
                  <c:v>11.688791686773447</c:v>
                </c:pt>
                <c:pt idx="130">
                  <c:v>11.70079859462161</c:v>
                </c:pt>
                <c:pt idx="131">
                  <c:v>11.712805502641318</c:v>
                </c:pt>
                <c:pt idx="132">
                  <c:v>11.724812410832575</c:v>
                </c:pt>
                <c:pt idx="133">
                  <c:v>11.736819319195382</c:v>
                </c:pt>
                <c:pt idx="134">
                  <c:v>11.748826227729737</c:v>
                </c:pt>
                <c:pt idx="135">
                  <c:v>11.760833136435643</c:v>
                </c:pt>
                <c:pt idx="136">
                  <c:v>11.772840045313105</c:v>
                </c:pt>
                <c:pt idx="137">
                  <c:v>11.784846954362122</c:v>
                </c:pt>
                <c:pt idx="138">
                  <c:v>11.796853863582694</c:v>
                </c:pt>
                <c:pt idx="139">
                  <c:v>11.808860772974825</c:v>
                </c:pt>
                <c:pt idx="140">
                  <c:v>11.820867682538516</c:v>
                </c:pt>
                <c:pt idx="141">
                  <c:v>11.832874592273768</c:v>
                </c:pt>
                <c:pt idx="142">
                  <c:v>11.844881502180581</c:v>
                </c:pt>
                <c:pt idx="143">
                  <c:v>11.856888412258957</c:v>
                </c:pt>
                <c:pt idx="144">
                  <c:v>11.868895322508903</c:v>
                </c:pt>
                <c:pt idx="145">
                  <c:v>11.880902232930412</c:v>
                </c:pt>
                <c:pt idx="146">
                  <c:v>11.892909143523489</c:v>
                </c:pt>
                <c:pt idx="147">
                  <c:v>11.904916054288137</c:v>
                </c:pt>
                <c:pt idx="148">
                  <c:v>11.91692296522436</c:v>
                </c:pt>
                <c:pt idx="149">
                  <c:v>11.928929876332152</c:v>
                </c:pt>
                <c:pt idx="150">
                  <c:v>11.940936787611518</c:v>
                </c:pt>
              </c:numCache>
            </c:numRef>
          </c:yVal>
          <c:smooth val="0"/>
        </c:ser>
        <c:ser>
          <c:idx val="4"/>
          <c:order val="4"/>
          <c:spPr>
            <a:ln w="12700">
              <a:solidFill>
                <a:srgbClr val="808080"/>
              </a:solidFill>
              <a:prstDash val="sysDash"/>
            </a:ln>
          </c:spPr>
          <c:marker>
            <c:symbol val="none"/>
          </c:marker>
          <c:xVal>
            <c:numRef>
              <c:f>Sheet2!$C$1:$C$151</c:f>
              <c:numCache>
                <c:formatCode>0.000</c:formatCode>
                <c:ptCount val="151"/>
                <c:pt idx="0">
                  <c:v>7.0318197718057061</c:v>
                </c:pt>
                <c:pt idx="1">
                  <c:v>7.0473367516128951</c:v>
                </c:pt>
                <c:pt idx="2">
                  <c:v>7.0628537314200841</c:v>
                </c:pt>
                <c:pt idx="3">
                  <c:v>7.0783707112272731</c:v>
                </c:pt>
                <c:pt idx="4">
                  <c:v>7.0938876910344622</c:v>
                </c:pt>
                <c:pt idx="5">
                  <c:v>7.1094046708416512</c:v>
                </c:pt>
                <c:pt idx="6">
                  <c:v>7.1249216506488402</c:v>
                </c:pt>
                <c:pt idx="7">
                  <c:v>7.1404386304560292</c:v>
                </c:pt>
                <c:pt idx="8">
                  <c:v>7.1559556102632182</c:v>
                </c:pt>
                <c:pt idx="9">
                  <c:v>7.1714725900704073</c:v>
                </c:pt>
                <c:pt idx="10">
                  <c:v>7.1869895698775963</c:v>
                </c:pt>
                <c:pt idx="11">
                  <c:v>7.2025065496847853</c:v>
                </c:pt>
                <c:pt idx="12">
                  <c:v>7.2180235294919743</c:v>
                </c:pt>
                <c:pt idx="13">
                  <c:v>7.2335405092991634</c:v>
                </c:pt>
                <c:pt idx="14">
                  <c:v>7.2490574891063524</c:v>
                </c:pt>
                <c:pt idx="15">
                  <c:v>7.2645744689135414</c:v>
                </c:pt>
                <c:pt idx="16">
                  <c:v>7.2800914487207304</c:v>
                </c:pt>
                <c:pt idx="17">
                  <c:v>7.2956084285279195</c:v>
                </c:pt>
                <c:pt idx="18">
                  <c:v>7.3111254083351085</c:v>
                </c:pt>
                <c:pt idx="19">
                  <c:v>7.3266423881422975</c:v>
                </c:pt>
                <c:pt idx="20">
                  <c:v>7.3421593679494865</c:v>
                </c:pt>
                <c:pt idx="21">
                  <c:v>7.3576763477566756</c:v>
                </c:pt>
                <c:pt idx="22">
                  <c:v>7.3731933275638646</c:v>
                </c:pt>
                <c:pt idx="23">
                  <c:v>7.3887103073710536</c:v>
                </c:pt>
                <c:pt idx="24">
                  <c:v>7.4042272871782426</c:v>
                </c:pt>
                <c:pt idx="25">
                  <c:v>7.4197442669854317</c:v>
                </c:pt>
                <c:pt idx="26">
                  <c:v>7.4352612467926207</c:v>
                </c:pt>
                <c:pt idx="27">
                  <c:v>7.4507782265998097</c:v>
                </c:pt>
                <c:pt idx="28">
                  <c:v>7.4662952064069987</c:v>
                </c:pt>
                <c:pt idx="29">
                  <c:v>7.4818121862141878</c:v>
                </c:pt>
                <c:pt idx="30">
                  <c:v>7.4973291660213768</c:v>
                </c:pt>
                <c:pt idx="31">
                  <c:v>7.5128461458285658</c:v>
                </c:pt>
                <c:pt idx="32">
                  <c:v>7.5283631256357548</c:v>
                </c:pt>
                <c:pt idx="33">
                  <c:v>7.5438801054429439</c:v>
                </c:pt>
                <c:pt idx="34">
                  <c:v>7.5593970852501329</c:v>
                </c:pt>
                <c:pt idx="35">
                  <c:v>7.5749140650573219</c:v>
                </c:pt>
                <c:pt idx="36">
                  <c:v>7.5904310448645109</c:v>
                </c:pt>
                <c:pt idx="37">
                  <c:v>7.6059480246716999</c:v>
                </c:pt>
                <c:pt idx="38">
                  <c:v>7.621465004478889</c:v>
                </c:pt>
                <c:pt idx="39">
                  <c:v>7.636981984286078</c:v>
                </c:pt>
                <c:pt idx="40">
                  <c:v>7.652498964093267</c:v>
                </c:pt>
                <c:pt idx="41">
                  <c:v>7.668015943900456</c:v>
                </c:pt>
                <c:pt idx="42">
                  <c:v>7.6835329237076451</c:v>
                </c:pt>
                <c:pt idx="43">
                  <c:v>7.6990499035148341</c:v>
                </c:pt>
                <c:pt idx="44">
                  <c:v>7.7145668833220231</c:v>
                </c:pt>
                <c:pt idx="45">
                  <c:v>7.7300838631292121</c:v>
                </c:pt>
                <c:pt idx="46">
                  <c:v>7.7456008429364012</c:v>
                </c:pt>
                <c:pt idx="47">
                  <c:v>7.7611178227435902</c:v>
                </c:pt>
                <c:pt idx="48">
                  <c:v>7.7766348025507792</c:v>
                </c:pt>
                <c:pt idx="49">
                  <c:v>7.7921517823579682</c:v>
                </c:pt>
                <c:pt idx="50">
                  <c:v>7.8076687621651573</c:v>
                </c:pt>
                <c:pt idx="51">
                  <c:v>7.8231857419723463</c:v>
                </c:pt>
                <c:pt idx="52">
                  <c:v>7.8387027217795353</c:v>
                </c:pt>
                <c:pt idx="53">
                  <c:v>7.8542197015867243</c:v>
                </c:pt>
                <c:pt idx="54">
                  <c:v>7.8697366813939134</c:v>
                </c:pt>
                <c:pt idx="55">
                  <c:v>7.8852536612011024</c:v>
                </c:pt>
                <c:pt idx="56">
                  <c:v>7.9007706410082914</c:v>
                </c:pt>
                <c:pt idx="57">
                  <c:v>7.9162876208154804</c:v>
                </c:pt>
                <c:pt idx="58">
                  <c:v>7.9318046006226695</c:v>
                </c:pt>
                <c:pt idx="59">
                  <c:v>7.9473215804298585</c:v>
                </c:pt>
                <c:pt idx="60">
                  <c:v>7.9628385602370475</c:v>
                </c:pt>
                <c:pt idx="61">
                  <c:v>7.9783555400442365</c:v>
                </c:pt>
                <c:pt idx="62">
                  <c:v>7.9938725198514256</c:v>
                </c:pt>
                <c:pt idx="63">
                  <c:v>8.0093894996586137</c:v>
                </c:pt>
                <c:pt idx="64">
                  <c:v>8.0249064794658036</c:v>
                </c:pt>
                <c:pt idx="65">
                  <c:v>8.0404234592729935</c:v>
                </c:pt>
                <c:pt idx="66">
                  <c:v>8.0559404390801816</c:v>
                </c:pt>
                <c:pt idx="67">
                  <c:v>8.0714574188873698</c:v>
                </c:pt>
                <c:pt idx="68">
                  <c:v>8.0869743986945597</c:v>
                </c:pt>
                <c:pt idx="69">
                  <c:v>8.1024913785017496</c:v>
                </c:pt>
                <c:pt idx="70">
                  <c:v>8.1180083583089377</c:v>
                </c:pt>
                <c:pt idx="71">
                  <c:v>8.1335253381161259</c:v>
                </c:pt>
                <c:pt idx="72">
                  <c:v>8.1490423179233158</c:v>
                </c:pt>
                <c:pt idx="73">
                  <c:v>8.1645592977305057</c:v>
                </c:pt>
                <c:pt idx="74">
                  <c:v>8.1800762775376938</c:v>
                </c:pt>
                <c:pt idx="75">
                  <c:v>8.195593257344882</c:v>
                </c:pt>
                <c:pt idx="76">
                  <c:v>8.2111102371520719</c:v>
                </c:pt>
                <c:pt idx="77">
                  <c:v>8.2266272169592618</c:v>
                </c:pt>
                <c:pt idx="78">
                  <c:v>8.2421441967664499</c:v>
                </c:pt>
                <c:pt idx="79">
                  <c:v>8.2576611765736381</c:v>
                </c:pt>
                <c:pt idx="80">
                  <c:v>8.273178156380828</c:v>
                </c:pt>
                <c:pt idx="81">
                  <c:v>8.2886951361880179</c:v>
                </c:pt>
                <c:pt idx="82">
                  <c:v>8.304212115995206</c:v>
                </c:pt>
                <c:pt idx="83">
                  <c:v>8.3197290958023942</c:v>
                </c:pt>
                <c:pt idx="84">
                  <c:v>8.3352460756095841</c:v>
                </c:pt>
                <c:pt idx="85">
                  <c:v>8.350763055416774</c:v>
                </c:pt>
                <c:pt idx="86">
                  <c:v>8.3662800352239621</c:v>
                </c:pt>
                <c:pt idx="87">
                  <c:v>8.3817970150311503</c:v>
                </c:pt>
                <c:pt idx="88">
                  <c:v>8.3973139948383402</c:v>
                </c:pt>
                <c:pt idx="89">
                  <c:v>8.4128309746455301</c:v>
                </c:pt>
                <c:pt idx="90">
                  <c:v>8.4283479544527182</c:v>
                </c:pt>
                <c:pt idx="91">
                  <c:v>8.4438649342599064</c:v>
                </c:pt>
                <c:pt idx="92">
                  <c:v>8.4593819140670963</c:v>
                </c:pt>
                <c:pt idx="93">
                  <c:v>8.4748988938742862</c:v>
                </c:pt>
                <c:pt idx="94">
                  <c:v>8.4904158736814743</c:v>
                </c:pt>
                <c:pt idx="95">
                  <c:v>8.5059328534886625</c:v>
                </c:pt>
                <c:pt idx="96">
                  <c:v>8.5214498332958524</c:v>
                </c:pt>
                <c:pt idx="97">
                  <c:v>8.5369668131030423</c:v>
                </c:pt>
                <c:pt idx="98">
                  <c:v>8.5524837929102304</c:v>
                </c:pt>
                <c:pt idx="99">
                  <c:v>8.5680007727174186</c:v>
                </c:pt>
                <c:pt idx="100">
                  <c:v>8.5835177525246085</c:v>
                </c:pt>
                <c:pt idx="101">
                  <c:v>8.5990347323317984</c:v>
                </c:pt>
                <c:pt idx="102">
                  <c:v>8.6145517121389865</c:v>
                </c:pt>
                <c:pt idx="103">
                  <c:v>8.6300686919461747</c:v>
                </c:pt>
                <c:pt idx="104">
                  <c:v>8.6455856717533646</c:v>
                </c:pt>
                <c:pt idx="105">
                  <c:v>8.6611026515605545</c:v>
                </c:pt>
                <c:pt idx="106">
                  <c:v>8.6766196313677426</c:v>
                </c:pt>
                <c:pt idx="107">
                  <c:v>8.6921366111749307</c:v>
                </c:pt>
                <c:pt idx="108">
                  <c:v>8.7076535909821207</c:v>
                </c:pt>
                <c:pt idx="109">
                  <c:v>8.7231705707893106</c:v>
                </c:pt>
                <c:pt idx="110">
                  <c:v>8.7386875505964987</c:v>
                </c:pt>
                <c:pt idx="111">
                  <c:v>8.7542045304036868</c:v>
                </c:pt>
                <c:pt idx="112">
                  <c:v>8.7697215102108768</c:v>
                </c:pt>
                <c:pt idx="113">
                  <c:v>8.7852384900180667</c:v>
                </c:pt>
                <c:pt idx="114">
                  <c:v>8.8007554698252548</c:v>
                </c:pt>
                <c:pt idx="115">
                  <c:v>8.8162724496324429</c:v>
                </c:pt>
                <c:pt idx="116">
                  <c:v>8.8317894294396329</c:v>
                </c:pt>
                <c:pt idx="117">
                  <c:v>8.8473064092468228</c:v>
                </c:pt>
                <c:pt idx="118">
                  <c:v>8.8628233890540109</c:v>
                </c:pt>
                <c:pt idx="119">
                  <c:v>8.878340368861199</c:v>
                </c:pt>
                <c:pt idx="120">
                  <c:v>8.893857348668389</c:v>
                </c:pt>
                <c:pt idx="121">
                  <c:v>8.9093743284755789</c:v>
                </c:pt>
                <c:pt idx="122">
                  <c:v>8.924891308282767</c:v>
                </c:pt>
                <c:pt idx="123">
                  <c:v>8.9404082880899551</c:v>
                </c:pt>
                <c:pt idx="124">
                  <c:v>8.955925267897145</c:v>
                </c:pt>
                <c:pt idx="125">
                  <c:v>8.971442247704335</c:v>
                </c:pt>
                <c:pt idx="126">
                  <c:v>8.9869592275115231</c:v>
                </c:pt>
                <c:pt idx="127">
                  <c:v>9.0024762073187112</c:v>
                </c:pt>
                <c:pt idx="128">
                  <c:v>9.0179931871259011</c:v>
                </c:pt>
                <c:pt idx="129">
                  <c:v>9.0335101669330911</c:v>
                </c:pt>
                <c:pt idx="130">
                  <c:v>9.0490271467402792</c:v>
                </c:pt>
                <c:pt idx="131">
                  <c:v>9.0645441265474673</c:v>
                </c:pt>
                <c:pt idx="132">
                  <c:v>9.0800611063546572</c:v>
                </c:pt>
                <c:pt idx="133">
                  <c:v>9.0955780861618472</c:v>
                </c:pt>
                <c:pt idx="134">
                  <c:v>9.1110950659690353</c:v>
                </c:pt>
                <c:pt idx="135">
                  <c:v>9.1266120457762234</c:v>
                </c:pt>
                <c:pt idx="136">
                  <c:v>9.1421290255834133</c:v>
                </c:pt>
                <c:pt idx="137">
                  <c:v>9.1576460053906032</c:v>
                </c:pt>
                <c:pt idx="138">
                  <c:v>9.1731629851977914</c:v>
                </c:pt>
                <c:pt idx="139">
                  <c:v>9.1886799650049795</c:v>
                </c:pt>
                <c:pt idx="140">
                  <c:v>9.2041969448121694</c:v>
                </c:pt>
                <c:pt idx="141">
                  <c:v>9.2197139246193593</c:v>
                </c:pt>
                <c:pt idx="142">
                  <c:v>9.2352309044265475</c:v>
                </c:pt>
                <c:pt idx="143">
                  <c:v>9.2507478842337356</c:v>
                </c:pt>
                <c:pt idx="144">
                  <c:v>9.2662648640409255</c:v>
                </c:pt>
                <c:pt idx="145">
                  <c:v>9.2817818438481154</c:v>
                </c:pt>
                <c:pt idx="146">
                  <c:v>9.2972988236553036</c:v>
                </c:pt>
                <c:pt idx="147">
                  <c:v>9.3128158034624917</c:v>
                </c:pt>
                <c:pt idx="148">
                  <c:v>9.3283327832696816</c:v>
                </c:pt>
                <c:pt idx="149">
                  <c:v>9.3438497630768715</c:v>
                </c:pt>
                <c:pt idx="150">
                  <c:v>9.3593667428840597</c:v>
                </c:pt>
              </c:numCache>
            </c:numRef>
          </c:xVal>
          <c:yVal>
            <c:numRef>
              <c:f>Sheet2!$F$1:$F$151</c:f>
              <c:numCache>
                <c:formatCode>0.000</c:formatCode>
                <c:ptCount val="151"/>
                <c:pt idx="0">
                  <c:v>9.1527867171282669</c:v>
                </c:pt>
                <c:pt idx="1">
                  <c:v>9.1648042096435436</c:v>
                </c:pt>
                <c:pt idx="2">
                  <c:v>9.1768217018345837</c:v>
                </c:pt>
                <c:pt idx="3">
                  <c:v>9.1888391937013481</c:v>
                </c:pt>
                <c:pt idx="4">
                  <c:v>9.2008566852438012</c:v>
                </c:pt>
                <c:pt idx="5">
                  <c:v>9.212874176461904</c:v>
                </c:pt>
                <c:pt idx="6">
                  <c:v>9.2248916673556156</c:v>
                </c:pt>
                <c:pt idx="7">
                  <c:v>9.2369091579248988</c:v>
                </c:pt>
                <c:pt idx="8">
                  <c:v>9.2489266481697179</c:v>
                </c:pt>
                <c:pt idx="9">
                  <c:v>9.2609441380900339</c:v>
                </c:pt>
                <c:pt idx="10">
                  <c:v>9.2729616276858042</c:v>
                </c:pt>
                <c:pt idx="11">
                  <c:v>9.2849791169569951</c:v>
                </c:pt>
                <c:pt idx="12">
                  <c:v>9.2969966059035656</c:v>
                </c:pt>
                <c:pt idx="13">
                  <c:v>9.3090140945254785</c:v>
                </c:pt>
                <c:pt idx="14">
                  <c:v>9.3210315828226946</c:v>
                </c:pt>
                <c:pt idx="15">
                  <c:v>9.3330490707951768</c:v>
                </c:pt>
                <c:pt idx="16">
                  <c:v>9.3450665584428876</c:v>
                </c:pt>
                <c:pt idx="17">
                  <c:v>9.3570840457657845</c:v>
                </c:pt>
                <c:pt idx="18">
                  <c:v>9.3691015327638318</c:v>
                </c:pt>
                <c:pt idx="19">
                  <c:v>9.3811190194369942</c:v>
                </c:pt>
                <c:pt idx="20">
                  <c:v>9.393136505785229</c:v>
                </c:pt>
                <c:pt idx="21">
                  <c:v>9.405153991808497</c:v>
                </c:pt>
                <c:pt idx="22">
                  <c:v>9.4171714775067645</c:v>
                </c:pt>
                <c:pt idx="23">
                  <c:v>9.4291889628799908</c:v>
                </c:pt>
                <c:pt idx="24">
                  <c:v>9.4412064479281348</c:v>
                </c:pt>
                <c:pt idx="25">
                  <c:v>9.4532239326511593</c:v>
                </c:pt>
                <c:pt idx="26">
                  <c:v>9.4652414170490307</c:v>
                </c:pt>
                <c:pt idx="27">
                  <c:v>9.4772589011217061</c:v>
                </c:pt>
                <c:pt idx="28">
                  <c:v>9.4892763848691466</c:v>
                </c:pt>
                <c:pt idx="29">
                  <c:v>9.5012938682913148</c:v>
                </c:pt>
                <c:pt idx="30">
                  <c:v>9.5133113513881753</c:v>
                </c:pt>
                <c:pt idx="31">
                  <c:v>9.5253288341596871</c:v>
                </c:pt>
                <c:pt idx="32">
                  <c:v>9.5373463166058094</c:v>
                </c:pt>
                <c:pt idx="33">
                  <c:v>9.5493637987265068</c:v>
                </c:pt>
                <c:pt idx="34">
                  <c:v>9.5613812805217417</c:v>
                </c:pt>
                <c:pt idx="35">
                  <c:v>9.5733987619914718</c:v>
                </c:pt>
                <c:pt idx="36">
                  <c:v>9.5854162431356595</c:v>
                </c:pt>
                <c:pt idx="37">
                  <c:v>9.5974337239542713</c:v>
                </c:pt>
                <c:pt idx="38">
                  <c:v>9.6094512044472644</c:v>
                </c:pt>
                <c:pt idx="39">
                  <c:v>9.6214686846145998</c:v>
                </c:pt>
                <c:pt idx="40">
                  <c:v>9.6334861644562402</c:v>
                </c:pt>
                <c:pt idx="41">
                  <c:v>9.6455036439721482</c:v>
                </c:pt>
                <c:pt idx="42">
                  <c:v>9.6575211231622848</c:v>
                </c:pt>
                <c:pt idx="43">
                  <c:v>9.6695386020266092</c:v>
                </c:pt>
                <c:pt idx="44">
                  <c:v>9.6815560805650875</c:v>
                </c:pt>
                <c:pt idx="45">
                  <c:v>9.693573558777679</c:v>
                </c:pt>
                <c:pt idx="46">
                  <c:v>9.705591036664341</c:v>
                </c:pt>
                <c:pt idx="47">
                  <c:v>9.7176085142250397</c:v>
                </c:pt>
                <c:pt idx="48">
                  <c:v>9.7296259914597378</c:v>
                </c:pt>
                <c:pt idx="49">
                  <c:v>9.7416434683683946</c:v>
                </c:pt>
                <c:pt idx="50">
                  <c:v>9.753660944950969</c:v>
                </c:pt>
                <c:pt idx="51">
                  <c:v>9.7656784212074275</c:v>
                </c:pt>
                <c:pt idx="52">
                  <c:v>9.777695897137729</c:v>
                </c:pt>
                <c:pt idx="53">
                  <c:v>9.7897133727418346</c:v>
                </c:pt>
                <c:pt idx="54">
                  <c:v>9.8017308480197052</c:v>
                </c:pt>
                <c:pt idx="55">
                  <c:v>9.8137483229713052</c:v>
                </c:pt>
                <c:pt idx="56">
                  <c:v>9.8257657975965937</c:v>
                </c:pt>
                <c:pt idx="57">
                  <c:v>9.8377832718955318</c:v>
                </c:pt>
                <c:pt idx="58">
                  <c:v>9.8498007458680821</c:v>
                </c:pt>
                <c:pt idx="59">
                  <c:v>9.8618182195142072</c:v>
                </c:pt>
                <c:pt idx="60">
                  <c:v>9.8738356928338664</c:v>
                </c:pt>
                <c:pt idx="61">
                  <c:v>9.8858531658270206</c:v>
                </c:pt>
                <c:pt idx="62">
                  <c:v>9.8978706384936324</c:v>
                </c:pt>
                <c:pt idx="63">
                  <c:v>9.9098881108336663</c:v>
                </c:pt>
                <c:pt idx="64">
                  <c:v>9.9219055828470797</c:v>
                </c:pt>
                <c:pt idx="65">
                  <c:v>9.9339230545338335</c:v>
                </c:pt>
                <c:pt idx="66">
                  <c:v>9.9459405258938922</c:v>
                </c:pt>
                <c:pt idx="67">
                  <c:v>9.9579579969272132</c:v>
                </c:pt>
                <c:pt idx="68">
                  <c:v>9.9699754676337626</c:v>
                </c:pt>
                <c:pt idx="69">
                  <c:v>9.9819929380134997</c:v>
                </c:pt>
                <c:pt idx="70">
                  <c:v>9.9940104080663854</c:v>
                </c:pt>
                <c:pt idx="71">
                  <c:v>10.006027877792381</c:v>
                </c:pt>
                <c:pt idx="72">
                  <c:v>10.018045347191448</c:v>
                </c:pt>
                <c:pt idx="73">
                  <c:v>10.03006281626355</c:v>
                </c:pt>
                <c:pt idx="74">
                  <c:v>10.042080285008645</c:v>
                </c:pt>
                <c:pt idx="75">
                  <c:v>10.054097753426696</c:v>
                </c:pt>
                <c:pt idx="76">
                  <c:v>10.066115221517663</c:v>
                </c:pt>
                <c:pt idx="77">
                  <c:v>10.078132689281512</c:v>
                </c:pt>
                <c:pt idx="78">
                  <c:v>10.090150156718199</c:v>
                </c:pt>
                <c:pt idx="79">
                  <c:v>10.102167623827686</c:v>
                </c:pt>
                <c:pt idx="80">
                  <c:v>10.114185090609936</c:v>
                </c:pt>
                <c:pt idx="81">
                  <c:v>10.126202557064914</c:v>
                </c:pt>
                <c:pt idx="82">
                  <c:v>10.138220023192574</c:v>
                </c:pt>
                <c:pt idx="83">
                  <c:v>10.150237488992881</c:v>
                </c:pt>
                <c:pt idx="84">
                  <c:v>10.162254954465794</c:v>
                </c:pt>
                <c:pt idx="85">
                  <c:v>10.174272419611281</c:v>
                </c:pt>
                <c:pt idx="86">
                  <c:v>10.186289884429296</c:v>
                </c:pt>
                <c:pt idx="87">
                  <c:v>10.198307348919801</c:v>
                </c:pt>
                <c:pt idx="88">
                  <c:v>10.210324813082764</c:v>
                </c:pt>
                <c:pt idx="89">
                  <c:v>10.222342276918139</c:v>
                </c:pt>
                <c:pt idx="90">
                  <c:v>10.234359740425889</c:v>
                </c:pt>
                <c:pt idx="91">
                  <c:v>10.246377203605977</c:v>
                </c:pt>
                <c:pt idx="92">
                  <c:v>10.258394666458365</c:v>
                </c:pt>
                <c:pt idx="93">
                  <c:v>10.270412128983011</c:v>
                </c:pt>
                <c:pt idx="94">
                  <c:v>10.282429591179879</c:v>
                </c:pt>
                <c:pt idx="95">
                  <c:v>10.294447053048927</c:v>
                </c:pt>
                <c:pt idx="96">
                  <c:v>10.306464514590122</c:v>
                </c:pt>
                <c:pt idx="97">
                  <c:v>10.318481975803422</c:v>
                </c:pt>
                <c:pt idx="98">
                  <c:v>10.330499436688786</c:v>
                </c:pt>
                <c:pt idx="99">
                  <c:v>10.342516897246178</c:v>
                </c:pt>
                <c:pt idx="100">
                  <c:v>10.354534357475561</c:v>
                </c:pt>
                <c:pt idx="101">
                  <c:v>10.366551817376891</c:v>
                </c:pt>
                <c:pt idx="102">
                  <c:v>10.378569276950131</c:v>
                </c:pt>
                <c:pt idx="103">
                  <c:v>10.390586736195246</c:v>
                </c:pt>
                <c:pt idx="104">
                  <c:v>10.402604195112197</c:v>
                </c:pt>
                <c:pt idx="105">
                  <c:v>10.414621653700939</c:v>
                </c:pt>
                <c:pt idx="106">
                  <c:v>10.426639111961437</c:v>
                </c:pt>
                <c:pt idx="107">
                  <c:v>10.438656569893654</c:v>
                </c:pt>
                <c:pt idx="108">
                  <c:v>10.45067402749755</c:v>
                </c:pt>
                <c:pt idx="109">
                  <c:v>10.462691484773085</c:v>
                </c:pt>
                <c:pt idx="110">
                  <c:v>10.474708941720223</c:v>
                </c:pt>
                <c:pt idx="111">
                  <c:v>10.48672639833892</c:v>
                </c:pt>
                <c:pt idx="112">
                  <c:v>10.498743854629144</c:v>
                </c:pt>
                <c:pt idx="113">
                  <c:v>10.51076131059085</c:v>
                </c:pt>
                <c:pt idx="114">
                  <c:v>10.522778766224002</c:v>
                </c:pt>
                <c:pt idx="115">
                  <c:v>10.534796221528561</c:v>
                </c:pt>
                <c:pt idx="116">
                  <c:v>10.546813676504488</c:v>
                </c:pt>
                <c:pt idx="117">
                  <c:v>10.558831131151747</c:v>
                </c:pt>
                <c:pt idx="118">
                  <c:v>10.570848585470294</c:v>
                </c:pt>
                <c:pt idx="119">
                  <c:v>10.582866039460093</c:v>
                </c:pt>
                <c:pt idx="120">
                  <c:v>10.594883493121104</c:v>
                </c:pt>
                <c:pt idx="121">
                  <c:v>10.606900946453292</c:v>
                </c:pt>
                <c:pt idx="122">
                  <c:v>10.618918399456614</c:v>
                </c:pt>
                <c:pt idx="123">
                  <c:v>10.630935852131032</c:v>
                </c:pt>
                <c:pt idx="124">
                  <c:v>10.642953304476507</c:v>
                </c:pt>
                <c:pt idx="125">
                  <c:v>10.654970756493004</c:v>
                </c:pt>
                <c:pt idx="126">
                  <c:v>10.666988208180475</c:v>
                </c:pt>
                <c:pt idx="127">
                  <c:v>10.679005659538889</c:v>
                </c:pt>
                <c:pt idx="128">
                  <c:v>10.691023110568207</c:v>
                </c:pt>
                <c:pt idx="129">
                  <c:v>10.70304056126839</c:v>
                </c:pt>
                <c:pt idx="130">
                  <c:v>10.715058011639393</c:v>
                </c:pt>
                <c:pt idx="131">
                  <c:v>10.727075461681181</c:v>
                </c:pt>
                <c:pt idx="132">
                  <c:v>10.739092911393719</c:v>
                </c:pt>
                <c:pt idx="133">
                  <c:v>10.751110360776964</c:v>
                </c:pt>
                <c:pt idx="134">
                  <c:v>10.763127809830875</c:v>
                </c:pt>
                <c:pt idx="135">
                  <c:v>10.775145258555417</c:v>
                </c:pt>
                <c:pt idx="136">
                  <c:v>10.787162706950552</c:v>
                </c:pt>
                <c:pt idx="137">
                  <c:v>10.79918015501624</c:v>
                </c:pt>
                <c:pt idx="138">
                  <c:v>10.811197602752436</c:v>
                </c:pt>
                <c:pt idx="139">
                  <c:v>10.823215050159108</c:v>
                </c:pt>
                <c:pt idx="140">
                  <c:v>10.835232497236218</c:v>
                </c:pt>
                <c:pt idx="141">
                  <c:v>10.847249943983723</c:v>
                </c:pt>
                <c:pt idx="142">
                  <c:v>10.859267390401584</c:v>
                </c:pt>
                <c:pt idx="143">
                  <c:v>10.871284836489764</c:v>
                </c:pt>
                <c:pt idx="144">
                  <c:v>10.883302282248227</c:v>
                </c:pt>
                <c:pt idx="145">
                  <c:v>10.895319727676927</c:v>
                </c:pt>
                <c:pt idx="146">
                  <c:v>10.907337172775827</c:v>
                </c:pt>
                <c:pt idx="147">
                  <c:v>10.919354617544892</c:v>
                </c:pt>
                <c:pt idx="148">
                  <c:v>10.931372061984083</c:v>
                </c:pt>
                <c:pt idx="149">
                  <c:v>10.943389506093355</c:v>
                </c:pt>
                <c:pt idx="150">
                  <c:v>10.955406949872675</c:v>
                </c:pt>
              </c:numCache>
            </c:numRef>
          </c:yVal>
          <c:smooth val="0"/>
        </c:ser>
        <c:ser>
          <c:idx val="5"/>
          <c:order val="5"/>
          <c:spPr>
            <a:ln w="12700">
              <a:solidFill>
                <a:srgbClr val="808080"/>
              </a:solidFill>
              <a:prstDash val="sysDash"/>
            </a:ln>
          </c:spPr>
          <c:marker>
            <c:symbol val="none"/>
          </c:marker>
          <c:xVal>
            <c:numRef>
              <c:f>Sheet2!$C$1:$C$151</c:f>
              <c:numCache>
                <c:formatCode>0.000</c:formatCode>
                <c:ptCount val="151"/>
                <c:pt idx="0">
                  <c:v>7.0318197718057061</c:v>
                </c:pt>
                <c:pt idx="1">
                  <c:v>7.0473367516128951</c:v>
                </c:pt>
                <c:pt idx="2">
                  <c:v>7.0628537314200841</c:v>
                </c:pt>
                <c:pt idx="3">
                  <c:v>7.0783707112272731</c:v>
                </c:pt>
                <c:pt idx="4">
                  <c:v>7.0938876910344622</c:v>
                </c:pt>
                <c:pt idx="5">
                  <c:v>7.1094046708416512</c:v>
                </c:pt>
                <c:pt idx="6">
                  <c:v>7.1249216506488402</c:v>
                </c:pt>
                <c:pt idx="7">
                  <c:v>7.1404386304560292</c:v>
                </c:pt>
                <c:pt idx="8">
                  <c:v>7.1559556102632182</c:v>
                </c:pt>
                <c:pt idx="9">
                  <c:v>7.1714725900704073</c:v>
                </c:pt>
                <c:pt idx="10">
                  <c:v>7.1869895698775963</c:v>
                </c:pt>
                <c:pt idx="11">
                  <c:v>7.2025065496847853</c:v>
                </c:pt>
                <c:pt idx="12">
                  <c:v>7.2180235294919743</c:v>
                </c:pt>
                <c:pt idx="13">
                  <c:v>7.2335405092991634</c:v>
                </c:pt>
                <c:pt idx="14">
                  <c:v>7.2490574891063524</c:v>
                </c:pt>
                <c:pt idx="15">
                  <c:v>7.2645744689135414</c:v>
                </c:pt>
                <c:pt idx="16">
                  <c:v>7.2800914487207304</c:v>
                </c:pt>
                <c:pt idx="17">
                  <c:v>7.2956084285279195</c:v>
                </c:pt>
                <c:pt idx="18">
                  <c:v>7.3111254083351085</c:v>
                </c:pt>
                <c:pt idx="19">
                  <c:v>7.3266423881422975</c:v>
                </c:pt>
                <c:pt idx="20">
                  <c:v>7.3421593679494865</c:v>
                </c:pt>
                <c:pt idx="21">
                  <c:v>7.3576763477566756</c:v>
                </c:pt>
                <c:pt idx="22">
                  <c:v>7.3731933275638646</c:v>
                </c:pt>
                <c:pt idx="23">
                  <c:v>7.3887103073710536</c:v>
                </c:pt>
                <c:pt idx="24">
                  <c:v>7.4042272871782426</c:v>
                </c:pt>
                <c:pt idx="25">
                  <c:v>7.4197442669854317</c:v>
                </c:pt>
                <c:pt idx="26">
                  <c:v>7.4352612467926207</c:v>
                </c:pt>
                <c:pt idx="27">
                  <c:v>7.4507782265998097</c:v>
                </c:pt>
                <c:pt idx="28">
                  <c:v>7.4662952064069987</c:v>
                </c:pt>
                <c:pt idx="29">
                  <c:v>7.4818121862141878</c:v>
                </c:pt>
                <c:pt idx="30">
                  <c:v>7.4973291660213768</c:v>
                </c:pt>
                <c:pt idx="31">
                  <c:v>7.5128461458285658</c:v>
                </c:pt>
                <c:pt idx="32">
                  <c:v>7.5283631256357548</c:v>
                </c:pt>
                <c:pt idx="33">
                  <c:v>7.5438801054429439</c:v>
                </c:pt>
                <c:pt idx="34">
                  <c:v>7.5593970852501329</c:v>
                </c:pt>
                <c:pt idx="35">
                  <c:v>7.5749140650573219</c:v>
                </c:pt>
                <c:pt idx="36">
                  <c:v>7.5904310448645109</c:v>
                </c:pt>
                <c:pt idx="37">
                  <c:v>7.6059480246716999</c:v>
                </c:pt>
                <c:pt idx="38">
                  <c:v>7.621465004478889</c:v>
                </c:pt>
                <c:pt idx="39">
                  <c:v>7.636981984286078</c:v>
                </c:pt>
                <c:pt idx="40">
                  <c:v>7.652498964093267</c:v>
                </c:pt>
                <c:pt idx="41">
                  <c:v>7.668015943900456</c:v>
                </c:pt>
                <c:pt idx="42">
                  <c:v>7.6835329237076451</c:v>
                </c:pt>
                <c:pt idx="43">
                  <c:v>7.6990499035148341</c:v>
                </c:pt>
                <c:pt idx="44">
                  <c:v>7.7145668833220231</c:v>
                </c:pt>
                <c:pt idx="45">
                  <c:v>7.7300838631292121</c:v>
                </c:pt>
                <c:pt idx="46">
                  <c:v>7.7456008429364012</c:v>
                </c:pt>
                <c:pt idx="47">
                  <c:v>7.7611178227435902</c:v>
                </c:pt>
                <c:pt idx="48">
                  <c:v>7.7766348025507792</c:v>
                </c:pt>
                <c:pt idx="49">
                  <c:v>7.7921517823579682</c:v>
                </c:pt>
                <c:pt idx="50">
                  <c:v>7.8076687621651573</c:v>
                </c:pt>
                <c:pt idx="51">
                  <c:v>7.8231857419723463</c:v>
                </c:pt>
                <c:pt idx="52">
                  <c:v>7.8387027217795353</c:v>
                </c:pt>
                <c:pt idx="53">
                  <c:v>7.8542197015867243</c:v>
                </c:pt>
                <c:pt idx="54">
                  <c:v>7.8697366813939134</c:v>
                </c:pt>
                <c:pt idx="55">
                  <c:v>7.8852536612011024</c:v>
                </c:pt>
                <c:pt idx="56">
                  <c:v>7.9007706410082914</c:v>
                </c:pt>
                <c:pt idx="57">
                  <c:v>7.9162876208154804</c:v>
                </c:pt>
                <c:pt idx="58">
                  <c:v>7.9318046006226695</c:v>
                </c:pt>
                <c:pt idx="59">
                  <c:v>7.9473215804298585</c:v>
                </c:pt>
                <c:pt idx="60">
                  <c:v>7.9628385602370475</c:v>
                </c:pt>
                <c:pt idx="61">
                  <c:v>7.9783555400442365</c:v>
                </c:pt>
                <c:pt idx="62">
                  <c:v>7.9938725198514256</c:v>
                </c:pt>
                <c:pt idx="63">
                  <c:v>8.0093894996586137</c:v>
                </c:pt>
                <c:pt idx="64">
                  <c:v>8.0249064794658036</c:v>
                </c:pt>
                <c:pt idx="65">
                  <c:v>8.0404234592729935</c:v>
                </c:pt>
                <c:pt idx="66">
                  <c:v>8.0559404390801816</c:v>
                </c:pt>
                <c:pt idx="67">
                  <c:v>8.0714574188873698</c:v>
                </c:pt>
                <c:pt idx="68">
                  <c:v>8.0869743986945597</c:v>
                </c:pt>
                <c:pt idx="69">
                  <c:v>8.1024913785017496</c:v>
                </c:pt>
                <c:pt idx="70">
                  <c:v>8.1180083583089377</c:v>
                </c:pt>
                <c:pt idx="71">
                  <c:v>8.1335253381161259</c:v>
                </c:pt>
                <c:pt idx="72">
                  <c:v>8.1490423179233158</c:v>
                </c:pt>
                <c:pt idx="73">
                  <c:v>8.1645592977305057</c:v>
                </c:pt>
                <c:pt idx="74">
                  <c:v>8.1800762775376938</c:v>
                </c:pt>
                <c:pt idx="75">
                  <c:v>8.195593257344882</c:v>
                </c:pt>
                <c:pt idx="76">
                  <c:v>8.2111102371520719</c:v>
                </c:pt>
                <c:pt idx="77">
                  <c:v>8.2266272169592618</c:v>
                </c:pt>
                <c:pt idx="78">
                  <c:v>8.2421441967664499</c:v>
                </c:pt>
                <c:pt idx="79">
                  <c:v>8.2576611765736381</c:v>
                </c:pt>
                <c:pt idx="80">
                  <c:v>8.273178156380828</c:v>
                </c:pt>
                <c:pt idx="81">
                  <c:v>8.2886951361880179</c:v>
                </c:pt>
                <c:pt idx="82">
                  <c:v>8.304212115995206</c:v>
                </c:pt>
                <c:pt idx="83">
                  <c:v>8.3197290958023942</c:v>
                </c:pt>
                <c:pt idx="84">
                  <c:v>8.3352460756095841</c:v>
                </c:pt>
                <c:pt idx="85">
                  <c:v>8.350763055416774</c:v>
                </c:pt>
                <c:pt idx="86">
                  <c:v>8.3662800352239621</c:v>
                </c:pt>
                <c:pt idx="87">
                  <c:v>8.3817970150311503</c:v>
                </c:pt>
                <c:pt idx="88">
                  <c:v>8.3973139948383402</c:v>
                </c:pt>
                <c:pt idx="89">
                  <c:v>8.4128309746455301</c:v>
                </c:pt>
                <c:pt idx="90">
                  <c:v>8.4283479544527182</c:v>
                </c:pt>
                <c:pt idx="91">
                  <c:v>8.4438649342599064</c:v>
                </c:pt>
                <c:pt idx="92">
                  <c:v>8.4593819140670963</c:v>
                </c:pt>
                <c:pt idx="93">
                  <c:v>8.4748988938742862</c:v>
                </c:pt>
                <c:pt idx="94">
                  <c:v>8.4904158736814743</c:v>
                </c:pt>
                <c:pt idx="95">
                  <c:v>8.5059328534886625</c:v>
                </c:pt>
                <c:pt idx="96">
                  <c:v>8.5214498332958524</c:v>
                </c:pt>
                <c:pt idx="97">
                  <c:v>8.5369668131030423</c:v>
                </c:pt>
                <c:pt idx="98">
                  <c:v>8.5524837929102304</c:v>
                </c:pt>
                <c:pt idx="99">
                  <c:v>8.5680007727174186</c:v>
                </c:pt>
                <c:pt idx="100">
                  <c:v>8.5835177525246085</c:v>
                </c:pt>
                <c:pt idx="101">
                  <c:v>8.5990347323317984</c:v>
                </c:pt>
                <c:pt idx="102">
                  <c:v>8.6145517121389865</c:v>
                </c:pt>
                <c:pt idx="103">
                  <c:v>8.6300686919461747</c:v>
                </c:pt>
                <c:pt idx="104">
                  <c:v>8.6455856717533646</c:v>
                </c:pt>
                <c:pt idx="105">
                  <c:v>8.6611026515605545</c:v>
                </c:pt>
                <c:pt idx="106">
                  <c:v>8.6766196313677426</c:v>
                </c:pt>
                <c:pt idx="107">
                  <c:v>8.6921366111749307</c:v>
                </c:pt>
                <c:pt idx="108">
                  <c:v>8.7076535909821207</c:v>
                </c:pt>
                <c:pt idx="109">
                  <c:v>8.7231705707893106</c:v>
                </c:pt>
                <c:pt idx="110">
                  <c:v>8.7386875505964987</c:v>
                </c:pt>
                <c:pt idx="111">
                  <c:v>8.7542045304036868</c:v>
                </c:pt>
                <c:pt idx="112">
                  <c:v>8.7697215102108768</c:v>
                </c:pt>
                <c:pt idx="113">
                  <c:v>8.7852384900180667</c:v>
                </c:pt>
                <c:pt idx="114">
                  <c:v>8.8007554698252548</c:v>
                </c:pt>
                <c:pt idx="115">
                  <c:v>8.8162724496324429</c:v>
                </c:pt>
                <c:pt idx="116">
                  <c:v>8.8317894294396329</c:v>
                </c:pt>
                <c:pt idx="117">
                  <c:v>8.8473064092468228</c:v>
                </c:pt>
                <c:pt idx="118">
                  <c:v>8.8628233890540109</c:v>
                </c:pt>
                <c:pt idx="119">
                  <c:v>8.878340368861199</c:v>
                </c:pt>
                <c:pt idx="120">
                  <c:v>8.893857348668389</c:v>
                </c:pt>
                <c:pt idx="121">
                  <c:v>8.9093743284755789</c:v>
                </c:pt>
                <c:pt idx="122">
                  <c:v>8.924891308282767</c:v>
                </c:pt>
                <c:pt idx="123">
                  <c:v>8.9404082880899551</c:v>
                </c:pt>
                <c:pt idx="124">
                  <c:v>8.955925267897145</c:v>
                </c:pt>
                <c:pt idx="125">
                  <c:v>8.971442247704335</c:v>
                </c:pt>
                <c:pt idx="126">
                  <c:v>8.9869592275115231</c:v>
                </c:pt>
                <c:pt idx="127">
                  <c:v>9.0024762073187112</c:v>
                </c:pt>
                <c:pt idx="128">
                  <c:v>9.0179931871259011</c:v>
                </c:pt>
                <c:pt idx="129">
                  <c:v>9.0335101669330911</c:v>
                </c:pt>
                <c:pt idx="130">
                  <c:v>9.0490271467402792</c:v>
                </c:pt>
                <c:pt idx="131">
                  <c:v>9.0645441265474673</c:v>
                </c:pt>
                <c:pt idx="132">
                  <c:v>9.0800611063546572</c:v>
                </c:pt>
                <c:pt idx="133">
                  <c:v>9.0955780861618472</c:v>
                </c:pt>
                <c:pt idx="134">
                  <c:v>9.1110950659690353</c:v>
                </c:pt>
                <c:pt idx="135">
                  <c:v>9.1266120457762234</c:v>
                </c:pt>
                <c:pt idx="136">
                  <c:v>9.1421290255834133</c:v>
                </c:pt>
                <c:pt idx="137">
                  <c:v>9.1576460053906032</c:v>
                </c:pt>
                <c:pt idx="138">
                  <c:v>9.1731629851977914</c:v>
                </c:pt>
                <c:pt idx="139">
                  <c:v>9.1886799650049795</c:v>
                </c:pt>
                <c:pt idx="140">
                  <c:v>9.2041969448121694</c:v>
                </c:pt>
                <c:pt idx="141">
                  <c:v>9.2197139246193593</c:v>
                </c:pt>
                <c:pt idx="142">
                  <c:v>9.2352309044265475</c:v>
                </c:pt>
                <c:pt idx="143">
                  <c:v>9.2507478842337356</c:v>
                </c:pt>
                <c:pt idx="144">
                  <c:v>9.2662648640409255</c:v>
                </c:pt>
                <c:pt idx="145">
                  <c:v>9.2817818438481154</c:v>
                </c:pt>
                <c:pt idx="146">
                  <c:v>9.2972988236553036</c:v>
                </c:pt>
                <c:pt idx="147">
                  <c:v>9.3128158034624917</c:v>
                </c:pt>
                <c:pt idx="148">
                  <c:v>9.3283327832696816</c:v>
                </c:pt>
                <c:pt idx="149">
                  <c:v>9.3438497630768715</c:v>
                </c:pt>
                <c:pt idx="150">
                  <c:v>9.3593667428840597</c:v>
                </c:pt>
              </c:numCache>
            </c:numRef>
          </c:xVal>
          <c:yVal>
            <c:numRef>
              <c:f>Sheet2!$G$1:$G$151</c:f>
              <c:numCache>
                <c:formatCode>0.000</c:formatCode>
                <c:ptCount val="151"/>
                <c:pt idx="0">
                  <c:v>9.5760701125812577</c:v>
                </c:pt>
                <c:pt idx="1">
                  <c:v>9.5880709397422432</c:v>
                </c:pt>
                <c:pt idx="2">
                  <c:v>9.6000717672274618</c:v>
                </c:pt>
                <c:pt idx="3">
                  <c:v>9.6120725950369561</c:v>
                </c:pt>
                <c:pt idx="4">
                  <c:v>9.6240734231707652</c:v>
                </c:pt>
                <c:pt idx="5">
                  <c:v>9.6360742516289246</c:v>
                </c:pt>
                <c:pt idx="6">
                  <c:v>9.6480750804114717</c:v>
                </c:pt>
                <c:pt idx="7">
                  <c:v>9.6600759095184472</c:v>
                </c:pt>
                <c:pt idx="8">
                  <c:v>9.6720767389498903</c:v>
                </c:pt>
                <c:pt idx="9">
                  <c:v>9.6840775687058365</c:v>
                </c:pt>
                <c:pt idx="10">
                  <c:v>9.6960783987863248</c:v>
                </c:pt>
                <c:pt idx="11">
                  <c:v>9.7080792291913962</c:v>
                </c:pt>
                <c:pt idx="12">
                  <c:v>9.7200800599210879</c:v>
                </c:pt>
                <c:pt idx="13">
                  <c:v>9.7320808909754337</c:v>
                </c:pt>
                <c:pt idx="14">
                  <c:v>9.7440817223544762</c:v>
                </c:pt>
                <c:pt idx="15">
                  <c:v>9.7560825540582563</c:v>
                </c:pt>
                <c:pt idx="16">
                  <c:v>9.7680833860868077</c:v>
                </c:pt>
                <c:pt idx="17">
                  <c:v>9.7800842184401695</c:v>
                </c:pt>
                <c:pt idx="18">
                  <c:v>9.7920850511183808</c:v>
                </c:pt>
                <c:pt idx="19">
                  <c:v>9.8040858841214806</c:v>
                </c:pt>
                <c:pt idx="20">
                  <c:v>9.8160867174495081</c:v>
                </c:pt>
                <c:pt idx="21">
                  <c:v>9.8280875511024988</c:v>
                </c:pt>
                <c:pt idx="22">
                  <c:v>9.8400883850804934</c:v>
                </c:pt>
                <c:pt idx="23">
                  <c:v>9.8520892193835294</c:v>
                </c:pt>
                <c:pt idx="24">
                  <c:v>9.8640900540116441</c:v>
                </c:pt>
                <c:pt idx="25">
                  <c:v>9.8760908889648782</c:v>
                </c:pt>
                <c:pt idx="26">
                  <c:v>9.8880917242432691</c:v>
                </c:pt>
                <c:pt idx="27">
                  <c:v>9.9000925598468559</c:v>
                </c:pt>
                <c:pt idx="28">
                  <c:v>9.9120933957756741</c:v>
                </c:pt>
                <c:pt idx="29">
                  <c:v>9.9240942320297645</c:v>
                </c:pt>
                <c:pt idx="30">
                  <c:v>9.9360950686091662</c:v>
                </c:pt>
                <c:pt idx="31">
                  <c:v>9.9480959055139166</c:v>
                </c:pt>
                <c:pt idx="32">
                  <c:v>9.960096742744053</c:v>
                </c:pt>
                <c:pt idx="33">
                  <c:v>9.9720975802996179</c:v>
                </c:pt>
                <c:pt idx="34">
                  <c:v>9.9840984181806451</c:v>
                </c:pt>
                <c:pt idx="35">
                  <c:v>9.9960992563871738</c:v>
                </c:pt>
                <c:pt idx="36">
                  <c:v>10.008100094919245</c:v>
                </c:pt>
                <c:pt idx="37">
                  <c:v>10.020100933776895</c:v>
                </c:pt>
                <c:pt idx="38">
                  <c:v>10.032101772960164</c:v>
                </c:pt>
                <c:pt idx="39">
                  <c:v>10.044102612469088</c:v>
                </c:pt>
                <c:pt idx="40">
                  <c:v>10.056103452303706</c:v>
                </c:pt>
                <c:pt idx="41">
                  <c:v>10.06810429246406</c:v>
                </c:pt>
                <c:pt idx="42">
                  <c:v>10.080105132950186</c:v>
                </c:pt>
                <c:pt idx="43">
                  <c:v>10.09210597376212</c:v>
                </c:pt>
                <c:pt idx="44">
                  <c:v>10.104106814899904</c:v>
                </c:pt>
                <c:pt idx="45">
                  <c:v>10.116107656363575</c:v>
                </c:pt>
                <c:pt idx="46">
                  <c:v>10.128108498153171</c:v>
                </c:pt>
                <c:pt idx="47">
                  <c:v>10.140109340268731</c:v>
                </c:pt>
                <c:pt idx="48">
                  <c:v>10.152110182710295</c:v>
                </c:pt>
                <c:pt idx="49">
                  <c:v>10.164111025477901</c:v>
                </c:pt>
                <c:pt idx="50">
                  <c:v>10.176111868571585</c:v>
                </c:pt>
                <c:pt idx="51">
                  <c:v>10.188112711991385</c:v>
                </c:pt>
                <c:pt idx="52">
                  <c:v>10.200113555737346</c:v>
                </c:pt>
                <c:pt idx="53">
                  <c:v>10.212114399809503</c:v>
                </c:pt>
                <c:pt idx="54">
                  <c:v>10.224115244207891</c:v>
                </c:pt>
                <c:pt idx="55">
                  <c:v>10.236116088932553</c:v>
                </c:pt>
                <c:pt idx="56">
                  <c:v>10.248116933983527</c:v>
                </c:pt>
                <c:pt idx="57">
                  <c:v>10.260117779360847</c:v>
                </c:pt>
                <c:pt idx="58">
                  <c:v>10.272118625064556</c:v>
                </c:pt>
                <c:pt idx="59">
                  <c:v>10.284119471094693</c:v>
                </c:pt>
                <c:pt idx="60">
                  <c:v>10.296120317451296</c:v>
                </c:pt>
                <c:pt idx="61">
                  <c:v>10.3081211641344</c:v>
                </c:pt>
                <c:pt idx="62">
                  <c:v>10.320122011144047</c:v>
                </c:pt>
                <c:pt idx="63">
                  <c:v>10.332122858480275</c:v>
                </c:pt>
                <c:pt idx="64">
                  <c:v>10.344123706143124</c:v>
                </c:pt>
                <c:pt idx="65">
                  <c:v>10.356124554132629</c:v>
                </c:pt>
                <c:pt idx="66">
                  <c:v>10.368125402448833</c:v>
                </c:pt>
                <c:pt idx="67">
                  <c:v>10.38012625109177</c:v>
                </c:pt>
                <c:pt idx="68">
                  <c:v>10.392127100061483</c:v>
                </c:pt>
                <c:pt idx="69">
                  <c:v>10.404127949358008</c:v>
                </c:pt>
                <c:pt idx="70">
                  <c:v>10.416128798981381</c:v>
                </c:pt>
                <c:pt idx="71">
                  <c:v>10.428129648931645</c:v>
                </c:pt>
                <c:pt idx="72">
                  <c:v>10.44013049920884</c:v>
                </c:pt>
                <c:pt idx="73">
                  <c:v>10.452131349813</c:v>
                </c:pt>
                <c:pt idx="74">
                  <c:v>10.464132200744164</c:v>
                </c:pt>
                <c:pt idx="75">
                  <c:v>10.476133052002375</c:v>
                </c:pt>
                <c:pt idx="76">
                  <c:v>10.488133903587666</c:v>
                </c:pt>
                <c:pt idx="77">
                  <c:v>10.500134755500079</c:v>
                </c:pt>
                <c:pt idx="78">
                  <c:v>10.512135607739655</c:v>
                </c:pt>
                <c:pt idx="79">
                  <c:v>10.524136460306426</c:v>
                </c:pt>
                <c:pt idx="80">
                  <c:v>10.536137313200435</c:v>
                </c:pt>
                <c:pt idx="81">
                  <c:v>10.548138166421722</c:v>
                </c:pt>
                <c:pt idx="82">
                  <c:v>10.560139019970322</c:v>
                </c:pt>
                <c:pt idx="83">
                  <c:v>10.572139873846274</c:v>
                </c:pt>
                <c:pt idx="84">
                  <c:v>10.584140728049618</c:v>
                </c:pt>
                <c:pt idx="85">
                  <c:v>10.596141582580398</c:v>
                </c:pt>
                <c:pt idx="86">
                  <c:v>10.608142437438641</c:v>
                </c:pt>
                <c:pt idx="87">
                  <c:v>10.620143292624395</c:v>
                </c:pt>
                <c:pt idx="88">
                  <c:v>10.632144148137694</c:v>
                </c:pt>
                <c:pt idx="89">
                  <c:v>10.644145003978581</c:v>
                </c:pt>
                <c:pt idx="90">
                  <c:v>10.65614586014709</c:v>
                </c:pt>
                <c:pt idx="91">
                  <c:v>10.66814671664326</c:v>
                </c:pt>
                <c:pt idx="92">
                  <c:v>10.680147573467135</c:v>
                </c:pt>
                <c:pt idx="93">
                  <c:v>10.692148430618751</c:v>
                </c:pt>
                <c:pt idx="94">
                  <c:v>10.704149288098142</c:v>
                </c:pt>
                <c:pt idx="95">
                  <c:v>10.716150145905353</c:v>
                </c:pt>
                <c:pt idx="96">
                  <c:v>10.72815100404042</c:v>
                </c:pt>
                <c:pt idx="97">
                  <c:v>10.740151862503382</c:v>
                </c:pt>
                <c:pt idx="98">
                  <c:v>10.752152721294276</c:v>
                </c:pt>
                <c:pt idx="99">
                  <c:v>10.764153580413144</c:v>
                </c:pt>
                <c:pt idx="100">
                  <c:v>10.776154439860026</c:v>
                </c:pt>
                <c:pt idx="101">
                  <c:v>10.788155299634955</c:v>
                </c:pt>
                <c:pt idx="102">
                  <c:v>10.800156159737973</c:v>
                </c:pt>
                <c:pt idx="103">
                  <c:v>10.812157020169117</c:v>
                </c:pt>
                <c:pt idx="104">
                  <c:v>10.824157880928432</c:v>
                </c:pt>
                <c:pt idx="105">
                  <c:v>10.836158742015948</c:v>
                </c:pt>
                <c:pt idx="106">
                  <c:v>10.848159603431709</c:v>
                </c:pt>
                <c:pt idx="107">
                  <c:v>10.860160465175754</c:v>
                </c:pt>
                <c:pt idx="108">
                  <c:v>10.87216132724812</c:v>
                </c:pt>
                <c:pt idx="109">
                  <c:v>10.884162189648844</c:v>
                </c:pt>
                <c:pt idx="110">
                  <c:v>10.896163052377968</c:v>
                </c:pt>
                <c:pt idx="111">
                  <c:v>10.90816391543553</c:v>
                </c:pt>
                <c:pt idx="112">
                  <c:v>10.920164778821569</c:v>
                </c:pt>
                <c:pt idx="113">
                  <c:v>10.932165642536125</c:v>
                </c:pt>
                <c:pt idx="114">
                  <c:v>10.944166506579231</c:v>
                </c:pt>
                <c:pt idx="115">
                  <c:v>10.956167370950931</c:v>
                </c:pt>
                <c:pt idx="116">
                  <c:v>10.968168235651266</c:v>
                </c:pt>
                <c:pt idx="117">
                  <c:v>10.98016910068027</c:v>
                </c:pt>
                <c:pt idx="118">
                  <c:v>10.992169966037981</c:v>
                </c:pt>
                <c:pt idx="119">
                  <c:v>11.004170831724444</c:v>
                </c:pt>
                <c:pt idx="120">
                  <c:v>11.016171697739692</c:v>
                </c:pt>
                <c:pt idx="121">
                  <c:v>11.028172564083766</c:v>
                </c:pt>
                <c:pt idx="122">
                  <c:v>11.040173430756706</c:v>
                </c:pt>
                <c:pt idx="123">
                  <c:v>11.052174297758548</c:v>
                </c:pt>
                <c:pt idx="124">
                  <c:v>11.064175165089331</c:v>
                </c:pt>
                <c:pt idx="125">
                  <c:v>11.0761760327491</c:v>
                </c:pt>
                <c:pt idx="126">
                  <c:v>11.088176900737887</c:v>
                </c:pt>
                <c:pt idx="127">
                  <c:v>11.100177769055732</c:v>
                </c:pt>
                <c:pt idx="128">
                  <c:v>11.112178637702673</c:v>
                </c:pt>
                <c:pt idx="129">
                  <c:v>11.124179506678756</c:v>
                </c:pt>
                <c:pt idx="130">
                  <c:v>11.136180375984011</c:v>
                </c:pt>
                <c:pt idx="131">
                  <c:v>11.148181245618481</c:v>
                </c:pt>
                <c:pt idx="132">
                  <c:v>11.160182115582206</c:v>
                </c:pt>
                <c:pt idx="133">
                  <c:v>11.172182985875223</c:v>
                </c:pt>
                <c:pt idx="134">
                  <c:v>11.184183856497571</c:v>
                </c:pt>
                <c:pt idx="135">
                  <c:v>11.196184727449287</c:v>
                </c:pt>
                <c:pt idx="136">
                  <c:v>11.208185598730415</c:v>
                </c:pt>
                <c:pt idx="137">
                  <c:v>11.220186470340989</c:v>
                </c:pt>
                <c:pt idx="138">
                  <c:v>11.232187342281051</c:v>
                </c:pt>
                <c:pt idx="139">
                  <c:v>11.244188214550638</c:v>
                </c:pt>
                <c:pt idx="140">
                  <c:v>11.25618908714979</c:v>
                </c:pt>
                <c:pt idx="141">
                  <c:v>11.268189960078548</c:v>
                </c:pt>
                <c:pt idx="142">
                  <c:v>11.280190833336945</c:v>
                </c:pt>
                <c:pt idx="143">
                  <c:v>11.292191706925024</c:v>
                </c:pt>
                <c:pt idx="144">
                  <c:v>11.304192580842827</c:v>
                </c:pt>
                <c:pt idx="145">
                  <c:v>11.316193455090385</c:v>
                </c:pt>
                <c:pt idx="146">
                  <c:v>11.328194329667744</c:v>
                </c:pt>
                <c:pt idx="147">
                  <c:v>11.340195204574938</c:v>
                </c:pt>
                <c:pt idx="148">
                  <c:v>11.352196079812012</c:v>
                </c:pt>
                <c:pt idx="149">
                  <c:v>11.364196955378999</c:v>
                </c:pt>
                <c:pt idx="150">
                  <c:v>11.376197831275938</c:v>
                </c:pt>
              </c:numCache>
            </c:numRef>
          </c:yVal>
          <c:smooth val="0"/>
        </c:ser>
        <c:dLbls>
          <c:showLegendKey val="0"/>
          <c:showVal val="0"/>
          <c:showCatName val="0"/>
          <c:showSerName val="0"/>
          <c:showPercent val="0"/>
          <c:showBubbleSize val="0"/>
        </c:dLbls>
        <c:axId val="131475712"/>
        <c:axId val="131481984"/>
      </c:scatterChart>
      <c:valAx>
        <c:axId val="131475712"/>
        <c:scaling>
          <c:orientation val="minMax"/>
          <c:max val="10"/>
          <c:min val="7"/>
        </c:scaling>
        <c:delete val="0"/>
        <c:axPos val="b"/>
        <c:title>
          <c:tx>
            <c:rich>
              <a:bodyPr/>
              <a:lstStyle/>
              <a:p>
                <a:pPr>
                  <a:defRPr sz="700" b="1" i="0" u="none" strike="noStrike" baseline="0">
                    <a:solidFill>
                      <a:srgbClr val="000000"/>
                    </a:solidFill>
                    <a:latin typeface="Times New Roman"/>
                    <a:ea typeface="Times New Roman"/>
                    <a:cs typeface="Times New Roman"/>
                  </a:defRPr>
                </a:pPr>
                <a:r>
                  <a:rPr lang="en-US"/>
                  <a:t>7.44884726929423</a:t>
                </a:r>
              </a:p>
            </c:rich>
          </c:tx>
          <c:layout>
            <c:manualLayout>
              <c:xMode val="edge"/>
              <c:yMode val="edge"/>
              <c:x val="0.46219430389949556"/>
              <c:y val="0.91040590905819463"/>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31481984"/>
        <c:crosses val="autoZero"/>
        <c:crossBetween val="midCat"/>
      </c:valAx>
      <c:valAx>
        <c:axId val="131481984"/>
        <c:scaling>
          <c:orientation val="minMax"/>
        </c:scaling>
        <c:delete val="0"/>
        <c:axPos val="l"/>
        <c:title>
          <c:tx>
            <c:rich>
              <a:bodyPr/>
              <a:lstStyle/>
              <a:p>
                <a:pPr>
                  <a:defRPr sz="700" b="1" i="0" u="none" strike="noStrike" baseline="0">
                    <a:solidFill>
                      <a:srgbClr val="000000"/>
                    </a:solidFill>
                    <a:latin typeface="Times New Roman"/>
                    <a:ea typeface="Times New Roman"/>
                    <a:cs typeface="Times New Roman"/>
                  </a:defRPr>
                </a:pPr>
                <a:r>
                  <a:rPr lang="en-US"/>
                  <a:t>10.2868608488012</a:t>
                </a:r>
              </a:p>
            </c:rich>
          </c:tx>
          <c:layout>
            <c:manualLayout>
              <c:xMode val="edge"/>
              <c:yMode val="edge"/>
              <c:x val="1.7039421341916841E-2"/>
              <c:y val="0.36994271860142502"/>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31475712"/>
        <c:crosses val="autoZero"/>
        <c:crossBetween val="midCat"/>
      </c:valAx>
      <c:spPr>
        <a:solidFill>
          <a:srgbClr val="FFFFFF"/>
        </a:solidFill>
        <a:ln w="3175">
          <a:solidFill>
            <a:srgbClr val="969696"/>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278" r="0.75000000000000278"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Times New Roman"/>
                <a:ea typeface="Times New Roman"/>
                <a:cs typeface="Times New Roman"/>
              </a:defRPr>
            </a:pPr>
            <a:r>
              <a:rPr lang="en-US"/>
              <a:t>7.44884726929423 / Standardized residuals</a:t>
            </a:r>
          </a:p>
        </c:rich>
      </c:tx>
      <c:layout>
        <c:manualLayout>
          <c:xMode val="edge"/>
          <c:yMode val="edge"/>
          <c:x val="0.21750026550325391"/>
          <c:y val="3.4682129868883596E-2"/>
        </c:manualLayout>
      </c:layout>
      <c:overlay val="0"/>
      <c:spPr>
        <a:noFill/>
        <a:ln w="25400">
          <a:noFill/>
        </a:ln>
      </c:spPr>
    </c:title>
    <c:autoTitleDeleted val="0"/>
    <c:plotArea>
      <c:layout>
        <c:manualLayout>
          <c:layoutTarget val="inner"/>
          <c:xMode val="edge"/>
          <c:yMode val="edge"/>
          <c:x val="0.1425001739504077"/>
          <c:y val="0.16763029436627094"/>
          <c:w val="0.80250097961545352"/>
          <c:h val="0.71965419477933468"/>
        </c:manualLayout>
      </c:layout>
      <c:scatterChart>
        <c:scatterStyle val="lineMarker"/>
        <c:varyColors val="0"/>
        <c:ser>
          <c:idx val="0"/>
          <c:order val="0"/>
          <c:tx>
            <c:strRef>
              <c:f>'Linear Regression'!$H$63</c:f>
              <c:strCache>
                <c:ptCount val="1"/>
                <c:pt idx="0">
                  <c:v>Standardized residuals</c:v>
                </c:pt>
              </c:strCache>
            </c:strRef>
          </c:tx>
          <c:spPr>
            <a:ln w="28575">
              <a:noFill/>
            </a:ln>
          </c:spPr>
          <c:marker>
            <c:symbol val="circle"/>
            <c:size val="5"/>
            <c:spPr>
              <a:solidFill>
                <a:srgbClr val="FF0000"/>
              </a:solidFill>
              <a:ln>
                <a:solidFill>
                  <a:srgbClr val="FF0000"/>
                </a:solidFill>
                <a:prstDash val="solid"/>
              </a:ln>
            </c:spPr>
          </c:marker>
          <c:xVal>
            <c:numRef>
              <c:f>'Linear Regression'!$D$64:$D$88</c:f>
              <c:numCache>
                <c:formatCode>0.000</c:formatCode>
                <c:ptCount val="25"/>
                <c:pt idx="0">
                  <c:v>8.3339640077467898</c:v>
                </c:pt>
                <c:pt idx="1">
                  <c:v>7.9208539438314238</c:v>
                </c:pt>
                <c:pt idx="2">
                  <c:v>7.0318197718057061</c:v>
                </c:pt>
                <c:pt idx="3">
                  <c:v>8.137296461638476</c:v>
                </c:pt>
                <c:pt idx="4">
                  <c:v>8.0674888933612454</c:v>
                </c:pt>
                <c:pt idx="5">
                  <c:v>7.0344709337083833</c:v>
                </c:pt>
                <c:pt idx="6">
                  <c:v>7.3256315010300197</c:v>
                </c:pt>
                <c:pt idx="7">
                  <c:v>7.0544782454746455</c:v>
                </c:pt>
                <c:pt idx="8">
                  <c:v>7.6123227568174423</c:v>
                </c:pt>
                <c:pt idx="9">
                  <c:v>7.441476431073812</c:v>
                </c:pt>
                <c:pt idx="10">
                  <c:v>7.7482165633620141</c:v>
                </c:pt>
                <c:pt idx="11">
                  <c:v>8.0142885800603185</c:v>
                </c:pt>
                <c:pt idx="12">
                  <c:v>8.1167899122756957</c:v>
                </c:pt>
                <c:pt idx="13">
                  <c:v>8.5402114237869746</c:v>
                </c:pt>
                <c:pt idx="14">
                  <c:v>8.5428184657409094</c:v>
                </c:pt>
                <c:pt idx="15">
                  <c:v>8.9040168391425318</c:v>
                </c:pt>
                <c:pt idx="16">
                  <c:v>8.7280159474840087</c:v>
                </c:pt>
                <c:pt idx="17">
                  <c:v>9.1310467208944601</c:v>
                </c:pt>
                <c:pt idx="18">
                  <c:v>8.3530039854300533</c:v>
                </c:pt>
                <c:pt idx="19">
                  <c:v>9.1791120316712416</c:v>
                </c:pt>
                <c:pt idx="20">
                  <c:v>9.1345342790197055</c:v>
                </c:pt>
                <c:pt idx="21">
                  <c:v>8.6164021903793095</c:v>
                </c:pt>
                <c:pt idx="22">
                  <c:v>8.5165609549320731</c:v>
                </c:pt>
                <c:pt idx="23">
                  <c:v>8.4156237872522635</c:v>
                </c:pt>
                <c:pt idx="24">
                  <c:v>9.3593667428840597</c:v>
                </c:pt>
              </c:numCache>
            </c:numRef>
          </c:xVal>
          <c:yVal>
            <c:numRef>
              <c:f>'Linear Regression'!$H$64:$H$88</c:f>
              <c:numCache>
                <c:formatCode>0.000</c:formatCode>
                <c:ptCount val="25"/>
                <c:pt idx="0">
                  <c:v>0.9806862873560438</c:v>
                </c:pt>
                <c:pt idx="1">
                  <c:v>-0.93150557091537223</c:v>
                </c:pt>
                <c:pt idx="2">
                  <c:v>0.65904024769578939</c:v>
                </c:pt>
                <c:pt idx="3">
                  <c:v>0.21580579189483709</c:v>
                </c:pt>
                <c:pt idx="4">
                  <c:v>-1.7788825798739745</c:v>
                </c:pt>
                <c:pt idx="5">
                  <c:v>0.11090901783564208</c:v>
                </c:pt>
                <c:pt idx="6">
                  <c:v>-0.76780326639461705</c:v>
                </c:pt>
                <c:pt idx="7">
                  <c:v>-0.85983502856297178</c:v>
                </c:pt>
                <c:pt idx="8">
                  <c:v>1.3202264140734679</c:v>
                </c:pt>
                <c:pt idx="9">
                  <c:v>-2.3013230592487739</c:v>
                </c:pt>
                <c:pt idx="10">
                  <c:v>0.98816897387275304</c:v>
                </c:pt>
                <c:pt idx="11">
                  <c:v>3.2009530618744404E-2</c:v>
                </c:pt>
                <c:pt idx="12">
                  <c:v>1.5158279473972658</c:v>
                </c:pt>
                <c:pt idx="13">
                  <c:v>-6.1720973819040841E-2</c:v>
                </c:pt>
                <c:pt idx="14">
                  <c:v>0.52254690604177501</c:v>
                </c:pt>
                <c:pt idx="15">
                  <c:v>0.52886926364604758</c:v>
                </c:pt>
                <c:pt idx="16">
                  <c:v>0.3845308887194705</c:v>
                </c:pt>
                <c:pt idx="17">
                  <c:v>-0.51346560664112928</c:v>
                </c:pt>
                <c:pt idx="18">
                  <c:v>1.3232899872691262</c:v>
                </c:pt>
                <c:pt idx="19">
                  <c:v>-0.88243868341521647</c:v>
                </c:pt>
                <c:pt idx="20">
                  <c:v>7.4351267366630095E-3</c:v>
                </c:pt>
                <c:pt idx="21">
                  <c:v>4.1218027381101231E-2</c:v>
                </c:pt>
                <c:pt idx="22">
                  <c:v>7.5994589278616978E-2</c:v>
                </c:pt>
                <c:pt idx="23">
                  <c:v>0.73889420182684984</c:v>
                </c:pt>
                <c:pt idx="24">
                  <c:v>-1.3484784327730979</c:v>
                </c:pt>
              </c:numCache>
            </c:numRef>
          </c:yVal>
          <c:smooth val="0"/>
        </c:ser>
        <c:dLbls>
          <c:showLegendKey val="0"/>
          <c:showVal val="0"/>
          <c:showCatName val="0"/>
          <c:showSerName val="0"/>
          <c:showPercent val="0"/>
          <c:showBubbleSize val="0"/>
        </c:dLbls>
        <c:axId val="131522560"/>
        <c:axId val="131524864"/>
      </c:scatterChart>
      <c:valAx>
        <c:axId val="131522560"/>
        <c:scaling>
          <c:orientation val="minMax"/>
          <c:max val="10"/>
          <c:min val="7"/>
        </c:scaling>
        <c:delete val="0"/>
        <c:axPos val="b"/>
        <c:title>
          <c:tx>
            <c:rich>
              <a:bodyPr/>
              <a:lstStyle/>
              <a:p>
                <a:pPr>
                  <a:defRPr sz="700" b="1" i="0" u="none" strike="noStrike" baseline="0">
                    <a:solidFill>
                      <a:srgbClr val="000000"/>
                    </a:solidFill>
                    <a:latin typeface="Times New Roman"/>
                    <a:ea typeface="Times New Roman"/>
                    <a:cs typeface="Times New Roman"/>
                  </a:defRPr>
                </a:pPr>
                <a:r>
                  <a:rPr lang="en-US"/>
                  <a:t>7.44884726929423</a:t>
                </a:r>
              </a:p>
            </c:rich>
          </c:tx>
          <c:layout>
            <c:manualLayout>
              <c:xMode val="edge"/>
              <c:yMode val="edge"/>
              <c:x val="0.42000051269593836"/>
              <c:y val="0.91040590905819463"/>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31524864"/>
        <c:crosses val="autoZero"/>
        <c:crossBetween val="midCat"/>
      </c:valAx>
      <c:valAx>
        <c:axId val="131524864"/>
        <c:scaling>
          <c:orientation val="minMax"/>
          <c:max val="2"/>
          <c:min val="-3"/>
        </c:scaling>
        <c:delete val="0"/>
        <c:axPos val="l"/>
        <c:title>
          <c:tx>
            <c:rich>
              <a:bodyPr/>
              <a:lstStyle/>
              <a:p>
                <a:pPr>
                  <a:defRPr sz="700" b="1" i="0" u="none" strike="noStrike" baseline="0">
                    <a:solidFill>
                      <a:srgbClr val="000000"/>
                    </a:solidFill>
                    <a:latin typeface="Times New Roman"/>
                    <a:ea typeface="Times New Roman"/>
                    <a:cs typeface="Times New Roman"/>
                  </a:defRPr>
                </a:pPr>
                <a:r>
                  <a:rPr lang="en-US"/>
                  <a:t>Standardized residuals</a:t>
                </a:r>
              </a:p>
            </c:rich>
          </c:tx>
          <c:layout>
            <c:manualLayout>
              <c:xMode val="edge"/>
              <c:yMode val="edge"/>
              <c:x val="4.0000048828184614E-2"/>
              <c:y val="0.35549183115605687"/>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31522560"/>
        <c:crosses val="autoZero"/>
        <c:crossBetween val="midCat"/>
      </c:valAx>
      <c:spPr>
        <a:solidFill>
          <a:srgbClr val="FFFFFF"/>
        </a:solidFill>
        <a:ln w="3175">
          <a:solidFill>
            <a:srgbClr val="969696"/>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278" r="0.75000000000000278"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Times New Roman"/>
                <a:ea typeface="Times New Roman"/>
                <a:cs typeface="Times New Roman"/>
              </a:defRPr>
            </a:pPr>
            <a:r>
              <a:rPr lang="en-US"/>
              <a:t>10.2868608488012 / Standardized residuals</a:t>
            </a:r>
          </a:p>
        </c:rich>
      </c:tx>
      <c:layout>
        <c:manualLayout>
          <c:xMode val="edge"/>
          <c:yMode val="edge"/>
          <c:x val="0.38019208869151927"/>
          <c:y val="3.4582132564841515E-2"/>
        </c:manualLayout>
      </c:layout>
      <c:overlay val="0"/>
      <c:spPr>
        <a:noFill/>
        <a:ln w="25400">
          <a:noFill/>
        </a:ln>
      </c:spPr>
    </c:title>
    <c:autoTitleDeleted val="0"/>
    <c:plotArea>
      <c:layout>
        <c:manualLayout>
          <c:layoutTarget val="inner"/>
          <c:xMode val="edge"/>
          <c:yMode val="edge"/>
          <c:x val="6.0702938530579037E-2"/>
          <c:y val="0.17002881844380405"/>
          <c:w val="0.91586889712803232"/>
          <c:h val="0.71757925072046114"/>
        </c:manualLayout>
      </c:layout>
      <c:scatterChart>
        <c:scatterStyle val="lineMarker"/>
        <c:varyColors val="0"/>
        <c:ser>
          <c:idx val="0"/>
          <c:order val="0"/>
          <c:tx>
            <c:strRef>
              <c:f>'Linear Regression'!$H$63</c:f>
              <c:strCache>
                <c:ptCount val="1"/>
                <c:pt idx="0">
                  <c:v>Standardized residuals</c:v>
                </c:pt>
              </c:strCache>
            </c:strRef>
          </c:tx>
          <c:spPr>
            <a:ln w="28575">
              <a:noFill/>
            </a:ln>
          </c:spPr>
          <c:marker>
            <c:symbol val="circle"/>
            <c:size val="5"/>
            <c:spPr>
              <a:solidFill>
                <a:srgbClr val="FF0000"/>
              </a:solidFill>
              <a:ln>
                <a:solidFill>
                  <a:srgbClr val="FF0000"/>
                </a:solidFill>
                <a:prstDash val="solid"/>
              </a:ln>
            </c:spPr>
          </c:marker>
          <c:xVal>
            <c:numRef>
              <c:f>'Linear Regression'!$E$64:$E$88</c:f>
              <c:numCache>
                <c:formatCode>0.000</c:formatCode>
                <c:ptCount val="25"/>
                <c:pt idx="0">
                  <c:v>10.725877252815192</c:v>
                </c:pt>
                <c:pt idx="1">
                  <c:v>9.7165493001335186</c:v>
                </c:pt>
                <c:pt idx="2">
                  <c:v>9.6021026389355413</c:v>
                </c:pt>
                <c:pt idx="3">
                  <c:v>10.297824903410435</c:v>
                </c:pt>
                <c:pt idx="4">
                  <c:v>9.5244400585853572</c:v>
                </c:pt>
                <c:pt idx="5">
                  <c:v>9.4064781293538378</c:v>
                </c:pt>
                <c:pt idx="6">
                  <c:v>9.3149219084753181</c:v>
                </c:pt>
                <c:pt idx="7">
                  <c:v>9.0718764097379854</c:v>
                </c:pt>
                <c:pt idx="8">
                  <c:v>10.289823313496736</c:v>
                </c:pt>
                <c:pt idx="9">
                  <c:v>8.8515347430675373</c:v>
                </c:pt>
                <c:pt idx="10">
                  <c:v>10.275244353074381</c:v>
                </c:pt>
                <c:pt idx="11">
                  <c:v>10.136340880191563</c:v>
                </c:pt>
                <c:pt idx="12">
                  <c:v>10.750790077334518</c:v>
                </c:pt>
                <c:pt idx="13">
                  <c:v>10.509569182443961</c:v>
                </c:pt>
                <c:pt idx="14">
                  <c:v>10.722295417865729</c:v>
                </c:pt>
                <c:pt idx="15">
                  <c:v>11.004120163228457</c:v>
                </c:pt>
                <c:pt idx="16">
                  <c:v>10.815852875061397</c:v>
                </c:pt>
                <c:pt idx="17">
                  <c:v>10.803922512200318</c:v>
                </c:pt>
                <c:pt idx="18">
                  <c:v>10.864168522131981</c:v>
                </c:pt>
                <c:pt idx="19">
                  <c:v>10.708056717042606</c:v>
                </c:pt>
                <c:pt idx="20">
                  <c:v>10.994477680867268</c:v>
                </c:pt>
                <c:pt idx="21">
                  <c:v>10.605659612459453</c:v>
                </c:pt>
                <c:pt idx="22">
                  <c:v>10.540930529216613</c:v>
                </c:pt>
                <c:pt idx="23">
                  <c:v>10.701877606168955</c:v>
                </c:pt>
                <c:pt idx="24">
                  <c:v>10.679491324869399</c:v>
                </c:pt>
              </c:numCache>
            </c:numRef>
          </c:xVal>
          <c:yVal>
            <c:numRef>
              <c:f>'Linear Regression'!$H$64:$H$88</c:f>
              <c:numCache>
                <c:formatCode>0.000</c:formatCode>
                <c:ptCount val="25"/>
                <c:pt idx="0">
                  <c:v>0.9806862873560438</c:v>
                </c:pt>
                <c:pt idx="1">
                  <c:v>-0.93150557091537223</c:v>
                </c:pt>
                <c:pt idx="2">
                  <c:v>0.65904024769578939</c:v>
                </c:pt>
                <c:pt idx="3">
                  <c:v>0.21580579189483709</c:v>
                </c:pt>
                <c:pt idx="4">
                  <c:v>-1.7788825798739745</c:v>
                </c:pt>
                <c:pt idx="5">
                  <c:v>0.11090901783564208</c:v>
                </c:pt>
                <c:pt idx="6">
                  <c:v>-0.76780326639461705</c:v>
                </c:pt>
                <c:pt idx="7">
                  <c:v>-0.85983502856297178</c:v>
                </c:pt>
                <c:pt idx="8">
                  <c:v>1.3202264140734679</c:v>
                </c:pt>
                <c:pt idx="9">
                  <c:v>-2.3013230592487739</c:v>
                </c:pt>
                <c:pt idx="10">
                  <c:v>0.98816897387275304</c:v>
                </c:pt>
                <c:pt idx="11">
                  <c:v>3.2009530618744404E-2</c:v>
                </c:pt>
                <c:pt idx="12">
                  <c:v>1.5158279473972658</c:v>
                </c:pt>
                <c:pt idx="13">
                  <c:v>-6.1720973819040841E-2</c:v>
                </c:pt>
                <c:pt idx="14">
                  <c:v>0.52254690604177501</c:v>
                </c:pt>
                <c:pt idx="15">
                  <c:v>0.52886926364604758</c:v>
                </c:pt>
                <c:pt idx="16">
                  <c:v>0.3845308887194705</c:v>
                </c:pt>
                <c:pt idx="17">
                  <c:v>-0.51346560664112928</c:v>
                </c:pt>
                <c:pt idx="18">
                  <c:v>1.3232899872691262</c:v>
                </c:pt>
                <c:pt idx="19">
                  <c:v>-0.88243868341521647</c:v>
                </c:pt>
                <c:pt idx="20">
                  <c:v>7.4351267366630095E-3</c:v>
                </c:pt>
                <c:pt idx="21">
                  <c:v>4.1218027381101231E-2</c:v>
                </c:pt>
                <c:pt idx="22">
                  <c:v>7.5994589278616978E-2</c:v>
                </c:pt>
                <c:pt idx="23">
                  <c:v>0.73889420182684984</c:v>
                </c:pt>
                <c:pt idx="24">
                  <c:v>-1.3484784327730979</c:v>
                </c:pt>
              </c:numCache>
            </c:numRef>
          </c:yVal>
          <c:smooth val="0"/>
        </c:ser>
        <c:dLbls>
          <c:showLegendKey val="0"/>
          <c:showVal val="0"/>
          <c:showCatName val="0"/>
          <c:showSerName val="0"/>
          <c:showPercent val="0"/>
          <c:showBubbleSize val="0"/>
        </c:dLbls>
        <c:axId val="131549056"/>
        <c:axId val="131559808"/>
      </c:scatterChart>
      <c:valAx>
        <c:axId val="131549056"/>
        <c:scaling>
          <c:orientation val="minMax"/>
          <c:max val="12"/>
          <c:min val="8"/>
        </c:scaling>
        <c:delete val="0"/>
        <c:axPos val="b"/>
        <c:title>
          <c:tx>
            <c:rich>
              <a:bodyPr/>
              <a:lstStyle/>
              <a:p>
                <a:pPr>
                  <a:defRPr sz="700" b="1" i="0" u="none" strike="noStrike" baseline="0">
                    <a:solidFill>
                      <a:srgbClr val="000000"/>
                    </a:solidFill>
                    <a:latin typeface="Times New Roman"/>
                    <a:ea typeface="Times New Roman"/>
                    <a:cs typeface="Times New Roman"/>
                  </a:defRPr>
                </a:pPr>
                <a:r>
                  <a:rPr lang="en-US"/>
                  <a:t>10.2868608488012</a:t>
                </a:r>
              </a:p>
            </c:rich>
          </c:tx>
          <c:layout>
            <c:manualLayout>
              <c:xMode val="edge"/>
              <c:yMode val="edge"/>
              <c:x val="0.46858408690271486"/>
              <c:y val="0.91066282420749278"/>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31559808"/>
        <c:crosses val="autoZero"/>
        <c:crossBetween val="midCat"/>
      </c:valAx>
      <c:valAx>
        <c:axId val="131559808"/>
        <c:scaling>
          <c:orientation val="minMax"/>
          <c:max val="2"/>
          <c:min val="-3"/>
        </c:scaling>
        <c:delete val="0"/>
        <c:axPos val="l"/>
        <c:title>
          <c:tx>
            <c:rich>
              <a:bodyPr/>
              <a:lstStyle/>
              <a:p>
                <a:pPr>
                  <a:defRPr sz="700" b="1" i="0" u="none" strike="noStrike" baseline="0">
                    <a:solidFill>
                      <a:srgbClr val="000000"/>
                    </a:solidFill>
                    <a:latin typeface="Times New Roman"/>
                    <a:ea typeface="Times New Roman"/>
                    <a:cs typeface="Times New Roman"/>
                  </a:defRPr>
                </a:pPr>
                <a:r>
                  <a:rPr lang="en-US"/>
                  <a:t>Standardized residuals</a:t>
                </a:r>
              </a:p>
            </c:rich>
          </c:tx>
          <c:layout>
            <c:manualLayout>
              <c:xMode val="edge"/>
              <c:yMode val="edge"/>
              <c:x val="1.7039421341916841E-2"/>
              <c:y val="0.35734870317003087"/>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31549056"/>
        <c:crosses val="autoZero"/>
        <c:crossBetween val="midCat"/>
      </c:valAx>
      <c:spPr>
        <a:solidFill>
          <a:srgbClr val="FFFFFF"/>
        </a:solidFill>
        <a:ln w="3175">
          <a:solidFill>
            <a:srgbClr val="969696"/>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278" r="0.75000000000000278"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Times New Roman"/>
                <a:ea typeface="Times New Roman"/>
                <a:cs typeface="Times New Roman"/>
              </a:defRPr>
            </a:pPr>
            <a:r>
              <a:rPr lang="en-US"/>
              <a:t>Standardized residuals</a:t>
            </a:r>
          </a:p>
        </c:rich>
      </c:tx>
      <c:layout>
        <c:manualLayout>
          <c:xMode val="edge"/>
          <c:yMode val="edge"/>
          <c:x val="0.34500042114309232"/>
          <c:y val="3.4582132564841515E-2"/>
        </c:manualLayout>
      </c:layout>
      <c:overlay val="0"/>
      <c:spPr>
        <a:noFill/>
        <a:ln w="25400">
          <a:noFill/>
        </a:ln>
      </c:spPr>
    </c:title>
    <c:autoTitleDeleted val="0"/>
    <c:plotArea>
      <c:layout>
        <c:manualLayout>
          <c:layoutTarget val="inner"/>
          <c:xMode val="edge"/>
          <c:yMode val="edge"/>
          <c:x val="0.17250021057154621"/>
          <c:y val="0.14697406340057639"/>
          <c:w val="0.77750094909783829"/>
          <c:h val="0.70028818443804031"/>
        </c:manualLayout>
      </c:layout>
      <c:barChart>
        <c:barDir val="bar"/>
        <c:grouping val="clustered"/>
        <c:varyColors val="0"/>
        <c:ser>
          <c:idx val="0"/>
          <c:order val="0"/>
          <c:tx>
            <c:strRef>
              <c:f>'Linear Regression'!$H$63</c:f>
              <c:strCache>
                <c:ptCount val="1"/>
                <c:pt idx="0">
                  <c:v>Standardized residuals</c:v>
                </c:pt>
              </c:strCache>
            </c:strRef>
          </c:tx>
          <c:spPr>
            <a:solidFill>
              <a:srgbClr val="8080FF"/>
            </a:solidFill>
            <a:ln w="12700">
              <a:solidFill>
                <a:srgbClr val="000000"/>
              </a:solidFill>
              <a:prstDash val="solid"/>
            </a:ln>
          </c:spPr>
          <c:invertIfNegative val="0"/>
          <c:cat>
            <c:strRef>
              <c:f>'Linear Regression'!$B$64:$B$88</c:f>
              <c:strCache>
                <c:ptCount val="25"/>
                <c:pt idx="0">
                  <c:v>Obs1</c:v>
                </c:pt>
                <c:pt idx="1">
                  <c:v>Obs2</c:v>
                </c:pt>
                <c:pt idx="2">
                  <c:v>Obs3</c:v>
                </c:pt>
                <c:pt idx="3">
                  <c:v>Obs4</c:v>
                </c:pt>
                <c:pt idx="4">
                  <c:v>Obs5</c:v>
                </c:pt>
                <c:pt idx="5">
                  <c:v>Obs6</c:v>
                </c:pt>
                <c:pt idx="6">
                  <c:v>Obs7</c:v>
                </c:pt>
                <c:pt idx="7">
                  <c:v>Obs8</c:v>
                </c:pt>
                <c:pt idx="8">
                  <c:v>Obs9</c:v>
                </c:pt>
                <c:pt idx="9">
                  <c:v>Obs10</c:v>
                </c:pt>
                <c:pt idx="10">
                  <c:v>Obs11</c:v>
                </c:pt>
                <c:pt idx="11">
                  <c:v>Obs12</c:v>
                </c:pt>
                <c:pt idx="12">
                  <c:v>Obs13</c:v>
                </c:pt>
                <c:pt idx="13">
                  <c:v>Obs14</c:v>
                </c:pt>
                <c:pt idx="14">
                  <c:v>Obs15</c:v>
                </c:pt>
                <c:pt idx="15">
                  <c:v>Obs16</c:v>
                </c:pt>
                <c:pt idx="16">
                  <c:v>Obs17</c:v>
                </c:pt>
                <c:pt idx="17">
                  <c:v>Obs18</c:v>
                </c:pt>
                <c:pt idx="18">
                  <c:v>Obs19</c:v>
                </c:pt>
                <c:pt idx="19">
                  <c:v>Obs20</c:v>
                </c:pt>
                <c:pt idx="20">
                  <c:v>Obs21</c:v>
                </c:pt>
                <c:pt idx="21">
                  <c:v>Obs22</c:v>
                </c:pt>
                <c:pt idx="22">
                  <c:v>Obs23</c:v>
                </c:pt>
                <c:pt idx="23">
                  <c:v>Obs24</c:v>
                </c:pt>
                <c:pt idx="24">
                  <c:v>Obs25</c:v>
                </c:pt>
              </c:strCache>
            </c:strRef>
          </c:cat>
          <c:val>
            <c:numRef>
              <c:f>'Linear Regression'!$H$64:$H$88</c:f>
              <c:numCache>
                <c:formatCode>0.000</c:formatCode>
                <c:ptCount val="25"/>
                <c:pt idx="0">
                  <c:v>0.9806862873560438</c:v>
                </c:pt>
                <c:pt idx="1">
                  <c:v>-0.93150557091537223</c:v>
                </c:pt>
                <c:pt idx="2">
                  <c:v>0.65904024769578939</c:v>
                </c:pt>
                <c:pt idx="3">
                  <c:v>0.21580579189483709</c:v>
                </c:pt>
                <c:pt idx="4">
                  <c:v>-1.7788825798739745</c:v>
                </c:pt>
                <c:pt idx="5">
                  <c:v>0.11090901783564208</c:v>
                </c:pt>
                <c:pt idx="6">
                  <c:v>-0.76780326639461705</c:v>
                </c:pt>
                <c:pt idx="7">
                  <c:v>-0.85983502856297178</c:v>
                </c:pt>
                <c:pt idx="8">
                  <c:v>1.3202264140734679</c:v>
                </c:pt>
                <c:pt idx="9">
                  <c:v>-2.3013230592487739</c:v>
                </c:pt>
                <c:pt idx="10">
                  <c:v>0.98816897387275304</c:v>
                </c:pt>
                <c:pt idx="11">
                  <c:v>3.2009530618744404E-2</c:v>
                </c:pt>
                <c:pt idx="12">
                  <c:v>1.5158279473972658</c:v>
                </c:pt>
                <c:pt idx="13">
                  <c:v>-6.1720973819040841E-2</c:v>
                </c:pt>
                <c:pt idx="14">
                  <c:v>0.52254690604177501</c:v>
                </c:pt>
                <c:pt idx="15">
                  <c:v>0.52886926364604758</c:v>
                </c:pt>
                <c:pt idx="16">
                  <c:v>0.3845308887194705</c:v>
                </c:pt>
                <c:pt idx="17">
                  <c:v>-0.51346560664112928</c:v>
                </c:pt>
                <c:pt idx="18">
                  <c:v>1.3232899872691262</c:v>
                </c:pt>
                <c:pt idx="19">
                  <c:v>-0.88243868341521647</c:v>
                </c:pt>
                <c:pt idx="20">
                  <c:v>7.4351267366630095E-3</c:v>
                </c:pt>
                <c:pt idx="21">
                  <c:v>4.1218027381101231E-2</c:v>
                </c:pt>
                <c:pt idx="22">
                  <c:v>7.5994589278616978E-2</c:v>
                </c:pt>
                <c:pt idx="23">
                  <c:v>0.73889420182684984</c:v>
                </c:pt>
                <c:pt idx="24">
                  <c:v>-1.3484784327730979</c:v>
                </c:pt>
              </c:numCache>
            </c:numRef>
          </c:val>
        </c:ser>
        <c:dLbls>
          <c:showLegendKey val="0"/>
          <c:showVal val="0"/>
          <c:showCatName val="0"/>
          <c:showSerName val="0"/>
          <c:showPercent val="0"/>
          <c:showBubbleSize val="0"/>
        </c:dLbls>
        <c:gapWidth val="150"/>
        <c:axId val="132190592"/>
        <c:axId val="132192512"/>
      </c:barChart>
      <c:catAx>
        <c:axId val="132190592"/>
        <c:scaling>
          <c:orientation val="minMax"/>
        </c:scaling>
        <c:delete val="0"/>
        <c:axPos val="l"/>
        <c:title>
          <c:tx>
            <c:rich>
              <a:bodyPr/>
              <a:lstStyle/>
              <a:p>
                <a:pPr>
                  <a:defRPr sz="700" b="1" i="0" u="none" strike="noStrike" baseline="0">
                    <a:solidFill>
                      <a:srgbClr val="000000"/>
                    </a:solidFill>
                    <a:latin typeface="Times New Roman"/>
                    <a:ea typeface="Times New Roman"/>
                    <a:cs typeface="Times New Roman"/>
                  </a:defRPr>
                </a:pPr>
                <a:r>
                  <a:rPr lang="en-US"/>
                  <a:t>Observations</a:t>
                </a:r>
              </a:p>
            </c:rich>
          </c:tx>
          <c:layout>
            <c:manualLayout>
              <c:xMode val="edge"/>
              <c:yMode val="edge"/>
              <c:x val="4.0000048828184614E-2"/>
              <c:y val="0.39193083573487358"/>
            </c:manualLayout>
          </c:layout>
          <c:overlay val="0"/>
          <c:spPr>
            <a:noFill/>
            <a:ln w="25400">
              <a:noFill/>
            </a:ln>
          </c:spPr>
        </c:title>
        <c:numFmt formatCode="General" sourceLinked="0"/>
        <c:majorTickMark val="cross"/>
        <c:minorTickMark val="none"/>
        <c:tickLblPos val="low"/>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32192512"/>
        <c:crosses val="autoZero"/>
        <c:auto val="1"/>
        <c:lblAlgn val="ctr"/>
        <c:lblOffset val="100"/>
        <c:tickLblSkip val="2"/>
        <c:tickMarkSkip val="1"/>
        <c:noMultiLvlLbl val="0"/>
      </c:catAx>
      <c:valAx>
        <c:axId val="132192512"/>
        <c:scaling>
          <c:orientation val="minMax"/>
          <c:max val="3"/>
          <c:min val="-3"/>
        </c:scaling>
        <c:delete val="0"/>
        <c:axPos val="b"/>
        <c:title>
          <c:tx>
            <c:rich>
              <a:bodyPr/>
              <a:lstStyle/>
              <a:p>
                <a:pPr>
                  <a:defRPr sz="700" b="1" i="0" u="none" strike="noStrike" baseline="0">
                    <a:solidFill>
                      <a:srgbClr val="000000"/>
                    </a:solidFill>
                    <a:latin typeface="Times New Roman"/>
                    <a:ea typeface="Times New Roman"/>
                    <a:cs typeface="Times New Roman"/>
                  </a:defRPr>
                </a:pPr>
                <a:r>
                  <a:rPr lang="en-US"/>
                  <a:t>Standardized residuals</a:t>
                </a:r>
              </a:p>
            </c:rich>
          </c:tx>
          <c:layout>
            <c:manualLayout>
              <c:xMode val="edge"/>
              <c:yMode val="edge"/>
              <c:x val="0.41250050354065615"/>
              <c:y val="0.91066282420749278"/>
            </c:manualLayout>
          </c:layout>
          <c:overlay val="0"/>
          <c:spPr>
            <a:noFill/>
            <a:ln w="25400">
              <a:noFill/>
            </a:ln>
          </c:spPr>
        </c:title>
        <c:numFmt formatCode="General"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32190592"/>
        <c:crosses val="autoZero"/>
        <c:crossBetween val="between"/>
      </c:valAx>
      <c:spPr>
        <a:solidFill>
          <a:srgbClr val="FFFFFF"/>
        </a:solidFill>
        <a:ln w="3175">
          <a:solidFill>
            <a:srgbClr val="969696"/>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278" r="0.75000000000000278"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22</xdr:col>
      <xdr:colOff>28575</xdr:colOff>
      <xdr:row>93</xdr:row>
      <xdr:rowOff>19050</xdr:rowOff>
    </xdr:from>
    <xdr:to>
      <xdr:col>38</xdr:col>
      <xdr:colOff>238125</xdr:colOff>
      <xdr:row>132</xdr:row>
      <xdr:rowOff>142875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161924</xdr:colOff>
      <xdr:row>17</xdr:row>
      <xdr:rowOff>161925</xdr:rowOff>
    </xdr:from>
    <xdr:to>
      <xdr:col>45</xdr:col>
      <xdr:colOff>428624</xdr:colOff>
      <xdr:row>40</xdr:row>
      <xdr:rowOff>76200</xdr:rowOff>
    </xdr:to>
    <xdr:graphicFrame macro="">
      <xdr:nvGraphicFramePr>
        <xdr:cNvPr id="3"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72</xdr:row>
      <xdr:rowOff>38100</xdr:rowOff>
    </xdr:from>
    <xdr:to>
      <xdr:col>2</xdr:col>
      <xdr:colOff>0</xdr:colOff>
      <xdr:row>99</xdr:row>
      <xdr:rowOff>57150</xdr:rowOff>
    </xdr:to>
    <xdr:graphicFrame macro="">
      <xdr:nvGraphicFramePr>
        <xdr:cNvPr id="2"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352425</xdr:colOff>
      <xdr:row>32</xdr:row>
      <xdr:rowOff>161925</xdr:rowOff>
    </xdr:from>
    <xdr:to>
      <xdr:col>11</xdr:col>
      <xdr:colOff>866775</xdr:colOff>
      <xdr:row>53</xdr:row>
      <xdr:rowOff>38100</xdr:rowOff>
    </xdr:to>
    <xdr:graphicFrame macro="">
      <xdr:nvGraphicFramePr>
        <xdr:cNvPr id="15370"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70</xdr:row>
      <xdr:rowOff>0</xdr:rowOff>
    </xdr:from>
    <xdr:to>
      <xdr:col>24</xdr:col>
      <xdr:colOff>342900</xdr:colOff>
      <xdr:row>76</xdr:row>
      <xdr:rowOff>161925</xdr:rowOff>
    </xdr:to>
    <xdr:sp macro="" textlink="">
      <xdr:nvSpPr>
        <xdr:cNvPr id="3" name="Text Box 9"/>
        <xdr:cNvSpPr txBox="1">
          <a:spLocks noChangeArrowheads="1"/>
        </xdr:cNvSpPr>
      </xdr:nvSpPr>
      <xdr:spPr bwMode="auto">
        <a:xfrm>
          <a:off x="596900" y="12865100"/>
          <a:ext cx="15811500" cy="1343025"/>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200" b="0" i="0" u="none" strike="noStrike" baseline="0">
              <a:solidFill>
                <a:srgbClr val="000000"/>
              </a:solidFill>
              <a:latin typeface="Times New Roman"/>
              <a:cs typeface="Times New Roman"/>
            </a:rPr>
            <a:t>Forecast to be the average harvest, 1992-2001 and the ???% Prediction interval.  This should be refered to as a prediction interval rather than a confidence interval because we are not interested in estimating a population parameter (mean), but in the prediction of a single future observation (a random variable).   The prediction interval should be interpreted to mean :  the limits within which we can say with a given degree of confidence (100(1- a)% confidence) that they will contain a future observation ; or if we add new observations (new harvest totals)  and recalculate the prediction interval,  in the long run the resulting intervals will contain the future values 100(1- a)% of the time.</a:t>
          </a:r>
        </a:p>
        <a:p>
          <a:pPr algn="l" rtl="0">
            <a:defRPr sz="1000"/>
          </a:pPr>
          <a:endParaRPr lang="en-US" sz="1200" b="0" i="0" u="none" strike="noStrike" baseline="0">
            <a:solidFill>
              <a:srgbClr val="000000"/>
            </a:solidFill>
            <a:latin typeface="Times New Roman"/>
            <a:cs typeface="Times New Roman"/>
          </a:endParaRPr>
        </a:p>
        <a:p>
          <a:pPr algn="l" rtl="0">
            <a:defRPr sz="1000"/>
          </a:pPr>
          <a:r>
            <a:rPr lang="en-US" sz="1200" b="0" i="0" u="none" strike="noStrike" baseline="0">
              <a:solidFill>
                <a:srgbClr val="000000"/>
              </a:solidFill>
              <a:latin typeface="Times New Roman"/>
              <a:cs typeface="Times New Roman"/>
            </a:rPr>
            <a:t>See Devore pg 482 or Freund pg 420 for explanation of prediction intervals in a linear regression context.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48</xdr:row>
      <xdr:rowOff>85725</xdr:rowOff>
    </xdr:from>
    <xdr:to>
      <xdr:col>11</xdr:col>
      <xdr:colOff>790575</xdr:colOff>
      <xdr:row>74</xdr:row>
      <xdr:rowOff>152400</xdr:rowOff>
    </xdr:to>
    <xdr:graphicFrame macro="">
      <xdr:nvGraphicFramePr>
        <xdr:cNvPr id="143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104775</xdr:colOff>
      <xdr:row>3</xdr:row>
      <xdr:rowOff>9525</xdr:rowOff>
    </xdr:from>
    <xdr:to>
      <xdr:col>24</xdr:col>
      <xdr:colOff>333375</xdr:colOff>
      <xdr:row>29</xdr:row>
      <xdr:rowOff>85725</xdr:rowOff>
    </xdr:to>
    <xdr:graphicFrame macro="">
      <xdr:nvGraphicFramePr>
        <xdr:cNvPr id="143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285750</xdr:colOff>
      <xdr:row>6</xdr:row>
      <xdr:rowOff>66675</xdr:rowOff>
    </xdr:from>
    <xdr:to>
      <xdr:col>16</xdr:col>
      <xdr:colOff>647700</xdr:colOff>
      <xdr:row>6</xdr:row>
      <xdr:rowOff>66675</xdr:rowOff>
    </xdr:to>
    <xdr:sp macro="" textlink="">
      <xdr:nvSpPr>
        <xdr:cNvPr id="14339" name="Line 3"/>
        <xdr:cNvSpPr>
          <a:spLocks noChangeShapeType="1"/>
        </xdr:cNvSpPr>
      </xdr:nvSpPr>
      <xdr:spPr bwMode="auto">
        <a:xfrm>
          <a:off x="7334250" y="1152525"/>
          <a:ext cx="1590675" cy="0"/>
        </a:xfrm>
        <a:prstGeom prst="line">
          <a:avLst/>
        </a:prstGeom>
        <a:noFill/>
        <a:ln w="38100">
          <a:solidFill>
            <a:srgbClr val="000000"/>
          </a:solidFill>
          <a:round/>
          <a:headEnd/>
          <a:tailEnd type="triangle" w="med" len="me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21</xdr:col>
      <xdr:colOff>546100</xdr:colOff>
      <xdr:row>12</xdr:row>
      <xdr:rowOff>38100</xdr:rowOff>
    </xdr:from>
    <xdr:to>
      <xdr:col>26</xdr:col>
      <xdr:colOff>482600</xdr:colOff>
      <xdr:row>17</xdr:row>
      <xdr:rowOff>25400</xdr:rowOff>
    </xdr:to>
    <xdr:sp macro="" textlink="">
      <xdr:nvSpPr>
        <xdr:cNvPr id="2" name="TextBox 1"/>
        <xdr:cNvSpPr txBox="1"/>
      </xdr:nvSpPr>
      <xdr:spPr>
        <a:xfrm>
          <a:off x="11315700" y="2286000"/>
          <a:ext cx="2654300" cy="812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LAST UPDATED 12/17/2013</a:t>
          </a:r>
        </a:p>
        <a:p>
          <a:endParaRPr lang="en-US" sz="1100">
            <a:solidFill>
              <a:srgbClr val="FF0000"/>
            </a:solidFill>
          </a:endParaRPr>
        </a:p>
        <a:p>
          <a:r>
            <a:rPr lang="en-US" sz="1100">
              <a:solidFill>
                <a:srgbClr val="FF0000"/>
              </a:solidFill>
            </a:rPr>
            <a:t>Updated 1-7-2014</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142875</xdr:colOff>
      <xdr:row>5</xdr:row>
      <xdr:rowOff>47626</xdr:rowOff>
    </xdr:from>
    <xdr:to>
      <xdr:col>28</xdr:col>
      <xdr:colOff>28575</xdr:colOff>
      <xdr:row>28</xdr:row>
      <xdr:rowOff>142875</xdr:rowOff>
    </xdr:to>
    <xdr:graphicFrame macro="">
      <xdr:nvGraphicFramePr>
        <xdr:cNvPr id="1843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7</xdr:col>
      <xdr:colOff>133350</xdr:colOff>
      <xdr:row>86</xdr:row>
      <xdr:rowOff>85725</xdr:rowOff>
    </xdr:from>
    <xdr:ext cx="76200" cy="200025"/>
    <xdr:sp macro="" textlink="">
      <xdr:nvSpPr>
        <xdr:cNvPr id="2" name="Text Box 3"/>
        <xdr:cNvSpPr txBox="1">
          <a:spLocks noChangeArrowheads="1"/>
        </xdr:cNvSpPr>
      </xdr:nvSpPr>
      <xdr:spPr bwMode="auto">
        <a:xfrm>
          <a:off x="5543550" y="17535525"/>
          <a:ext cx="76200" cy="200025"/>
        </a:xfrm>
        <a:prstGeom prst="rect">
          <a:avLst/>
        </a:prstGeom>
        <a:noFill/>
        <a:ln w="9525">
          <a:noFill/>
          <a:miter lim="800000"/>
          <a:headEnd/>
          <a:tailEnd/>
        </a:ln>
      </xdr:spPr>
    </xdr:sp>
    <xdr:clientData/>
  </xdr:oneCellAnchor>
</xdr:wsDr>
</file>

<file path=xl/drawings/drawing8.xml><?xml version="1.0" encoding="utf-8"?>
<xdr:wsDr xmlns:xdr="http://schemas.openxmlformats.org/drawingml/2006/spreadsheetDrawing" xmlns:a="http://schemas.openxmlformats.org/drawingml/2006/main">
  <xdr:oneCellAnchor>
    <xdr:from>
      <xdr:col>8</xdr:col>
      <xdr:colOff>133350</xdr:colOff>
      <xdr:row>91</xdr:row>
      <xdr:rowOff>85725</xdr:rowOff>
    </xdr:from>
    <xdr:ext cx="76200" cy="200025"/>
    <xdr:sp macro="" textlink="">
      <xdr:nvSpPr>
        <xdr:cNvPr id="3075" name="Text Box 3"/>
        <xdr:cNvSpPr txBox="1">
          <a:spLocks noChangeArrowheads="1"/>
        </xdr:cNvSpPr>
      </xdr:nvSpPr>
      <xdr:spPr bwMode="auto">
        <a:xfrm>
          <a:off x="5543550" y="16506825"/>
          <a:ext cx="76200" cy="200025"/>
        </a:xfrm>
        <a:prstGeom prst="rect">
          <a:avLst/>
        </a:prstGeom>
        <a:noFill/>
        <a:ln w="9525">
          <a:noFill/>
          <a:miter lim="800000"/>
          <a:headEnd/>
          <a:tailEnd/>
        </a:ln>
      </xdr:spPr>
    </xdr:sp>
    <xdr:clientData/>
  </xdr:oneCellAnchor>
</xdr:wsDr>
</file>

<file path=xl/drawings/drawing9.xml><?xml version="1.0" encoding="utf-8"?>
<xdr:wsDr xmlns:xdr="http://schemas.openxmlformats.org/drawingml/2006/spreadsheetDrawing" xmlns:a="http://schemas.openxmlformats.org/drawingml/2006/main">
  <xdr:twoCellAnchor>
    <xdr:from>
      <xdr:col>32</xdr:col>
      <xdr:colOff>276225</xdr:colOff>
      <xdr:row>7</xdr:row>
      <xdr:rowOff>47625</xdr:rowOff>
    </xdr:from>
    <xdr:to>
      <xdr:col>44</xdr:col>
      <xdr:colOff>381000</xdr:colOff>
      <xdr:row>46</xdr:row>
      <xdr:rowOff>47625</xdr:rowOff>
    </xdr:to>
    <xdr:graphicFrame macro="">
      <xdr:nvGraphicFramePr>
        <xdr:cNvPr id="61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30480</xdr:colOff>
          <xdr:row>1</xdr:row>
          <xdr:rowOff>30480</xdr:rowOff>
        </xdr:from>
        <xdr:to>
          <xdr:col>16</xdr:col>
          <xdr:colOff>297180</xdr:colOff>
          <xdr:row>5</xdr:row>
          <xdr:rowOff>30480</xdr:rowOff>
        </xdr:to>
        <xdr:sp macro="" textlink="">
          <xdr:nvSpPr>
            <xdr:cNvPr id="6146" name="CommandButton1" hidden="1">
              <a:extLst>
                <a:ext uri="{63B3BB69-23CF-44E3-9099-C40C66FF867C}">
                  <a14:compatExt spid="_x0000_s6146"/>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32</xdr:col>
      <xdr:colOff>276225</xdr:colOff>
      <xdr:row>7</xdr:row>
      <xdr:rowOff>47625</xdr:rowOff>
    </xdr:from>
    <xdr:to>
      <xdr:col>44</xdr:col>
      <xdr:colOff>381000</xdr:colOff>
      <xdr:row>29</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30480</xdr:colOff>
          <xdr:row>1</xdr:row>
          <xdr:rowOff>30480</xdr:rowOff>
        </xdr:from>
        <xdr:to>
          <xdr:col>16</xdr:col>
          <xdr:colOff>297180</xdr:colOff>
          <xdr:row>5</xdr:row>
          <xdr:rowOff>30480</xdr:rowOff>
        </xdr:to>
        <xdr:sp macro="" textlink="">
          <xdr:nvSpPr>
            <xdr:cNvPr id="79873" name="CommandButton1" hidden="1">
              <a:extLst>
                <a:ext uri="{63B3BB69-23CF-44E3-9099-C40C66FF867C}">
                  <a14:compatExt spid="_x0000_s79873"/>
                </a:ext>
              </a:extLst>
            </xdr:cNvPr>
            <xdr:cNvSpPr/>
          </xdr:nvSpPr>
          <xdr:spPr>
            <a:xfrm>
              <a:off x="0" y="0"/>
              <a:ext cx="0" cy="0"/>
            </a:xfrm>
            <a:prstGeom prst="rect">
              <a:avLst/>
            </a:prstGeom>
          </xdr:spPr>
        </xdr:sp>
        <xdr:clientData/>
      </xdr:twoCellAnchor>
    </mc:Choice>
    <mc:Fallback/>
  </mc:AlternateContent>
  <xdr:twoCellAnchor>
    <xdr:from>
      <xdr:col>0</xdr:col>
      <xdr:colOff>57150</xdr:colOff>
      <xdr:row>2</xdr:row>
      <xdr:rowOff>0</xdr:rowOff>
    </xdr:from>
    <xdr:to>
      <xdr:col>4</xdr:col>
      <xdr:colOff>57150</xdr:colOff>
      <xdr:row>4</xdr:row>
      <xdr:rowOff>142875</xdr:rowOff>
    </xdr:to>
    <xdr:sp macro="" textlink="">
      <xdr:nvSpPr>
        <xdr:cNvPr id="3" name="TextBox 2"/>
        <xdr:cNvSpPr txBox="1"/>
      </xdr:nvSpPr>
      <xdr:spPr>
        <a:xfrm>
          <a:off x="57150" y="476250"/>
          <a:ext cx="275272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solidFill>
                <a:srgbClr val="FF0000"/>
              </a:solidFill>
            </a:rPr>
            <a:t>1999 to present</a:t>
          </a:r>
          <a:r>
            <a:rPr lang="en-US" sz="2000" baseline="0">
              <a:solidFill>
                <a:srgbClr val="FF0000"/>
              </a:solidFill>
            </a:rPr>
            <a:t> only!</a:t>
          </a:r>
          <a:endParaRPr lang="en-US" sz="2000">
            <a:solidFill>
              <a:srgbClr val="FF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33</xdr:col>
      <xdr:colOff>114300</xdr:colOff>
      <xdr:row>6</xdr:row>
      <xdr:rowOff>28575</xdr:rowOff>
    </xdr:from>
    <xdr:to>
      <xdr:col>45</xdr:col>
      <xdr:colOff>485775</xdr:colOff>
      <xdr:row>44</xdr:row>
      <xdr:rowOff>104775</xdr:rowOff>
    </xdr:to>
    <xdr:graphicFrame macro="">
      <xdr:nvGraphicFramePr>
        <xdr:cNvPr id="819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0</xdr:colOff>
          <xdr:row>0</xdr:row>
          <xdr:rowOff>297180</xdr:rowOff>
        </xdr:from>
        <xdr:to>
          <xdr:col>15</xdr:col>
          <xdr:colOff>441960</xdr:colOff>
          <xdr:row>4</xdr:row>
          <xdr:rowOff>137160</xdr:rowOff>
        </xdr:to>
        <xdr:sp macro="" textlink="">
          <xdr:nvSpPr>
            <xdr:cNvPr id="8196" name="CommandButton1"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0</xdr:colOff>
      <xdr:row>91</xdr:row>
      <xdr:rowOff>0</xdr:rowOff>
    </xdr:from>
    <xdr:to>
      <xdr:col>8</xdr:col>
      <xdr:colOff>76200</xdr:colOff>
      <xdr:row>111</xdr:row>
      <xdr:rowOff>57150</xdr:rowOff>
    </xdr:to>
    <xdr:graphicFrame macro="">
      <xdr:nvGraphicFramePr>
        <xdr:cNvPr id="1638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333375</xdr:colOff>
      <xdr:row>91</xdr:row>
      <xdr:rowOff>0</xdr:rowOff>
    </xdr:from>
    <xdr:to>
      <xdr:col>15</xdr:col>
      <xdr:colOff>409575</xdr:colOff>
      <xdr:row>111</xdr:row>
      <xdr:rowOff>57150</xdr:rowOff>
    </xdr:to>
    <xdr:graphicFrame macro="">
      <xdr:nvGraphicFramePr>
        <xdr:cNvPr id="1638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112</xdr:row>
      <xdr:rowOff>152400</xdr:rowOff>
    </xdr:from>
    <xdr:to>
      <xdr:col>8</xdr:col>
      <xdr:colOff>76200</xdr:colOff>
      <xdr:row>133</xdr:row>
      <xdr:rowOff>57150</xdr:rowOff>
    </xdr:to>
    <xdr:graphicFrame macro="">
      <xdr:nvGraphicFramePr>
        <xdr:cNvPr id="1638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333375</xdr:colOff>
      <xdr:row>112</xdr:row>
      <xdr:rowOff>152400</xdr:rowOff>
    </xdr:from>
    <xdr:to>
      <xdr:col>15</xdr:col>
      <xdr:colOff>409575</xdr:colOff>
      <xdr:row>133</xdr:row>
      <xdr:rowOff>57150</xdr:rowOff>
    </xdr:to>
    <xdr:graphicFrame macro="">
      <xdr:nvGraphicFramePr>
        <xdr:cNvPr id="1638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BRSalmon/CBRSALMN.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almon/FORECAST/42crwil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ogram%20Files/PopTools/PopTools.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 Sumry"/>
      <sheetName val="Sock grf"/>
      <sheetName val="Chin grf"/>
      <sheetName val="Delta sk Esc"/>
      <sheetName val="UCR sk Esc"/>
      <sheetName val="UCR ch Esc"/>
      <sheetName val="Sport"/>
      <sheetName val="SUPUxspp gr"/>
      <sheetName val="SUPUx fshy"/>
      <sheetName val="HistCCat"/>
    </sheetNames>
    <sheetDataSet>
      <sheetData sheetId="0">
        <row r="11">
          <cell r="AF11">
            <v>555</v>
          </cell>
          <cell r="AG11">
            <v>500</v>
          </cell>
        </row>
        <row r="12">
          <cell r="AG12">
            <v>500</v>
          </cell>
        </row>
        <row r="13">
          <cell r="AG13">
            <v>500</v>
          </cell>
        </row>
        <row r="14">
          <cell r="AG14">
            <v>500</v>
          </cell>
        </row>
        <row r="15">
          <cell r="AG15">
            <v>600</v>
          </cell>
        </row>
        <row r="16">
          <cell r="AG16">
            <v>600</v>
          </cell>
        </row>
        <row r="17">
          <cell r="AG17">
            <v>750</v>
          </cell>
        </row>
        <row r="18">
          <cell r="AG18">
            <v>850</v>
          </cell>
        </row>
        <row r="19">
          <cell r="AG19">
            <v>900</v>
          </cell>
        </row>
        <row r="20">
          <cell r="AG20">
            <v>750</v>
          </cell>
        </row>
        <row r="21">
          <cell r="AG21">
            <v>400</v>
          </cell>
        </row>
      </sheetData>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Fcst Sumry"/>
      <sheetName val="Performance"/>
      <sheetName val="Brd Link"/>
      <sheetName val="Brd Tbl"/>
      <sheetName val="Charts"/>
      <sheetName val="ln03xln11"/>
      <sheetName val="ln03xln02"/>
      <sheetName val="ln12rpsxBYE"/>
      <sheetName val="ln12xln11"/>
      <sheetName val="13=BYE"/>
      <sheetName val="ln13rpsxBYE"/>
      <sheetName val="ln13xln12"/>
      <sheetName val="ln13xln03"/>
      <sheetName val="13 x 12"/>
      <sheetName val="ln22xBYE"/>
      <sheetName val="ln22xln12"/>
      <sheetName val="ln23xln22"/>
      <sheetName val="ln23xln13"/>
      <sheetName val="RegOut"/>
      <sheetName val="ttab"/>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3">
          <cell r="A3">
            <v>1</v>
          </cell>
          <cell r="B3">
            <v>1</v>
          </cell>
          <cell r="C3">
            <v>1.3759999999999999</v>
          </cell>
          <cell r="D3">
            <v>3.0779999999999998</v>
          </cell>
          <cell r="E3">
            <v>6.3140000000000001</v>
          </cell>
          <cell r="F3">
            <v>12.706</v>
          </cell>
          <cell r="G3">
            <v>25.452000000000002</v>
          </cell>
        </row>
        <row r="4">
          <cell r="A4">
            <v>2</v>
          </cell>
          <cell r="B4">
            <v>0.81600000000000006</v>
          </cell>
          <cell r="C4">
            <v>1.0609999999999999</v>
          </cell>
          <cell r="D4">
            <v>1.8859999999999999</v>
          </cell>
          <cell r="E4">
            <v>2.92</v>
          </cell>
          <cell r="F4">
            <v>4.3029999999999999</v>
          </cell>
          <cell r="G4">
            <v>6.2050000000000001</v>
          </cell>
        </row>
        <row r="5">
          <cell r="A5">
            <v>3</v>
          </cell>
          <cell r="B5">
            <v>0.76500000000000001</v>
          </cell>
          <cell r="C5">
            <v>0.97799999999999998</v>
          </cell>
          <cell r="D5">
            <v>1.6379999999999999</v>
          </cell>
          <cell r="E5">
            <v>2.3530000000000002</v>
          </cell>
          <cell r="F5">
            <v>3.1819999999999999</v>
          </cell>
          <cell r="G5">
            <v>4.1760000000000002</v>
          </cell>
        </row>
        <row r="6">
          <cell r="A6">
            <v>4</v>
          </cell>
          <cell r="B6">
            <v>0.74099999999999999</v>
          </cell>
          <cell r="C6">
            <v>0.94100000000000006</v>
          </cell>
          <cell r="D6">
            <v>1.5329999999999999</v>
          </cell>
          <cell r="E6">
            <v>2.1320000000000001</v>
          </cell>
          <cell r="F6">
            <v>2.7759999999999998</v>
          </cell>
          <cell r="G6">
            <v>3.4950000000000001</v>
          </cell>
        </row>
        <row r="7">
          <cell r="A7">
            <v>5</v>
          </cell>
          <cell r="B7">
            <v>0.72699999999999998</v>
          </cell>
          <cell r="C7">
            <v>0.92</v>
          </cell>
          <cell r="D7">
            <v>1.476</v>
          </cell>
          <cell r="E7">
            <v>2.0150000000000001</v>
          </cell>
          <cell r="F7">
            <v>2.5710000000000002</v>
          </cell>
          <cell r="G7">
            <v>3.1629999999999998</v>
          </cell>
        </row>
        <row r="8">
          <cell r="A8">
            <v>6</v>
          </cell>
          <cell r="B8">
            <v>0.71799999999999997</v>
          </cell>
          <cell r="C8">
            <v>0.90600000000000003</v>
          </cell>
          <cell r="D8">
            <v>1.44</v>
          </cell>
          <cell r="E8">
            <v>1.9430000000000001</v>
          </cell>
          <cell r="F8">
            <v>2.4470000000000001</v>
          </cell>
          <cell r="G8">
            <v>2.9689999999999999</v>
          </cell>
        </row>
        <row r="9">
          <cell r="A9">
            <v>7</v>
          </cell>
          <cell r="B9">
            <v>0.71099999999999997</v>
          </cell>
          <cell r="C9">
            <v>0.89600000000000002</v>
          </cell>
          <cell r="D9">
            <v>1.415</v>
          </cell>
          <cell r="E9">
            <v>1.895</v>
          </cell>
          <cell r="F9">
            <v>2.3650000000000002</v>
          </cell>
          <cell r="G9">
            <v>2.8410000000000002</v>
          </cell>
        </row>
        <row r="10">
          <cell r="A10">
            <v>8</v>
          </cell>
          <cell r="B10">
            <v>0.70599999999999996</v>
          </cell>
          <cell r="C10">
            <v>0.88900000000000001</v>
          </cell>
          <cell r="D10">
            <v>1.397</v>
          </cell>
          <cell r="E10">
            <v>1.86</v>
          </cell>
          <cell r="F10">
            <v>2.306</v>
          </cell>
          <cell r="G10">
            <v>2.7519999999999998</v>
          </cell>
        </row>
        <row r="11">
          <cell r="A11">
            <v>9</v>
          </cell>
          <cell r="B11">
            <v>0.70300000000000007</v>
          </cell>
          <cell r="C11">
            <v>0.88300000000000001</v>
          </cell>
          <cell r="D11">
            <v>1.383</v>
          </cell>
          <cell r="E11">
            <v>1.833</v>
          </cell>
          <cell r="F11">
            <v>2.262</v>
          </cell>
          <cell r="G11">
            <v>2.6850000000000001</v>
          </cell>
        </row>
        <row r="12">
          <cell r="A12">
            <v>10</v>
          </cell>
          <cell r="B12">
            <v>0.7</v>
          </cell>
          <cell r="C12">
            <v>0.879</v>
          </cell>
          <cell r="D12">
            <v>1.3720000000000001</v>
          </cell>
          <cell r="E12">
            <v>1.8120000000000001</v>
          </cell>
          <cell r="F12">
            <v>2.2280000000000002</v>
          </cell>
          <cell r="G12">
            <v>2.6339999999999999</v>
          </cell>
        </row>
        <row r="13">
          <cell r="A13">
            <v>11</v>
          </cell>
          <cell r="B13">
            <v>0.69700000000000006</v>
          </cell>
          <cell r="C13">
            <v>0.876</v>
          </cell>
          <cell r="D13">
            <v>1.363</v>
          </cell>
          <cell r="E13">
            <v>1.796</v>
          </cell>
          <cell r="F13">
            <v>2.2010000000000001</v>
          </cell>
          <cell r="G13">
            <v>2.593</v>
          </cell>
        </row>
        <row r="14">
          <cell r="A14">
            <v>12</v>
          </cell>
          <cell r="B14">
            <v>0.69499999999999995</v>
          </cell>
          <cell r="C14">
            <v>0.873</v>
          </cell>
          <cell r="D14">
            <v>1.3560000000000001</v>
          </cell>
          <cell r="E14">
            <v>1.782</v>
          </cell>
          <cell r="F14">
            <v>2.1789999999999998</v>
          </cell>
          <cell r="G14">
            <v>2.56</v>
          </cell>
        </row>
        <row r="15">
          <cell r="A15">
            <v>13</v>
          </cell>
          <cell r="B15">
            <v>0.69400000000000006</v>
          </cell>
          <cell r="C15">
            <v>0.87</v>
          </cell>
          <cell r="D15">
            <v>1.35</v>
          </cell>
          <cell r="E15">
            <v>1.7709999999999999</v>
          </cell>
          <cell r="F15">
            <v>2.16</v>
          </cell>
          <cell r="G15">
            <v>2.5329999999999999</v>
          </cell>
        </row>
        <row r="16">
          <cell r="A16">
            <v>14</v>
          </cell>
          <cell r="B16">
            <v>0.69200000000000006</v>
          </cell>
          <cell r="C16">
            <v>0.86799999999999999</v>
          </cell>
          <cell r="D16">
            <v>1.345</v>
          </cell>
          <cell r="E16">
            <v>1.7609999999999999</v>
          </cell>
          <cell r="F16">
            <v>2.145</v>
          </cell>
          <cell r="G16">
            <v>2.5099999999999998</v>
          </cell>
        </row>
        <row r="17">
          <cell r="A17">
            <v>15</v>
          </cell>
          <cell r="B17">
            <v>0.69100000000000006</v>
          </cell>
          <cell r="C17">
            <v>0.86599999999999999</v>
          </cell>
          <cell r="D17">
            <v>1.341</v>
          </cell>
          <cell r="E17">
            <v>1.7529999999999999</v>
          </cell>
          <cell r="F17">
            <v>2.1309999999999998</v>
          </cell>
          <cell r="G17">
            <v>2.4900000000000002</v>
          </cell>
        </row>
        <row r="18">
          <cell r="A18">
            <v>16</v>
          </cell>
          <cell r="B18">
            <v>0.69</v>
          </cell>
          <cell r="C18">
            <v>0.86499999999999999</v>
          </cell>
          <cell r="D18">
            <v>1.337</v>
          </cell>
          <cell r="E18">
            <v>1.746</v>
          </cell>
          <cell r="F18">
            <v>2.12</v>
          </cell>
          <cell r="G18">
            <v>2.4729999999999999</v>
          </cell>
        </row>
        <row r="19">
          <cell r="A19">
            <v>17</v>
          </cell>
          <cell r="B19">
            <v>0.68900000000000006</v>
          </cell>
          <cell r="C19">
            <v>0.86299999999999999</v>
          </cell>
          <cell r="D19">
            <v>1.333</v>
          </cell>
          <cell r="E19">
            <v>1.74</v>
          </cell>
          <cell r="F19">
            <v>2.11</v>
          </cell>
          <cell r="G19">
            <v>2.4580000000000002</v>
          </cell>
        </row>
        <row r="20">
          <cell r="A20">
            <v>18</v>
          </cell>
          <cell r="B20">
            <v>0.68800000000000006</v>
          </cell>
          <cell r="C20">
            <v>0.86199999999999999</v>
          </cell>
          <cell r="D20">
            <v>1.33</v>
          </cell>
          <cell r="E20">
            <v>1.734</v>
          </cell>
          <cell r="F20">
            <v>2.101</v>
          </cell>
          <cell r="G20">
            <v>2.4449999999999998</v>
          </cell>
        </row>
        <row r="21">
          <cell r="A21">
            <v>19</v>
          </cell>
          <cell r="B21">
            <v>0.68800000000000006</v>
          </cell>
          <cell r="C21">
            <v>0.86099999999999999</v>
          </cell>
          <cell r="D21">
            <v>1.3280000000000001</v>
          </cell>
          <cell r="E21">
            <v>1.7290000000000001</v>
          </cell>
          <cell r="F21">
            <v>2.093</v>
          </cell>
          <cell r="G21">
            <v>2.4430000000000001</v>
          </cell>
        </row>
        <row r="22">
          <cell r="A22">
            <v>20</v>
          </cell>
          <cell r="B22">
            <v>0.68700000000000006</v>
          </cell>
          <cell r="C22">
            <v>0.86</v>
          </cell>
          <cell r="D22">
            <v>1.325</v>
          </cell>
          <cell r="E22">
            <v>1.7250000000000001</v>
          </cell>
          <cell r="F22">
            <v>2.0859999999999999</v>
          </cell>
          <cell r="G22">
            <v>2.423</v>
          </cell>
        </row>
        <row r="23">
          <cell r="A23">
            <v>21</v>
          </cell>
          <cell r="B23">
            <v>0.68600000000000005</v>
          </cell>
          <cell r="C23">
            <v>0.85899999999999999</v>
          </cell>
          <cell r="D23">
            <v>1.323</v>
          </cell>
          <cell r="E23">
            <v>1.7210000000000001</v>
          </cell>
          <cell r="F23">
            <v>2.08</v>
          </cell>
          <cell r="G23">
            <v>2.4140000000000001</v>
          </cell>
        </row>
        <row r="24">
          <cell r="A24">
            <v>22</v>
          </cell>
          <cell r="B24">
            <v>0.69600000000000006</v>
          </cell>
          <cell r="C24">
            <v>0.85799999999999998</v>
          </cell>
          <cell r="D24">
            <v>1.321</v>
          </cell>
          <cell r="E24">
            <v>1.7170000000000001</v>
          </cell>
          <cell r="F24">
            <v>2.0739999999999998</v>
          </cell>
          <cell r="G24">
            <v>2.4060000000000001</v>
          </cell>
        </row>
        <row r="25">
          <cell r="A25">
            <v>23</v>
          </cell>
          <cell r="B25">
            <v>0.68500000000000005</v>
          </cell>
          <cell r="C25">
            <v>0.85799999999999998</v>
          </cell>
          <cell r="D25">
            <v>1.319</v>
          </cell>
          <cell r="E25">
            <v>1.714</v>
          </cell>
          <cell r="F25">
            <v>2.069</v>
          </cell>
          <cell r="G25">
            <v>2.3980000000000001</v>
          </cell>
        </row>
        <row r="26">
          <cell r="A26">
            <v>24</v>
          </cell>
          <cell r="B26">
            <v>0.68500000000000005</v>
          </cell>
          <cell r="C26">
            <v>0.85699999999999998</v>
          </cell>
          <cell r="D26">
            <v>1.3180000000000001</v>
          </cell>
          <cell r="E26">
            <v>1.7110000000000001</v>
          </cell>
          <cell r="F26">
            <v>2.0640000000000001</v>
          </cell>
          <cell r="G26">
            <v>2.391</v>
          </cell>
        </row>
        <row r="27">
          <cell r="A27">
            <v>25</v>
          </cell>
          <cell r="B27">
            <v>0.68400000000000005</v>
          </cell>
          <cell r="C27">
            <v>0.85599999999999998</v>
          </cell>
          <cell r="D27">
            <v>1.3160000000000001</v>
          </cell>
          <cell r="E27">
            <v>1.708</v>
          </cell>
          <cell r="F27">
            <v>2.06</v>
          </cell>
          <cell r="G27">
            <v>2.3849999999999998</v>
          </cell>
        </row>
        <row r="28">
          <cell r="A28">
            <v>26</v>
          </cell>
          <cell r="B28">
            <v>0.68400000000000005</v>
          </cell>
          <cell r="C28">
            <v>0.85599999999999998</v>
          </cell>
          <cell r="D28">
            <v>1.3149999999999999</v>
          </cell>
          <cell r="E28">
            <v>1.706</v>
          </cell>
          <cell r="F28">
            <v>2.056</v>
          </cell>
          <cell r="G28">
            <v>2.379</v>
          </cell>
        </row>
        <row r="29">
          <cell r="A29">
            <v>27</v>
          </cell>
          <cell r="B29">
            <v>0.68400000000000005</v>
          </cell>
          <cell r="C29">
            <v>0.85499999999999998</v>
          </cell>
          <cell r="D29">
            <v>1.3140000000000001</v>
          </cell>
          <cell r="E29">
            <v>1.7030000000000001</v>
          </cell>
          <cell r="F29">
            <v>2.052</v>
          </cell>
          <cell r="G29">
            <v>2.3730000000000002</v>
          </cell>
        </row>
        <row r="30">
          <cell r="A30">
            <v>28</v>
          </cell>
          <cell r="B30">
            <v>0.68300000000000005</v>
          </cell>
          <cell r="C30">
            <v>0.85499999999999998</v>
          </cell>
          <cell r="D30">
            <v>1.3129999999999999</v>
          </cell>
          <cell r="E30">
            <v>1.7010000000000001</v>
          </cell>
          <cell r="F30">
            <v>2.048</v>
          </cell>
          <cell r="G30">
            <v>2.3679999999999999</v>
          </cell>
        </row>
        <row r="31">
          <cell r="A31">
            <v>29</v>
          </cell>
          <cell r="B31">
            <v>0.68300000000000005</v>
          </cell>
          <cell r="C31">
            <v>0.85399999999999998</v>
          </cell>
          <cell r="D31">
            <v>1.3109999999999999</v>
          </cell>
          <cell r="E31">
            <v>1.6990000000000001</v>
          </cell>
          <cell r="F31">
            <v>2.0449999999999999</v>
          </cell>
          <cell r="G31">
            <v>2.3639999999999999</v>
          </cell>
        </row>
        <row r="32">
          <cell r="A32">
            <v>30</v>
          </cell>
          <cell r="B32">
            <v>0.68300000000000005</v>
          </cell>
          <cell r="C32">
            <v>0.85399999999999998</v>
          </cell>
          <cell r="D32">
            <v>1.31</v>
          </cell>
          <cell r="E32">
            <v>1.6970000000000001</v>
          </cell>
          <cell r="F32">
            <v>2.0419999999999998</v>
          </cell>
          <cell r="G32">
            <v>2.36</v>
          </cell>
        </row>
        <row r="33">
          <cell r="A33">
            <v>35</v>
          </cell>
          <cell r="B33">
            <v>0.68200000000000005</v>
          </cell>
          <cell r="C33">
            <v>0.85199999999999998</v>
          </cell>
          <cell r="D33">
            <v>1.306</v>
          </cell>
          <cell r="E33">
            <v>1.69</v>
          </cell>
          <cell r="F33">
            <v>2.0299999999999998</v>
          </cell>
          <cell r="G33">
            <v>2.3420000000000001</v>
          </cell>
        </row>
        <row r="34">
          <cell r="A34">
            <v>40</v>
          </cell>
          <cell r="B34">
            <v>0.68100000000000005</v>
          </cell>
          <cell r="C34">
            <v>0.85099999999999998</v>
          </cell>
          <cell r="D34">
            <v>1.3029999999999999</v>
          </cell>
          <cell r="E34">
            <v>1.6839999999999999</v>
          </cell>
          <cell r="F34">
            <v>2.0209999999999999</v>
          </cell>
          <cell r="G34">
            <v>2.3290000000000002</v>
          </cell>
        </row>
        <row r="35">
          <cell r="A35">
            <v>45</v>
          </cell>
          <cell r="B35">
            <v>0.68</v>
          </cell>
          <cell r="C35">
            <v>0.85</v>
          </cell>
          <cell r="D35">
            <v>1.3009999999999999</v>
          </cell>
          <cell r="E35">
            <v>1.68</v>
          </cell>
          <cell r="F35">
            <v>2.0139999999999998</v>
          </cell>
          <cell r="G35">
            <v>2.319</v>
          </cell>
        </row>
        <row r="36">
          <cell r="A36">
            <v>50</v>
          </cell>
          <cell r="B36">
            <v>0.68</v>
          </cell>
          <cell r="C36">
            <v>0.84899999999999998</v>
          </cell>
          <cell r="D36">
            <v>1.2989999999999999</v>
          </cell>
          <cell r="E36">
            <v>1.6759999999999999</v>
          </cell>
          <cell r="F36">
            <v>2.008</v>
          </cell>
          <cell r="G36">
            <v>2.31</v>
          </cell>
        </row>
        <row r="37">
          <cell r="A37">
            <v>55</v>
          </cell>
          <cell r="B37">
            <v>0.67900000000000005</v>
          </cell>
          <cell r="C37">
            <v>0.84899999999999998</v>
          </cell>
          <cell r="D37">
            <v>1.2969999999999999</v>
          </cell>
          <cell r="E37">
            <v>1.673</v>
          </cell>
          <cell r="F37">
            <v>2.004</v>
          </cell>
          <cell r="G37">
            <v>2.3039999999999998</v>
          </cell>
        </row>
        <row r="38">
          <cell r="A38">
            <v>60</v>
          </cell>
          <cell r="B38">
            <v>0.67900000000000005</v>
          </cell>
          <cell r="C38">
            <v>0.84799999999999998</v>
          </cell>
          <cell r="D38">
            <v>1.296</v>
          </cell>
          <cell r="E38">
            <v>1.671</v>
          </cell>
          <cell r="F38">
            <v>2</v>
          </cell>
          <cell r="G38">
            <v>2.2989999999999999</v>
          </cell>
        </row>
        <row r="39">
          <cell r="A39">
            <v>70</v>
          </cell>
          <cell r="B39">
            <v>0.67800000000000005</v>
          </cell>
          <cell r="C39">
            <v>0.84699999999999998</v>
          </cell>
          <cell r="D39">
            <v>1.294</v>
          </cell>
          <cell r="E39">
            <v>1.667</v>
          </cell>
          <cell r="F39">
            <v>1.994</v>
          </cell>
          <cell r="G39">
            <v>2.29</v>
          </cell>
        </row>
        <row r="40">
          <cell r="A40">
            <v>80</v>
          </cell>
          <cell r="B40">
            <v>0.67800000000000005</v>
          </cell>
          <cell r="C40">
            <v>0.84699999999999998</v>
          </cell>
          <cell r="D40">
            <v>1.2929999999999999</v>
          </cell>
          <cell r="E40">
            <v>1.665</v>
          </cell>
          <cell r="F40">
            <v>1.9890000000000001</v>
          </cell>
          <cell r="G40">
            <v>2.2839999999999998</v>
          </cell>
        </row>
        <row r="41">
          <cell r="A41">
            <v>90</v>
          </cell>
          <cell r="B41">
            <v>0.67800000000000005</v>
          </cell>
          <cell r="C41">
            <v>0.84599999999999997</v>
          </cell>
          <cell r="D41">
            <v>1.2909999999999999</v>
          </cell>
          <cell r="E41">
            <v>1.6619999999999999</v>
          </cell>
          <cell r="F41">
            <v>1.986</v>
          </cell>
          <cell r="G41">
            <v>2.2789999999999999</v>
          </cell>
        </row>
        <row r="42">
          <cell r="A42">
            <v>100</v>
          </cell>
          <cell r="B42">
            <v>0.67700000000000005</v>
          </cell>
          <cell r="C42">
            <v>0.84599999999999997</v>
          </cell>
          <cell r="D42">
            <v>1.29</v>
          </cell>
          <cell r="E42">
            <v>1.661</v>
          </cell>
          <cell r="F42">
            <v>1.982</v>
          </cell>
          <cell r="G42">
            <v>2.2759999999999998</v>
          </cell>
        </row>
        <row r="43">
          <cell r="A43">
            <v>120</v>
          </cell>
          <cell r="B43">
            <v>0.67700000000000005</v>
          </cell>
          <cell r="C43">
            <v>0.84499999999999997</v>
          </cell>
          <cell r="D43">
            <v>1.2889999999999999</v>
          </cell>
          <cell r="E43">
            <v>1.6579999999999999</v>
          </cell>
          <cell r="F43">
            <v>1.98</v>
          </cell>
          <cell r="G43">
            <v>2.27</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Functions"/>
      <sheetName val="Reg"/>
      <sheetName val="RegArray"/>
      <sheetName val="Temp"/>
      <sheetName val="Timeline"/>
      <sheetName val="PopTools"/>
    </sheetNames>
    <definedNames>
      <definedName name="Regression"/>
    </definedNames>
    <sheetDataSet>
      <sheetData sheetId="0"/>
      <sheetData sheetId="1"/>
      <sheetData sheetId="2"/>
      <sheetData sheetId="3"/>
      <sheetData sheetId="4"/>
      <sheetData sheetId="5"/>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2.vml"/><Relationship Id="rId1" Type="http://schemas.openxmlformats.org/officeDocument/2006/relationships/drawing" Target="../drawings/drawing9.xml"/><Relationship Id="rId5" Type="http://schemas.openxmlformats.org/officeDocument/2006/relationships/comments" Target="../comments12.xml"/><Relationship Id="rId4" Type="http://schemas.openxmlformats.org/officeDocument/2006/relationships/image" Target="../media/image1.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13.vml"/><Relationship Id="rId1" Type="http://schemas.openxmlformats.org/officeDocument/2006/relationships/drawing" Target="../drawings/drawing10.xml"/><Relationship Id="rId5" Type="http://schemas.openxmlformats.org/officeDocument/2006/relationships/comments" Target="../comments13.xml"/><Relationship Id="rId4" Type="http://schemas.openxmlformats.org/officeDocument/2006/relationships/image" Target="../media/image2.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omments" Target="../comments14.xml"/><Relationship Id="rId5" Type="http://schemas.openxmlformats.org/officeDocument/2006/relationships/image" Target="../media/image3.emf"/><Relationship Id="rId4" Type="http://schemas.openxmlformats.org/officeDocument/2006/relationships/control" Target="../activeX/activeX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5"/>
  <sheetViews>
    <sheetView workbookViewId="0">
      <selection activeCell="D8" sqref="D8"/>
    </sheetView>
  </sheetViews>
  <sheetFormatPr defaultRowHeight="13.2"/>
  <cols>
    <col min="3" max="3" width="22.44140625" customWidth="1"/>
    <col min="4" max="4" width="18" bestFit="1" customWidth="1"/>
  </cols>
  <sheetData>
    <row r="1" spans="1:4">
      <c r="A1" s="297" t="str">
        <f ca="1">CELL("filename",A1)</f>
        <v>C:\Users\rebrenner\Desktop\NCEAS\DATA\PWS&amp;CBR_SALMON\PWS&amp;CR_SALMON_FORECAST_DATA\[2015 Copper River Chinook forecast-FINAL.xlsm]Read_Me</v>
      </c>
    </row>
    <row r="2" spans="1:4">
      <c r="A2" s="297"/>
    </row>
    <row r="3" spans="1:4" ht="18">
      <c r="A3" s="621" t="s">
        <v>397</v>
      </c>
    </row>
    <row r="4" spans="1:4">
      <c r="A4" s="297"/>
      <c r="B4" s="439"/>
    </row>
    <row r="5" spans="1:4">
      <c r="A5" s="297"/>
      <c r="B5" s="439"/>
    </row>
    <row r="6" spans="1:4">
      <c r="A6" s="25"/>
      <c r="B6" s="439"/>
    </row>
    <row r="7" spans="1:4">
      <c r="A7" s="25"/>
      <c r="B7" s="439"/>
    </row>
    <row r="8" spans="1:4" ht="22.8">
      <c r="A8" s="280" t="s">
        <v>417</v>
      </c>
      <c r="B8" s="439"/>
      <c r="D8" s="213">
        <v>2015</v>
      </c>
    </row>
    <row r="9" spans="1:4">
      <c r="A9" s="297"/>
      <c r="B9" s="439"/>
    </row>
    <row r="10" spans="1:4" ht="15.6">
      <c r="A10" s="280" t="s">
        <v>418</v>
      </c>
    </row>
    <row r="11" spans="1:4" ht="15.6">
      <c r="A11" s="280"/>
    </row>
    <row r="14" spans="1:4" ht="15.6">
      <c r="A14" s="280"/>
    </row>
    <row r="15" spans="1:4" ht="15.6">
      <c r="A15" s="280"/>
    </row>
    <row r="17" spans="1:1" ht="15.6">
      <c r="A17" s="280"/>
    </row>
    <row r="18" spans="1:1" ht="15.6">
      <c r="A18" s="280"/>
    </row>
    <row r="19" spans="1:1" ht="15.6">
      <c r="A19" s="343"/>
    </row>
    <row r="20" spans="1:1" ht="15.6">
      <c r="A20" s="280"/>
    </row>
    <row r="21" spans="1:1" ht="15.6">
      <c r="A21" s="280"/>
    </row>
    <row r="22" spans="1:1" ht="15.6">
      <c r="A22" s="343"/>
    </row>
    <row r="23" spans="1:1" ht="15.6">
      <c r="A23" s="280"/>
    </row>
    <row r="24" spans="1:1" ht="15.6">
      <c r="A24" s="343"/>
    </row>
    <row r="25" spans="1:1" ht="15.6">
      <c r="A25" s="343"/>
    </row>
  </sheetData>
  <phoneticPr fontId="52"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V150"/>
  <sheetViews>
    <sheetView workbookViewId="0">
      <pane ySplit="7" topLeftCell="A84" activePane="bottomLeft" state="frozen"/>
      <selection pane="bottomLeft" activeCell="S120" sqref="S120"/>
    </sheetView>
  </sheetViews>
  <sheetFormatPr defaultColWidth="9.33203125" defaultRowHeight="13.2" outlineLevelRow="1"/>
  <cols>
    <col min="1" max="1" width="9.109375" style="483" customWidth="1"/>
    <col min="2" max="2" width="10.109375" style="483" customWidth="1"/>
    <col min="3" max="3" width="7.6640625" style="483" customWidth="1"/>
    <col min="4" max="4" width="11.109375" style="483" customWidth="1"/>
    <col min="5" max="5" width="14.44140625" style="483" customWidth="1"/>
    <col min="6" max="6" width="11.33203125" style="483" customWidth="1"/>
    <col min="7" max="7" width="10.109375" style="483" customWidth="1"/>
    <col min="8" max="9" width="8.109375" style="483" customWidth="1"/>
    <col min="10" max="13" width="10.77734375" style="483" customWidth="1"/>
    <col min="14" max="14" width="9.33203125" style="483" customWidth="1"/>
    <col min="15" max="15" width="10.44140625" style="483" customWidth="1"/>
    <col min="16" max="16" width="5.6640625" style="483" customWidth="1"/>
    <col min="17" max="17" width="10.109375" style="483" customWidth="1"/>
    <col min="18" max="19" width="9.33203125" style="483"/>
    <col min="20" max="20" width="12.6640625" style="483" customWidth="1"/>
    <col min="21" max="21" width="13.109375" style="483" customWidth="1"/>
    <col min="22" max="16384" width="9.33203125" style="483"/>
  </cols>
  <sheetData>
    <row r="1" spans="1:22">
      <c r="A1" s="175" t="str">
        <f ca="1">CELL("filename",O1)</f>
        <v>C:\Users\rebrenner\Desktop\NCEAS\DATA\PWS&amp;CBR_SALMON\PWS&amp;CR_SALMON_FORECAST_DATA\[2015 Copper River Chinook forecast-FINAL.xlsm]Harvests</v>
      </c>
      <c r="C1" s="550"/>
      <c r="D1" s="550"/>
      <c r="E1" s="550"/>
      <c r="F1" s="550"/>
      <c r="G1" s="550"/>
      <c r="H1" s="550"/>
      <c r="I1" s="550"/>
      <c r="O1" s="552">
        <f ca="1">NOW()</f>
        <v>42068.604636574077</v>
      </c>
      <c r="P1" s="552"/>
      <c r="Q1" s="552"/>
    </row>
    <row r="2" spans="1:22" ht="5.25" customHeight="1">
      <c r="B2" s="550"/>
      <c r="C2" s="550"/>
      <c r="D2" s="550"/>
      <c r="E2" s="550"/>
      <c r="F2" s="550"/>
      <c r="G2" s="550"/>
      <c r="H2" s="550"/>
      <c r="I2" s="550"/>
    </row>
    <row r="3" spans="1:22">
      <c r="A3" s="214" t="s">
        <v>483</v>
      </c>
      <c r="C3" s="550"/>
      <c r="D3" s="550"/>
      <c r="E3" s="550"/>
      <c r="F3" s="550"/>
      <c r="G3" s="550"/>
      <c r="H3" s="550"/>
      <c r="I3" s="550"/>
    </row>
    <row r="4" spans="1:22">
      <c r="A4" s="551" t="s">
        <v>382</v>
      </c>
      <c r="B4" s="550"/>
      <c r="C4" s="550"/>
      <c r="D4" s="550"/>
      <c r="E4" s="550"/>
      <c r="F4" s="550"/>
      <c r="G4" s="550"/>
      <c r="H4" s="550"/>
      <c r="I4" s="550"/>
    </row>
    <row r="5" spans="1:22" ht="13.8" thickBot="1">
      <c r="A5" s="934" t="s">
        <v>381</v>
      </c>
      <c r="B5" s="934"/>
      <c r="C5" s="934"/>
      <c r="D5" s="934"/>
      <c r="E5" s="934"/>
      <c r="F5" s="934"/>
      <c r="G5" s="934"/>
      <c r="H5" s="934"/>
      <c r="I5" s="750"/>
      <c r="J5" s="932" t="s">
        <v>380</v>
      </c>
      <c r="K5" s="932"/>
      <c r="L5" s="932"/>
      <c r="M5" s="932"/>
      <c r="N5" s="549"/>
      <c r="O5" s="548"/>
      <c r="P5" s="548"/>
      <c r="Q5" s="548" t="s">
        <v>379</v>
      </c>
      <c r="R5" s="547"/>
    </row>
    <row r="6" spans="1:22">
      <c r="A6" s="485"/>
      <c r="B6" s="933" t="s">
        <v>378</v>
      </c>
      <c r="C6" s="933"/>
      <c r="D6" s="933"/>
      <c r="E6" s="484"/>
      <c r="F6" s="484"/>
      <c r="G6" s="484"/>
      <c r="H6" s="484"/>
      <c r="I6" s="484"/>
      <c r="J6" s="931" t="s">
        <v>377</v>
      </c>
      <c r="K6" s="931"/>
      <c r="L6" s="931" t="s">
        <v>376</v>
      </c>
      <c r="M6" s="931"/>
      <c r="N6" s="485"/>
      <c r="O6" s="546"/>
      <c r="P6" s="546"/>
      <c r="Q6" s="546"/>
      <c r="R6" s="484"/>
    </row>
    <row r="7" spans="1:22" ht="39.6">
      <c r="A7" s="541" t="s">
        <v>375</v>
      </c>
      <c r="B7" s="545" t="s">
        <v>374</v>
      </c>
      <c r="C7" s="545" t="s">
        <v>373</v>
      </c>
      <c r="D7" s="544" t="s">
        <v>372</v>
      </c>
      <c r="E7" s="541" t="s">
        <v>371</v>
      </c>
      <c r="F7" s="543" t="s">
        <v>215</v>
      </c>
      <c r="G7" s="543" t="s">
        <v>216</v>
      </c>
      <c r="H7" s="542" t="s">
        <v>225</v>
      </c>
      <c r="I7" s="751" t="s">
        <v>435</v>
      </c>
      <c r="J7" s="541" t="s">
        <v>370</v>
      </c>
      <c r="K7" s="541" t="s">
        <v>369</v>
      </c>
      <c r="L7" s="541" t="s">
        <v>370</v>
      </c>
      <c r="M7" s="541" t="s">
        <v>369</v>
      </c>
      <c r="N7" s="540" t="s">
        <v>136</v>
      </c>
      <c r="O7" s="539" t="s">
        <v>368</v>
      </c>
      <c r="P7" s="538"/>
      <c r="Q7" s="538" t="s">
        <v>367</v>
      </c>
      <c r="R7" s="537"/>
    </row>
    <row r="8" spans="1:22" outlineLevel="1">
      <c r="A8" s="485">
        <v>1890</v>
      </c>
      <c r="B8" s="440">
        <v>5491</v>
      </c>
      <c r="C8" s="536" t="s">
        <v>229</v>
      </c>
      <c r="D8" s="642">
        <f t="shared" ref="D8:D39" si="0">SUM(B8:C8)</f>
        <v>5491</v>
      </c>
      <c r="E8" s="507" t="s">
        <v>229</v>
      </c>
      <c r="F8" s="507" t="s">
        <v>229</v>
      </c>
      <c r="G8" s="507" t="s">
        <v>229</v>
      </c>
      <c r="H8" s="507" t="s">
        <v>229</v>
      </c>
      <c r="I8" s="642">
        <f>SUM(D8:H8)</f>
        <v>5491</v>
      </c>
      <c r="J8" s="507" t="s">
        <v>229</v>
      </c>
      <c r="K8" s="507" t="s">
        <v>229</v>
      </c>
      <c r="L8" s="507" t="s">
        <v>229</v>
      </c>
      <c r="M8" s="507" t="s">
        <v>229</v>
      </c>
      <c r="N8" s="507" t="s">
        <v>229</v>
      </c>
      <c r="O8" s="643">
        <f>SUM(I8:N8)</f>
        <v>5491</v>
      </c>
      <c r="P8" s="525"/>
      <c r="Q8" s="644">
        <f t="shared" ref="Q8:Q16" si="1">AVERAGE(B$8:B$17)</f>
        <v>5341.666666666667</v>
      </c>
      <c r="T8" s="483" t="s">
        <v>120</v>
      </c>
    </row>
    <row r="9" spans="1:22" outlineLevel="1">
      <c r="A9" s="485">
        <v>1891</v>
      </c>
      <c r="B9" s="440">
        <v>6185</v>
      </c>
      <c r="C9" s="536" t="s">
        <v>229</v>
      </c>
      <c r="D9" s="642">
        <f t="shared" si="0"/>
        <v>6185</v>
      </c>
      <c r="E9" s="507" t="s">
        <v>229</v>
      </c>
      <c r="F9" s="507" t="s">
        <v>229</v>
      </c>
      <c r="G9" s="507" t="s">
        <v>229</v>
      </c>
      <c r="H9" s="507" t="s">
        <v>229</v>
      </c>
      <c r="I9" s="642">
        <f t="shared" ref="I9:I72" si="2">SUM(D9:H9)</f>
        <v>6185</v>
      </c>
      <c r="J9" s="507" t="s">
        <v>229</v>
      </c>
      <c r="K9" s="507" t="s">
        <v>229</v>
      </c>
      <c r="L9" s="507" t="s">
        <v>229</v>
      </c>
      <c r="M9" s="507" t="s">
        <v>229</v>
      </c>
      <c r="N9" s="507" t="s">
        <v>229</v>
      </c>
      <c r="O9" s="643">
        <f t="shared" ref="O9:O72" si="3">SUM(I9:N9)</f>
        <v>6185</v>
      </c>
      <c r="P9" s="525"/>
      <c r="Q9" s="644">
        <f t="shared" si="1"/>
        <v>5341.666666666667</v>
      </c>
      <c r="T9" s="483" t="s">
        <v>131</v>
      </c>
      <c r="U9" s="483" t="s">
        <v>128</v>
      </c>
    </row>
    <row r="10" spans="1:22" outlineLevel="1">
      <c r="A10" s="485">
        <v>1892</v>
      </c>
      <c r="B10" s="536" t="s">
        <v>229</v>
      </c>
      <c r="C10" s="536" t="s">
        <v>229</v>
      </c>
      <c r="D10" s="642">
        <f t="shared" si="0"/>
        <v>0</v>
      </c>
      <c r="E10" s="507" t="s">
        <v>229</v>
      </c>
      <c r="F10" s="507" t="s">
        <v>229</v>
      </c>
      <c r="G10" s="507" t="s">
        <v>229</v>
      </c>
      <c r="H10" s="507" t="s">
        <v>229</v>
      </c>
      <c r="I10" s="642">
        <f t="shared" si="2"/>
        <v>0</v>
      </c>
      <c r="J10" s="507" t="s">
        <v>229</v>
      </c>
      <c r="K10" s="507" t="s">
        <v>229</v>
      </c>
      <c r="L10" s="507" t="s">
        <v>229</v>
      </c>
      <c r="M10" s="507" t="s">
        <v>229</v>
      </c>
      <c r="N10" s="507" t="s">
        <v>229</v>
      </c>
      <c r="O10" s="643">
        <f t="shared" si="3"/>
        <v>0</v>
      </c>
      <c r="P10" s="525"/>
      <c r="Q10" s="644">
        <f t="shared" si="1"/>
        <v>5341.666666666667</v>
      </c>
      <c r="U10" s="483" t="s">
        <v>121</v>
      </c>
      <c r="V10" s="483" t="s">
        <v>122</v>
      </c>
    </row>
    <row r="11" spans="1:22" outlineLevel="1">
      <c r="A11" s="485">
        <v>1893</v>
      </c>
      <c r="B11" s="440">
        <v>8674</v>
      </c>
      <c r="C11" s="536" t="s">
        <v>229</v>
      </c>
      <c r="D11" s="642">
        <f t="shared" si="0"/>
        <v>8674</v>
      </c>
      <c r="E11" s="507" t="s">
        <v>229</v>
      </c>
      <c r="F11" s="507" t="s">
        <v>229</v>
      </c>
      <c r="G11" s="507" t="s">
        <v>229</v>
      </c>
      <c r="H11" s="507" t="s">
        <v>229</v>
      </c>
      <c r="I11" s="642">
        <f t="shared" si="2"/>
        <v>8674</v>
      </c>
      <c r="J11" s="507" t="s">
        <v>229</v>
      </c>
      <c r="K11" s="507" t="s">
        <v>229</v>
      </c>
      <c r="L11" s="507" t="s">
        <v>229</v>
      </c>
      <c r="M11" s="507" t="s">
        <v>229</v>
      </c>
      <c r="N11" s="507" t="s">
        <v>229</v>
      </c>
      <c r="O11" s="643">
        <f t="shared" si="3"/>
        <v>8674</v>
      </c>
      <c r="P11" s="525"/>
      <c r="Q11" s="644">
        <f t="shared" si="1"/>
        <v>5341.666666666667</v>
      </c>
      <c r="V11" s="483" t="s">
        <v>125</v>
      </c>
    </row>
    <row r="12" spans="1:22" outlineLevel="1">
      <c r="A12" s="485">
        <v>1894</v>
      </c>
      <c r="B12" s="440">
        <v>7494</v>
      </c>
      <c r="C12" s="536" t="s">
        <v>229</v>
      </c>
      <c r="D12" s="642">
        <f t="shared" si="0"/>
        <v>7494</v>
      </c>
      <c r="E12" s="507" t="s">
        <v>229</v>
      </c>
      <c r="F12" s="507" t="s">
        <v>229</v>
      </c>
      <c r="G12" s="507" t="s">
        <v>229</v>
      </c>
      <c r="H12" s="507" t="s">
        <v>229</v>
      </c>
      <c r="I12" s="642">
        <f t="shared" si="2"/>
        <v>7494</v>
      </c>
      <c r="J12" s="507" t="s">
        <v>229</v>
      </c>
      <c r="K12" s="507" t="s">
        <v>229</v>
      </c>
      <c r="L12" s="507" t="s">
        <v>229</v>
      </c>
      <c r="M12" s="507" t="s">
        <v>229</v>
      </c>
      <c r="N12" s="507" t="s">
        <v>229</v>
      </c>
      <c r="O12" s="643">
        <f t="shared" si="3"/>
        <v>7494</v>
      </c>
      <c r="P12" s="525"/>
      <c r="Q12" s="644">
        <f t="shared" si="1"/>
        <v>5341.666666666667</v>
      </c>
      <c r="U12" s="483" t="s">
        <v>123</v>
      </c>
      <c r="V12" s="483" t="s">
        <v>124</v>
      </c>
    </row>
    <row r="13" spans="1:22" outlineLevel="1">
      <c r="A13" s="485">
        <v>1895</v>
      </c>
      <c r="B13" s="440">
        <v>10248</v>
      </c>
      <c r="C13" s="536" t="s">
        <v>229</v>
      </c>
      <c r="D13" s="642">
        <f t="shared" si="0"/>
        <v>10248</v>
      </c>
      <c r="E13" s="507" t="s">
        <v>229</v>
      </c>
      <c r="F13" s="507" t="s">
        <v>229</v>
      </c>
      <c r="G13" s="507" t="s">
        <v>229</v>
      </c>
      <c r="H13" s="507" t="s">
        <v>229</v>
      </c>
      <c r="I13" s="642">
        <f t="shared" si="2"/>
        <v>10248</v>
      </c>
      <c r="J13" s="507" t="s">
        <v>229</v>
      </c>
      <c r="K13" s="507" t="s">
        <v>229</v>
      </c>
      <c r="L13" s="507" t="s">
        <v>229</v>
      </c>
      <c r="M13" s="507" t="s">
        <v>229</v>
      </c>
      <c r="N13" s="507" t="s">
        <v>229</v>
      </c>
      <c r="O13" s="643">
        <f t="shared" si="3"/>
        <v>10248</v>
      </c>
      <c r="P13" s="525"/>
      <c r="Q13" s="644">
        <f t="shared" si="1"/>
        <v>5341.666666666667</v>
      </c>
      <c r="U13" s="483" t="s">
        <v>126</v>
      </c>
      <c r="V13" s="483" t="s">
        <v>127</v>
      </c>
    </row>
    <row r="14" spans="1:22" outlineLevel="1">
      <c r="A14" s="485">
        <v>1896</v>
      </c>
      <c r="B14" s="440">
        <v>1407</v>
      </c>
      <c r="C14" s="536" t="s">
        <v>229</v>
      </c>
      <c r="D14" s="642">
        <f t="shared" si="0"/>
        <v>1407</v>
      </c>
      <c r="E14" s="507" t="s">
        <v>229</v>
      </c>
      <c r="F14" s="507" t="s">
        <v>229</v>
      </c>
      <c r="G14" s="507" t="s">
        <v>229</v>
      </c>
      <c r="H14" s="507" t="s">
        <v>229</v>
      </c>
      <c r="I14" s="642">
        <f t="shared" si="2"/>
        <v>1407</v>
      </c>
      <c r="J14" s="507" t="s">
        <v>229</v>
      </c>
      <c r="K14" s="507" t="s">
        <v>229</v>
      </c>
      <c r="L14" s="507" t="s">
        <v>229</v>
      </c>
      <c r="M14" s="507" t="s">
        <v>229</v>
      </c>
      <c r="N14" s="507" t="s">
        <v>229</v>
      </c>
      <c r="O14" s="643">
        <f t="shared" si="3"/>
        <v>1407</v>
      </c>
      <c r="P14" s="525"/>
      <c r="Q14" s="644">
        <f t="shared" si="1"/>
        <v>5341.666666666667</v>
      </c>
      <c r="U14" s="483" t="s">
        <v>130</v>
      </c>
      <c r="V14" s="483" t="s">
        <v>129</v>
      </c>
    </row>
    <row r="15" spans="1:22" outlineLevel="1">
      <c r="A15" s="485">
        <v>1897</v>
      </c>
      <c r="B15" s="440">
        <v>2044</v>
      </c>
      <c r="C15" s="536" t="s">
        <v>229</v>
      </c>
      <c r="D15" s="642">
        <f t="shared" si="0"/>
        <v>2044</v>
      </c>
      <c r="E15" s="507" t="s">
        <v>229</v>
      </c>
      <c r="F15" s="507" t="s">
        <v>229</v>
      </c>
      <c r="G15" s="507" t="s">
        <v>229</v>
      </c>
      <c r="H15" s="507" t="s">
        <v>229</v>
      </c>
      <c r="I15" s="642">
        <f t="shared" si="2"/>
        <v>2044</v>
      </c>
      <c r="J15" s="507" t="s">
        <v>229</v>
      </c>
      <c r="K15" s="507" t="s">
        <v>229</v>
      </c>
      <c r="L15" s="507" t="s">
        <v>229</v>
      </c>
      <c r="M15" s="507" t="s">
        <v>229</v>
      </c>
      <c r="N15" s="507" t="s">
        <v>229</v>
      </c>
      <c r="O15" s="643">
        <f t="shared" si="3"/>
        <v>2044</v>
      </c>
      <c r="P15" s="525"/>
      <c r="Q15" s="644">
        <f t="shared" si="1"/>
        <v>5341.666666666667</v>
      </c>
      <c r="T15" s="483" t="s">
        <v>133</v>
      </c>
      <c r="U15" s="483" t="s">
        <v>132</v>
      </c>
    </row>
    <row r="16" spans="1:22" outlineLevel="1">
      <c r="A16" s="485">
        <v>1898</v>
      </c>
      <c r="B16" s="440">
        <v>1850</v>
      </c>
      <c r="C16" s="536" t="s">
        <v>229</v>
      </c>
      <c r="D16" s="642">
        <f t="shared" si="0"/>
        <v>1850</v>
      </c>
      <c r="E16" s="507" t="s">
        <v>229</v>
      </c>
      <c r="F16" s="507" t="s">
        <v>229</v>
      </c>
      <c r="G16" s="507" t="s">
        <v>229</v>
      </c>
      <c r="H16" s="507" t="s">
        <v>229</v>
      </c>
      <c r="I16" s="642">
        <f t="shared" si="2"/>
        <v>1850</v>
      </c>
      <c r="J16" s="507" t="s">
        <v>229</v>
      </c>
      <c r="K16" s="507" t="s">
        <v>229</v>
      </c>
      <c r="L16" s="507" t="s">
        <v>229</v>
      </c>
      <c r="M16" s="507" t="s">
        <v>229</v>
      </c>
      <c r="N16" s="507" t="s">
        <v>229</v>
      </c>
      <c r="O16" s="643">
        <f t="shared" si="3"/>
        <v>1850</v>
      </c>
      <c r="P16" s="525"/>
      <c r="Q16" s="644">
        <f t="shared" si="1"/>
        <v>5341.666666666667</v>
      </c>
      <c r="T16" s="483" t="s">
        <v>134</v>
      </c>
      <c r="U16" s="483" t="s">
        <v>135</v>
      </c>
    </row>
    <row r="17" spans="1:21" outlineLevel="1">
      <c r="A17" s="485">
        <v>1899</v>
      </c>
      <c r="B17" s="440">
        <v>4682</v>
      </c>
      <c r="C17" s="536" t="s">
        <v>229</v>
      </c>
      <c r="D17" s="642">
        <f t="shared" si="0"/>
        <v>4682</v>
      </c>
      <c r="E17" s="507" t="s">
        <v>229</v>
      </c>
      <c r="F17" s="507" t="s">
        <v>229</v>
      </c>
      <c r="G17" s="507" t="s">
        <v>229</v>
      </c>
      <c r="H17" s="507" t="s">
        <v>229</v>
      </c>
      <c r="I17" s="642">
        <f t="shared" si="2"/>
        <v>4682</v>
      </c>
      <c r="J17" s="507" t="s">
        <v>229</v>
      </c>
      <c r="K17" s="507" t="s">
        <v>229</v>
      </c>
      <c r="L17" s="507" t="s">
        <v>229</v>
      </c>
      <c r="M17" s="507" t="s">
        <v>229</v>
      </c>
      <c r="N17" s="507" t="s">
        <v>229</v>
      </c>
      <c r="O17" s="643">
        <f t="shared" si="3"/>
        <v>4682</v>
      </c>
      <c r="P17" s="525"/>
      <c r="Q17" s="644">
        <f>AVERAGE(B$8:B$17)</f>
        <v>5341.666666666667</v>
      </c>
      <c r="U17" s="483" t="s">
        <v>366</v>
      </c>
    </row>
    <row r="18" spans="1:21" outlineLevel="1">
      <c r="A18" s="485">
        <v>1900</v>
      </c>
      <c r="B18" s="440">
        <v>3462</v>
      </c>
      <c r="C18" s="536" t="s">
        <v>229</v>
      </c>
      <c r="D18" s="642">
        <f t="shared" si="0"/>
        <v>3462</v>
      </c>
      <c r="E18" s="507" t="s">
        <v>229</v>
      </c>
      <c r="F18" s="507" t="s">
        <v>229</v>
      </c>
      <c r="G18" s="507" t="s">
        <v>229</v>
      </c>
      <c r="H18" s="507" t="s">
        <v>229</v>
      </c>
      <c r="I18" s="642">
        <f t="shared" si="2"/>
        <v>3462</v>
      </c>
      <c r="J18" s="507" t="s">
        <v>229</v>
      </c>
      <c r="K18" s="507" t="s">
        <v>229</v>
      </c>
      <c r="L18" s="507" t="s">
        <v>229</v>
      </c>
      <c r="M18" s="507" t="s">
        <v>229</v>
      </c>
      <c r="N18" s="507" t="s">
        <v>229</v>
      </c>
      <c r="O18" s="643">
        <f t="shared" si="3"/>
        <v>3462</v>
      </c>
      <c r="P18" s="525"/>
      <c r="Q18" s="644">
        <f>AVERAGE(B$18:B$27)</f>
        <v>5359.4444444444443</v>
      </c>
    </row>
    <row r="19" spans="1:21" outlineLevel="1">
      <c r="A19" s="485">
        <v>1901</v>
      </c>
      <c r="B19" s="440">
        <v>6558</v>
      </c>
      <c r="C19" s="536" t="s">
        <v>229</v>
      </c>
      <c r="D19" s="642">
        <f t="shared" si="0"/>
        <v>6558</v>
      </c>
      <c r="E19" s="507" t="s">
        <v>229</v>
      </c>
      <c r="F19" s="507" t="s">
        <v>229</v>
      </c>
      <c r="G19" s="507" t="s">
        <v>229</v>
      </c>
      <c r="H19" s="507" t="s">
        <v>229</v>
      </c>
      <c r="I19" s="642">
        <f t="shared" si="2"/>
        <v>6558</v>
      </c>
      <c r="J19" s="507" t="s">
        <v>229</v>
      </c>
      <c r="K19" s="507" t="s">
        <v>229</v>
      </c>
      <c r="L19" s="507" t="s">
        <v>229</v>
      </c>
      <c r="M19" s="507" t="s">
        <v>229</v>
      </c>
      <c r="N19" s="507" t="s">
        <v>229</v>
      </c>
      <c r="O19" s="643">
        <f t="shared" si="3"/>
        <v>6558</v>
      </c>
      <c r="P19" s="525"/>
      <c r="Q19" s="644">
        <f t="shared" ref="Q19:Q27" si="4">AVERAGE(B$18:B$27)</f>
        <v>5359.4444444444443</v>
      </c>
    </row>
    <row r="20" spans="1:21" outlineLevel="1">
      <c r="A20" s="485">
        <v>1902</v>
      </c>
      <c r="B20" s="440">
        <v>2500</v>
      </c>
      <c r="C20" s="536" t="s">
        <v>229</v>
      </c>
      <c r="D20" s="642">
        <f t="shared" si="0"/>
        <v>2500</v>
      </c>
      <c r="E20" s="507" t="s">
        <v>229</v>
      </c>
      <c r="F20" s="507" t="s">
        <v>229</v>
      </c>
      <c r="G20" s="507" t="s">
        <v>229</v>
      </c>
      <c r="H20" s="507" t="s">
        <v>229</v>
      </c>
      <c r="I20" s="642">
        <f t="shared" si="2"/>
        <v>2500</v>
      </c>
      <c r="J20" s="507" t="s">
        <v>229</v>
      </c>
      <c r="K20" s="507" t="s">
        <v>229</v>
      </c>
      <c r="L20" s="507" t="s">
        <v>229</v>
      </c>
      <c r="M20" s="507" t="s">
        <v>229</v>
      </c>
      <c r="N20" s="507" t="s">
        <v>229</v>
      </c>
      <c r="O20" s="643">
        <f t="shared" si="3"/>
        <v>2500</v>
      </c>
      <c r="P20" s="525"/>
      <c r="Q20" s="644">
        <f t="shared" si="4"/>
        <v>5359.4444444444443</v>
      </c>
    </row>
    <row r="21" spans="1:21" outlineLevel="1">
      <c r="A21" s="485">
        <v>1903</v>
      </c>
      <c r="B21" s="440">
        <v>4600</v>
      </c>
      <c r="C21" s="536" t="s">
        <v>229</v>
      </c>
      <c r="D21" s="642">
        <f t="shared" si="0"/>
        <v>4600</v>
      </c>
      <c r="E21" s="507" t="s">
        <v>229</v>
      </c>
      <c r="F21" s="507" t="s">
        <v>229</v>
      </c>
      <c r="G21" s="507" t="s">
        <v>229</v>
      </c>
      <c r="H21" s="507" t="s">
        <v>229</v>
      </c>
      <c r="I21" s="642">
        <f t="shared" si="2"/>
        <v>4600</v>
      </c>
      <c r="J21" s="507" t="s">
        <v>229</v>
      </c>
      <c r="K21" s="507" t="s">
        <v>229</v>
      </c>
      <c r="L21" s="507" t="s">
        <v>229</v>
      </c>
      <c r="M21" s="507" t="s">
        <v>229</v>
      </c>
      <c r="N21" s="507" t="s">
        <v>229</v>
      </c>
      <c r="O21" s="643">
        <f t="shared" si="3"/>
        <v>4600</v>
      </c>
      <c r="P21" s="525"/>
      <c r="Q21" s="644">
        <f t="shared" si="4"/>
        <v>5359.4444444444443</v>
      </c>
    </row>
    <row r="22" spans="1:21" outlineLevel="1">
      <c r="A22" s="485">
        <v>1904</v>
      </c>
      <c r="B22" s="440">
        <v>5014</v>
      </c>
      <c r="C22" s="536" t="s">
        <v>229</v>
      </c>
      <c r="D22" s="642">
        <f t="shared" si="0"/>
        <v>5014</v>
      </c>
      <c r="E22" s="507" t="s">
        <v>229</v>
      </c>
      <c r="F22" s="507" t="s">
        <v>229</v>
      </c>
      <c r="G22" s="507" t="s">
        <v>229</v>
      </c>
      <c r="H22" s="507" t="s">
        <v>229</v>
      </c>
      <c r="I22" s="642">
        <f t="shared" si="2"/>
        <v>5014</v>
      </c>
      <c r="J22" s="507" t="s">
        <v>229</v>
      </c>
      <c r="K22" s="507" t="s">
        <v>229</v>
      </c>
      <c r="L22" s="507" t="s">
        <v>229</v>
      </c>
      <c r="M22" s="507" t="s">
        <v>229</v>
      </c>
      <c r="N22" s="507" t="s">
        <v>229</v>
      </c>
      <c r="O22" s="643">
        <f t="shared" si="3"/>
        <v>5014</v>
      </c>
      <c r="P22" s="525"/>
      <c r="Q22" s="644">
        <f t="shared" si="4"/>
        <v>5359.4444444444443</v>
      </c>
    </row>
    <row r="23" spans="1:21" outlineLevel="1">
      <c r="A23" s="485">
        <v>1905</v>
      </c>
      <c r="B23" s="440">
        <v>20000</v>
      </c>
      <c r="C23" s="536" t="s">
        <v>229</v>
      </c>
      <c r="D23" s="642">
        <f t="shared" si="0"/>
        <v>20000</v>
      </c>
      <c r="E23" s="507" t="s">
        <v>229</v>
      </c>
      <c r="F23" s="507" t="s">
        <v>229</v>
      </c>
      <c r="G23" s="507" t="s">
        <v>229</v>
      </c>
      <c r="H23" s="507" t="s">
        <v>229</v>
      </c>
      <c r="I23" s="642">
        <f t="shared" si="2"/>
        <v>20000</v>
      </c>
      <c r="J23" s="507" t="s">
        <v>229</v>
      </c>
      <c r="K23" s="507" t="s">
        <v>229</v>
      </c>
      <c r="L23" s="507" t="s">
        <v>229</v>
      </c>
      <c r="M23" s="507" t="s">
        <v>229</v>
      </c>
      <c r="N23" s="507" t="s">
        <v>229</v>
      </c>
      <c r="O23" s="643">
        <f t="shared" si="3"/>
        <v>20000</v>
      </c>
      <c r="P23" s="525"/>
      <c r="Q23" s="644">
        <f t="shared" si="4"/>
        <v>5359.4444444444443</v>
      </c>
    </row>
    <row r="24" spans="1:21" outlineLevel="1">
      <c r="A24" s="485">
        <v>1906</v>
      </c>
      <c r="B24" s="440">
        <v>2165</v>
      </c>
      <c r="C24" s="536" t="s">
        <v>229</v>
      </c>
      <c r="D24" s="642">
        <f t="shared" si="0"/>
        <v>2165</v>
      </c>
      <c r="E24" s="507" t="s">
        <v>229</v>
      </c>
      <c r="F24" s="507" t="s">
        <v>229</v>
      </c>
      <c r="G24" s="507" t="s">
        <v>229</v>
      </c>
      <c r="H24" s="507" t="s">
        <v>229</v>
      </c>
      <c r="I24" s="642">
        <f t="shared" si="2"/>
        <v>2165</v>
      </c>
      <c r="J24" s="507" t="s">
        <v>229</v>
      </c>
      <c r="K24" s="507" t="s">
        <v>229</v>
      </c>
      <c r="L24" s="507" t="s">
        <v>229</v>
      </c>
      <c r="M24" s="507" t="s">
        <v>229</v>
      </c>
      <c r="N24" s="507" t="s">
        <v>229</v>
      </c>
      <c r="O24" s="643">
        <f t="shared" si="3"/>
        <v>2165</v>
      </c>
      <c r="P24" s="525"/>
      <c r="Q24" s="644">
        <f t="shared" si="4"/>
        <v>5359.4444444444443</v>
      </c>
    </row>
    <row r="25" spans="1:21" outlineLevel="1">
      <c r="A25" s="485">
        <v>1907</v>
      </c>
      <c r="B25" s="440">
        <v>869</v>
      </c>
      <c r="C25" s="536" t="s">
        <v>229</v>
      </c>
      <c r="D25" s="642">
        <f t="shared" si="0"/>
        <v>869</v>
      </c>
      <c r="E25" s="507" t="s">
        <v>229</v>
      </c>
      <c r="F25" s="507" t="s">
        <v>229</v>
      </c>
      <c r="G25" s="507" t="s">
        <v>229</v>
      </c>
      <c r="H25" s="507" t="s">
        <v>229</v>
      </c>
      <c r="I25" s="642">
        <f t="shared" si="2"/>
        <v>869</v>
      </c>
      <c r="J25" s="507" t="s">
        <v>229</v>
      </c>
      <c r="K25" s="507" t="s">
        <v>229</v>
      </c>
      <c r="L25" s="507" t="s">
        <v>229</v>
      </c>
      <c r="M25" s="507" t="s">
        <v>229</v>
      </c>
      <c r="N25" s="507" t="s">
        <v>229</v>
      </c>
      <c r="O25" s="643">
        <f t="shared" si="3"/>
        <v>869</v>
      </c>
      <c r="P25" s="525"/>
      <c r="Q25" s="644">
        <f t="shared" si="4"/>
        <v>5359.4444444444443</v>
      </c>
    </row>
    <row r="26" spans="1:21" outlineLevel="1">
      <c r="A26" s="485">
        <v>1908</v>
      </c>
      <c r="B26" s="440"/>
      <c r="C26" s="536" t="s">
        <v>229</v>
      </c>
      <c r="D26" s="642">
        <f t="shared" si="0"/>
        <v>0</v>
      </c>
      <c r="E26" s="507" t="s">
        <v>229</v>
      </c>
      <c r="F26" s="507" t="s">
        <v>229</v>
      </c>
      <c r="G26" s="507" t="s">
        <v>229</v>
      </c>
      <c r="H26" s="507" t="s">
        <v>229</v>
      </c>
      <c r="I26" s="642">
        <f t="shared" si="2"/>
        <v>0</v>
      </c>
      <c r="J26" s="507" t="s">
        <v>229</v>
      </c>
      <c r="K26" s="507" t="s">
        <v>229</v>
      </c>
      <c r="L26" s="507" t="s">
        <v>229</v>
      </c>
      <c r="M26" s="507" t="s">
        <v>229</v>
      </c>
      <c r="N26" s="507" t="s">
        <v>229</v>
      </c>
      <c r="O26" s="643">
        <f t="shared" si="3"/>
        <v>0</v>
      </c>
      <c r="P26" s="525"/>
      <c r="Q26" s="644">
        <f t="shared" si="4"/>
        <v>5359.4444444444443</v>
      </c>
    </row>
    <row r="27" spans="1:21" outlineLevel="1">
      <c r="A27" s="485">
        <v>1909</v>
      </c>
      <c r="B27" s="440">
        <v>3067</v>
      </c>
      <c r="C27" s="536" t="s">
        <v>229</v>
      </c>
      <c r="D27" s="642">
        <f t="shared" si="0"/>
        <v>3067</v>
      </c>
      <c r="E27" s="507" t="s">
        <v>229</v>
      </c>
      <c r="F27" s="507" t="s">
        <v>229</v>
      </c>
      <c r="G27" s="507" t="s">
        <v>229</v>
      </c>
      <c r="H27" s="507" t="s">
        <v>229</v>
      </c>
      <c r="I27" s="642">
        <f t="shared" si="2"/>
        <v>3067</v>
      </c>
      <c r="J27" s="507" t="s">
        <v>229</v>
      </c>
      <c r="K27" s="507" t="s">
        <v>229</v>
      </c>
      <c r="L27" s="507" t="s">
        <v>229</v>
      </c>
      <c r="M27" s="507" t="s">
        <v>229</v>
      </c>
      <c r="N27" s="507" t="s">
        <v>229</v>
      </c>
      <c r="O27" s="643">
        <f t="shared" si="3"/>
        <v>3067</v>
      </c>
      <c r="P27" s="525"/>
      <c r="Q27" s="644">
        <f t="shared" si="4"/>
        <v>5359.4444444444443</v>
      </c>
    </row>
    <row r="28" spans="1:21" outlineLevel="1">
      <c r="A28" s="485">
        <v>1910</v>
      </c>
      <c r="B28" s="440">
        <v>974</v>
      </c>
      <c r="C28" s="536" t="s">
        <v>229</v>
      </c>
      <c r="D28" s="642">
        <f t="shared" si="0"/>
        <v>974</v>
      </c>
      <c r="E28" s="507" t="s">
        <v>229</v>
      </c>
      <c r="F28" s="507" t="s">
        <v>229</v>
      </c>
      <c r="G28" s="507" t="s">
        <v>229</v>
      </c>
      <c r="H28" s="507" t="s">
        <v>229</v>
      </c>
      <c r="I28" s="642">
        <f t="shared" si="2"/>
        <v>974</v>
      </c>
      <c r="J28" s="507" t="s">
        <v>229</v>
      </c>
      <c r="K28" s="507" t="s">
        <v>229</v>
      </c>
      <c r="L28" s="507" t="s">
        <v>229</v>
      </c>
      <c r="M28" s="507" t="s">
        <v>229</v>
      </c>
      <c r="N28" s="507" t="s">
        <v>229</v>
      </c>
      <c r="O28" s="643">
        <f t="shared" si="3"/>
        <v>974</v>
      </c>
      <c r="P28" s="525"/>
      <c r="Q28" s="644">
        <f t="shared" ref="Q28:Q37" si="5">AVERAGE(D$28:D$37)</f>
        <v>8282.2000000000007</v>
      </c>
    </row>
    <row r="29" spans="1:21" outlineLevel="1">
      <c r="A29" s="485">
        <v>1911</v>
      </c>
      <c r="B29" s="440">
        <v>1358</v>
      </c>
      <c r="C29" s="536" t="s">
        <v>229</v>
      </c>
      <c r="D29" s="642">
        <f t="shared" si="0"/>
        <v>1358</v>
      </c>
      <c r="E29" s="507" t="s">
        <v>229</v>
      </c>
      <c r="F29" s="507" t="s">
        <v>229</v>
      </c>
      <c r="G29" s="507" t="s">
        <v>229</v>
      </c>
      <c r="H29" s="507" t="s">
        <v>229</v>
      </c>
      <c r="I29" s="642">
        <f t="shared" si="2"/>
        <v>1358</v>
      </c>
      <c r="J29" s="507" t="s">
        <v>229</v>
      </c>
      <c r="K29" s="507" t="s">
        <v>229</v>
      </c>
      <c r="L29" s="507" t="s">
        <v>229</v>
      </c>
      <c r="M29" s="507" t="s">
        <v>229</v>
      </c>
      <c r="N29" s="507" t="s">
        <v>229</v>
      </c>
      <c r="O29" s="643">
        <f t="shared" si="3"/>
        <v>1358</v>
      </c>
      <c r="P29" s="525"/>
      <c r="Q29" s="644">
        <f t="shared" si="5"/>
        <v>8282.2000000000007</v>
      </c>
    </row>
    <row r="30" spans="1:21" outlineLevel="1">
      <c r="A30" s="485">
        <v>1912</v>
      </c>
      <c r="B30" s="440">
        <v>6181</v>
      </c>
      <c r="C30" s="536" t="s">
        <v>229</v>
      </c>
      <c r="D30" s="642">
        <f t="shared" si="0"/>
        <v>6181</v>
      </c>
      <c r="E30" s="507" t="s">
        <v>229</v>
      </c>
      <c r="F30" s="507" t="s">
        <v>229</v>
      </c>
      <c r="G30" s="507" t="s">
        <v>229</v>
      </c>
      <c r="H30" s="507" t="s">
        <v>229</v>
      </c>
      <c r="I30" s="642">
        <f t="shared" si="2"/>
        <v>6181</v>
      </c>
      <c r="J30" s="507" t="s">
        <v>229</v>
      </c>
      <c r="K30" s="507" t="s">
        <v>229</v>
      </c>
      <c r="L30" s="507" t="s">
        <v>229</v>
      </c>
      <c r="M30" s="507" t="s">
        <v>229</v>
      </c>
      <c r="N30" s="507" t="s">
        <v>229</v>
      </c>
      <c r="O30" s="643">
        <f t="shared" si="3"/>
        <v>6181</v>
      </c>
      <c r="P30" s="525"/>
      <c r="Q30" s="644">
        <f t="shared" si="5"/>
        <v>8282.2000000000007</v>
      </c>
    </row>
    <row r="31" spans="1:21" outlineLevel="1">
      <c r="A31" s="485">
        <v>1913</v>
      </c>
      <c r="B31" s="440">
        <v>2307</v>
      </c>
      <c r="C31" s="536" t="s">
        <v>229</v>
      </c>
      <c r="D31" s="642">
        <f t="shared" si="0"/>
        <v>2307</v>
      </c>
      <c r="E31" s="507" t="s">
        <v>229</v>
      </c>
      <c r="F31" s="507" t="s">
        <v>229</v>
      </c>
      <c r="G31" s="507" t="s">
        <v>229</v>
      </c>
      <c r="H31" s="507" t="s">
        <v>229</v>
      </c>
      <c r="I31" s="642">
        <f t="shared" si="2"/>
        <v>2307</v>
      </c>
      <c r="J31" s="507" t="s">
        <v>229</v>
      </c>
      <c r="K31" s="507" t="s">
        <v>229</v>
      </c>
      <c r="L31" s="507" t="s">
        <v>229</v>
      </c>
      <c r="M31" s="507" t="s">
        <v>229</v>
      </c>
      <c r="N31" s="507" t="s">
        <v>229</v>
      </c>
      <c r="O31" s="643">
        <f t="shared" si="3"/>
        <v>2307</v>
      </c>
      <c r="P31" s="525"/>
      <c r="Q31" s="644">
        <f t="shared" si="5"/>
        <v>8282.2000000000007</v>
      </c>
    </row>
    <row r="32" spans="1:21" outlineLevel="1">
      <c r="A32" s="485">
        <v>1914</v>
      </c>
      <c r="B32" s="440">
        <v>3043</v>
      </c>
      <c r="C32" s="536" t="s">
        <v>229</v>
      </c>
      <c r="D32" s="642">
        <f t="shared" si="0"/>
        <v>3043</v>
      </c>
      <c r="E32" s="507" t="s">
        <v>229</v>
      </c>
      <c r="F32" s="507" t="s">
        <v>229</v>
      </c>
      <c r="G32" s="507" t="s">
        <v>229</v>
      </c>
      <c r="H32" s="507" t="s">
        <v>229</v>
      </c>
      <c r="I32" s="642">
        <f t="shared" si="2"/>
        <v>3043</v>
      </c>
      <c r="J32" s="507" t="s">
        <v>229</v>
      </c>
      <c r="K32" s="507" t="s">
        <v>229</v>
      </c>
      <c r="L32" s="507" t="s">
        <v>229</v>
      </c>
      <c r="M32" s="507" t="s">
        <v>229</v>
      </c>
      <c r="N32" s="507" t="s">
        <v>229</v>
      </c>
      <c r="O32" s="643">
        <f t="shared" si="3"/>
        <v>3043</v>
      </c>
      <c r="P32" s="525"/>
      <c r="Q32" s="644">
        <f t="shared" si="5"/>
        <v>8282.2000000000007</v>
      </c>
    </row>
    <row r="33" spans="1:17" outlineLevel="1">
      <c r="A33" s="485">
        <v>1915</v>
      </c>
      <c r="B33" s="440">
        <v>7334</v>
      </c>
      <c r="C33" s="440">
        <v>4</v>
      </c>
      <c r="D33" s="642">
        <f t="shared" si="0"/>
        <v>7338</v>
      </c>
      <c r="E33" s="507" t="s">
        <v>229</v>
      </c>
      <c r="F33" s="507" t="s">
        <v>229</v>
      </c>
      <c r="G33" s="507" t="s">
        <v>229</v>
      </c>
      <c r="H33" s="507" t="s">
        <v>229</v>
      </c>
      <c r="I33" s="642">
        <f t="shared" si="2"/>
        <v>7338</v>
      </c>
      <c r="J33" s="507" t="s">
        <v>229</v>
      </c>
      <c r="K33" s="507" t="s">
        <v>229</v>
      </c>
      <c r="L33" s="507" t="s">
        <v>229</v>
      </c>
      <c r="M33" s="507" t="s">
        <v>229</v>
      </c>
      <c r="N33" s="507" t="s">
        <v>229</v>
      </c>
      <c r="O33" s="643">
        <f t="shared" si="3"/>
        <v>7338</v>
      </c>
      <c r="P33" s="525"/>
      <c r="Q33" s="644">
        <f t="shared" si="5"/>
        <v>8282.2000000000007</v>
      </c>
    </row>
    <row r="34" spans="1:17" outlineLevel="1">
      <c r="A34" s="485">
        <v>1916</v>
      </c>
      <c r="B34" s="440">
        <v>14259</v>
      </c>
      <c r="C34" s="440">
        <v>7</v>
      </c>
      <c r="D34" s="642">
        <f t="shared" si="0"/>
        <v>14266</v>
      </c>
      <c r="E34" s="507" t="s">
        <v>229</v>
      </c>
      <c r="F34" s="507" t="s">
        <v>229</v>
      </c>
      <c r="G34" s="507" t="s">
        <v>229</v>
      </c>
      <c r="H34" s="507" t="s">
        <v>229</v>
      </c>
      <c r="I34" s="642">
        <f t="shared" si="2"/>
        <v>14266</v>
      </c>
      <c r="J34" s="507" t="s">
        <v>229</v>
      </c>
      <c r="K34" s="507" t="s">
        <v>229</v>
      </c>
      <c r="L34" s="507" t="s">
        <v>229</v>
      </c>
      <c r="M34" s="507" t="s">
        <v>229</v>
      </c>
      <c r="N34" s="507" t="s">
        <v>229</v>
      </c>
      <c r="O34" s="643">
        <f t="shared" si="3"/>
        <v>14266</v>
      </c>
      <c r="P34" s="525"/>
      <c r="Q34" s="644">
        <f t="shared" si="5"/>
        <v>8282.2000000000007</v>
      </c>
    </row>
    <row r="35" spans="1:17" outlineLevel="1">
      <c r="A35" s="485">
        <v>1917</v>
      </c>
      <c r="B35" s="440">
        <v>13930</v>
      </c>
      <c r="C35" s="440">
        <v>321</v>
      </c>
      <c r="D35" s="642">
        <f t="shared" si="0"/>
        <v>14251</v>
      </c>
      <c r="E35" s="507" t="s">
        <v>229</v>
      </c>
      <c r="F35" s="507" t="s">
        <v>229</v>
      </c>
      <c r="G35" s="507" t="s">
        <v>229</v>
      </c>
      <c r="H35" s="507" t="s">
        <v>229</v>
      </c>
      <c r="I35" s="642">
        <f t="shared" si="2"/>
        <v>14251</v>
      </c>
      <c r="J35" s="507" t="s">
        <v>229</v>
      </c>
      <c r="K35" s="507" t="s">
        <v>229</v>
      </c>
      <c r="L35" s="507" t="s">
        <v>229</v>
      </c>
      <c r="M35" s="507" t="s">
        <v>229</v>
      </c>
      <c r="N35" s="507" t="s">
        <v>229</v>
      </c>
      <c r="O35" s="643">
        <f t="shared" si="3"/>
        <v>14251</v>
      </c>
      <c r="P35" s="525"/>
      <c r="Q35" s="644">
        <f t="shared" si="5"/>
        <v>8282.2000000000007</v>
      </c>
    </row>
    <row r="36" spans="1:17" outlineLevel="1">
      <c r="A36" s="485">
        <v>1918</v>
      </c>
      <c r="B36" s="440">
        <v>19627</v>
      </c>
      <c r="C36" s="440">
        <v>139</v>
      </c>
      <c r="D36" s="642">
        <f t="shared" si="0"/>
        <v>19766</v>
      </c>
      <c r="E36" s="507" t="s">
        <v>229</v>
      </c>
      <c r="F36" s="507" t="s">
        <v>229</v>
      </c>
      <c r="G36" s="507" t="s">
        <v>229</v>
      </c>
      <c r="H36" s="507" t="s">
        <v>229</v>
      </c>
      <c r="I36" s="642">
        <f t="shared" si="2"/>
        <v>19766</v>
      </c>
      <c r="J36" s="507" t="s">
        <v>229</v>
      </c>
      <c r="K36" s="507" t="s">
        <v>229</v>
      </c>
      <c r="L36" s="507" t="s">
        <v>229</v>
      </c>
      <c r="M36" s="507" t="s">
        <v>229</v>
      </c>
      <c r="N36" s="507" t="s">
        <v>229</v>
      </c>
      <c r="O36" s="643">
        <f t="shared" si="3"/>
        <v>19766</v>
      </c>
      <c r="P36" s="525"/>
      <c r="Q36" s="644">
        <f t="shared" si="5"/>
        <v>8282.2000000000007</v>
      </c>
    </row>
    <row r="37" spans="1:17" outlineLevel="1">
      <c r="A37" s="485">
        <v>1919</v>
      </c>
      <c r="B37" s="440">
        <v>13266</v>
      </c>
      <c r="C37" s="440">
        <v>72</v>
      </c>
      <c r="D37" s="642">
        <f t="shared" si="0"/>
        <v>13338</v>
      </c>
      <c r="E37" s="507" t="s">
        <v>229</v>
      </c>
      <c r="F37" s="507" t="s">
        <v>229</v>
      </c>
      <c r="G37" s="507" t="s">
        <v>229</v>
      </c>
      <c r="H37" s="507" t="s">
        <v>229</v>
      </c>
      <c r="I37" s="642">
        <f t="shared" si="2"/>
        <v>13338</v>
      </c>
      <c r="J37" s="507" t="s">
        <v>229</v>
      </c>
      <c r="K37" s="507" t="s">
        <v>229</v>
      </c>
      <c r="L37" s="507" t="s">
        <v>229</v>
      </c>
      <c r="M37" s="507" t="s">
        <v>229</v>
      </c>
      <c r="N37" s="507" t="s">
        <v>229</v>
      </c>
      <c r="O37" s="643">
        <f t="shared" si="3"/>
        <v>13338</v>
      </c>
      <c r="P37" s="525"/>
      <c r="Q37" s="644">
        <f t="shared" si="5"/>
        <v>8282.2000000000007</v>
      </c>
    </row>
    <row r="38" spans="1:17" outlineLevel="1">
      <c r="A38" s="485">
        <v>1920</v>
      </c>
      <c r="B38" s="440">
        <v>22997</v>
      </c>
      <c r="C38" s="440">
        <v>120</v>
      </c>
      <c r="D38" s="642">
        <f t="shared" si="0"/>
        <v>23117</v>
      </c>
      <c r="E38" s="507" t="s">
        <v>229</v>
      </c>
      <c r="F38" s="507" t="s">
        <v>229</v>
      </c>
      <c r="G38" s="507" t="s">
        <v>229</v>
      </c>
      <c r="H38" s="507" t="s">
        <v>229</v>
      </c>
      <c r="I38" s="642">
        <f t="shared" si="2"/>
        <v>23117</v>
      </c>
      <c r="J38" s="507" t="s">
        <v>229</v>
      </c>
      <c r="K38" s="507" t="s">
        <v>229</v>
      </c>
      <c r="L38" s="507" t="s">
        <v>229</v>
      </c>
      <c r="M38" s="507" t="s">
        <v>229</v>
      </c>
      <c r="N38" s="507" t="s">
        <v>229</v>
      </c>
      <c r="O38" s="643">
        <f t="shared" si="3"/>
        <v>23117</v>
      </c>
      <c r="P38" s="525"/>
      <c r="Q38" s="644">
        <f t="shared" ref="Q38:Q47" si="6">AVERAGE(D$38:D$47)</f>
        <v>23395.8</v>
      </c>
    </row>
    <row r="39" spans="1:17" outlineLevel="1">
      <c r="A39" s="485">
        <v>1921</v>
      </c>
      <c r="B39" s="440">
        <v>11466</v>
      </c>
      <c r="C39" s="440">
        <v>3</v>
      </c>
      <c r="D39" s="642">
        <f t="shared" si="0"/>
        <v>11469</v>
      </c>
      <c r="E39" s="507" t="s">
        <v>229</v>
      </c>
      <c r="F39" s="507" t="s">
        <v>229</v>
      </c>
      <c r="G39" s="507" t="s">
        <v>229</v>
      </c>
      <c r="H39" s="507" t="s">
        <v>229</v>
      </c>
      <c r="I39" s="642">
        <f t="shared" si="2"/>
        <v>11469</v>
      </c>
      <c r="J39" s="507" t="s">
        <v>229</v>
      </c>
      <c r="K39" s="507" t="s">
        <v>229</v>
      </c>
      <c r="L39" s="507" t="s">
        <v>229</v>
      </c>
      <c r="M39" s="507" t="s">
        <v>229</v>
      </c>
      <c r="N39" s="507" t="s">
        <v>229</v>
      </c>
      <c r="O39" s="643">
        <f t="shared" si="3"/>
        <v>11469</v>
      </c>
      <c r="P39" s="525"/>
      <c r="Q39" s="644">
        <f t="shared" si="6"/>
        <v>23395.8</v>
      </c>
    </row>
    <row r="40" spans="1:17" outlineLevel="1">
      <c r="A40" s="485">
        <v>1922</v>
      </c>
      <c r="B40" s="440">
        <v>10075</v>
      </c>
      <c r="C40" s="440">
        <v>72</v>
      </c>
      <c r="D40" s="642">
        <f t="shared" ref="D40:D71" si="7">SUM(B40:C40)</f>
        <v>10147</v>
      </c>
      <c r="E40" s="507" t="s">
        <v>229</v>
      </c>
      <c r="F40" s="507" t="s">
        <v>229</v>
      </c>
      <c r="G40" s="507" t="s">
        <v>229</v>
      </c>
      <c r="H40" s="507" t="s">
        <v>229</v>
      </c>
      <c r="I40" s="642">
        <f t="shared" si="2"/>
        <v>10147</v>
      </c>
      <c r="J40" s="507" t="s">
        <v>229</v>
      </c>
      <c r="K40" s="507" t="s">
        <v>229</v>
      </c>
      <c r="L40" s="507" t="s">
        <v>229</v>
      </c>
      <c r="M40" s="507" t="s">
        <v>229</v>
      </c>
      <c r="N40" s="507" t="s">
        <v>229</v>
      </c>
      <c r="O40" s="643">
        <f t="shared" si="3"/>
        <v>10147</v>
      </c>
      <c r="P40" s="525"/>
      <c r="Q40" s="644">
        <f t="shared" si="6"/>
        <v>23395.8</v>
      </c>
    </row>
    <row r="41" spans="1:17" outlineLevel="1">
      <c r="A41" s="485">
        <v>1923</v>
      </c>
      <c r="B41" s="440">
        <v>10339</v>
      </c>
      <c r="C41" s="440">
        <v>86</v>
      </c>
      <c r="D41" s="642">
        <f t="shared" si="7"/>
        <v>10425</v>
      </c>
      <c r="E41" s="507" t="s">
        <v>229</v>
      </c>
      <c r="F41" s="507" t="s">
        <v>229</v>
      </c>
      <c r="G41" s="507" t="s">
        <v>229</v>
      </c>
      <c r="H41" s="507" t="s">
        <v>229</v>
      </c>
      <c r="I41" s="642">
        <f t="shared" si="2"/>
        <v>10425</v>
      </c>
      <c r="J41" s="507" t="s">
        <v>229</v>
      </c>
      <c r="K41" s="507" t="s">
        <v>229</v>
      </c>
      <c r="L41" s="507" t="s">
        <v>229</v>
      </c>
      <c r="M41" s="507" t="s">
        <v>229</v>
      </c>
      <c r="N41" s="507" t="s">
        <v>229</v>
      </c>
      <c r="O41" s="643">
        <f t="shared" si="3"/>
        <v>10425</v>
      </c>
      <c r="P41" s="525"/>
      <c r="Q41" s="644">
        <f t="shared" si="6"/>
        <v>23395.8</v>
      </c>
    </row>
    <row r="42" spans="1:17" outlineLevel="1">
      <c r="A42" s="485">
        <v>1924</v>
      </c>
      <c r="B42" s="440">
        <v>15862</v>
      </c>
      <c r="C42" s="440">
        <v>111</v>
      </c>
      <c r="D42" s="642">
        <f t="shared" si="7"/>
        <v>15973</v>
      </c>
      <c r="E42" s="507" t="s">
        <v>229</v>
      </c>
      <c r="F42" s="507" t="s">
        <v>229</v>
      </c>
      <c r="G42" s="507" t="s">
        <v>229</v>
      </c>
      <c r="H42" s="507" t="s">
        <v>229</v>
      </c>
      <c r="I42" s="642">
        <f t="shared" si="2"/>
        <v>15973</v>
      </c>
      <c r="J42" s="507" t="s">
        <v>229</v>
      </c>
      <c r="K42" s="507" t="s">
        <v>229</v>
      </c>
      <c r="L42" s="507" t="s">
        <v>229</v>
      </c>
      <c r="M42" s="507" t="s">
        <v>229</v>
      </c>
      <c r="N42" s="507" t="s">
        <v>229</v>
      </c>
      <c r="O42" s="643">
        <f t="shared" si="3"/>
        <v>15973</v>
      </c>
      <c r="P42" s="525"/>
      <c r="Q42" s="644">
        <f t="shared" si="6"/>
        <v>23395.8</v>
      </c>
    </row>
    <row r="43" spans="1:17" outlineLevel="1">
      <c r="A43" s="485">
        <v>1925</v>
      </c>
      <c r="B43" s="440">
        <v>19728</v>
      </c>
      <c r="C43" s="440">
        <v>77</v>
      </c>
      <c r="D43" s="642">
        <f t="shared" si="7"/>
        <v>19805</v>
      </c>
      <c r="E43" s="507" t="s">
        <v>229</v>
      </c>
      <c r="F43" s="507" t="s">
        <v>229</v>
      </c>
      <c r="G43" s="507" t="s">
        <v>229</v>
      </c>
      <c r="H43" s="507" t="s">
        <v>229</v>
      </c>
      <c r="I43" s="642">
        <f t="shared" si="2"/>
        <v>19805</v>
      </c>
      <c r="J43" s="507" t="s">
        <v>229</v>
      </c>
      <c r="K43" s="507" t="s">
        <v>229</v>
      </c>
      <c r="L43" s="507" t="s">
        <v>229</v>
      </c>
      <c r="M43" s="507" t="s">
        <v>229</v>
      </c>
      <c r="N43" s="507" t="s">
        <v>229</v>
      </c>
      <c r="O43" s="643">
        <f t="shared" si="3"/>
        <v>19805</v>
      </c>
      <c r="P43" s="525"/>
      <c r="Q43" s="644">
        <f t="shared" si="6"/>
        <v>23395.8</v>
      </c>
    </row>
    <row r="44" spans="1:17" outlineLevel="1">
      <c r="A44" s="485">
        <v>1926</v>
      </c>
      <c r="B44" s="440">
        <v>21338</v>
      </c>
      <c r="C44" s="440">
        <v>76</v>
      </c>
      <c r="D44" s="642">
        <f t="shared" si="7"/>
        <v>21414</v>
      </c>
      <c r="E44" s="507" t="s">
        <v>229</v>
      </c>
      <c r="F44" s="507" t="s">
        <v>229</v>
      </c>
      <c r="G44" s="507" t="s">
        <v>229</v>
      </c>
      <c r="H44" s="507" t="s">
        <v>229</v>
      </c>
      <c r="I44" s="642">
        <f t="shared" si="2"/>
        <v>21414</v>
      </c>
      <c r="J44" s="507" t="s">
        <v>229</v>
      </c>
      <c r="K44" s="507" t="s">
        <v>229</v>
      </c>
      <c r="L44" s="507" t="s">
        <v>229</v>
      </c>
      <c r="M44" s="507" t="s">
        <v>229</v>
      </c>
      <c r="N44" s="507" t="s">
        <v>229</v>
      </c>
      <c r="O44" s="643">
        <f t="shared" si="3"/>
        <v>21414</v>
      </c>
      <c r="P44" s="525"/>
      <c r="Q44" s="644">
        <f t="shared" si="6"/>
        <v>23395.8</v>
      </c>
    </row>
    <row r="45" spans="1:17" outlineLevel="1">
      <c r="A45" s="485">
        <v>1927</v>
      </c>
      <c r="B45" s="440">
        <v>35598</v>
      </c>
      <c r="C45" s="536" t="s">
        <v>229</v>
      </c>
      <c r="D45" s="642">
        <f t="shared" si="7"/>
        <v>35598</v>
      </c>
      <c r="E45" s="507" t="s">
        <v>229</v>
      </c>
      <c r="F45" s="507" t="s">
        <v>229</v>
      </c>
      <c r="G45" s="507" t="s">
        <v>229</v>
      </c>
      <c r="H45" s="507" t="s">
        <v>229</v>
      </c>
      <c r="I45" s="642">
        <f t="shared" si="2"/>
        <v>35598</v>
      </c>
      <c r="J45" s="507" t="s">
        <v>229</v>
      </c>
      <c r="K45" s="507" t="s">
        <v>229</v>
      </c>
      <c r="L45" s="507" t="s">
        <v>229</v>
      </c>
      <c r="M45" s="507" t="s">
        <v>229</v>
      </c>
      <c r="N45" s="507" t="s">
        <v>229</v>
      </c>
      <c r="O45" s="643">
        <f t="shared" si="3"/>
        <v>35598</v>
      </c>
      <c r="P45" s="525"/>
      <c r="Q45" s="644">
        <f t="shared" si="6"/>
        <v>23395.8</v>
      </c>
    </row>
    <row r="46" spans="1:17" outlineLevel="1">
      <c r="A46" s="485">
        <v>1928</v>
      </c>
      <c r="B46" s="440">
        <v>42144</v>
      </c>
      <c r="C46" s="536" t="s">
        <v>229</v>
      </c>
      <c r="D46" s="642">
        <f t="shared" si="7"/>
        <v>42144</v>
      </c>
      <c r="E46" s="507" t="s">
        <v>229</v>
      </c>
      <c r="F46" s="507" t="s">
        <v>229</v>
      </c>
      <c r="G46" s="507" t="s">
        <v>229</v>
      </c>
      <c r="H46" s="507" t="s">
        <v>229</v>
      </c>
      <c r="I46" s="642">
        <f t="shared" si="2"/>
        <v>42144</v>
      </c>
      <c r="J46" s="507" t="s">
        <v>229</v>
      </c>
      <c r="K46" s="507" t="s">
        <v>229</v>
      </c>
      <c r="L46" s="507" t="s">
        <v>229</v>
      </c>
      <c r="M46" s="507" t="s">
        <v>229</v>
      </c>
      <c r="N46" s="507" t="s">
        <v>229</v>
      </c>
      <c r="O46" s="643">
        <f t="shared" si="3"/>
        <v>42144</v>
      </c>
      <c r="P46" s="525"/>
      <c r="Q46" s="644">
        <f t="shared" si="6"/>
        <v>23395.8</v>
      </c>
    </row>
    <row r="47" spans="1:17" outlineLevel="1">
      <c r="A47" s="485">
        <v>1929</v>
      </c>
      <c r="B47" s="440">
        <v>43866</v>
      </c>
      <c r="C47" s="536" t="s">
        <v>229</v>
      </c>
      <c r="D47" s="642">
        <f t="shared" si="7"/>
        <v>43866</v>
      </c>
      <c r="E47" s="507" t="s">
        <v>229</v>
      </c>
      <c r="F47" s="507" t="s">
        <v>229</v>
      </c>
      <c r="G47" s="507" t="s">
        <v>229</v>
      </c>
      <c r="H47" s="507" t="s">
        <v>229</v>
      </c>
      <c r="I47" s="642">
        <f t="shared" si="2"/>
        <v>43866</v>
      </c>
      <c r="J47" s="507" t="s">
        <v>229</v>
      </c>
      <c r="K47" s="507" t="s">
        <v>229</v>
      </c>
      <c r="L47" s="507" t="s">
        <v>229</v>
      </c>
      <c r="M47" s="507" t="s">
        <v>229</v>
      </c>
      <c r="N47" s="507" t="s">
        <v>229</v>
      </c>
      <c r="O47" s="643">
        <f t="shared" si="3"/>
        <v>43866</v>
      </c>
      <c r="P47" s="525"/>
      <c r="Q47" s="644">
        <f t="shared" si="6"/>
        <v>23395.8</v>
      </c>
    </row>
    <row r="48" spans="1:17" outlineLevel="1">
      <c r="A48" s="485">
        <v>1930</v>
      </c>
      <c r="B48" s="440">
        <v>23181</v>
      </c>
      <c r="C48" s="536" t="s">
        <v>229</v>
      </c>
      <c r="D48" s="642">
        <f t="shared" si="7"/>
        <v>23181</v>
      </c>
      <c r="E48" s="507" t="s">
        <v>229</v>
      </c>
      <c r="F48" s="507" t="s">
        <v>229</v>
      </c>
      <c r="G48" s="507" t="s">
        <v>229</v>
      </c>
      <c r="H48" s="507" t="s">
        <v>229</v>
      </c>
      <c r="I48" s="642">
        <f t="shared" si="2"/>
        <v>23181</v>
      </c>
      <c r="J48" s="507" t="s">
        <v>229</v>
      </c>
      <c r="K48" s="507" t="s">
        <v>229</v>
      </c>
      <c r="L48" s="507" t="s">
        <v>229</v>
      </c>
      <c r="M48" s="507" t="s">
        <v>229</v>
      </c>
      <c r="N48" s="507" t="s">
        <v>229</v>
      </c>
      <c r="O48" s="643">
        <f t="shared" si="3"/>
        <v>23181</v>
      </c>
      <c r="P48" s="525"/>
      <c r="Q48" s="644">
        <f t="shared" ref="Q48:Q57" si="8">AVERAGE(D$48:D$57)</f>
        <v>14733</v>
      </c>
    </row>
    <row r="49" spans="1:17" outlineLevel="1">
      <c r="A49" s="485">
        <v>1931</v>
      </c>
      <c r="B49" s="440">
        <v>35268</v>
      </c>
      <c r="C49" s="536" t="s">
        <v>229</v>
      </c>
      <c r="D49" s="642">
        <f t="shared" si="7"/>
        <v>35268</v>
      </c>
      <c r="E49" s="507" t="s">
        <v>229</v>
      </c>
      <c r="F49" s="507" t="s">
        <v>229</v>
      </c>
      <c r="G49" s="507" t="s">
        <v>229</v>
      </c>
      <c r="H49" s="507" t="s">
        <v>229</v>
      </c>
      <c r="I49" s="642">
        <f t="shared" si="2"/>
        <v>35268</v>
      </c>
      <c r="J49" s="507" t="s">
        <v>229</v>
      </c>
      <c r="K49" s="507" t="s">
        <v>229</v>
      </c>
      <c r="L49" s="507" t="s">
        <v>229</v>
      </c>
      <c r="M49" s="507" t="s">
        <v>229</v>
      </c>
      <c r="N49" s="507" t="s">
        <v>229</v>
      </c>
      <c r="O49" s="643">
        <f t="shared" si="3"/>
        <v>35268</v>
      </c>
      <c r="P49" s="525"/>
      <c r="Q49" s="644">
        <f t="shared" si="8"/>
        <v>14733</v>
      </c>
    </row>
    <row r="50" spans="1:17" outlineLevel="1">
      <c r="A50" s="485">
        <v>1932</v>
      </c>
      <c r="B50" s="440">
        <v>29403</v>
      </c>
      <c r="C50" s="536" t="s">
        <v>229</v>
      </c>
      <c r="D50" s="642">
        <f t="shared" si="7"/>
        <v>29403</v>
      </c>
      <c r="E50" s="507" t="s">
        <v>229</v>
      </c>
      <c r="F50" s="507" t="s">
        <v>229</v>
      </c>
      <c r="G50" s="507" t="s">
        <v>229</v>
      </c>
      <c r="H50" s="507" t="s">
        <v>229</v>
      </c>
      <c r="I50" s="642">
        <f t="shared" si="2"/>
        <v>29403</v>
      </c>
      <c r="J50" s="507" t="s">
        <v>229</v>
      </c>
      <c r="K50" s="507" t="s">
        <v>229</v>
      </c>
      <c r="L50" s="507" t="s">
        <v>229</v>
      </c>
      <c r="M50" s="507" t="s">
        <v>229</v>
      </c>
      <c r="N50" s="507" t="s">
        <v>229</v>
      </c>
      <c r="O50" s="643">
        <f t="shared" si="3"/>
        <v>29403</v>
      </c>
      <c r="P50" s="525"/>
      <c r="Q50" s="644">
        <f t="shared" si="8"/>
        <v>14733</v>
      </c>
    </row>
    <row r="51" spans="1:17" outlineLevel="1">
      <c r="A51" s="485">
        <v>1933</v>
      </c>
      <c r="B51" s="440">
        <v>14073</v>
      </c>
      <c r="C51" s="536" t="s">
        <v>229</v>
      </c>
      <c r="D51" s="642">
        <f t="shared" si="7"/>
        <v>14073</v>
      </c>
      <c r="E51" s="507" t="s">
        <v>229</v>
      </c>
      <c r="F51" s="507" t="s">
        <v>229</v>
      </c>
      <c r="G51" s="507" t="s">
        <v>229</v>
      </c>
      <c r="H51" s="507" t="s">
        <v>229</v>
      </c>
      <c r="I51" s="642">
        <f t="shared" si="2"/>
        <v>14073</v>
      </c>
      <c r="J51" s="507" t="s">
        <v>229</v>
      </c>
      <c r="K51" s="507" t="s">
        <v>229</v>
      </c>
      <c r="L51" s="507" t="s">
        <v>229</v>
      </c>
      <c r="M51" s="507" t="s">
        <v>229</v>
      </c>
      <c r="N51" s="507" t="s">
        <v>229</v>
      </c>
      <c r="O51" s="643">
        <f t="shared" si="3"/>
        <v>14073</v>
      </c>
      <c r="P51" s="525"/>
      <c r="Q51" s="644">
        <f t="shared" si="8"/>
        <v>14733</v>
      </c>
    </row>
    <row r="52" spans="1:17" outlineLevel="1">
      <c r="A52" s="485">
        <v>1934</v>
      </c>
      <c r="B52" s="440">
        <v>10407</v>
      </c>
      <c r="C52" s="536" t="s">
        <v>229</v>
      </c>
      <c r="D52" s="642">
        <f t="shared" si="7"/>
        <v>10407</v>
      </c>
      <c r="E52" s="507" t="s">
        <v>229</v>
      </c>
      <c r="F52" s="507" t="s">
        <v>229</v>
      </c>
      <c r="G52" s="507" t="s">
        <v>229</v>
      </c>
      <c r="H52" s="507" t="s">
        <v>229</v>
      </c>
      <c r="I52" s="642">
        <f t="shared" si="2"/>
        <v>10407</v>
      </c>
      <c r="J52" s="507" t="s">
        <v>229</v>
      </c>
      <c r="K52" s="507" t="s">
        <v>229</v>
      </c>
      <c r="L52" s="507" t="s">
        <v>229</v>
      </c>
      <c r="M52" s="507" t="s">
        <v>229</v>
      </c>
      <c r="N52" s="507" t="s">
        <v>229</v>
      </c>
      <c r="O52" s="643">
        <f t="shared" si="3"/>
        <v>10407</v>
      </c>
      <c r="P52" s="525"/>
      <c r="Q52" s="644">
        <f t="shared" si="8"/>
        <v>14733</v>
      </c>
    </row>
    <row r="53" spans="1:17" outlineLevel="1">
      <c r="A53" s="485">
        <v>1935</v>
      </c>
      <c r="B53" s="440">
        <v>2352</v>
      </c>
      <c r="C53" s="536" t="s">
        <v>229</v>
      </c>
      <c r="D53" s="642">
        <f t="shared" si="7"/>
        <v>2352</v>
      </c>
      <c r="E53" s="507" t="s">
        <v>229</v>
      </c>
      <c r="F53" s="507" t="s">
        <v>229</v>
      </c>
      <c r="G53" s="507" t="s">
        <v>229</v>
      </c>
      <c r="H53" s="507" t="s">
        <v>229</v>
      </c>
      <c r="I53" s="642">
        <f t="shared" si="2"/>
        <v>2352</v>
      </c>
      <c r="J53" s="507" t="s">
        <v>229</v>
      </c>
      <c r="K53" s="507" t="s">
        <v>229</v>
      </c>
      <c r="L53" s="507" t="s">
        <v>229</v>
      </c>
      <c r="M53" s="507" t="s">
        <v>229</v>
      </c>
      <c r="N53" s="507" t="s">
        <v>229</v>
      </c>
      <c r="O53" s="643">
        <f t="shared" si="3"/>
        <v>2352</v>
      </c>
      <c r="P53" s="525"/>
      <c r="Q53" s="644">
        <f t="shared" si="8"/>
        <v>14733</v>
      </c>
    </row>
    <row r="54" spans="1:17" outlineLevel="1">
      <c r="A54" s="485">
        <v>1936</v>
      </c>
      <c r="B54" s="440">
        <v>6939</v>
      </c>
      <c r="C54" s="536" t="s">
        <v>229</v>
      </c>
      <c r="D54" s="642">
        <f t="shared" si="7"/>
        <v>6939</v>
      </c>
      <c r="E54" s="507" t="s">
        <v>229</v>
      </c>
      <c r="F54" s="507" t="s">
        <v>229</v>
      </c>
      <c r="G54" s="507" t="s">
        <v>229</v>
      </c>
      <c r="H54" s="507" t="s">
        <v>229</v>
      </c>
      <c r="I54" s="642">
        <f t="shared" si="2"/>
        <v>6939</v>
      </c>
      <c r="J54" s="507" t="s">
        <v>229</v>
      </c>
      <c r="K54" s="507" t="s">
        <v>229</v>
      </c>
      <c r="L54" s="507" t="s">
        <v>229</v>
      </c>
      <c r="M54" s="507" t="s">
        <v>229</v>
      </c>
      <c r="N54" s="507" t="s">
        <v>229</v>
      </c>
      <c r="O54" s="643">
        <f t="shared" si="3"/>
        <v>6939</v>
      </c>
      <c r="P54" s="525"/>
      <c r="Q54" s="644">
        <f t="shared" si="8"/>
        <v>14733</v>
      </c>
    </row>
    <row r="55" spans="1:17" outlineLevel="1">
      <c r="A55" s="485">
        <v>1937</v>
      </c>
      <c r="B55" s="440">
        <v>11538</v>
      </c>
      <c r="C55" s="536" t="s">
        <v>229</v>
      </c>
      <c r="D55" s="642">
        <f t="shared" si="7"/>
        <v>11538</v>
      </c>
      <c r="E55" s="507" t="s">
        <v>229</v>
      </c>
      <c r="F55" s="507" t="s">
        <v>229</v>
      </c>
      <c r="G55" s="507" t="s">
        <v>229</v>
      </c>
      <c r="H55" s="507" t="s">
        <v>229</v>
      </c>
      <c r="I55" s="642">
        <f t="shared" si="2"/>
        <v>11538</v>
      </c>
      <c r="J55" s="507" t="s">
        <v>229</v>
      </c>
      <c r="K55" s="507" t="s">
        <v>229</v>
      </c>
      <c r="L55" s="507" t="s">
        <v>229</v>
      </c>
      <c r="M55" s="507" t="s">
        <v>229</v>
      </c>
      <c r="N55" s="507" t="s">
        <v>229</v>
      </c>
      <c r="O55" s="643">
        <f t="shared" si="3"/>
        <v>11538</v>
      </c>
      <c r="P55" s="525"/>
      <c r="Q55" s="644">
        <f t="shared" si="8"/>
        <v>14733</v>
      </c>
    </row>
    <row r="56" spans="1:17" outlineLevel="1">
      <c r="A56" s="485">
        <v>1938</v>
      </c>
      <c r="B56" s="440">
        <v>7614</v>
      </c>
      <c r="C56" s="536" t="s">
        <v>229</v>
      </c>
      <c r="D56" s="642">
        <f t="shared" si="7"/>
        <v>7614</v>
      </c>
      <c r="E56" s="507" t="s">
        <v>229</v>
      </c>
      <c r="F56" s="507" t="s">
        <v>229</v>
      </c>
      <c r="G56" s="507" t="s">
        <v>229</v>
      </c>
      <c r="H56" s="507" t="s">
        <v>229</v>
      </c>
      <c r="I56" s="642">
        <f t="shared" si="2"/>
        <v>7614</v>
      </c>
      <c r="J56" s="507" t="s">
        <v>229</v>
      </c>
      <c r="K56" s="507" t="s">
        <v>229</v>
      </c>
      <c r="L56" s="507" t="s">
        <v>229</v>
      </c>
      <c r="M56" s="507" t="s">
        <v>229</v>
      </c>
      <c r="N56" s="507" t="s">
        <v>229</v>
      </c>
      <c r="O56" s="643">
        <f t="shared" si="3"/>
        <v>7614</v>
      </c>
      <c r="P56" s="525"/>
      <c r="Q56" s="644">
        <f t="shared" si="8"/>
        <v>14733</v>
      </c>
    </row>
    <row r="57" spans="1:17" outlineLevel="1">
      <c r="A57" s="485">
        <v>1939</v>
      </c>
      <c r="B57" s="440">
        <v>6555</v>
      </c>
      <c r="C57" s="536" t="s">
        <v>229</v>
      </c>
      <c r="D57" s="642">
        <f t="shared" si="7"/>
        <v>6555</v>
      </c>
      <c r="E57" s="507" t="s">
        <v>229</v>
      </c>
      <c r="F57" s="507" t="s">
        <v>229</v>
      </c>
      <c r="G57" s="507" t="s">
        <v>229</v>
      </c>
      <c r="H57" s="507" t="s">
        <v>229</v>
      </c>
      <c r="I57" s="642">
        <f t="shared" si="2"/>
        <v>6555</v>
      </c>
      <c r="J57" s="507" t="s">
        <v>229</v>
      </c>
      <c r="K57" s="507" t="s">
        <v>229</v>
      </c>
      <c r="L57" s="507" t="s">
        <v>229</v>
      </c>
      <c r="M57" s="507" t="s">
        <v>229</v>
      </c>
      <c r="N57" s="507" t="s">
        <v>229</v>
      </c>
      <c r="O57" s="643">
        <f t="shared" si="3"/>
        <v>6555</v>
      </c>
      <c r="P57" s="525"/>
      <c r="Q57" s="644">
        <f t="shared" si="8"/>
        <v>14733</v>
      </c>
    </row>
    <row r="58" spans="1:17" outlineLevel="1">
      <c r="A58" s="485">
        <v>1940</v>
      </c>
      <c r="B58" s="440">
        <v>3876</v>
      </c>
      <c r="C58" s="536" t="s">
        <v>229</v>
      </c>
      <c r="D58" s="642">
        <f t="shared" si="7"/>
        <v>3876</v>
      </c>
      <c r="E58" s="507" t="s">
        <v>229</v>
      </c>
      <c r="F58" s="507" t="s">
        <v>229</v>
      </c>
      <c r="G58" s="507" t="s">
        <v>229</v>
      </c>
      <c r="H58" s="507" t="s">
        <v>229</v>
      </c>
      <c r="I58" s="642">
        <f t="shared" si="2"/>
        <v>3876</v>
      </c>
      <c r="J58" s="507" t="s">
        <v>229</v>
      </c>
      <c r="K58" s="507" t="s">
        <v>229</v>
      </c>
      <c r="L58" s="507" t="s">
        <v>229</v>
      </c>
      <c r="M58" s="507" t="s">
        <v>229</v>
      </c>
      <c r="N58" s="507" t="s">
        <v>229</v>
      </c>
      <c r="O58" s="643">
        <f t="shared" si="3"/>
        <v>3876</v>
      </c>
      <c r="P58" s="525"/>
      <c r="Q58" s="644">
        <f t="shared" ref="Q58:Q67" si="9">AVERAGE(D$58:D$67)</f>
        <v>12141.2</v>
      </c>
    </row>
    <row r="59" spans="1:17" outlineLevel="1">
      <c r="A59" s="485">
        <v>1941</v>
      </c>
      <c r="B59" s="440">
        <v>9225</v>
      </c>
      <c r="C59" s="536" t="s">
        <v>229</v>
      </c>
      <c r="D59" s="642">
        <f t="shared" si="7"/>
        <v>9225</v>
      </c>
      <c r="E59" s="507" t="s">
        <v>229</v>
      </c>
      <c r="F59" s="507" t="s">
        <v>229</v>
      </c>
      <c r="G59" s="507" t="s">
        <v>229</v>
      </c>
      <c r="H59" s="507" t="s">
        <v>229</v>
      </c>
      <c r="I59" s="642">
        <f t="shared" si="2"/>
        <v>9225</v>
      </c>
      <c r="J59" s="507" t="s">
        <v>229</v>
      </c>
      <c r="K59" s="507" t="s">
        <v>229</v>
      </c>
      <c r="L59" s="507" t="s">
        <v>229</v>
      </c>
      <c r="M59" s="507" t="s">
        <v>229</v>
      </c>
      <c r="N59" s="507" t="s">
        <v>229</v>
      </c>
      <c r="O59" s="643">
        <f t="shared" si="3"/>
        <v>9225</v>
      </c>
      <c r="P59" s="525"/>
      <c r="Q59" s="644">
        <f t="shared" si="9"/>
        <v>12141.2</v>
      </c>
    </row>
    <row r="60" spans="1:17" outlineLevel="1">
      <c r="A60" s="485">
        <v>1942</v>
      </c>
      <c r="B60" s="440">
        <v>15762</v>
      </c>
      <c r="C60" s="536" t="s">
        <v>229</v>
      </c>
      <c r="D60" s="642">
        <f t="shared" si="7"/>
        <v>15762</v>
      </c>
      <c r="E60" s="507" t="s">
        <v>229</v>
      </c>
      <c r="F60" s="507" t="s">
        <v>229</v>
      </c>
      <c r="G60" s="507" t="s">
        <v>229</v>
      </c>
      <c r="H60" s="507" t="s">
        <v>229</v>
      </c>
      <c r="I60" s="642">
        <f t="shared" si="2"/>
        <v>15762</v>
      </c>
      <c r="J60" s="507" t="s">
        <v>229</v>
      </c>
      <c r="K60" s="507" t="s">
        <v>229</v>
      </c>
      <c r="L60" s="507" t="s">
        <v>229</v>
      </c>
      <c r="M60" s="507" t="s">
        <v>229</v>
      </c>
      <c r="N60" s="507" t="s">
        <v>229</v>
      </c>
      <c r="O60" s="643">
        <f t="shared" si="3"/>
        <v>15762</v>
      </c>
      <c r="P60" s="525"/>
      <c r="Q60" s="644">
        <f t="shared" si="9"/>
        <v>12141.2</v>
      </c>
    </row>
    <row r="61" spans="1:17" outlineLevel="1">
      <c r="A61" s="485">
        <v>1943</v>
      </c>
      <c r="B61" s="440">
        <v>14670</v>
      </c>
      <c r="C61" s="536" t="s">
        <v>229</v>
      </c>
      <c r="D61" s="642">
        <f t="shared" si="7"/>
        <v>14670</v>
      </c>
      <c r="E61" s="507" t="s">
        <v>229</v>
      </c>
      <c r="F61" s="507" t="s">
        <v>229</v>
      </c>
      <c r="G61" s="507" t="s">
        <v>229</v>
      </c>
      <c r="H61" s="507" t="s">
        <v>229</v>
      </c>
      <c r="I61" s="642">
        <f t="shared" si="2"/>
        <v>14670</v>
      </c>
      <c r="J61" s="507" t="s">
        <v>229</v>
      </c>
      <c r="K61" s="507" t="s">
        <v>229</v>
      </c>
      <c r="L61" s="507" t="s">
        <v>229</v>
      </c>
      <c r="M61" s="507" t="s">
        <v>229</v>
      </c>
      <c r="N61" s="507" t="s">
        <v>229</v>
      </c>
      <c r="O61" s="643">
        <f t="shared" si="3"/>
        <v>14670</v>
      </c>
      <c r="P61" s="525"/>
      <c r="Q61" s="644">
        <f t="shared" si="9"/>
        <v>12141.2</v>
      </c>
    </row>
    <row r="62" spans="1:17" outlineLevel="1">
      <c r="A62" s="485">
        <v>1944</v>
      </c>
      <c r="B62" s="440">
        <v>7638</v>
      </c>
      <c r="C62" s="536" t="s">
        <v>229</v>
      </c>
      <c r="D62" s="642">
        <f t="shared" si="7"/>
        <v>7638</v>
      </c>
      <c r="E62" s="507" t="s">
        <v>229</v>
      </c>
      <c r="F62" s="507" t="s">
        <v>229</v>
      </c>
      <c r="G62" s="507" t="s">
        <v>229</v>
      </c>
      <c r="H62" s="507" t="s">
        <v>229</v>
      </c>
      <c r="I62" s="642">
        <f t="shared" si="2"/>
        <v>7638</v>
      </c>
      <c r="J62" s="507" t="s">
        <v>229</v>
      </c>
      <c r="K62" s="507" t="s">
        <v>229</v>
      </c>
      <c r="L62" s="507" t="s">
        <v>229</v>
      </c>
      <c r="M62" s="507" t="s">
        <v>229</v>
      </c>
      <c r="N62" s="507" t="s">
        <v>229</v>
      </c>
      <c r="O62" s="643">
        <f t="shared" si="3"/>
        <v>7638</v>
      </c>
      <c r="P62" s="525"/>
      <c r="Q62" s="644">
        <f t="shared" si="9"/>
        <v>12141.2</v>
      </c>
    </row>
    <row r="63" spans="1:17" outlineLevel="1">
      <c r="A63" s="485">
        <v>1945</v>
      </c>
      <c r="B63" s="440">
        <v>18063</v>
      </c>
      <c r="C63" s="536" t="s">
        <v>229</v>
      </c>
      <c r="D63" s="642">
        <f t="shared" si="7"/>
        <v>18063</v>
      </c>
      <c r="E63" s="507" t="s">
        <v>229</v>
      </c>
      <c r="F63" s="507" t="s">
        <v>229</v>
      </c>
      <c r="G63" s="507" t="s">
        <v>229</v>
      </c>
      <c r="H63" s="507" t="s">
        <v>229</v>
      </c>
      <c r="I63" s="642">
        <f t="shared" si="2"/>
        <v>18063</v>
      </c>
      <c r="J63" s="507" t="s">
        <v>229</v>
      </c>
      <c r="K63" s="507" t="s">
        <v>229</v>
      </c>
      <c r="L63" s="507" t="s">
        <v>229</v>
      </c>
      <c r="M63" s="507" t="s">
        <v>229</v>
      </c>
      <c r="N63" s="507" t="s">
        <v>229</v>
      </c>
      <c r="O63" s="643">
        <f t="shared" si="3"/>
        <v>18063</v>
      </c>
      <c r="P63" s="525"/>
      <c r="Q63" s="644">
        <f t="shared" si="9"/>
        <v>12141.2</v>
      </c>
    </row>
    <row r="64" spans="1:17" outlineLevel="1">
      <c r="A64" s="485">
        <v>1946</v>
      </c>
      <c r="B64" s="440">
        <v>23329</v>
      </c>
      <c r="C64" s="536" t="s">
        <v>229</v>
      </c>
      <c r="D64" s="642">
        <f t="shared" si="7"/>
        <v>23329</v>
      </c>
      <c r="E64" s="507" t="s">
        <v>229</v>
      </c>
      <c r="F64" s="507" t="s">
        <v>229</v>
      </c>
      <c r="G64" s="507" t="s">
        <v>229</v>
      </c>
      <c r="H64" s="507" t="s">
        <v>229</v>
      </c>
      <c r="I64" s="642">
        <f t="shared" si="2"/>
        <v>23329</v>
      </c>
      <c r="J64" s="507" t="s">
        <v>229</v>
      </c>
      <c r="K64" s="507" t="s">
        <v>229</v>
      </c>
      <c r="L64" s="507" t="s">
        <v>229</v>
      </c>
      <c r="M64" s="507" t="s">
        <v>229</v>
      </c>
      <c r="N64" s="507" t="s">
        <v>229</v>
      </c>
      <c r="O64" s="643">
        <f t="shared" si="3"/>
        <v>23329</v>
      </c>
      <c r="P64" s="525"/>
      <c r="Q64" s="644">
        <f t="shared" si="9"/>
        <v>12141.2</v>
      </c>
    </row>
    <row r="65" spans="1:19" outlineLevel="1">
      <c r="A65" s="485">
        <v>1947</v>
      </c>
      <c r="B65" s="440">
        <v>15182</v>
      </c>
      <c r="C65" s="536" t="s">
        <v>229</v>
      </c>
      <c r="D65" s="642">
        <f t="shared" si="7"/>
        <v>15182</v>
      </c>
      <c r="E65" s="507" t="s">
        <v>229</v>
      </c>
      <c r="F65" s="507" t="s">
        <v>229</v>
      </c>
      <c r="G65" s="507" t="s">
        <v>229</v>
      </c>
      <c r="H65" s="507" t="s">
        <v>229</v>
      </c>
      <c r="I65" s="642">
        <f t="shared" si="2"/>
        <v>15182</v>
      </c>
      <c r="J65" s="507" t="s">
        <v>229</v>
      </c>
      <c r="K65" s="507" t="s">
        <v>229</v>
      </c>
      <c r="L65" s="507" t="s">
        <v>229</v>
      </c>
      <c r="M65" s="507" t="s">
        <v>229</v>
      </c>
      <c r="N65" s="507" t="s">
        <v>229</v>
      </c>
      <c r="O65" s="643">
        <f t="shared" si="3"/>
        <v>15182</v>
      </c>
      <c r="P65" s="525"/>
      <c r="Q65" s="644">
        <f t="shared" si="9"/>
        <v>12141.2</v>
      </c>
    </row>
    <row r="66" spans="1:19" outlineLevel="1">
      <c r="A66" s="485">
        <v>1948</v>
      </c>
      <c r="B66" s="440">
        <v>4367</v>
      </c>
      <c r="C66" s="536" t="s">
        <v>229</v>
      </c>
      <c r="D66" s="642">
        <f t="shared" si="7"/>
        <v>4367</v>
      </c>
      <c r="E66" s="507" t="s">
        <v>229</v>
      </c>
      <c r="F66" s="507" t="s">
        <v>229</v>
      </c>
      <c r="G66" s="507" t="s">
        <v>229</v>
      </c>
      <c r="H66" s="507" t="s">
        <v>229</v>
      </c>
      <c r="I66" s="642">
        <f t="shared" si="2"/>
        <v>4367</v>
      </c>
      <c r="J66" s="507" t="s">
        <v>229</v>
      </c>
      <c r="K66" s="507" t="s">
        <v>229</v>
      </c>
      <c r="L66" s="507" t="s">
        <v>229</v>
      </c>
      <c r="M66" s="507" t="s">
        <v>229</v>
      </c>
      <c r="N66" s="507" t="s">
        <v>229</v>
      </c>
      <c r="O66" s="643">
        <f t="shared" si="3"/>
        <v>4367</v>
      </c>
      <c r="P66" s="525"/>
      <c r="Q66" s="644">
        <f t="shared" si="9"/>
        <v>12141.2</v>
      </c>
    </row>
    <row r="67" spans="1:19" outlineLevel="1">
      <c r="A67" s="485">
        <v>1949</v>
      </c>
      <c r="B67" s="440">
        <v>9300</v>
      </c>
      <c r="C67" s="536" t="s">
        <v>229</v>
      </c>
      <c r="D67" s="642">
        <f t="shared" si="7"/>
        <v>9300</v>
      </c>
      <c r="E67" s="507" t="s">
        <v>229</v>
      </c>
      <c r="F67" s="507" t="s">
        <v>229</v>
      </c>
      <c r="G67" s="507" t="s">
        <v>229</v>
      </c>
      <c r="H67" s="507" t="s">
        <v>229</v>
      </c>
      <c r="I67" s="642">
        <f t="shared" si="2"/>
        <v>9300</v>
      </c>
      <c r="J67" s="507" t="s">
        <v>229</v>
      </c>
      <c r="K67" s="507" t="s">
        <v>229</v>
      </c>
      <c r="L67" s="507" t="s">
        <v>229</v>
      </c>
      <c r="M67" s="507" t="s">
        <v>229</v>
      </c>
      <c r="N67" s="507" t="s">
        <v>229</v>
      </c>
      <c r="O67" s="643">
        <f t="shared" si="3"/>
        <v>9300</v>
      </c>
      <c r="P67" s="525"/>
      <c r="Q67" s="644">
        <f t="shared" si="9"/>
        <v>12141.2</v>
      </c>
    </row>
    <row r="68" spans="1:19" outlineLevel="1">
      <c r="A68" s="485">
        <v>1950</v>
      </c>
      <c r="B68" s="440">
        <v>17777</v>
      </c>
      <c r="C68" s="536" t="s">
        <v>229</v>
      </c>
      <c r="D68" s="642">
        <f t="shared" si="7"/>
        <v>17777</v>
      </c>
      <c r="E68" s="507" t="s">
        <v>229</v>
      </c>
      <c r="F68" s="507" t="s">
        <v>229</v>
      </c>
      <c r="G68" s="507" t="s">
        <v>229</v>
      </c>
      <c r="H68" s="507" t="s">
        <v>229</v>
      </c>
      <c r="I68" s="642">
        <f t="shared" si="2"/>
        <v>17777</v>
      </c>
      <c r="J68" s="507" t="s">
        <v>229</v>
      </c>
      <c r="K68" s="507" t="s">
        <v>229</v>
      </c>
      <c r="L68" s="507" t="s">
        <v>229</v>
      </c>
      <c r="M68" s="507" t="s">
        <v>229</v>
      </c>
      <c r="N68" s="507" t="s">
        <v>229</v>
      </c>
      <c r="O68" s="643">
        <f t="shared" si="3"/>
        <v>17777</v>
      </c>
      <c r="P68" s="525"/>
      <c r="Q68" s="644">
        <f t="shared" ref="Q68:Q77" si="10">AVERAGE(D$68:D$77)</f>
        <v>15017.4</v>
      </c>
    </row>
    <row r="69" spans="1:19" outlineLevel="1">
      <c r="A69" s="485">
        <v>1951</v>
      </c>
      <c r="B69" s="440">
        <v>17439</v>
      </c>
      <c r="C69" s="440">
        <v>34</v>
      </c>
      <c r="D69" s="642">
        <f t="shared" si="7"/>
        <v>17473</v>
      </c>
      <c r="E69" s="507" t="s">
        <v>229</v>
      </c>
      <c r="F69" s="507" t="s">
        <v>229</v>
      </c>
      <c r="G69" s="507" t="s">
        <v>229</v>
      </c>
      <c r="H69" s="507" t="s">
        <v>229</v>
      </c>
      <c r="I69" s="642">
        <f t="shared" si="2"/>
        <v>17473</v>
      </c>
      <c r="J69" s="507" t="s">
        <v>229</v>
      </c>
      <c r="K69" s="507" t="s">
        <v>229</v>
      </c>
      <c r="L69" s="507" t="s">
        <v>229</v>
      </c>
      <c r="M69" s="507" t="s">
        <v>229</v>
      </c>
      <c r="N69" s="507" t="s">
        <v>229</v>
      </c>
      <c r="O69" s="643">
        <f t="shared" si="3"/>
        <v>17473</v>
      </c>
      <c r="P69" s="525"/>
      <c r="Q69" s="644">
        <f t="shared" si="10"/>
        <v>15017.4</v>
      </c>
    </row>
    <row r="70" spans="1:19" outlineLevel="1">
      <c r="A70" s="485">
        <v>1952</v>
      </c>
      <c r="B70" s="440">
        <v>29355</v>
      </c>
      <c r="C70" s="536" t="s">
        <v>229</v>
      </c>
      <c r="D70" s="642">
        <f t="shared" si="7"/>
        <v>29355</v>
      </c>
      <c r="E70" s="507" t="s">
        <v>229</v>
      </c>
      <c r="F70" s="507" t="s">
        <v>229</v>
      </c>
      <c r="G70" s="507" t="s">
        <v>229</v>
      </c>
      <c r="H70" s="507" t="s">
        <v>229</v>
      </c>
      <c r="I70" s="642">
        <f t="shared" si="2"/>
        <v>29355</v>
      </c>
      <c r="J70" s="507" t="s">
        <v>229</v>
      </c>
      <c r="K70" s="535">
        <v>535</v>
      </c>
      <c r="L70" s="507" t="s">
        <v>229</v>
      </c>
      <c r="M70" s="516" t="s">
        <v>229</v>
      </c>
      <c r="N70" s="507" t="s">
        <v>229</v>
      </c>
      <c r="O70" s="643">
        <f t="shared" si="3"/>
        <v>29890</v>
      </c>
      <c r="P70" s="525"/>
      <c r="Q70" s="644">
        <f t="shared" si="10"/>
        <v>15017.4</v>
      </c>
    </row>
    <row r="71" spans="1:19" outlineLevel="1">
      <c r="A71" s="485">
        <v>1953</v>
      </c>
      <c r="B71" s="440">
        <v>12198</v>
      </c>
      <c r="C71" s="440">
        <v>26</v>
      </c>
      <c r="D71" s="642">
        <f t="shared" si="7"/>
        <v>12224</v>
      </c>
      <c r="E71" s="507" t="s">
        <v>229</v>
      </c>
      <c r="F71" s="507" t="s">
        <v>229</v>
      </c>
      <c r="G71" s="507" t="s">
        <v>229</v>
      </c>
      <c r="H71" s="507" t="s">
        <v>229</v>
      </c>
      <c r="I71" s="642">
        <f t="shared" si="2"/>
        <v>12224</v>
      </c>
      <c r="J71" s="507" t="s">
        <v>229</v>
      </c>
      <c r="K71" s="533"/>
      <c r="L71" s="507" t="s">
        <v>229</v>
      </c>
      <c r="M71" s="516" t="s">
        <v>229</v>
      </c>
      <c r="N71" s="507" t="s">
        <v>229</v>
      </c>
      <c r="O71" s="643">
        <f t="shared" si="3"/>
        <v>12224</v>
      </c>
      <c r="P71" s="525"/>
      <c r="Q71" s="644">
        <f t="shared" si="10"/>
        <v>15017.4</v>
      </c>
    </row>
    <row r="72" spans="1:19" outlineLevel="1">
      <c r="A72" s="485">
        <v>1954</v>
      </c>
      <c r="B72" s="440">
        <v>15764</v>
      </c>
      <c r="C72" s="536" t="s">
        <v>229</v>
      </c>
      <c r="D72" s="642">
        <f t="shared" ref="D72:D103" si="11">SUM(B72:C72)</f>
        <v>15764</v>
      </c>
      <c r="E72" s="507" t="s">
        <v>229</v>
      </c>
      <c r="F72" s="507" t="s">
        <v>229</v>
      </c>
      <c r="G72" s="507" t="s">
        <v>229</v>
      </c>
      <c r="H72" s="507" t="s">
        <v>229</v>
      </c>
      <c r="I72" s="642">
        <f t="shared" si="2"/>
        <v>15764</v>
      </c>
      <c r="J72" s="507" t="s">
        <v>229</v>
      </c>
      <c r="K72" s="535">
        <v>88</v>
      </c>
      <c r="L72" s="507" t="s">
        <v>229</v>
      </c>
      <c r="M72" s="516" t="s">
        <v>229</v>
      </c>
      <c r="N72" s="507" t="s">
        <v>229</v>
      </c>
      <c r="O72" s="643">
        <f t="shared" si="3"/>
        <v>15852</v>
      </c>
      <c r="P72" s="525"/>
      <c r="Q72" s="644">
        <f t="shared" si="10"/>
        <v>15017.4</v>
      </c>
    </row>
    <row r="73" spans="1:19" outlineLevel="1">
      <c r="A73" s="485">
        <v>1955</v>
      </c>
      <c r="B73" s="528">
        <v>20438</v>
      </c>
      <c r="C73" s="528">
        <v>125</v>
      </c>
      <c r="D73" s="642">
        <f t="shared" si="11"/>
        <v>20563</v>
      </c>
      <c r="E73" s="507" t="s">
        <v>229</v>
      </c>
      <c r="F73" s="507" t="s">
        <v>229</v>
      </c>
      <c r="G73" s="507" t="s">
        <v>229</v>
      </c>
      <c r="H73" s="507" t="s">
        <v>229</v>
      </c>
      <c r="I73" s="642">
        <f t="shared" ref="I73:I132" si="12">SUM(D73:H73)</f>
        <v>20563</v>
      </c>
      <c r="J73" s="507" t="s">
        <v>229</v>
      </c>
      <c r="K73" s="534">
        <v>309</v>
      </c>
      <c r="L73" s="507" t="s">
        <v>229</v>
      </c>
      <c r="M73" s="516" t="s">
        <v>229</v>
      </c>
      <c r="N73" s="507" t="s">
        <v>229</v>
      </c>
      <c r="O73" s="643">
        <f t="shared" ref="O73:O129" si="13">SUM(I73:N73)</f>
        <v>20872</v>
      </c>
      <c r="P73" s="525"/>
      <c r="Q73" s="644">
        <f t="shared" si="10"/>
        <v>15017.4</v>
      </c>
    </row>
    <row r="74" spans="1:19" outlineLevel="1">
      <c r="A74" s="485">
        <v>1956</v>
      </c>
      <c r="B74" s="528">
        <v>11702</v>
      </c>
      <c r="C74" s="528">
        <v>147</v>
      </c>
      <c r="D74" s="642">
        <f t="shared" si="11"/>
        <v>11849</v>
      </c>
      <c r="E74" s="507" t="s">
        <v>229</v>
      </c>
      <c r="F74" s="507" t="s">
        <v>229</v>
      </c>
      <c r="G74" s="507" t="s">
        <v>229</v>
      </c>
      <c r="H74" s="507" t="s">
        <v>229</v>
      </c>
      <c r="I74" s="642">
        <f t="shared" si="12"/>
        <v>11849</v>
      </c>
      <c r="J74" s="507" t="s">
        <v>229</v>
      </c>
      <c r="K74" s="533"/>
      <c r="L74" s="507" t="s">
        <v>229</v>
      </c>
      <c r="M74" s="516" t="s">
        <v>229</v>
      </c>
      <c r="N74" s="507" t="s">
        <v>229</v>
      </c>
      <c r="O74" s="643">
        <f t="shared" si="13"/>
        <v>11849</v>
      </c>
      <c r="P74" s="525"/>
      <c r="Q74" s="644">
        <f t="shared" si="10"/>
        <v>15017.4</v>
      </c>
    </row>
    <row r="75" spans="1:19" outlineLevel="1">
      <c r="A75" s="485">
        <v>1957</v>
      </c>
      <c r="B75" s="528">
        <v>8151</v>
      </c>
      <c r="C75" s="528">
        <v>71</v>
      </c>
      <c r="D75" s="642">
        <f t="shared" si="11"/>
        <v>8222</v>
      </c>
      <c r="E75" s="507" t="s">
        <v>229</v>
      </c>
      <c r="F75" s="507" t="s">
        <v>229</v>
      </c>
      <c r="G75" s="507" t="s">
        <v>229</v>
      </c>
      <c r="H75" s="507" t="s">
        <v>229</v>
      </c>
      <c r="I75" s="642">
        <f t="shared" si="12"/>
        <v>8222</v>
      </c>
      <c r="J75" s="507" t="s">
        <v>229</v>
      </c>
      <c r="K75" s="534">
        <v>281</v>
      </c>
      <c r="L75" s="507" t="s">
        <v>229</v>
      </c>
      <c r="M75" s="516" t="s">
        <v>229</v>
      </c>
      <c r="N75" s="507" t="s">
        <v>229</v>
      </c>
      <c r="O75" s="643">
        <f t="shared" si="13"/>
        <v>8503</v>
      </c>
      <c r="P75" s="525"/>
      <c r="Q75" s="644">
        <f t="shared" si="10"/>
        <v>15017.4</v>
      </c>
    </row>
    <row r="76" spans="1:19" outlineLevel="1">
      <c r="A76" s="485">
        <v>1958</v>
      </c>
      <c r="B76" s="528">
        <v>6965</v>
      </c>
      <c r="C76" s="528">
        <v>72</v>
      </c>
      <c r="D76" s="642">
        <f t="shared" si="11"/>
        <v>7037</v>
      </c>
      <c r="E76" s="507" t="s">
        <v>229</v>
      </c>
      <c r="F76" s="507" t="s">
        <v>229</v>
      </c>
      <c r="G76" s="507" t="s">
        <v>229</v>
      </c>
      <c r="H76" s="507" t="s">
        <v>229</v>
      </c>
      <c r="I76" s="642">
        <f t="shared" si="12"/>
        <v>7037</v>
      </c>
      <c r="J76" s="507" t="s">
        <v>229</v>
      </c>
      <c r="K76" s="533"/>
      <c r="L76" s="507" t="s">
        <v>229</v>
      </c>
      <c r="M76" s="516" t="s">
        <v>229</v>
      </c>
      <c r="N76" s="507" t="s">
        <v>229</v>
      </c>
      <c r="O76" s="643">
        <f t="shared" si="13"/>
        <v>7037</v>
      </c>
      <c r="P76" s="525"/>
      <c r="Q76" s="644">
        <f t="shared" si="10"/>
        <v>15017.4</v>
      </c>
    </row>
    <row r="77" spans="1:19" outlineLevel="1">
      <c r="A77" s="485">
        <v>1959</v>
      </c>
      <c r="B77" s="528">
        <v>9833</v>
      </c>
      <c r="C77" s="528">
        <v>77</v>
      </c>
      <c r="D77" s="642">
        <f t="shared" si="11"/>
        <v>9910</v>
      </c>
      <c r="E77" s="507" t="s">
        <v>229</v>
      </c>
      <c r="F77" s="507" t="s">
        <v>229</v>
      </c>
      <c r="G77" s="507" t="s">
        <v>229</v>
      </c>
      <c r="H77" s="507" t="s">
        <v>229</v>
      </c>
      <c r="I77" s="642">
        <f t="shared" si="12"/>
        <v>9910</v>
      </c>
      <c r="J77" s="507" t="s">
        <v>229</v>
      </c>
      <c r="K77" s="533"/>
      <c r="L77" s="507" t="s">
        <v>229</v>
      </c>
      <c r="M77" s="516" t="s">
        <v>229</v>
      </c>
      <c r="N77" s="507" t="s">
        <v>229</v>
      </c>
      <c r="O77" s="643">
        <f t="shared" si="13"/>
        <v>9910</v>
      </c>
      <c r="P77" s="525"/>
      <c r="Q77" s="644">
        <f t="shared" si="10"/>
        <v>15017.4</v>
      </c>
    </row>
    <row r="78" spans="1:19" outlineLevel="1">
      <c r="A78" s="485">
        <v>1960</v>
      </c>
      <c r="B78" s="528">
        <v>14052</v>
      </c>
      <c r="C78" s="528">
        <v>63</v>
      </c>
      <c r="D78" s="642">
        <f t="shared" si="11"/>
        <v>14115</v>
      </c>
      <c r="E78" s="507" t="s">
        <v>229</v>
      </c>
      <c r="F78" s="524">
        <v>0</v>
      </c>
      <c r="G78" s="507" t="s">
        <v>229</v>
      </c>
      <c r="H78" s="507" t="s">
        <v>229</v>
      </c>
      <c r="I78" s="642">
        <f t="shared" si="12"/>
        <v>14115</v>
      </c>
      <c r="J78" s="532">
        <v>40</v>
      </c>
      <c r="K78" s="531" t="s">
        <v>229</v>
      </c>
      <c r="L78" s="530">
        <v>96</v>
      </c>
      <c r="M78" s="516" t="s">
        <v>229</v>
      </c>
      <c r="N78" s="507" t="s">
        <v>229</v>
      </c>
      <c r="O78" s="643">
        <f t="shared" si="13"/>
        <v>14251</v>
      </c>
      <c r="P78" s="525"/>
      <c r="Q78" s="644">
        <f t="shared" ref="Q78:Q87" si="14">AVERAGE(D$78:D$87)</f>
        <v>12073.3</v>
      </c>
      <c r="S78" s="518"/>
    </row>
    <row r="79" spans="1:19" outlineLevel="1">
      <c r="A79" s="485">
        <v>1961</v>
      </c>
      <c r="B79" s="528">
        <v>7621</v>
      </c>
      <c r="C79" s="528">
        <v>29</v>
      </c>
      <c r="D79" s="642">
        <f t="shared" si="11"/>
        <v>7650</v>
      </c>
      <c r="E79" s="507" t="s">
        <v>229</v>
      </c>
      <c r="F79" s="524">
        <v>60</v>
      </c>
      <c r="G79" s="507" t="s">
        <v>229</v>
      </c>
      <c r="H79" s="507" t="s">
        <v>229</v>
      </c>
      <c r="I79" s="642">
        <f t="shared" si="12"/>
        <v>7710</v>
      </c>
      <c r="J79" s="529">
        <v>29</v>
      </c>
      <c r="K79" s="517" t="s">
        <v>229</v>
      </c>
      <c r="L79" s="523">
        <v>356</v>
      </c>
      <c r="M79" s="516" t="s">
        <v>229</v>
      </c>
      <c r="N79" s="507" t="s">
        <v>229</v>
      </c>
      <c r="O79" s="643">
        <f t="shared" si="13"/>
        <v>8095</v>
      </c>
      <c r="P79" s="525"/>
      <c r="Q79" s="644">
        <f t="shared" si="14"/>
        <v>12073.3</v>
      </c>
      <c r="S79" s="518"/>
    </row>
    <row r="80" spans="1:19" outlineLevel="1">
      <c r="A80" s="485">
        <v>1962</v>
      </c>
      <c r="B80" s="528">
        <v>14792</v>
      </c>
      <c r="C80" s="528">
        <v>246</v>
      </c>
      <c r="D80" s="642">
        <f t="shared" si="11"/>
        <v>15038</v>
      </c>
      <c r="E80" s="507" t="s">
        <v>229</v>
      </c>
      <c r="F80" s="524">
        <v>44</v>
      </c>
      <c r="G80" s="507" t="s">
        <v>229</v>
      </c>
      <c r="H80" s="507" t="s">
        <v>229</v>
      </c>
      <c r="I80" s="642">
        <f t="shared" si="12"/>
        <v>15082</v>
      </c>
      <c r="J80" s="529">
        <v>76</v>
      </c>
      <c r="K80" s="517" t="s">
        <v>229</v>
      </c>
      <c r="L80" s="523">
        <v>768</v>
      </c>
      <c r="M80" s="516" t="s">
        <v>229</v>
      </c>
      <c r="N80" s="507" t="s">
        <v>229</v>
      </c>
      <c r="O80" s="643">
        <f t="shared" si="13"/>
        <v>15926</v>
      </c>
      <c r="P80" s="525"/>
      <c r="Q80" s="644">
        <f t="shared" si="14"/>
        <v>12073.3</v>
      </c>
      <c r="S80" s="518"/>
    </row>
    <row r="81" spans="1:21" outlineLevel="1">
      <c r="A81" s="485">
        <v>1963</v>
      </c>
      <c r="B81" s="528">
        <v>10871</v>
      </c>
      <c r="C81" s="528">
        <v>172</v>
      </c>
      <c r="D81" s="642">
        <f t="shared" si="11"/>
        <v>11043</v>
      </c>
      <c r="E81" s="507" t="s">
        <v>229</v>
      </c>
      <c r="F81" s="524">
        <v>3</v>
      </c>
      <c r="G81" s="507" t="s">
        <v>229</v>
      </c>
      <c r="H81" s="507" t="s">
        <v>229</v>
      </c>
      <c r="I81" s="642">
        <f t="shared" si="12"/>
        <v>11046</v>
      </c>
      <c r="J81" s="529">
        <v>130</v>
      </c>
      <c r="K81" s="517" t="s">
        <v>229</v>
      </c>
      <c r="L81" s="523">
        <v>334</v>
      </c>
      <c r="M81" s="516" t="s">
        <v>229</v>
      </c>
      <c r="N81" s="507" t="s">
        <v>229</v>
      </c>
      <c r="O81" s="643">
        <f t="shared" si="13"/>
        <v>11510</v>
      </c>
      <c r="P81" s="525"/>
      <c r="Q81" s="644">
        <f t="shared" si="14"/>
        <v>12073.3</v>
      </c>
      <c r="S81" s="506"/>
      <c r="T81" s="484"/>
      <c r="U81" s="484"/>
    </row>
    <row r="82" spans="1:21" outlineLevel="1">
      <c r="A82" s="485">
        <v>1964</v>
      </c>
      <c r="B82" s="528">
        <v>12751</v>
      </c>
      <c r="C82" s="528">
        <v>44</v>
      </c>
      <c r="D82" s="642">
        <f t="shared" si="11"/>
        <v>12795</v>
      </c>
      <c r="E82" s="507" t="s">
        <v>229</v>
      </c>
      <c r="F82" s="524">
        <v>14</v>
      </c>
      <c r="G82" s="507" t="s">
        <v>229</v>
      </c>
      <c r="H82" s="507" t="s">
        <v>229</v>
      </c>
      <c r="I82" s="642">
        <f t="shared" si="12"/>
        <v>12809</v>
      </c>
      <c r="J82" s="517">
        <v>320</v>
      </c>
      <c r="K82" s="517" t="s">
        <v>229</v>
      </c>
      <c r="L82" s="523">
        <v>405</v>
      </c>
      <c r="M82" s="516" t="s">
        <v>229</v>
      </c>
      <c r="N82" s="507" t="s">
        <v>229</v>
      </c>
      <c r="O82" s="643">
        <f t="shared" si="13"/>
        <v>13534</v>
      </c>
      <c r="P82" s="525"/>
      <c r="Q82" s="644">
        <f t="shared" si="14"/>
        <v>12073.3</v>
      </c>
      <c r="S82" s="506"/>
      <c r="T82" s="484"/>
      <c r="U82" s="484"/>
    </row>
    <row r="83" spans="1:21" outlineLevel="1">
      <c r="A83" s="485">
        <v>1965</v>
      </c>
      <c r="B83" s="528">
        <v>15390</v>
      </c>
      <c r="C83" s="528">
        <v>7</v>
      </c>
      <c r="D83" s="642">
        <f t="shared" si="11"/>
        <v>15397</v>
      </c>
      <c r="E83" s="507" t="s">
        <v>229</v>
      </c>
      <c r="F83" s="524">
        <v>12</v>
      </c>
      <c r="G83" s="507" t="s">
        <v>229</v>
      </c>
      <c r="H83" s="507" t="s">
        <v>229</v>
      </c>
      <c r="I83" s="642">
        <f t="shared" si="12"/>
        <v>15409</v>
      </c>
      <c r="J83" s="527">
        <v>316</v>
      </c>
      <c r="K83" s="517" t="s">
        <v>229</v>
      </c>
      <c r="L83" s="523">
        <v>328</v>
      </c>
      <c r="M83" s="516" t="s">
        <v>229</v>
      </c>
      <c r="N83" s="507" t="s">
        <v>229</v>
      </c>
      <c r="O83" s="643">
        <f t="shared" si="13"/>
        <v>16053</v>
      </c>
      <c r="P83" s="525"/>
      <c r="Q83" s="644">
        <f t="shared" si="14"/>
        <v>12073.3</v>
      </c>
      <c r="S83" s="506"/>
      <c r="T83" s="484"/>
      <c r="U83" s="484"/>
    </row>
    <row r="84" spans="1:21">
      <c r="A84" s="485">
        <v>1966</v>
      </c>
      <c r="B84" s="501">
        <v>11026</v>
      </c>
      <c r="C84" s="501">
        <v>36</v>
      </c>
      <c r="D84" s="642">
        <f t="shared" si="11"/>
        <v>11062</v>
      </c>
      <c r="E84" s="507" t="s">
        <v>229</v>
      </c>
      <c r="F84" s="524">
        <v>47</v>
      </c>
      <c r="G84" s="507" t="s">
        <v>229</v>
      </c>
      <c r="H84" s="507" t="s">
        <v>229</v>
      </c>
      <c r="I84" s="642">
        <f t="shared" si="12"/>
        <v>11109</v>
      </c>
      <c r="J84" s="520">
        <v>212</v>
      </c>
      <c r="K84" s="517" t="s">
        <v>229</v>
      </c>
      <c r="L84" s="523">
        <v>343</v>
      </c>
      <c r="M84" s="516" t="s">
        <v>229</v>
      </c>
      <c r="N84" s="639">
        <f>'[1]Ann Sumry'!AG11</f>
        <v>500</v>
      </c>
      <c r="O84" s="643">
        <f t="shared" si="13"/>
        <v>12164</v>
      </c>
      <c r="P84" s="526"/>
      <c r="Q84" s="644">
        <f t="shared" si="14"/>
        <v>12073.3</v>
      </c>
      <c r="S84" s="506"/>
      <c r="T84" s="484"/>
      <c r="U84" s="484"/>
    </row>
    <row r="85" spans="1:21">
      <c r="A85" s="485">
        <v>1967</v>
      </c>
      <c r="B85" s="501">
        <v>10307</v>
      </c>
      <c r="C85" s="501">
        <v>13</v>
      </c>
      <c r="D85" s="642">
        <f t="shared" si="11"/>
        <v>10320</v>
      </c>
      <c r="E85" s="507" t="s">
        <v>229</v>
      </c>
      <c r="F85" s="524">
        <v>83</v>
      </c>
      <c r="G85" s="507" t="s">
        <v>229</v>
      </c>
      <c r="H85" s="507" t="s">
        <v>229</v>
      </c>
      <c r="I85" s="642">
        <f t="shared" si="12"/>
        <v>10403</v>
      </c>
      <c r="J85" s="520">
        <v>214</v>
      </c>
      <c r="K85" s="517" t="s">
        <v>229</v>
      </c>
      <c r="L85" s="523">
        <v>205</v>
      </c>
      <c r="M85" s="516" t="s">
        <v>229</v>
      </c>
      <c r="N85" s="639">
        <f>'[1]Ann Sumry'!AG12</f>
        <v>500</v>
      </c>
      <c r="O85" s="643">
        <f t="shared" si="13"/>
        <v>11322</v>
      </c>
      <c r="P85" s="526"/>
      <c r="Q85" s="644">
        <f t="shared" si="14"/>
        <v>12073.3</v>
      </c>
      <c r="S85" s="506"/>
      <c r="T85" s="484"/>
      <c r="U85" s="484"/>
    </row>
    <row r="86" spans="1:21">
      <c r="A86" s="485">
        <v>1968</v>
      </c>
      <c r="B86" s="501">
        <v>8960</v>
      </c>
      <c r="C86" s="501">
        <v>10</v>
      </c>
      <c r="D86" s="642">
        <f t="shared" si="11"/>
        <v>8970</v>
      </c>
      <c r="E86" s="507" t="s">
        <v>229</v>
      </c>
      <c r="F86" s="524">
        <v>11</v>
      </c>
      <c r="G86" s="507" t="s">
        <v>229</v>
      </c>
      <c r="H86" s="507" t="s">
        <v>229</v>
      </c>
      <c r="I86" s="642">
        <f t="shared" si="12"/>
        <v>8981</v>
      </c>
      <c r="J86" s="520">
        <v>368</v>
      </c>
      <c r="K86" s="517" t="s">
        <v>229</v>
      </c>
      <c r="L86" s="523">
        <v>276</v>
      </c>
      <c r="M86" s="516" t="s">
        <v>229</v>
      </c>
      <c r="N86" s="639">
        <f>'[1]Ann Sumry'!AG13</f>
        <v>500</v>
      </c>
      <c r="O86" s="643">
        <f t="shared" si="13"/>
        <v>10125</v>
      </c>
      <c r="P86" s="526"/>
      <c r="Q86" s="644">
        <f t="shared" si="14"/>
        <v>12073.3</v>
      </c>
      <c r="S86" s="506"/>
      <c r="T86" s="484"/>
      <c r="U86" s="484"/>
    </row>
    <row r="87" spans="1:21">
      <c r="A87" s="485">
        <v>1969</v>
      </c>
      <c r="B87" s="501">
        <v>14299</v>
      </c>
      <c r="C87" s="501">
        <v>44</v>
      </c>
      <c r="D87" s="642">
        <f t="shared" si="11"/>
        <v>14343</v>
      </c>
      <c r="E87" s="507" t="s">
        <v>229</v>
      </c>
      <c r="F87" s="524">
        <v>16</v>
      </c>
      <c r="G87" s="507" t="s">
        <v>229</v>
      </c>
      <c r="H87" s="507" t="s">
        <v>229</v>
      </c>
      <c r="I87" s="642">
        <f t="shared" si="12"/>
        <v>14359</v>
      </c>
      <c r="J87" s="520">
        <v>486</v>
      </c>
      <c r="K87" s="517" t="s">
        <v>229</v>
      </c>
      <c r="L87" s="523">
        <v>233</v>
      </c>
      <c r="M87" s="516" t="s">
        <v>229</v>
      </c>
      <c r="N87" s="639">
        <f>'[1]Ann Sumry'!AG14</f>
        <v>500</v>
      </c>
      <c r="O87" s="643">
        <f t="shared" si="13"/>
        <v>15578</v>
      </c>
      <c r="P87" s="526"/>
      <c r="Q87" s="644">
        <f t="shared" si="14"/>
        <v>12073.3</v>
      </c>
      <c r="S87" s="506"/>
      <c r="T87" s="484"/>
      <c r="U87" s="484"/>
    </row>
    <row r="88" spans="1:21">
      <c r="A88" s="485">
        <v>1970</v>
      </c>
      <c r="B88" s="501">
        <v>19346</v>
      </c>
      <c r="C88" s="501">
        <v>26</v>
      </c>
      <c r="D88" s="642">
        <f t="shared" si="11"/>
        <v>19372</v>
      </c>
      <c r="E88" s="507" t="s">
        <v>229</v>
      </c>
      <c r="F88" s="524">
        <v>66</v>
      </c>
      <c r="G88" s="507" t="s">
        <v>229</v>
      </c>
      <c r="H88" s="507" t="s">
        <v>229</v>
      </c>
      <c r="I88" s="642">
        <f t="shared" si="12"/>
        <v>19438</v>
      </c>
      <c r="J88" s="520">
        <v>324</v>
      </c>
      <c r="K88" s="517" t="s">
        <v>229</v>
      </c>
      <c r="L88" s="523">
        <v>103</v>
      </c>
      <c r="M88" s="516" t="s">
        <v>229</v>
      </c>
      <c r="N88" s="639">
        <f>'[1]Ann Sumry'!AG15</f>
        <v>600</v>
      </c>
      <c r="O88" s="643">
        <f t="shared" si="13"/>
        <v>20465</v>
      </c>
      <c r="P88" s="502"/>
      <c r="Q88" s="632">
        <f t="shared" ref="Q88:Q97" si="15">AVERAGE(D$88:D$97)</f>
        <v>21835</v>
      </c>
      <c r="S88" s="506"/>
      <c r="T88" s="484"/>
      <c r="U88" s="484"/>
    </row>
    <row r="89" spans="1:21">
      <c r="A89" s="485">
        <v>1971</v>
      </c>
      <c r="B89" s="501">
        <v>16486</v>
      </c>
      <c r="C89" s="501">
        <v>105</v>
      </c>
      <c r="D89" s="642">
        <f t="shared" si="11"/>
        <v>16591</v>
      </c>
      <c r="E89" s="507" t="s">
        <v>229</v>
      </c>
      <c r="F89" s="507">
        <v>10</v>
      </c>
      <c r="G89" s="507" t="s">
        <v>229</v>
      </c>
      <c r="H89" s="507" t="s">
        <v>229</v>
      </c>
      <c r="I89" s="642">
        <f t="shared" si="12"/>
        <v>16601</v>
      </c>
      <c r="J89" s="520">
        <v>1091</v>
      </c>
      <c r="K89" s="517" t="s">
        <v>229</v>
      </c>
      <c r="L89" s="523">
        <v>272</v>
      </c>
      <c r="M89" s="516" t="s">
        <v>229</v>
      </c>
      <c r="N89" s="639">
        <f>'[1]Ann Sumry'!AG16</f>
        <v>600</v>
      </c>
      <c r="O89" s="643">
        <f t="shared" si="13"/>
        <v>18564</v>
      </c>
      <c r="P89" s="502"/>
      <c r="Q89" s="632">
        <f t="shared" si="15"/>
        <v>21835</v>
      </c>
      <c r="S89" s="506"/>
      <c r="T89" s="484"/>
      <c r="U89" s="484"/>
    </row>
    <row r="90" spans="1:21">
      <c r="A90" s="485">
        <v>1972</v>
      </c>
      <c r="B90" s="501">
        <v>22250</v>
      </c>
      <c r="C90" s="501">
        <v>107</v>
      </c>
      <c r="D90" s="642">
        <f t="shared" si="11"/>
        <v>22357</v>
      </c>
      <c r="E90" s="507" t="s">
        <v>229</v>
      </c>
      <c r="F90" s="507">
        <v>149</v>
      </c>
      <c r="G90" s="507" t="s">
        <v>229</v>
      </c>
      <c r="H90" s="507" t="s">
        <v>229</v>
      </c>
      <c r="I90" s="642">
        <f t="shared" si="12"/>
        <v>22506</v>
      </c>
      <c r="J90" s="520">
        <v>1199</v>
      </c>
      <c r="K90" s="517" t="s">
        <v>229</v>
      </c>
      <c r="L90" s="523">
        <v>302</v>
      </c>
      <c r="M90" s="516" t="s">
        <v>229</v>
      </c>
      <c r="N90" s="639">
        <f>'[1]Ann Sumry'!AG17</f>
        <v>750</v>
      </c>
      <c r="O90" s="643">
        <f t="shared" si="13"/>
        <v>24757</v>
      </c>
      <c r="P90" s="502"/>
      <c r="Q90" s="632">
        <f t="shared" si="15"/>
        <v>21835</v>
      </c>
      <c r="S90" s="506"/>
      <c r="T90" s="484"/>
      <c r="U90" s="484"/>
    </row>
    <row r="91" spans="1:21">
      <c r="A91" s="485">
        <v>1973</v>
      </c>
      <c r="B91" s="501">
        <v>19915</v>
      </c>
      <c r="C91" s="501">
        <v>285</v>
      </c>
      <c r="D91" s="642">
        <f t="shared" si="11"/>
        <v>20200</v>
      </c>
      <c r="E91" s="507" t="s">
        <v>229</v>
      </c>
      <c r="F91" s="507">
        <v>153</v>
      </c>
      <c r="G91" s="507" t="s">
        <v>229</v>
      </c>
      <c r="H91" s="507" t="s">
        <v>229</v>
      </c>
      <c r="I91" s="642">
        <f t="shared" si="12"/>
        <v>20353</v>
      </c>
      <c r="J91" s="520">
        <v>1226</v>
      </c>
      <c r="K91" s="517" t="s">
        <v>229</v>
      </c>
      <c r="L91" s="523">
        <v>639</v>
      </c>
      <c r="M91" s="516" t="s">
        <v>229</v>
      </c>
      <c r="N91" s="639">
        <f>'[1]Ann Sumry'!AG18</f>
        <v>850</v>
      </c>
      <c r="O91" s="643">
        <f t="shared" si="13"/>
        <v>23068</v>
      </c>
      <c r="P91" s="502"/>
      <c r="Q91" s="632">
        <f t="shared" si="15"/>
        <v>21835</v>
      </c>
      <c r="S91" s="506"/>
      <c r="T91" s="484"/>
      <c r="U91" s="484"/>
    </row>
    <row r="92" spans="1:21">
      <c r="A92" s="485">
        <v>1974</v>
      </c>
      <c r="B92" s="501">
        <v>18980</v>
      </c>
      <c r="C92" s="501">
        <v>32</v>
      </c>
      <c r="D92" s="642">
        <f t="shared" si="11"/>
        <v>19012</v>
      </c>
      <c r="E92" s="507" t="s">
        <v>229</v>
      </c>
      <c r="F92" s="507">
        <v>5</v>
      </c>
      <c r="G92" s="507" t="s">
        <v>229</v>
      </c>
      <c r="H92" s="507" t="s">
        <v>229</v>
      </c>
      <c r="I92" s="642">
        <f t="shared" si="12"/>
        <v>19017</v>
      </c>
      <c r="J92" s="520">
        <v>817</v>
      </c>
      <c r="K92" s="517" t="s">
        <v>229</v>
      </c>
      <c r="L92" s="523">
        <v>324</v>
      </c>
      <c r="M92" s="516" t="s">
        <v>229</v>
      </c>
      <c r="N92" s="639">
        <f>'[1]Ann Sumry'!AG19</f>
        <v>900</v>
      </c>
      <c r="O92" s="643">
        <f t="shared" si="13"/>
        <v>21058</v>
      </c>
      <c r="P92" s="502"/>
      <c r="Q92" s="632">
        <f t="shared" si="15"/>
        <v>21835</v>
      </c>
      <c r="S92" s="506"/>
      <c r="T92" s="484"/>
      <c r="U92" s="484"/>
    </row>
    <row r="93" spans="1:21">
      <c r="A93" s="485">
        <v>1975</v>
      </c>
      <c r="B93" s="501">
        <v>19644</v>
      </c>
      <c r="C93" s="501">
        <v>162</v>
      </c>
      <c r="D93" s="642">
        <f t="shared" si="11"/>
        <v>19806</v>
      </c>
      <c r="E93" s="507" t="s">
        <v>229</v>
      </c>
      <c r="F93" s="507">
        <v>0</v>
      </c>
      <c r="G93" s="507" t="s">
        <v>229</v>
      </c>
      <c r="H93" s="507" t="s">
        <v>229</v>
      </c>
      <c r="I93" s="642">
        <f t="shared" si="12"/>
        <v>19806</v>
      </c>
      <c r="J93" s="520">
        <v>943</v>
      </c>
      <c r="K93" s="517" t="s">
        <v>229</v>
      </c>
      <c r="L93" s="523">
        <v>762</v>
      </c>
      <c r="M93" s="516" t="s">
        <v>229</v>
      </c>
      <c r="N93" s="639">
        <f>'[1]Ann Sumry'!AG20</f>
        <v>750</v>
      </c>
      <c r="O93" s="643">
        <f t="shared" si="13"/>
        <v>22261</v>
      </c>
      <c r="P93" s="502"/>
      <c r="Q93" s="632">
        <f t="shared" si="15"/>
        <v>21835</v>
      </c>
      <c r="S93" s="518"/>
    </row>
    <row r="94" spans="1:21">
      <c r="A94" s="485">
        <v>1976</v>
      </c>
      <c r="B94" s="501">
        <v>31479</v>
      </c>
      <c r="C94" s="501">
        <v>228</v>
      </c>
      <c r="D94" s="642">
        <f t="shared" si="11"/>
        <v>31707</v>
      </c>
      <c r="E94" s="507" t="s">
        <v>229</v>
      </c>
      <c r="F94" s="507">
        <v>1</v>
      </c>
      <c r="G94" s="507" t="s">
        <v>229</v>
      </c>
      <c r="H94" s="507" t="s">
        <v>229</v>
      </c>
      <c r="I94" s="642">
        <f t="shared" si="12"/>
        <v>31708</v>
      </c>
      <c r="J94" s="520">
        <v>1173</v>
      </c>
      <c r="K94" s="517" t="s">
        <v>229</v>
      </c>
      <c r="L94" s="522">
        <v>885</v>
      </c>
      <c r="M94" s="516" t="s">
        <v>229</v>
      </c>
      <c r="N94" s="639">
        <f>'[1]Ann Sumry'!AG21</f>
        <v>400</v>
      </c>
      <c r="O94" s="643">
        <f t="shared" si="13"/>
        <v>34166</v>
      </c>
      <c r="P94" s="502"/>
      <c r="Q94" s="632">
        <f t="shared" si="15"/>
        <v>21835</v>
      </c>
      <c r="S94" s="518"/>
    </row>
    <row r="95" spans="1:21">
      <c r="A95" s="485">
        <v>1977</v>
      </c>
      <c r="B95" s="501">
        <v>21722</v>
      </c>
      <c r="C95" s="501">
        <v>127</v>
      </c>
      <c r="D95" s="642">
        <f t="shared" si="11"/>
        <v>21849</v>
      </c>
      <c r="E95" s="507" t="s">
        <v>229</v>
      </c>
      <c r="F95" s="507">
        <v>10</v>
      </c>
      <c r="G95" s="507" t="s">
        <v>229</v>
      </c>
      <c r="H95" s="507" t="s">
        <v>229</v>
      </c>
      <c r="I95" s="642">
        <f t="shared" si="12"/>
        <v>21859</v>
      </c>
      <c r="J95" s="520">
        <v>1475</v>
      </c>
      <c r="K95" s="517" t="s">
        <v>229</v>
      </c>
      <c r="L95" s="521">
        <v>2555</v>
      </c>
      <c r="M95" s="516" t="s">
        <v>229</v>
      </c>
      <c r="N95" s="521">
        <v>532</v>
      </c>
      <c r="O95" s="643">
        <f t="shared" si="13"/>
        <v>26421</v>
      </c>
      <c r="P95" s="502"/>
      <c r="Q95" s="632">
        <f t="shared" si="15"/>
        <v>21835</v>
      </c>
      <c r="S95" s="518"/>
    </row>
    <row r="96" spans="1:21">
      <c r="A96" s="485">
        <v>1978</v>
      </c>
      <c r="B96" s="509">
        <v>29062</v>
      </c>
      <c r="C96" s="501">
        <v>331</v>
      </c>
      <c r="D96" s="642">
        <f t="shared" si="11"/>
        <v>29393</v>
      </c>
      <c r="E96" s="507" t="s">
        <v>229</v>
      </c>
      <c r="F96" s="507">
        <v>37</v>
      </c>
      <c r="G96" s="507" t="s">
        <v>229</v>
      </c>
      <c r="H96" s="507" t="s">
        <v>229</v>
      </c>
      <c r="I96" s="642">
        <f t="shared" si="12"/>
        <v>29430</v>
      </c>
      <c r="J96" s="520">
        <v>1554</v>
      </c>
      <c r="K96" s="517" t="s">
        <v>229</v>
      </c>
      <c r="L96" s="520">
        <v>2239</v>
      </c>
      <c r="M96" s="516" t="s">
        <v>229</v>
      </c>
      <c r="N96" s="520">
        <v>641</v>
      </c>
      <c r="O96" s="643">
        <f t="shared" si="13"/>
        <v>33864</v>
      </c>
      <c r="P96" s="502"/>
      <c r="Q96" s="632">
        <f t="shared" si="15"/>
        <v>21835</v>
      </c>
      <c r="S96" s="640">
        <f>SUM(J96:N96)</f>
        <v>4434</v>
      </c>
    </row>
    <row r="97" spans="1:19">
      <c r="A97" s="485">
        <v>1979</v>
      </c>
      <c r="B97" s="509">
        <v>17678</v>
      </c>
      <c r="C97" s="501">
        <v>385</v>
      </c>
      <c r="D97" s="642">
        <f t="shared" si="11"/>
        <v>18063</v>
      </c>
      <c r="E97" s="507" t="s">
        <v>229</v>
      </c>
      <c r="F97" s="507">
        <v>45</v>
      </c>
      <c r="G97" s="507" t="s">
        <v>229</v>
      </c>
      <c r="H97" s="507" t="s">
        <v>229</v>
      </c>
      <c r="I97" s="642">
        <f t="shared" si="12"/>
        <v>18108</v>
      </c>
      <c r="J97" s="520">
        <v>1536</v>
      </c>
      <c r="K97" s="517" t="s">
        <v>229</v>
      </c>
      <c r="L97" s="520">
        <v>3416</v>
      </c>
      <c r="M97" s="516" t="s">
        <v>229</v>
      </c>
      <c r="N97" s="520">
        <v>2948</v>
      </c>
      <c r="O97" s="643">
        <f t="shared" si="13"/>
        <v>26008</v>
      </c>
      <c r="P97" s="502"/>
      <c r="Q97" s="632">
        <f t="shared" si="15"/>
        <v>21835</v>
      </c>
      <c r="S97" s="518"/>
    </row>
    <row r="98" spans="1:19">
      <c r="A98" s="485">
        <v>1980</v>
      </c>
      <c r="B98" s="509">
        <v>8454</v>
      </c>
      <c r="C98" s="501">
        <v>0</v>
      </c>
      <c r="D98" s="642">
        <f t="shared" si="11"/>
        <v>8454</v>
      </c>
      <c r="E98" s="507" t="s">
        <v>229</v>
      </c>
      <c r="F98" s="507">
        <v>19</v>
      </c>
      <c r="G98" s="507" t="s">
        <v>229</v>
      </c>
      <c r="H98" s="507" t="s">
        <v>229</v>
      </c>
      <c r="I98" s="642">
        <f t="shared" si="12"/>
        <v>8473</v>
      </c>
      <c r="J98" s="503">
        <v>1767</v>
      </c>
      <c r="K98" s="517" t="s">
        <v>229</v>
      </c>
      <c r="L98" s="503">
        <v>3035</v>
      </c>
      <c r="M98" s="516" t="s">
        <v>229</v>
      </c>
      <c r="N98" s="503">
        <v>2101</v>
      </c>
      <c r="O98" s="643">
        <f t="shared" si="13"/>
        <v>15376</v>
      </c>
      <c r="P98" s="502"/>
      <c r="Q98" s="632">
        <f t="shared" ref="Q98:Q107" si="16">AVERAGE(D$98:D$107)</f>
        <v>35476</v>
      </c>
      <c r="S98" s="518"/>
    </row>
    <row r="99" spans="1:19">
      <c r="A99" s="485">
        <v>1981</v>
      </c>
      <c r="B99" s="509">
        <v>20178</v>
      </c>
      <c r="C99" s="501">
        <v>200</v>
      </c>
      <c r="D99" s="642">
        <f t="shared" si="11"/>
        <v>20378</v>
      </c>
      <c r="E99" s="507" t="s">
        <v>229</v>
      </c>
      <c r="F99" s="507">
        <v>48</v>
      </c>
      <c r="G99" s="507" t="s">
        <v>229</v>
      </c>
      <c r="H99" s="507" t="s">
        <v>229</v>
      </c>
      <c r="I99" s="642">
        <f t="shared" si="12"/>
        <v>20426</v>
      </c>
      <c r="J99" s="503">
        <v>1410</v>
      </c>
      <c r="K99" s="517" t="s">
        <v>229</v>
      </c>
      <c r="L99" s="503">
        <v>2410</v>
      </c>
      <c r="M99" s="516" t="s">
        <v>229</v>
      </c>
      <c r="N99" s="503">
        <v>1717</v>
      </c>
      <c r="O99" s="643">
        <f t="shared" si="13"/>
        <v>25963</v>
      </c>
      <c r="P99" s="502"/>
      <c r="Q99" s="632">
        <f t="shared" si="16"/>
        <v>35476</v>
      </c>
      <c r="S99" s="518"/>
    </row>
    <row r="100" spans="1:19">
      <c r="A100" s="485">
        <v>1982</v>
      </c>
      <c r="B100" s="509">
        <v>47362</v>
      </c>
      <c r="C100" s="501">
        <v>254</v>
      </c>
      <c r="D100" s="642">
        <f t="shared" si="11"/>
        <v>47616</v>
      </c>
      <c r="E100" s="507" t="s">
        <v>229</v>
      </c>
      <c r="F100" s="507">
        <v>60</v>
      </c>
      <c r="G100" s="507" t="s">
        <v>229</v>
      </c>
      <c r="H100" s="507" t="s">
        <v>229</v>
      </c>
      <c r="I100" s="642">
        <f t="shared" si="12"/>
        <v>47676</v>
      </c>
      <c r="J100" s="503">
        <v>1900</v>
      </c>
      <c r="K100" s="517" t="s">
        <v>229</v>
      </c>
      <c r="L100" s="503">
        <v>2764</v>
      </c>
      <c r="M100" s="516" t="s">
        <v>229</v>
      </c>
      <c r="N100" s="503">
        <v>1802</v>
      </c>
      <c r="O100" s="643">
        <f t="shared" si="13"/>
        <v>54142</v>
      </c>
      <c r="P100" s="502"/>
      <c r="Q100" s="632">
        <f t="shared" si="16"/>
        <v>35476</v>
      </c>
      <c r="S100" s="518"/>
    </row>
    <row r="101" spans="1:19">
      <c r="A101" s="485">
        <v>1983</v>
      </c>
      <c r="B101" s="509">
        <v>52500</v>
      </c>
      <c r="C101" s="501">
        <v>610</v>
      </c>
      <c r="D101" s="642">
        <f t="shared" si="11"/>
        <v>53110</v>
      </c>
      <c r="E101" s="507" t="s">
        <v>229</v>
      </c>
      <c r="F101" s="507">
        <v>79</v>
      </c>
      <c r="G101" s="507" t="s">
        <v>229</v>
      </c>
      <c r="H101" s="507" t="s">
        <v>229</v>
      </c>
      <c r="I101" s="642">
        <f t="shared" si="12"/>
        <v>53189</v>
      </c>
      <c r="J101" s="511">
        <v>4255</v>
      </c>
      <c r="K101" s="517" t="s">
        <v>229</v>
      </c>
      <c r="L101" s="503">
        <v>5950</v>
      </c>
      <c r="M101" s="516" t="s">
        <v>229</v>
      </c>
      <c r="N101" s="503">
        <v>2579</v>
      </c>
      <c r="O101" s="643">
        <f t="shared" si="13"/>
        <v>65973</v>
      </c>
      <c r="P101" s="502"/>
      <c r="Q101" s="632">
        <f t="shared" si="16"/>
        <v>35476</v>
      </c>
      <c r="S101" s="518"/>
    </row>
    <row r="102" spans="1:19">
      <c r="A102" s="485">
        <v>1984</v>
      </c>
      <c r="B102" s="509">
        <v>38957</v>
      </c>
      <c r="C102" s="501">
        <v>330</v>
      </c>
      <c r="D102" s="642">
        <f t="shared" si="11"/>
        <v>39287</v>
      </c>
      <c r="E102" s="507" t="s">
        <v>229</v>
      </c>
      <c r="F102" s="507">
        <v>68</v>
      </c>
      <c r="G102" s="507" t="s">
        <v>229</v>
      </c>
      <c r="H102" s="507" t="s">
        <v>229</v>
      </c>
      <c r="I102" s="642">
        <f t="shared" si="12"/>
        <v>39355</v>
      </c>
      <c r="J102" s="519">
        <v>1760</v>
      </c>
      <c r="K102" s="517" t="s">
        <v>229</v>
      </c>
      <c r="L102" s="503">
        <v>509</v>
      </c>
      <c r="M102" s="516" t="s">
        <v>229</v>
      </c>
      <c r="N102" s="503">
        <v>2787</v>
      </c>
      <c r="O102" s="643">
        <f t="shared" si="13"/>
        <v>44411</v>
      </c>
      <c r="P102" s="502"/>
      <c r="Q102" s="632">
        <f t="shared" si="16"/>
        <v>35476</v>
      </c>
      <c r="S102" s="518"/>
    </row>
    <row r="103" spans="1:19">
      <c r="A103" s="485">
        <v>1985</v>
      </c>
      <c r="B103" s="509">
        <v>42214</v>
      </c>
      <c r="C103" s="501">
        <v>215</v>
      </c>
      <c r="D103" s="642">
        <f t="shared" si="11"/>
        <v>42429</v>
      </c>
      <c r="E103" s="507" t="s">
        <v>229</v>
      </c>
      <c r="F103" s="507">
        <v>88</v>
      </c>
      <c r="G103" s="507" t="s">
        <v>229</v>
      </c>
      <c r="H103" s="507" t="s">
        <v>229</v>
      </c>
      <c r="I103" s="642">
        <f t="shared" si="12"/>
        <v>42517</v>
      </c>
      <c r="J103" s="504">
        <v>1329</v>
      </c>
      <c r="K103" s="517" t="s">
        <v>229</v>
      </c>
      <c r="L103" s="503">
        <v>1958</v>
      </c>
      <c r="M103" s="516" t="s">
        <v>229</v>
      </c>
      <c r="N103" s="503">
        <v>1939</v>
      </c>
      <c r="O103" s="643">
        <f t="shared" si="13"/>
        <v>47743</v>
      </c>
      <c r="P103" s="502"/>
      <c r="Q103" s="632">
        <f t="shared" si="16"/>
        <v>35476</v>
      </c>
      <c r="S103" s="518"/>
    </row>
    <row r="104" spans="1:19">
      <c r="A104" s="485">
        <v>1986</v>
      </c>
      <c r="B104" s="509">
        <v>40670</v>
      </c>
      <c r="C104" s="501">
        <v>128</v>
      </c>
      <c r="D104" s="642">
        <f t="shared" ref="D104:D132" si="17">SUM(B104:C104)</f>
        <v>40798</v>
      </c>
      <c r="E104" s="507" t="s">
        <v>229</v>
      </c>
      <c r="F104" s="507">
        <v>86</v>
      </c>
      <c r="G104" s="507" t="s">
        <v>229</v>
      </c>
      <c r="H104" s="507" t="s">
        <v>229</v>
      </c>
      <c r="I104" s="642">
        <f t="shared" si="12"/>
        <v>40884</v>
      </c>
      <c r="J104" s="504">
        <v>2367</v>
      </c>
      <c r="K104" s="517" t="s">
        <v>229</v>
      </c>
      <c r="L104" s="503">
        <v>686</v>
      </c>
      <c r="M104" s="516" t="s">
        <v>229</v>
      </c>
      <c r="N104" s="503">
        <v>3663</v>
      </c>
      <c r="O104" s="643">
        <f t="shared" si="13"/>
        <v>47600</v>
      </c>
      <c r="P104" s="502"/>
      <c r="Q104" s="632">
        <f t="shared" si="16"/>
        <v>35476</v>
      </c>
      <c r="S104" s="518"/>
    </row>
    <row r="105" spans="1:19">
      <c r="A105" s="485">
        <v>1987</v>
      </c>
      <c r="B105" s="509">
        <v>41001</v>
      </c>
      <c r="C105" s="501">
        <v>34</v>
      </c>
      <c r="D105" s="642">
        <f t="shared" si="17"/>
        <v>41035</v>
      </c>
      <c r="E105" s="507" t="s">
        <v>229</v>
      </c>
      <c r="F105" s="507">
        <v>49</v>
      </c>
      <c r="G105" s="507" t="s">
        <v>229</v>
      </c>
      <c r="H105" s="507" t="s">
        <v>229</v>
      </c>
      <c r="I105" s="642">
        <f t="shared" si="12"/>
        <v>41084</v>
      </c>
      <c r="J105" s="504">
        <v>2968</v>
      </c>
      <c r="K105" s="517" t="s">
        <v>229</v>
      </c>
      <c r="L105" s="503">
        <v>813</v>
      </c>
      <c r="M105" s="516" t="s">
        <v>229</v>
      </c>
      <c r="N105" s="503">
        <v>2301</v>
      </c>
      <c r="O105" s="643">
        <f t="shared" si="13"/>
        <v>47166</v>
      </c>
      <c r="P105" s="502"/>
      <c r="Q105" s="632">
        <f t="shared" si="16"/>
        <v>35476</v>
      </c>
      <c r="S105" s="518"/>
    </row>
    <row r="106" spans="1:19">
      <c r="A106" s="485">
        <v>1988</v>
      </c>
      <c r="B106" s="509">
        <v>30741</v>
      </c>
      <c r="C106" s="501">
        <v>19</v>
      </c>
      <c r="D106" s="642">
        <f t="shared" si="17"/>
        <v>30760</v>
      </c>
      <c r="E106" s="507" t="s">
        <v>229</v>
      </c>
      <c r="F106" s="507">
        <v>59</v>
      </c>
      <c r="G106" s="507" t="s">
        <v>229</v>
      </c>
      <c r="H106" s="507" t="s">
        <v>229</v>
      </c>
      <c r="I106" s="642">
        <f t="shared" si="12"/>
        <v>30819</v>
      </c>
      <c r="J106" s="504">
        <v>2994</v>
      </c>
      <c r="K106" s="517" t="s">
        <v>229</v>
      </c>
      <c r="L106" s="503">
        <v>992</v>
      </c>
      <c r="M106" s="516" t="s">
        <v>229</v>
      </c>
      <c r="N106" s="503">
        <v>1562</v>
      </c>
      <c r="O106" s="643">
        <f t="shared" si="13"/>
        <v>36367</v>
      </c>
      <c r="P106" s="502"/>
      <c r="Q106" s="632">
        <f t="shared" si="16"/>
        <v>35476</v>
      </c>
      <c r="S106" s="518"/>
    </row>
    <row r="107" spans="1:19">
      <c r="A107" s="485">
        <v>1989</v>
      </c>
      <c r="B107" s="509">
        <v>30863</v>
      </c>
      <c r="C107" s="501">
        <v>30</v>
      </c>
      <c r="D107" s="642">
        <f t="shared" si="17"/>
        <v>30893</v>
      </c>
      <c r="E107" s="507" t="s">
        <v>229</v>
      </c>
      <c r="F107" s="507">
        <v>56</v>
      </c>
      <c r="G107" s="507" t="s">
        <v>229</v>
      </c>
      <c r="H107" s="507" t="s">
        <v>229</v>
      </c>
      <c r="I107" s="642">
        <f t="shared" si="12"/>
        <v>30949</v>
      </c>
      <c r="J107" s="504">
        <v>2251</v>
      </c>
      <c r="K107" s="517" t="s">
        <v>229</v>
      </c>
      <c r="L107" s="503">
        <v>787</v>
      </c>
      <c r="M107" s="516" t="s">
        <v>229</v>
      </c>
      <c r="N107" s="503">
        <v>2356</v>
      </c>
      <c r="O107" s="643">
        <f t="shared" si="13"/>
        <v>36343</v>
      </c>
      <c r="P107" s="502"/>
      <c r="Q107" s="632">
        <f t="shared" si="16"/>
        <v>35476</v>
      </c>
      <c r="S107" s="518"/>
    </row>
    <row r="108" spans="1:19">
      <c r="A108" s="485">
        <v>1990</v>
      </c>
      <c r="B108" s="509">
        <v>21702</v>
      </c>
      <c r="C108" s="501">
        <v>14</v>
      </c>
      <c r="D108" s="642">
        <f t="shared" si="17"/>
        <v>21716</v>
      </c>
      <c r="E108" s="507" t="s">
        <v>229</v>
      </c>
      <c r="F108" s="507">
        <v>60</v>
      </c>
      <c r="G108" s="507" t="s">
        <v>229</v>
      </c>
      <c r="H108" s="507" t="s">
        <v>229</v>
      </c>
      <c r="I108" s="642">
        <f t="shared" si="12"/>
        <v>21776</v>
      </c>
      <c r="J108" s="504">
        <v>2708</v>
      </c>
      <c r="K108" s="517" t="s">
        <v>229</v>
      </c>
      <c r="L108" s="503">
        <v>647</v>
      </c>
      <c r="M108" s="516" t="s">
        <v>229</v>
      </c>
      <c r="N108" s="503">
        <v>2302</v>
      </c>
      <c r="O108" s="643">
        <f t="shared" si="13"/>
        <v>27433</v>
      </c>
      <c r="P108" s="502"/>
      <c r="Q108" s="632">
        <f t="shared" ref="Q108:Q116" si="18">AVERAGE(D$108:D$117)</f>
        <v>47744.9</v>
      </c>
      <c r="S108" s="518"/>
    </row>
    <row r="109" spans="1:19">
      <c r="A109" s="485">
        <v>1991</v>
      </c>
      <c r="B109" s="509">
        <v>34787</v>
      </c>
      <c r="C109" s="501">
        <v>28</v>
      </c>
      <c r="D109" s="642">
        <f t="shared" si="17"/>
        <v>34815</v>
      </c>
      <c r="E109" s="507" t="s">
        <v>229</v>
      </c>
      <c r="F109" s="507">
        <v>136</v>
      </c>
      <c r="G109" s="507" t="s">
        <v>229</v>
      </c>
      <c r="H109" s="507" t="s">
        <v>229</v>
      </c>
      <c r="I109" s="642">
        <f t="shared" si="12"/>
        <v>34951</v>
      </c>
      <c r="J109" s="504">
        <v>4056</v>
      </c>
      <c r="K109" s="517" t="s">
        <v>229</v>
      </c>
      <c r="L109" s="503">
        <v>1328</v>
      </c>
      <c r="M109" s="516" t="s">
        <v>229</v>
      </c>
      <c r="N109" s="503">
        <v>4884</v>
      </c>
      <c r="O109" s="643">
        <f t="shared" si="13"/>
        <v>45219</v>
      </c>
      <c r="P109" s="502"/>
      <c r="Q109" s="632">
        <f t="shared" si="18"/>
        <v>47744.9</v>
      </c>
      <c r="S109" s="518"/>
    </row>
    <row r="110" spans="1:19">
      <c r="A110" s="485">
        <v>1992</v>
      </c>
      <c r="B110" s="509">
        <v>39810</v>
      </c>
      <c r="C110" s="501">
        <v>21</v>
      </c>
      <c r="D110" s="642">
        <f t="shared" si="17"/>
        <v>39831</v>
      </c>
      <c r="E110" s="507" t="s">
        <v>229</v>
      </c>
      <c r="F110" s="507">
        <v>142</v>
      </c>
      <c r="G110" s="507" t="s">
        <v>229</v>
      </c>
      <c r="H110" s="507" t="s">
        <v>229</v>
      </c>
      <c r="I110" s="642">
        <f t="shared" si="12"/>
        <v>39973</v>
      </c>
      <c r="J110" s="504">
        <v>3405</v>
      </c>
      <c r="K110" s="517" t="s">
        <v>229</v>
      </c>
      <c r="L110" s="503">
        <v>1449</v>
      </c>
      <c r="M110" s="516" t="s">
        <v>229</v>
      </c>
      <c r="N110" s="503">
        <v>4412</v>
      </c>
      <c r="O110" s="643">
        <f t="shared" si="13"/>
        <v>49239</v>
      </c>
      <c r="P110" s="502"/>
      <c r="Q110" s="632">
        <f t="shared" si="18"/>
        <v>47744.9</v>
      </c>
      <c r="S110" s="518"/>
    </row>
    <row r="111" spans="1:19">
      <c r="A111" s="485">
        <v>1993</v>
      </c>
      <c r="B111" s="509">
        <v>29727</v>
      </c>
      <c r="C111" s="501">
        <v>130</v>
      </c>
      <c r="D111" s="642">
        <f t="shared" si="17"/>
        <v>29857</v>
      </c>
      <c r="E111" s="507" t="s">
        <v>229</v>
      </c>
      <c r="F111" s="507">
        <v>120</v>
      </c>
      <c r="G111" s="507" t="s">
        <v>229</v>
      </c>
      <c r="H111" s="507" t="s">
        <v>229</v>
      </c>
      <c r="I111" s="642">
        <f t="shared" si="12"/>
        <v>29977</v>
      </c>
      <c r="J111" s="504">
        <v>2846</v>
      </c>
      <c r="K111" s="517" t="s">
        <v>229</v>
      </c>
      <c r="L111" s="503">
        <v>1434</v>
      </c>
      <c r="M111" s="516" t="s">
        <v>229</v>
      </c>
      <c r="N111" s="503">
        <v>8217</v>
      </c>
      <c r="O111" s="643">
        <f t="shared" si="13"/>
        <v>42474</v>
      </c>
      <c r="P111" s="502"/>
      <c r="Q111" s="632">
        <f t="shared" si="18"/>
        <v>47744.9</v>
      </c>
      <c r="S111" s="518"/>
    </row>
    <row r="112" spans="1:19">
      <c r="A112" s="485">
        <v>1994</v>
      </c>
      <c r="B112" s="509">
        <v>47061</v>
      </c>
      <c r="C112" s="501">
        <v>121</v>
      </c>
      <c r="D112" s="642">
        <f t="shared" si="17"/>
        <v>47182</v>
      </c>
      <c r="E112" s="507">
        <v>751</v>
      </c>
      <c r="F112" s="507">
        <v>164</v>
      </c>
      <c r="G112" s="507" t="s">
        <v>229</v>
      </c>
      <c r="H112" s="507" t="s">
        <v>229</v>
      </c>
      <c r="I112" s="642">
        <f t="shared" si="12"/>
        <v>48097</v>
      </c>
      <c r="J112" s="504">
        <v>3743</v>
      </c>
      <c r="K112" s="517" t="s">
        <v>229</v>
      </c>
      <c r="L112" s="503">
        <v>1989</v>
      </c>
      <c r="M112" s="516" t="s">
        <v>229</v>
      </c>
      <c r="N112" s="503">
        <v>6431</v>
      </c>
      <c r="O112" s="643">
        <f t="shared" si="13"/>
        <v>60260</v>
      </c>
      <c r="P112" s="502"/>
      <c r="Q112" s="632">
        <f t="shared" si="18"/>
        <v>47744.9</v>
      </c>
      <c r="S112" s="518"/>
    </row>
    <row r="113" spans="1:19">
      <c r="A113" s="485">
        <v>1995</v>
      </c>
      <c r="B113" s="509">
        <v>65675</v>
      </c>
      <c r="C113" s="501">
        <v>44</v>
      </c>
      <c r="D113" s="642">
        <f t="shared" si="17"/>
        <v>65719</v>
      </c>
      <c r="E113" s="507">
        <v>1688</v>
      </c>
      <c r="F113" s="507">
        <v>154</v>
      </c>
      <c r="G113" s="507" t="s">
        <v>229</v>
      </c>
      <c r="H113" s="507">
        <v>0</v>
      </c>
      <c r="I113" s="642">
        <f t="shared" si="12"/>
        <v>67561</v>
      </c>
      <c r="J113" s="504">
        <v>4707</v>
      </c>
      <c r="K113" s="517" t="s">
        <v>229</v>
      </c>
      <c r="L113" s="503">
        <v>1892</v>
      </c>
      <c r="M113" s="516" t="s">
        <v>229</v>
      </c>
      <c r="N113" s="503">
        <v>6709</v>
      </c>
      <c r="O113" s="643">
        <f t="shared" si="13"/>
        <v>80869</v>
      </c>
      <c r="P113" s="502"/>
      <c r="Q113" s="632">
        <f t="shared" si="18"/>
        <v>47744.9</v>
      </c>
      <c r="S113" s="518"/>
    </row>
    <row r="114" spans="1:19">
      <c r="A114" s="485">
        <v>1996</v>
      </c>
      <c r="B114" s="509">
        <v>55646</v>
      </c>
      <c r="C114" s="501">
        <v>111</v>
      </c>
      <c r="D114" s="642">
        <f t="shared" si="17"/>
        <v>55757</v>
      </c>
      <c r="E114" s="507">
        <v>2169</v>
      </c>
      <c r="F114" s="507">
        <v>276</v>
      </c>
      <c r="G114" s="507" t="s">
        <v>229</v>
      </c>
      <c r="H114" s="507">
        <v>0</v>
      </c>
      <c r="I114" s="642">
        <f t="shared" si="12"/>
        <v>58202</v>
      </c>
      <c r="J114" s="504">
        <v>3584</v>
      </c>
      <c r="K114" s="517" t="s">
        <v>229</v>
      </c>
      <c r="L114" s="503">
        <v>1482</v>
      </c>
      <c r="M114" s="516" t="s">
        <v>229</v>
      </c>
      <c r="N114" s="503">
        <v>9116</v>
      </c>
      <c r="O114" s="643">
        <f t="shared" si="13"/>
        <v>72384</v>
      </c>
      <c r="P114" s="502"/>
      <c r="Q114" s="632">
        <f t="shared" si="18"/>
        <v>47744.9</v>
      </c>
      <c r="S114" s="518"/>
    </row>
    <row r="115" spans="1:19">
      <c r="A115" s="485">
        <v>1997</v>
      </c>
      <c r="B115" s="509">
        <v>51273</v>
      </c>
      <c r="C115" s="501">
        <v>23</v>
      </c>
      <c r="D115" s="642">
        <f t="shared" si="17"/>
        <v>51296</v>
      </c>
      <c r="E115" s="507">
        <v>1246</v>
      </c>
      <c r="F115" s="507">
        <v>200</v>
      </c>
      <c r="G115" s="507" t="s">
        <v>229</v>
      </c>
      <c r="H115" s="507">
        <v>0</v>
      </c>
      <c r="I115" s="642">
        <f t="shared" si="12"/>
        <v>52742</v>
      </c>
      <c r="J115" s="504">
        <v>5447</v>
      </c>
      <c r="K115" s="517" t="s">
        <v>229</v>
      </c>
      <c r="L115" s="503">
        <v>2583</v>
      </c>
      <c r="M115" s="516" t="s">
        <v>229</v>
      </c>
      <c r="N115" s="503">
        <v>8346</v>
      </c>
      <c r="O115" s="643">
        <f t="shared" si="13"/>
        <v>69118</v>
      </c>
      <c r="P115" s="502"/>
      <c r="Q115" s="632">
        <f t="shared" si="18"/>
        <v>47744.9</v>
      </c>
      <c r="S115" s="518"/>
    </row>
    <row r="116" spans="1:19">
      <c r="A116" s="485">
        <v>1998</v>
      </c>
      <c r="B116" s="509">
        <v>68827</v>
      </c>
      <c r="C116" s="501">
        <v>70</v>
      </c>
      <c r="D116" s="642">
        <f t="shared" si="17"/>
        <v>68897</v>
      </c>
      <c r="E116" s="507">
        <v>1411</v>
      </c>
      <c r="F116" s="507">
        <v>295</v>
      </c>
      <c r="G116" s="507" t="s">
        <v>229</v>
      </c>
      <c r="H116" s="507">
        <v>0</v>
      </c>
      <c r="I116" s="642">
        <f t="shared" si="12"/>
        <v>70603</v>
      </c>
      <c r="J116" s="504">
        <v>6723</v>
      </c>
      <c r="K116" s="517" t="s">
        <v>229</v>
      </c>
      <c r="L116" s="503">
        <v>1842</v>
      </c>
      <c r="M116" s="516" t="s">
        <v>229</v>
      </c>
      <c r="N116" s="503">
        <v>8245</v>
      </c>
      <c r="O116" s="643">
        <f t="shared" si="13"/>
        <v>87413</v>
      </c>
      <c r="P116" s="502"/>
      <c r="Q116" s="632">
        <f t="shared" si="18"/>
        <v>47744.9</v>
      </c>
      <c r="S116" s="518"/>
    </row>
    <row r="117" spans="1:19">
      <c r="A117" s="485">
        <v>1999</v>
      </c>
      <c r="B117" s="509">
        <v>62337</v>
      </c>
      <c r="C117" s="501">
        <v>42</v>
      </c>
      <c r="D117" s="642">
        <f t="shared" si="17"/>
        <v>62379</v>
      </c>
      <c r="E117" s="507">
        <v>1115</v>
      </c>
      <c r="F117" s="507">
        <v>353</v>
      </c>
      <c r="G117" s="507" t="s">
        <v>229</v>
      </c>
      <c r="H117" s="507">
        <v>14</v>
      </c>
      <c r="I117" s="642">
        <f t="shared" si="12"/>
        <v>63861</v>
      </c>
      <c r="J117" s="504">
        <v>5913</v>
      </c>
      <c r="K117" s="517"/>
      <c r="L117" s="503">
        <v>3278</v>
      </c>
      <c r="M117" s="516"/>
      <c r="N117" s="503">
        <v>6742</v>
      </c>
      <c r="O117" s="643">
        <f t="shared" si="13"/>
        <v>79794</v>
      </c>
      <c r="P117" s="502"/>
      <c r="Q117" s="632">
        <f>AVERAGE(D$108:D$117)</f>
        <v>47744.9</v>
      </c>
      <c r="S117" s="518"/>
    </row>
    <row r="118" spans="1:19">
      <c r="A118" s="485">
        <v>2000</v>
      </c>
      <c r="B118" s="509">
        <v>31259</v>
      </c>
      <c r="C118" s="501">
        <v>5</v>
      </c>
      <c r="D118" s="642">
        <f t="shared" si="17"/>
        <v>31264</v>
      </c>
      <c r="E118" s="507">
        <v>740</v>
      </c>
      <c r="F118" s="507">
        <v>689</v>
      </c>
      <c r="G118" s="507" t="s">
        <v>229</v>
      </c>
      <c r="H118" s="507">
        <v>6</v>
      </c>
      <c r="I118" s="642">
        <f t="shared" si="12"/>
        <v>32699</v>
      </c>
      <c r="J118" s="504">
        <v>3168</v>
      </c>
      <c r="K118" s="517"/>
      <c r="L118" s="503">
        <v>4856</v>
      </c>
      <c r="M118" s="516"/>
      <c r="N118" s="503">
        <v>5531</v>
      </c>
      <c r="O118" s="643">
        <f t="shared" si="13"/>
        <v>46254</v>
      </c>
      <c r="P118" s="502"/>
      <c r="Q118" s="632">
        <f t="shared" ref="Q118:Q126" si="19">AVERAGE(D$118:D$127)</f>
        <v>32129.7</v>
      </c>
    </row>
    <row r="119" spans="1:19">
      <c r="A119" s="485">
        <v>2001</v>
      </c>
      <c r="B119" s="509">
        <v>39524</v>
      </c>
      <c r="C119" s="501">
        <v>76</v>
      </c>
      <c r="D119" s="642">
        <f t="shared" si="17"/>
        <v>39600</v>
      </c>
      <c r="E119" s="507">
        <v>935</v>
      </c>
      <c r="F119" s="507">
        <v>826</v>
      </c>
      <c r="G119" s="507" t="s">
        <v>229</v>
      </c>
      <c r="H119" s="507">
        <v>16</v>
      </c>
      <c r="I119" s="642">
        <f t="shared" si="12"/>
        <v>41377</v>
      </c>
      <c r="J119" s="504">
        <v>3113</v>
      </c>
      <c r="K119" s="517"/>
      <c r="L119" s="503">
        <v>3553</v>
      </c>
      <c r="M119" s="516"/>
      <c r="N119" s="503">
        <v>4904</v>
      </c>
      <c r="O119" s="643">
        <f t="shared" si="13"/>
        <v>52947</v>
      </c>
      <c r="P119" s="502"/>
      <c r="Q119" s="632">
        <f t="shared" si="19"/>
        <v>32129.7</v>
      </c>
      <c r="S119" s="731"/>
    </row>
    <row r="120" spans="1:19">
      <c r="A120" s="485">
        <v>2002</v>
      </c>
      <c r="B120" s="509">
        <v>38734</v>
      </c>
      <c r="C120" s="501">
        <v>14</v>
      </c>
      <c r="D120" s="642">
        <f t="shared" si="17"/>
        <v>38748</v>
      </c>
      <c r="E120" s="507">
        <v>773</v>
      </c>
      <c r="F120" s="507">
        <v>549</v>
      </c>
      <c r="G120" s="507">
        <v>25</v>
      </c>
      <c r="H120" s="507">
        <v>4</v>
      </c>
      <c r="I120" s="642">
        <f t="shared" si="12"/>
        <v>40099</v>
      </c>
      <c r="J120" s="504">
        <v>2056</v>
      </c>
      <c r="K120" s="515">
        <v>33</v>
      </c>
      <c r="L120" s="503">
        <v>3653</v>
      </c>
      <c r="M120" s="514">
        <v>564</v>
      </c>
      <c r="N120" s="503">
        <v>5098</v>
      </c>
      <c r="O120" s="643">
        <f t="shared" si="13"/>
        <v>51503</v>
      </c>
      <c r="P120" s="502"/>
      <c r="Q120" s="632">
        <f t="shared" si="19"/>
        <v>32129.7</v>
      </c>
      <c r="S120" s="732">
        <f>D120/O120</f>
        <v>0.75234452361998327</v>
      </c>
    </row>
    <row r="121" spans="1:19">
      <c r="A121" s="485">
        <v>2003</v>
      </c>
      <c r="B121" s="509">
        <v>47721</v>
      </c>
      <c r="C121" s="501">
        <v>151</v>
      </c>
      <c r="D121" s="642">
        <f t="shared" si="17"/>
        <v>47872</v>
      </c>
      <c r="E121" s="507">
        <v>1073</v>
      </c>
      <c r="F121" s="507">
        <v>710</v>
      </c>
      <c r="G121" s="507">
        <v>83</v>
      </c>
      <c r="H121" s="507">
        <v>3</v>
      </c>
      <c r="I121" s="642">
        <f t="shared" si="12"/>
        <v>49741</v>
      </c>
      <c r="J121" s="504">
        <v>1921</v>
      </c>
      <c r="K121" s="513">
        <v>18</v>
      </c>
      <c r="L121" s="503">
        <v>2538</v>
      </c>
      <c r="M121" s="503">
        <v>554</v>
      </c>
      <c r="N121" s="503">
        <v>5717</v>
      </c>
      <c r="O121" s="643">
        <f t="shared" si="13"/>
        <v>60489</v>
      </c>
      <c r="P121" s="502"/>
      <c r="Q121" s="632">
        <f t="shared" si="19"/>
        <v>32129.7</v>
      </c>
      <c r="S121" s="732">
        <f t="shared" ref="S121:S130" si="20">D121/O121</f>
        <v>0.79141662120385525</v>
      </c>
    </row>
    <row r="122" spans="1:19">
      <c r="A122" s="485">
        <v>2004</v>
      </c>
      <c r="B122" s="509">
        <v>38191</v>
      </c>
      <c r="C122" s="501">
        <v>87</v>
      </c>
      <c r="D122" s="642">
        <f t="shared" si="17"/>
        <v>38278</v>
      </c>
      <c r="E122" s="507">
        <v>539</v>
      </c>
      <c r="F122" s="507">
        <v>1106</v>
      </c>
      <c r="G122" s="507">
        <v>67</v>
      </c>
      <c r="H122" s="507">
        <v>5</v>
      </c>
      <c r="I122" s="642">
        <f t="shared" si="12"/>
        <v>39995</v>
      </c>
      <c r="J122" s="504">
        <v>2502</v>
      </c>
      <c r="K122" s="512">
        <v>7</v>
      </c>
      <c r="L122" s="503">
        <v>3346</v>
      </c>
      <c r="M122" s="511">
        <v>636</v>
      </c>
      <c r="N122" s="503">
        <v>3435</v>
      </c>
      <c r="O122" s="643">
        <f t="shared" si="13"/>
        <v>49921</v>
      </c>
      <c r="P122" s="502"/>
      <c r="Q122" s="632">
        <f t="shared" si="19"/>
        <v>32129.7</v>
      </c>
      <c r="S122" s="732">
        <f t="shared" si="20"/>
        <v>0.76677149896837005</v>
      </c>
    </row>
    <row r="123" spans="1:19">
      <c r="A123" s="485">
        <v>2005</v>
      </c>
      <c r="B123" s="509">
        <v>34608</v>
      </c>
      <c r="C123" s="501">
        <v>277</v>
      </c>
      <c r="D123" s="642">
        <f t="shared" si="17"/>
        <v>34885</v>
      </c>
      <c r="E123" s="507">
        <v>760</v>
      </c>
      <c r="F123" s="507">
        <v>260</v>
      </c>
      <c r="G123" s="507">
        <v>92</v>
      </c>
      <c r="H123" s="507">
        <v>11</v>
      </c>
      <c r="I123" s="642">
        <f t="shared" si="12"/>
        <v>36008</v>
      </c>
      <c r="J123" s="504">
        <v>2065</v>
      </c>
      <c r="K123" s="504">
        <v>51</v>
      </c>
      <c r="L123" s="503">
        <v>2229</v>
      </c>
      <c r="M123" s="506">
        <v>389</v>
      </c>
      <c r="N123" s="503">
        <v>4093</v>
      </c>
      <c r="O123" s="643">
        <f t="shared" si="13"/>
        <v>44835</v>
      </c>
      <c r="P123" s="502"/>
      <c r="Q123" s="632">
        <f t="shared" si="19"/>
        <v>32129.7</v>
      </c>
      <c r="S123" s="732">
        <f t="shared" si="20"/>
        <v>0.77807516449202629</v>
      </c>
    </row>
    <row r="124" spans="1:19">
      <c r="A124" s="485">
        <v>2006</v>
      </c>
      <c r="B124" s="509">
        <v>30278</v>
      </c>
      <c r="C124" s="501">
        <v>238</v>
      </c>
      <c r="D124" s="642">
        <f t="shared" si="17"/>
        <v>30516</v>
      </c>
      <c r="E124" s="507">
        <v>779</v>
      </c>
      <c r="F124" s="507">
        <v>779</v>
      </c>
      <c r="G124" s="507">
        <v>11</v>
      </c>
      <c r="H124" s="507">
        <v>3</v>
      </c>
      <c r="I124" s="642">
        <f t="shared" si="12"/>
        <v>32088</v>
      </c>
      <c r="J124" s="504">
        <v>2681</v>
      </c>
      <c r="K124" s="504">
        <v>18</v>
      </c>
      <c r="L124" s="503">
        <v>2769</v>
      </c>
      <c r="M124" s="510">
        <v>460</v>
      </c>
      <c r="N124" s="503">
        <v>3425</v>
      </c>
      <c r="O124" s="643">
        <f t="shared" si="13"/>
        <v>41441</v>
      </c>
      <c r="P124" s="502"/>
      <c r="Q124" s="632">
        <f>AVERAGE(D$118:D$127)</f>
        <v>32129.7</v>
      </c>
      <c r="S124" s="732">
        <f t="shared" si="20"/>
        <v>0.73637219179073865</v>
      </c>
    </row>
    <row r="125" spans="1:19">
      <c r="A125" s="485">
        <v>2007</v>
      </c>
      <c r="B125" s="509">
        <v>39095</v>
      </c>
      <c r="C125" s="501">
        <v>88</v>
      </c>
      <c r="D125" s="642">
        <f t="shared" si="17"/>
        <v>39183</v>
      </c>
      <c r="E125" s="507">
        <v>1021</v>
      </c>
      <c r="F125" s="507">
        <v>1145</v>
      </c>
      <c r="G125" s="507">
        <v>70</v>
      </c>
      <c r="H125" s="507">
        <v>2</v>
      </c>
      <c r="I125" s="642">
        <f t="shared" si="12"/>
        <v>41421</v>
      </c>
      <c r="J125" s="504">
        <v>2722</v>
      </c>
      <c r="K125" s="504">
        <v>28</v>
      </c>
      <c r="L125" s="503">
        <v>3276</v>
      </c>
      <c r="M125" s="506">
        <v>663</v>
      </c>
      <c r="N125" s="503">
        <v>5123</v>
      </c>
      <c r="O125" s="643">
        <f t="shared" si="13"/>
        <v>53233</v>
      </c>
      <c r="P125" s="502"/>
      <c r="Q125" s="632">
        <f t="shared" si="19"/>
        <v>32129.7</v>
      </c>
      <c r="S125" s="732">
        <f t="shared" si="20"/>
        <v>0.73606597411380159</v>
      </c>
    </row>
    <row r="126" spans="1:19">
      <c r="A126" s="485">
        <v>2008</v>
      </c>
      <c r="B126" s="509">
        <v>11437</v>
      </c>
      <c r="C126" s="508">
        <v>42</v>
      </c>
      <c r="D126" s="642">
        <f t="shared" si="17"/>
        <v>11479</v>
      </c>
      <c r="E126" s="505">
        <v>537</v>
      </c>
      <c r="F126" s="505">
        <v>470</v>
      </c>
      <c r="G126" s="505">
        <v>47</v>
      </c>
      <c r="H126" s="505">
        <v>4</v>
      </c>
      <c r="I126" s="642">
        <f t="shared" si="12"/>
        <v>12537</v>
      </c>
      <c r="J126" s="504">
        <v>2022</v>
      </c>
      <c r="K126" s="504">
        <v>23</v>
      </c>
      <c r="L126" s="503">
        <v>2381</v>
      </c>
      <c r="M126" s="506">
        <v>837</v>
      </c>
      <c r="N126" s="503">
        <v>3616</v>
      </c>
      <c r="O126" s="643">
        <f t="shared" si="13"/>
        <v>21416</v>
      </c>
      <c r="P126" s="497"/>
      <c r="Q126" s="632">
        <f t="shared" si="19"/>
        <v>32129.7</v>
      </c>
      <c r="S126" s="732">
        <f t="shared" si="20"/>
        <v>0.53600112065745242</v>
      </c>
    </row>
    <row r="127" spans="1:19">
      <c r="A127" s="485">
        <v>2009</v>
      </c>
      <c r="B127" s="509">
        <v>9457</v>
      </c>
      <c r="C127" s="508">
        <v>15</v>
      </c>
      <c r="D127" s="642">
        <f t="shared" si="17"/>
        <v>9472</v>
      </c>
      <c r="E127" s="507">
        <v>876</v>
      </c>
      <c r="F127" s="623">
        <v>212</v>
      </c>
      <c r="G127" s="623">
        <v>50</v>
      </c>
      <c r="H127" s="623">
        <v>0</v>
      </c>
      <c r="I127" s="642">
        <f t="shared" si="12"/>
        <v>10610</v>
      </c>
      <c r="J127" s="504">
        <v>223</v>
      </c>
      <c r="K127" s="504">
        <v>9</v>
      </c>
      <c r="L127" s="503">
        <v>2493</v>
      </c>
      <c r="M127" s="641">
        <f>6+536+1</f>
        <v>543</v>
      </c>
      <c r="N127" s="503">
        <v>1355</v>
      </c>
      <c r="O127" s="643">
        <f t="shared" si="13"/>
        <v>15233</v>
      </c>
      <c r="P127" s="502"/>
      <c r="Q127" s="632">
        <f>AVERAGE(D$118:D$127)</f>
        <v>32129.7</v>
      </c>
      <c r="S127" s="732">
        <f t="shared" si="20"/>
        <v>0.62180791702225435</v>
      </c>
    </row>
    <row r="128" spans="1:19">
      <c r="A128" s="485">
        <v>2010</v>
      </c>
      <c r="B128" s="509">
        <v>9645</v>
      </c>
      <c r="C128" s="501">
        <v>0</v>
      </c>
      <c r="D128" s="642">
        <f t="shared" si="17"/>
        <v>9645</v>
      </c>
      <c r="E128" s="505">
        <v>906</v>
      </c>
      <c r="F128" s="624">
        <v>278</v>
      </c>
      <c r="G128" s="622">
        <v>32</v>
      </c>
      <c r="H128" s="624">
        <v>0</v>
      </c>
      <c r="I128" s="642">
        <f t="shared" si="12"/>
        <v>10861</v>
      </c>
      <c r="J128" s="504">
        <v>700</v>
      </c>
      <c r="K128" s="504">
        <v>18</v>
      </c>
      <c r="L128" s="628">
        <v>2099</v>
      </c>
      <c r="M128" s="504">
        <v>326</v>
      </c>
      <c r="N128" s="503">
        <v>2409</v>
      </c>
      <c r="O128" s="643">
        <f t="shared" si="13"/>
        <v>16413</v>
      </c>
      <c r="P128" s="502"/>
      <c r="Q128" s="632">
        <f>AVERAGE(D$128:D$134)</f>
        <v>11791.8</v>
      </c>
      <c r="S128" s="732">
        <f t="shared" si="20"/>
        <v>0.58764394077865112</v>
      </c>
    </row>
    <row r="129" spans="1:20">
      <c r="A129" s="485">
        <v>2011</v>
      </c>
      <c r="B129" s="509">
        <v>18499</v>
      </c>
      <c r="C129" s="501">
        <v>1</v>
      </c>
      <c r="D129" s="642">
        <f t="shared" si="17"/>
        <v>18500</v>
      </c>
      <c r="E129" s="483">
        <v>1281</v>
      </c>
      <c r="F129" s="673">
        <v>212</v>
      </c>
      <c r="G129" s="673">
        <v>6</v>
      </c>
      <c r="H129" s="673">
        <v>0</v>
      </c>
      <c r="I129" s="642">
        <f t="shared" si="12"/>
        <v>19999</v>
      </c>
      <c r="J129" s="672">
        <v>1067</v>
      </c>
      <c r="K129" s="672">
        <v>13</v>
      </c>
      <c r="L129" s="672">
        <v>2319</v>
      </c>
      <c r="M129" s="672">
        <v>743</v>
      </c>
      <c r="N129" s="672">
        <v>1753</v>
      </c>
      <c r="O129" s="643">
        <f t="shared" si="13"/>
        <v>25894</v>
      </c>
      <c r="P129" s="497"/>
      <c r="Q129" s="632">
        <f t="shared" ref="Q129:Q132" si="21">AVERAGE(D$128:D$134)</f>
        <v>11791.8</v>
      </c>
      <c r="S129" s="732">
        <f t="shared" si="20"/>
        <v>0.7144512242218275</v>
      </c>
    </row>
    <row r="130" spans="1:20">
      <c r="A130" s="485">
        <v>2012</v>
      </c>
      <c r="B130" s="509">
        <v>11764</v>
      </c>
      <c r="C130" s="501">
        <v>1</v>
      </c>
      <c r="D130" s="642">
        <f t="shared" si="17"/>
        <v>11765</v>
      </c>
      <c r="E130" s="483">
        <v>853</v>
      </c>
      <c r="F130" s="673">
        <v>238</v>
      </c>
      <c r="G130" s="673">
        <v>6</v>
      </c>
      <c r="H130" s="673">
        <v>0</v>
      </c>
      <c r="I130" s="642">
        <f t="shared" si="12"/>
        <v>12862</v>
      </c>
      <c r="J130" s="672">
        <v>567</v>
      </c>
      <c r="K130" s="672">
        <v>5</v>
      </c>
      <c r="L130" s="672">
        <v>2095</v>
      </c>
      <c r="M130" s="672">
        <v>785</v>
      </c>
      <c r="N130" s="672">
        <v>535</v>
      </c>
      <c r="O130" s="643">
        <f>SUM(I130:N130)</f>
        <v>16849</v>
      </c>
      <c r="P130" s="497"/>
      <c r="Q130" s="632">
        <f t="shared" si="21"/>
        <v>11791.8</v>
      </c>
      <c r="S130" s="732">
        <f t="shared" si="20"/>
        <v>0.69826102439313908</v>
      </c>
    </row>
    <row r="131" spans="1:20">
      <c r="A131" s="485">
        <v>2013</v>
      </c>
      <c r="B131" s="509">
        <v>8826</v>
      </c>
      <c r="C131" s="509">
        <v>16</v>
      </c>
      <c r="D131" s="642">
        <f t="shared" si="17"/>
        <v>8842</v>
      </c>
      <c r="E131" s="687">
        <v>562</v>
      </c>
      <c r="F131" s="673">
        <v>860</v>
      </c>
      <c r="G131" s="673">
        <v>55</v>
      </c>
      <c r="H131" s="673">
        <v>0</v>
      </c>
      <c r="I131" s="642">
        <f t="shared" si="12"/>
        <v>10319</v>
      </c>
      <c r="J131" s="672">
        <v>744</v>
      </c>
      <c r="K131" s="672">
        <v>18</v>
      </c>
      <c r="L131" s="672">
        <v>2148</v>
      </c>
      <c r="M131" s="672">
        <v>374</v>
      </c>
      <c r="N131" s="672">
        <v>285</v>
      </c>
      <c r="O131" s="643">
        <f>SUM(I131:N131)</f>
        <v>13888</v>
      </c>
      <c r="P131" s="497"/>
      <c r="Q131" s="632">
        <f t="shared" si="21"/>
        <v>11791.8</v>
      </c>
      <c r="S131" s="732">
        <f t="shared" ref="S131" si="22">D131/O131</f>
        <v>0.6366647465437788</v>
      </c>
    </row>
    <row r="132" spans="1:20">
      <c r="A132" s="485">
        <v>2014</v>
      </c>
      <c r="B132" s="509">
        <v>10207</v>
      </c>
      <c r="C132" s="501">
        <v>0</v>
      </c>
      <c r="D132" s="642">
        <f t="shared" si="17"/>
        <v>10207</v>
      </c>
      <c r="E132" s="687">
        <v>768</v>
      </c>
      <c r="F132" s="889">
        <f>AVERAGE(F127:F131)</f>
        <v>360</v>
      </c>
      <c r="G132" s="673">
        <v>36</v>
      </c>
      <c r="H132" s="673">
        <v>0</v>
      </c>
      <c r="I132" s="642">
        <f t="shared" si="12"/>
        <v>11371</v>
      </c>
      <c r="J132" s="686">
        <f>AVERAGE(J127:J131)</f>
        <v>660.2</v>
      </c>
      <c r="K132" s="686">
        <f t="shared" ref="K132:M132" si="23">AVERAGE(K127:K131)</f>
        <v>12.6</v>
      </c>
      <c r="L132" s="686">
        <f t="shared" si="23"/>
        <v>2230.8000000000002</v>
      </c>
      <c r="M132" s="686">
        <f t="shared" si="23"/>
        <v>554.20000000000005</v>
      </c>
      <c r="N132" s="686">
        <f t="shared" ref="N132" si="24">AVERAGE(N127:N131)</f>
        <v>1267.4000000000001</v>
      </c>
      <c r="O132" s="643">
        <f>SUM(I132:N132)</f>
        <v>16096.200000000003</v>
      </c>
      <c r="P132" s="497"/>
      <c r="Q132" s="632">
        <f t="shared" si="21"/>
        <v>11791.8</v>
      </c>
      <c r="S132" s="732">
        <f>D132/O132</f>
        <v>0.63412482449273733</v>
      </c>
    </row>
    <row r="133" spans="1:20">
      <c r="A133" s="485"/>
      <c r="B133" s="500"/>
      <c r="C133" s="499"/>
      <c r="D133" s="498"/>
      <c r="E133" s="498"/>
      <c r="F133" s="498"/>
      <c r="G133" s="498"/>
      <c r="H133" s="498"/>
      <c r="I133" s="498"/>
      <c r="J133" s="497"/>
      <c r="K133" s="497"/>
      <c r="L133" s="497"/>
      <c r="M133" s="497"/>
      <c r="N133" s="497"/>
      <c r="O133" s="497"/>
      <c r="P133" s="497"/>
      <c r="Q133" s="497"/>
      <c r="R133" s="489"/>
      <c r="S133" s="489"/>
    </row>
    <row r="134" spans="1:20" ht="13.8" thickBot="1">
      <c r="A134" s="485"/>
      <c r="B134" s="500"/>
      <c r="C134" s="499"/>
      <c r="D134" s="498"/>
      <c r="E134" s="498"/>
      <c r="F134" s="498"/>
      <c r="G134" s="498"/>
      <c r="H134" s="498"/>
      <c r="I134" s="498"/>
      <c r="J134" s="497"/>
      <c r="K134" s="497"/>
      <c r="L134" s="497"/>
      <c r="M134" s="497"/>
      <c r="N134" s="497"/>
      <c r="O134" s="497"/>
      <c r="P134" s="497"/>
      <c r="Q134" s="497"/>
      <c r="R134" s="489"/>
      <c r="S134" s="645"/>
      <c r="T134" s="646"/>
    </row>
    <row r="135" spans="1:20">
      <c r="A135" s="496" t="e">
        <f>"10 Year Average Harvests "&amp;(FcastYr2-10)&amp;"-"&amp;(FcastYr2-1)</f>
        <v>#NAME?</v>
      </c>
      <c r="B135" s="495"/>
      <c r="C135" s="495"/>
      <c r="D135" s="494"/>
      <c r="E135" s="494"/>
      <c r="F135" s="494"/>
      <c r="G135" s="494"/>
      <c r="H135" s="494"/>
      <c r="I135" s="494"/>
      <c r="J135" s="493"/>
      <c r="K135" s="493"/>
      <c r="L135" s="493"/>
      <c r="M135" s="493"/>
      <c r="N135" s="493"/>
      <c r="O135" s="493"/>
      <c r="P135" s="492"/>
      <c r="Q135" s="492"/>
      <c r="R135" s="733" t="s">
        <v>224</v>
      </c>
      <c r="S135" s="734"/>
    </row>
    <row r="136" spans="1:20">
      <c r="A136" s="491" t="s">
        <v>117</v>
      </c>
      <c r="B136" s="384">
        <f ca="1">AVERAGE(OFFSET(B27,COUNT(B27:B134)-10,0,10,1))</f>
        <v>18381.599999999999</v>
      </c>
      <c r="C136" s="384">
        <f ca="1">AVERAGE(OFFSET(C73,COUNT(C73:C133)-10,0,10,1))</f>
        <v>67.8</v>
      </c>
      <c r="D136" s="384">
        <f ca="1">AVERAGE(OFFSET(D8,COUNT(D8:D133)-10,0,10,1))</f>
        <v>18449.400000000001</v>
      </c>
      <c r="E136" s="384">
        <f ca="1">AVERAGE(OFFSET(E112,COUNT(E112:E133)-10,0,10,1))</f>
        <v>834.3</v>
      </c>
      <c r="F136" s="384">
        <f ca="1">AVERAGE(OFFSET(F78,COUNT(F78:F133)-10,0,10,1))</f>
        <v>481.4</v>
      </c>
      <c r="G136" s="384">
        <f ca="1">AVERAGE(OFFSET(G120,COUNT(G120:G133)-10,0,10,1))</f>
        <v>40.5</v>
      </c>
      <c r="H136" s="384">
        <f ca="1">AVERAGE(OFFSET(H113,COUNT(H113:H133)-10,0,10,1))</f>
        <v>2</v>
      </c>
      <c r="I136" s="384"/>
      <c r="J136" s="384">
        <f ca="1">AVERAGE(OFFSET(J78,COUNT(J78:J133)-10,0,10,1))</f>
        <v>1345.1200000000001</v>
      </c>
      <c r="K136" s="384">
        <f ca="1">AVERAGE(OFFSET(K120,COUNT(K120:K133)-10,0,10,1))</f>
        <v>19.559999999999999</v>
      </c>
      <c r="L136" s="384">
        <f ca="1">AVERAGE(OFFSET(L78,COUNT(L78:L133)-10,0,10,1))</f>
        <v>2403.98</v>
      </c>
      <c r="M136" s="384">
        <f ca="1">AVERAGE(OFFSET(M120,COUNT(M120:M133)-10,0,10,1))</f>
        <v>567.41999999999996</v>
      </c>
      <c r="N136" s="384">
        <f ca="1">AVERAGE(OFFSET(N84,COUNT(N84:N133)-10,0,10,1))</f>
        <v>2386.1400000000003</v>
      </c>
      <c r="O136" s="384">
        <f ca="1">AVERAGE(OFFSET(O8,COUNT(O8:O133)-10,0,10,1))</f>
        <v>26529.82</v>
      </c>
      <c r="P136" s="490"/>
      <c r="Q136" s="490"/>
      <c r="R136" s="735">
        <v>5</v>
      </c>
      <c r="S136" s="737">
        <f>AVERAGE(S128:S132)</f>
        <v>0.65422915208602672</v>
      </c>
    </row>
    <row r="137" spans="1:20" ht="13.8" thickBot="1">
      <c r="A137" s="488" t="s">
        <v>118</v>
      </c>
      <c r="B137" s="690">
        <f ca="1">MIN(OFFSET(B27,COUNT(B27:B134)-10,0,10,1))</f>
        <v>8826</v>
      </c>
      <c r="C137" s="284">
        <f t="shared" ref="C137:N137" si="25">MIN(C121:C133)</f>
        <v>0</v>
      </c>
      <c r="D137" s="284">
        <f t="shared" si="25"/>
        <v>8842</v>
      </c>
      <c r="E137" s="284">
        <f t="shared" si="25"/>
        <v>537</v>
      </c>
      <c r="F137" s="284">
        <f t="shared" si="25"/>
        <v>212</v>
      </c>
      <c r="G137" s="284">
        <f t="shared" si="25"/>
        <v>6</v>
      </c>
      <c r="H137" s="284">
        <f t="shared" si="25"/>
        <v>0</v>
      </c>
      <c r="I137" s="284"/>
      <c r="J137" s="284">
        <f t="shared" si="25"/>
        <v>223</v>
      </c>
      <c r="K137" s="284">
        <f t="shared" si="25"/>
        <v>5</v>
      </c>
      <c r="L137" s="284">
        <f t="shared" si="25"/>
        <v>2095</v>
      </c>
      <c r="M137" s="284">
        <f t="shared" si="25"/>
        <v>326</v>
      </c>
      <c r="N137" s="284">
        <f t="shared" si="25"/>
        <v>285</v>
      </c>
      <c r="O137" s="690">
        <f ca="1">MIN(OFFSET(O8,COUNT(O8:O134)-10,0,10,1))</f>
        <v>13888</v>
      </c>
      <c r="P137" s="490"/>
      <c r="Q137" s="490"/>
      <c r="R137" s="736">
        <v>10</v>
      </c>
      <c r="S137" s="738">
        <f>AVERAGE(S123:S132)</f>
        <v>0.66794681285064061</v>
      </c>
    </row>
    <row r="138" spans="1:20">
      <c r="A138" s="488" t="s">
        <v>119</v>
      </c>
      <c r="B138" s="690">
        <f ca="1">MAX(OFFSET(B27,COUNT(B27:B134)-10,0,10,1))</f>
        <v>39095</v>
      </c>
      <c r="C138" s="284">
        <f>MAX(C121:C133)</f>
        <v>277</v>
      </c>
      <c r="D138" s="284">
        <f t="shared" ref="D138:O138" si="26">MAX(D121:D133)</f>
        <v>47872</v>
      </c>
      <c r="E138" s="284">
        <f t="shared" si="26"/>
        <v>1281</v>
      </c>
      <c r="F138" s="284">
        <f t="shared" si="26"/>
        <v>1145</v>
      </c>
      <c r="G138" s="284">
        <f t="shared" si="26"/>
        <v>92</v>
      </c>
      <c r="H138" s="284">
        <f t="shared" si="26"/>
        <v>11</v>
      </c>
      <c r="I138" s="284"/>
      <c r="J138" s="284">
        <f t="shared" si="26"/>
        <v>2722</v>
      </c>
      <c r="K138" s="284">
        <f t="shared" si="26"/>
        <v>51</v>
      </c>
      <c r="L138" s="284">
        <f t="shared" si="26"/>
        <v>3346</v>
      </c>
      <c r="M138" s="284">
        <f t="shared" si="26"/>
        <v>837</v>
      </c>
      <c r="N138" s="284">
        <f t="shared" si="26"/>
        <v>5717</v>
      </c>
      <c r="O138" s="284">
        <f t="shared" si="26"/>
        <v>60489</v>
      </c>
      <c r="P138" s="284"/>
      <c r="Q138" s="284"/>
    </row>
    <row r="139" spans="1:20">
      <c r="A139" s="488" t="s">
        <v>365</v>
      </c>
      <c r="B139" s="690">
        <f ca="1">COUNT(OFFSET(B27,COUNT(B27:B134)-10,0,10,1))</f>
        <v>10</v>
      </c>
      <c r="C139" s="284">
        <f t="shared" ref="C139:O139" si="27">COUNT(C121:C133)</f>
        <v>12</v>
      </c>
      <c r="D139" s="284">
        <f t="shared" si="27"/>
        <v>12</v>
      </c>
      <c r="E139" s="284">
        <f t="shared" si="27"/>
        <v>12</v>
      </c>
      <c r="F139" s="284">
        <f t="shared" si="27"/>
        <v>12</v>
      </c>
      <c r="G139" s="284">
        <f t="shared" si="27"/>
        <v>12</v>
      </c>
      <c r="H139" s="284">
        <f t="shared" si="27"/>
        <v>12</v>
      </c>
      <c r="I139" s="284"/>
      <c r="J139" s="284">
        <f>COUNT(J121:J133)</f>
        <v>12</v>
      </c>
      <c r="K139" s="284">
        <f t="shared" si="27"/>
        <v>12</v>
      </c>
      <c r="L139" s="284">
        <f t="shared" si="27"/>
        <v>12</v>
      </c>
      <c r="M139" s="284">
        <f t="shared" si="27"/>
        <v>12</v>
      </c>
      <c r="N139" s="284">
        <f t="shared" si="27"/>
        <v>12</v>
      </c>
      <c r="O139" s="284">
        <f t="shared" si="27"/>
        <v>12</v>
      </c>
      <c r="P139" s="284"/>
      <c r="Q139" s="284"/>
    </row>
    <row r="140" spans="1:20">
      <c r="A140" s="487" t="s">
        <v>150</v>
      </c>
      <c r="B140" s="676">
        <f ca="1">STDEV(OFFSET(B27,COUNT(B27:B134)-10,0,10,1))</f>
        <v>11737.922646041097</v>
      </c>
      <c r="C140" s="676">
        <f ca="1">STDEV(OFFSET(C27,COUNT(C27:C134)-10,0,10,1))</f>
        <v>123.51626073787479</v>
      </c>
      <c r="D140" s="676">
        <f ca="1">STDEV(OFFSET(D27,COUNT(D27:D134)-10,0,10,1))</f>
        <v>11819.168303132745</v>
      </c>
      <c r="E140" s="676">
        <f ca="1">STDEV(OFFSET(E112,COUNT(E112:E134)-10,0,10,1))</f>
        <v>215.28691450145203</v>
      </c>
      <c r="F140" s="676">
        <f ca="1">STDEV(OFFSET(F78,COUNT(F78:F134)-10,0,10,1))</f>
        <v>330.30665886247112</v>
      </c>
      <c r="G140" s="676">
        <f ca="1">STDEV(OFFSET(G120,COUNT(G120:G133)-10,0,10,1))</f>
        <v>28.300961899632394</v>
      </c>
      <c r="H140" s="676">
        <f ca="1">STDEV(OFFSET(H113,COUNT(H113:H133)-10,0,10,1))</f>
        <v>3.496029493900505</v>
      </c>
      <c r="I140" s="676"/>
      <c r="J140" s="676">
        <f ca="1">STDEV(OFFSET(J78,COUNT(J78:J133)-10,0,10,1))</f>
        <v>933.65368883042834</v>
      </c>
      <c r="K140" s="676">
        <f ca="1">STDEV(OFFSET(K120,COUNT(K120:K133)-10,0,10,1))</f>
        <v>12.883339801637014</v>
      </c>
      <c r="L140" s="676">
        <f ca="1">STDEV(OFFSET(L78,COUNT(L78:L133)-10,0,10,1))</f>
        <v>368.77413081119954</v>
      </c>
      <c r="M140" s="676">
        <f ca="1">STDEV(OFFSET(M120,COUNT(M120:M133)-10,0,10,1))</f>
        <v>182.51851534692167</v>
      </c>
      <c r="N140" s="676">
        <f ca="1">STDEV(OFFSET(N84,COUNT(N84:N133)-10,0,10,1))</f>
        <v>1617.724250778097</v>
      </c>
      <c r="O140" s="676">
        <f ca="1">STDEV(OFFSET(O8,COUNT(O8:O133)-10,0,10,1))</f>
        <v>14489.078845484508</v>
      </c>
      <c r="P140" s="486"/>
      <c r="Q140" s="284"/>
    </row>
    <row r="141" spans="1:20">
      <c r="A141" s="485"/>
      <c r="B141" s="440"/>
      <c r="C141" s="440"/>
      <c r="D141" s="440"/>
      <c r="E141" s="440"/>
      <c r="F141" s="440"/>
      <c r="G141" s="440"/>
      <c r="H141" s="440"/>
      <c r="I141" s="440"/>
      <c r="J141" s="440"/>
      <c r="K141" s="440"/>
      <c r="L141" s="440"/>
      <c r="M141" s="440"/>
      <c r="N141" s="440"/>
      <c r="O141" s="440"/>
      <c r="P141" s="440"/>
      <c r="Q141" s="440"/>
    </row>
    <row r="142" spans="1:20">
      <c r="A142" s="484"/>
      <c r="B142" s="440"/>
      <c r="C142" s="440"/>
      <c r="D142" s="440"/>
      <c r="E142" s="440"/>
      <c r="F142" s="440"/>
      <c r="G142" s="440"/>
      <c r="H142" s="440"/>
      <c r="I142" s="440"/>
      <c r="J142" s="440"/>
      <c r="K142" s="440"/>
      <c r="L142" s="440"/>
      <c r="M142" s="440"/>
      <c r="N142" s="440"/>
      <c r="O142" s="440"/>
      <c r="P142" s="440"/>
      <c r="Q142" s="440"/>
    </row>
    <row r="143" spans="1:20">
      <c r="A143" s="484"/>
      <c r="B143" s="440"/>
      <c r="C143" s="440"/>
      <c r="D143" s="440"/>
      <c r="E143" s="440"/>
      <c r="F143" s="440"/>
      <c r="G143" s="440"/>
      <c r="H143" s="440"/>
      <c r="I143" s="440"/>
      <c r="J143" s="440"/>
      <c r="K143" s="440"/>
      <c r="L143" s="440"/>
      <c r="M143" s="440"/>
      <c r="N143" s="440"/>
      <c r="O143" s="440"/>
      <c r="P143" s="440"/>
      <c r="Q143" s="440"/>
    </row>
    <row r="144" spans="1:20">
      <c r="A144" s="484" t="s">
        <v>414</v>
      </c>
      <c r="B144" s="440"/>
      <c r="C144" s="440"/>
      <c r="D144" s="681">
        <f>AVERAGE(D8:D133)</f>
        <v>19068.432000000001</v>
      </c>
      <c r="E144" s="440"/>
      <c r="F144" s="440"/>
      <c r="G144" s="440"/>
      <c r="H144" s="440"/>
      <c r="I144" s="440"/>
      <c r="J144" s="440"/>
      <c r="K144" s="440"/>
      <c r="L144" s="440"/>
      <c r="M144" s="440"/>
      <c r="N144" s="440"/>
      <c r="O144" s="440"/>
      <c r="P144" s="440"/>
      <c r="Q144" s="440"/>
    </row>
    <row r="145" spans="1:17">
      <c r="A145" s="484" t="s">
        <v>415</v>
      </c>
      <c r="B145" s="484"/>
      <c r="C145" s="484"/>
      <c r="D145" s="682">
        <f>MEDIAN(D8:D130)</f>
        <v>14670</v>
      </c>
      <c r="E145" s="484"/>
      <c r="F145" s="484"/>
      <c r="G145" s="484"/>
      <c r="H145" s="484"/>
      <c r="I145" s="484"/>
      <c r="J145" s="484"/>
      <c r="K145" s="484"/>
      <c r="L145" s="484"/>
      <c r="M145" s="484"/>
      <c r="N145" s="484"/>
      <c r="O145" s="484"/>
      <c r="P145" s="484"/>
      <c r="Q145" s="484"/>
    </row>
    <row r="146" spans="1:17">
      <c r="A146" s="483" t="s">
        <v>416</v>
      </c>
      <c r="D146" s="683">
        <f>MEDIAN(D98:D133)</f>
        <v>38278</v>
      </c>
    </row>
    <row r="150" spans="1:17">
      <c r="B150" s="727"/>
    </row>
  </sheetData>
  <mergeCells count="5">
    <mergeCell ref="J6:K6"/>
    <mergeCell ref="L6:M6"/>
    <mergeCell ref="J5:M5"/>
    <mergeCell ref="B6:D6"/>
    <mergeCell ref="A5:H5"/>
  </mergeCells>
  <pageMargins left="0.75" right="0.75" top="1" bottom="1" header="0.5" footer="0.5"/>
  <pageSetup scale="26"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O72"/>
  <sheetViews>
    <sheetView zoomScale="70" workbookViewId="0">
      <pane ySplit="6" topLeftCell="A7" activePane="bottomLeft" state="frozen"/>
      <selection pane="bottomLeft" activeCell="Q44" sqref="Q44"/>
    </sheetView>
  </sheetViews>
  <sheetFormatPr defaultColWidth="9.33203125" defaultRowHeight="13.2"/>
  <cols>
    <col min="1" max="1" width="16.33203125" style="557" customWidth="1"/>
    <col min="2" max="2" width="23.77734375" style="557" customWidth="1"/>
    <col min="3" max="3" width="3.77734375" style="557" customWidth="1"/>
    <col min="4" max="7" width="15" style="557" customWidth="1"/>
    <col min="8" max="8" width="3.6640625" style="557" customWidth="1"/>
    <col min="9" max="9" width="13.77734375" style="557" customWidth="1"/>
    <col min="10" max="10" width="19" style="557" customWidth="1"/>
    <col min="11" max="11" width="15.77734375" style="557" customWidth="1"/>
    <col min="12" max="12" width="3.6640625" style="557" customWidth="1"/>
    <col min="13" max="14" width="20.77734375" style="557" customWidth="1"/>
    <col min="15" max="15" width="21.33203125" style="557" customWidth="1"/>
    <col min="16" max="16384" width="9.33203125" style="557"/>
  </cols>
  <sheetData>
    <row r="1" spans="1:15" ht="15.6">
      <c r="A1" s="555" t="str">
        <f ca="1">CELL("filename")</f>
        <v>C:\Users\rebrenner\Desktop\NCEAS\DATA\PWS&amp;CBR_SALMON\PWS&amp;CR_SALMON_FORECAST_DATA\[2015 Copper River Chinook forecast-FINAL.xlsm]Ricker</v>
      </c>
      <c r="B1" s="556"/>
      <c r="C1" s="556"/>
      <c r="D1" s="556"/>
      <c r="E1" s="556"/>
      <c r="F1" s="556"/>
      <c r="G1" s="556"/>
      <c r="H1" s="556"/>
      <c r="I1" s="556"/>
      <c r="J1" s="556"/>
      <c r="K1" s="556"/>
      <c r="L1" s="556"/>
    </row>
    <row r="2" spans="1:15" ht="15.6">
      <c r="A2" s="556"/>
      <c r="B2" s="556"/>
      <c r="C2" s="556"/>
      <c r="D2" s="556"/>
      <c r="E2" s="556"/>
      <c r="F2" s="556"/>
      <c r="G2" s="556"/>
      <c r="H2" s="556"/>
      <c r="I2" s="556"/>
      <c r="J2" s="556"/>
      <c r="K2" s="556"/>
      <c r="L2" s="556"/>
    </row>
    <row r="3" spans="1:15" ht="17.399999999999999">
      <c r="A3" s="558" t="s">
        <v>180</v>
      </c>
      <c r="B3" s="558" t="s">
        <v>383</v>
      </c>
      <c r="C3" s="558"/>
      <c r="D3" s="558"/>
      <c r="E3" s="558"/>
      <c r="F3" s="558"/>
      <c r="G3" s="558"/>
      <c r="H3" s="558"/>
      <c r="I3" s="558"/>
      <c r="J3" s="558"/>
      <c r="K3" s="556"/>
      <c r="L3" s="556"/>
    </row>
    <row r="4" spans="1:15" ht="21">
      <c r="A4" s="559"/>
      <c r="B4" s="560" t="s">
        <v>384</v>
      </c>
      <c r="C4" s="559"/>
      <c r="D4" s="559"/>
      <c r="E4" s="559"/>
      <c r="F4" s="559"/>
      <c r="G4" s="559"/>
      <c r="H4" s="559"/>
      <c r="I4" s="559"/>
      <c r="J4" s="559"/>
      <c r="K4" s="559"/>
      <c r="L4" s="556"/>
    </row>
    <row r="5" spans="1:15" ht="18" customHeight="1" thickBot="1">
      <c r="A5" s="561"/>
      <c r="B5" s="562"/>
      <c r="C5" s="562"/>
      <c r="D5" s="935" t="s">
        <v>412</v>
      </c>
      <c r="E5" s="935"/>
      <c r="F5" s="935"/>
      <c r="G5" s="935"/>
      <c r="H5" s="562"/>
      <c r="I5" s="562"/>
      <c r="J5" s="936" t="s">
        <v>385</v>
      </c>
      <c r="K5" s="936"/>
      <c r="L5" s="563"/>
      <c r="M5" s="936" t="s">
        <v>386</v>
      </c>
      <c r="N5" s="936"/>
      <c r="O5" s="936"/>
    </row>
    <row r="6" spans="1:15" ht="49.5" customHeight="1">
      <c r="A6" s="564" t="s">
        <v>375</v>
      </c>
      <c r="B6" s="565" t="s">
        <v>387</v>
      </c>
      <c r="C6" s="566"/>
      <c r="D6" s="567" t="s">
        <v>171</v>
      </c>
      <c r="E6" s="566" t="s">
        <v>170</v>
      </c>
      <c r="F6" s="566" t="s">
        <v>388</v>
      </c>
      <c r="G6" s="566" t="s">
        <v>0</v>
      </c>
      <c r="H6" s="566"/>
      <c r="I6" s="568" t="s">
        <v>389</v>
      </c>
      <c r="J6" s="565" t="s">
        <v>390</v>
      </c>
      <c r="K6" s="566" t="s">
        <v>172</v>
      </c>
      <c r="L6" s="564"/>
      <c r="M6" s="565" t="s">
        <v>390</v>
      </c>
      <c r="N6" s="566" t="s">
        <v>172</v>
      </c>
      <c r="O6" s="569" t="s">
        <v>391</v>
      </c>
    </row>
    <row r="7" spans="1:15" ht="15.75" customHeight="1">
      <c r="A7" s="570">
        <v>1978</v>
      </c>
      <c r="B7" s="571">
        <v>97074</v>
      </c>
      <c r="C7" s="571"/>
      <c r="D7" s="626">
        <v>1947</v>
      </c>
      <c r="E7" s="626">
        <v>22416</v>
      </c>
      <c r="F7" s="626">
        <v>587</v>
      </c>
      <c r="G7" s="572">
        <f>SUM(D7:F7)</f>
        <v>24950</v>
      </c>
      <c r="H7" s="571"/>
      <c r="I7" s="573">
        <f>D7/G7</f>
        <v>7.8036072144288579E-2</v>
      </c>
      <c r="J7" s="574">
        <f>I7*B7</f>
        <v>7575.2736673346699</v>
      </c>
      <c r="K7" s="575" t="s">
        <v>229</v>
      </c>
      <c r="L7" s="559"/>
      <c r="M7" s="572">
        <f>$J7-SUM(Harvests!J96:N96)</f>
        <v>3141.2736673346699</v>
      </c>
      <c r="N7" s="576" t="s">
        <v>229</v>
      </c>
      <c r="O7" s="576" t="s">
        <v>229</v>
      </c>
    </row>
    <row r="8" spans="1:15" ht="15.75" customHeight="1">
      <c r="A8" s="570">
        <v>1979</v>
      </c>
      <c r="B8" s="571">
        <v>328090</v>
      </c>
      <c r="C8" s="571"/>
      <c r="D8" s="626">
        <v>2515</v>
      </c>
      <c r="E8" s="626">
        <v>23599</v>
      </c>
      <c r="F8" s="626">
        <v>752</v>
      </c>
      <c r="G8" s="572">
        <f t="shared" ref="G8:G38" si="0">SUM(D8:F8)</f>
        <v>26866</v>
      </c>
      <c r="H8" s="571"/>
      <c r="I8" s="573">
        <f t="shared" ref="I8:I37" si="1">D8/G8</f>
        <v>9.3612744733119924E-2</v>
      </c>
      <c r="J8" s="574">
        <f t="shared" ref="J8:J39" si="2">I8*B8</f>
        <v>30713.405419489314</v>
      </c>
      <c r="K8" s="575" t="s">
        <v>229</v>
      </c>
      <c r="L8" s="559"/>
      <c r="M8" s="572">
        <f>$J8-SUM(Harvests!J97:N97)</f>
        <v>22813.405419489314</v>
      </c>
      <c r="N8" s="576" t="s">
        <v>229</v>
      </c>
      <c r="O8" s="576" t="s">
        <v>229</v>
      </c>
    </row>
    <row r="9" spans="1:15" ht="15.6">
      <c r="A9" s="570">
        <v>1980</v>
      </c>
      <c r="B9" s="577">
        <v>374091</v>
      </c>
      <c r="C9" s="577"/>
      <c r="D9" s="626">
        <v>2256</v>
      </c>
      <c r="E9" s="626">
        <v>21437</v>
      </c>
      <c r="F9" s="626">
        <v>639</v>
      </c>
      <c r="G9" s="572">
        <f t="shared" si="0"/>
        <v>24332</v>
      </c>
      <c r="H9" s="577"/>
      <c r="I9" s="573">
        <f t="shared" si="1"/>
        <v>9.2717409173105378E-2</v>
      </c>
      <c r="J9" s="574">
        <f t="shared" si="2"/>
        <v>34684.748314976161</v>
      </c>
      <c r="K9" s="575" t="s">
        <v>229</v>
      </c>
      <c r="L9" s="559"/>
      <c r="M9" s="572">
        <f>$J9-SUM(Harvests!J98:N98)</f>
        <v>27781.748314976161</v>
      </c>
      <c r="N9" s="576" t="s">
        <v>229</v>
      </c>
      <c r="O9" s="578">
        <v>14283</v>
      </c>
    </row>
    <row r="10" spans="1:15" ht="15.6">
      <c r="A10" s="570">
        <v>1981</v>
      </c>
      <c r="B10" s="577">
        <v>576681</v>
      </c>
      <c r="C10" s="577"/>
      <c r="D10" s="626">
        <v>1913</v>
      </c>
      <c r="E10" s="626">
        <v>53008</v>
      </c>
      <c r="F10" s="626">
        <v>849</v>
      </c>
      <c r="G10" s="572">
        <f t="shared" si="0"/>
        <v>55770</v>
      </c>
      <c r="H10" s="577"/>
      <c r="I10" s="573">
        <f t="shared" si="1"/>
        <v>3.4301595840057375E-2</v>
      </c>
      <c r="J10" s="574">
        <f t="shared" si="2"/>
        <v>19781.078590640129</v>
      </c>
      <c r="K10" s="575" t="s">
        <v>229</v>
      </c>
      <c r="L10" s="559"/>
      <c r="M10" s="572">
        <f>$J10-SUM(Harvests!J99:N99)</f>
        <v>14244.078590640129</v>
      </c>
      <c r="N10" s="576" t="s">
        <v>229</v>
      </c>
      <c r="O10" s="578">
        <v>15084</v>
      </c>
    </row>
    <row r="11" spans="1:15" ht="15.6">
      <c r="A11" s="570">
        <v>1982</v>
      </c>
      <c r="B11" s="577">
        <v>517885</v>
      </c>
      <c r="C11" s="577"/>
      <c r="D11" s="626">
        <v>2532</v>
      </c>
      <c r="E11" s="626">
        <v>96799</v>
      </c>
      <c r="F11" s="626">
        <v>1246</v>
      </c>
      <c r="G11" s="572">
        <f t="shared" si="0"/>
        <v>100577</v>
      </c>
      <c r="H11" s="577"/>
      <c r="I11" s="573">
        <f t="shared" si="1"/>
        <v>2.5174741740159282E-2</v>
      </c>
      <c r="J11" s="574">
        <f t="shared" si="2"/>
        <v>13037.621126102389</v>
      </c>
      <c r="K11" s="575" t="s">
        <v>229</v>
      </c>
      <c r="L11" s="559"/>
      <c r="M11" s="572">
        <f>$J11-SUM(Harvests!J100:N100)</f>
        <v>6571.6211261023891</v>
      </c>
      <c r="N11" s="576" t="s">
        <v>229</v>
      </c>
      <c r="O11" s="578">
        <v>29956</v>
      </c>
    </row>
    <row r="12" spans="1:15" ht="15.6">
      <c r="A12" s="570">
        <v>1983</v>
      </c>
      <c r="B12" s="577">
        <v>592563</v>
      </c>
      <c r="C12" s="577"/>
      <c r="D12" s="626">
        <v>5421</v>
      </c>
      <c r="E12" s="626">
        <v>100995</v>
      </c>
      <c r="F12" s="626">
        <v>1690</v>
      </c>
      <c r="G12" s="572">
        <f t="shared" si="0"/>
        <v>108106</v>
      </c>
      <c r="H12" s="577"/>
      <c r="I12" s="573">
        <f t="shared" si="1"/>
        <v>5.0145227831942724E-2</v>
      </c>
      <c r="J12" s="574">
        <f t="shared" si="2"/>
        <v>29714.206639779477</v>
      </c>
      <c r="K12" s="575" t="s">
        <v>229</v>
      </c>
      <c r="L12" s="559"/>
      <c r="M12" s="572">
        <f>$J12-SUM(Harvests!J101:N101)</f>
        <v>16930.206639779477</v>
      </c>
      <c r="N12" s="576" t="s">
        <v>229</v>
      </c>
      <c r="O12" s="578">
        <v>16757</v>
      </c>
    </row>
    <row r="13" spans="1:15" ht="15.6">
      <c r="A13" s="570">
        <v>1984</v>
      </c>
      <c r="B13" s="577">
        <v>618732</v>
      </c>
      <c r="C13" s="577"/>
      <c r="D13" s="626">
        <v>2007</v>
      </c>
      <c r="E13" s="626">
        <v>65078</v>
      </c>
      <c r="F13" s="626">
        <v>789</v>
      </c>
      <c r="G13" s="572">
        <f t="shared" si="0"/>
        <v>67874</v>
      </c>
      <c r="H13" s="577"/>
      <c r="I13" s="573">
        <f t="shared" si="1"/>
        <v>2.9569496419836756E-2</v>
      </c>
      <c r="J13" s="574">
        <f t="shared" si="2"/>
        <v>18295.593658838436</v>
      </c>
      <c r="K13" s="575" t="s">
        <v>229</v>
      </c>
      <c r="L13" s="559"/>
      <c r="M13" s="572">
        <f>$J13-SUM(Harvests!J102:N102)</f>
        <v>13239.593658838436</v>
      </c>
      <c r="N13" s="576" t="s">
        <v>229</v>
      </c>
      <c r="O13" s="578">
        <v>41962</v>
      </c>
    </row>
    <row r="14" spans="1:15" ht="15.6">
      <c r="A14" s="570">
        <v>1985</v>
      </c>
      <c r="B14" s="577">
        <v>466190</v>
      </c>
      <c r="C14" s="577"/>
      <c r="D14" s="626">
        <v>1673</v>
      </c>
      <c r="E14" s="626">
        <v>50488</v>
      </c>
      <c r="F14" s="626">
        <v>544</v>
      </c>
      <c r="G14" s="572">
        <f t="shared" si="0"/>
        <v>52705</v>
      </c>
      <c r="H14" s="577"/>
      <c r="I14" s="573">
        <f t="shared" si="1"/>
        <v>3.1742718907124559E-2</v>
      </c>
      <c r="J14" s="574">
        <f t="shared" si="2"/>
        <v>14798.138127312399</v>
      </c>
      <c r="K14" s="575" t="s">
        <v>229</v>
      </c>
      <c r="L14" s="559"/>
      <c r="M14" s="572">
        <f>$J14-SUM(Harvests!J103:N103)</f>
        <v>9572.1381273123989</v>
      </c>
      <c r="N14" s="576" t="s">
        <v>229</v>
      </c>
      <c r="O14" s="578">
        <v>8254</v>
      </c>
    </row>
    <row r="15" spans="1:15" ht="15.6">
      <c r="A15" s="570">
        <v>1986</v>
      </c>
      <c r="B15" s="577">
        <v>481628</v>
      </c>
      <c r="C15" s="577"/>
      <c r="D15" s="626">
        <v>2916</v>
      </c>
      <c r="E15" s="626">
        <v>64684</v>
      </c>
      <c r="F15" s="626">
        <v>785</v>
      </c>
      <c r="G15" s="572">
        <f t="shared" si="0"/>
        <v>68385</v>
      </c>
      <c r="H15" s="577"/>
      <c r="I15" s="573">
        <f t="shared" si="1"/>
        <v>4.2640930028515024E-2</v>
      </c>
      <c r="J15" s="574">
        <f t="shared" si="2"/>
        <v>20537.065847773632</v>
      </c>
      <c r="K15" s="575" t="s">
        <v>229</v>
      </c>
      <c r="L15" s="559"/>
      <c r="M15" s="572">
        <f>$J15-SUM(Harvests!J104:N104)</f>
        <v>13821.065847773632</v>
      </c>
      <c r="N15" s="576" t="s">
        <v>229</v>
      </c>
      <c r="O15" s="578">
        <v>55424</v>
      </c>
    </row>
    <row r="16" spans="1:15" ht="15.6">
      <c r="A16" s="570">
        <v>1987</v>
      </c>
      <c r="B16" s="577">
        <v>523022</v>
      </c>
      <c r="C16" s="577"/>
      <c r="D16" s="626">
        <v>3280</v>
      </c>
      <c r="E16" s="626">
        <v>61900</v>
      </c>
      <c r="F16" s="626">
        <v>498</v>
      </c>
      <c r="G16" s="572">
        <f t="shared" si="0"/>
        <v>65678</v>
      </c>
      <c r="H16" s="577"/>
      <c r="I16" s="573">
        <f t="shared" si="1"/>
        <v>4.9940619385486766E-2</v>
      </c>
      <c r="J16" s="574">
        <f t="shared" si="2"/>
        <v>26120.042632236058</v>
      </c>
      <c r="K16" s="575" t="s">
        <v>229</v>
      </c>
      <c r="L16" s="559"/>
      <c r="M16" s="572">
        <f>$J16-SUM(Harvests!J105:N105)</f>
        <v>20038.042632236058</v>
      </c>
      <c r="N16" s="576" t="s">
        <v>229</v>
      </c>
      <c r="O16" s="578">
        <v>22744</v>
      </c>
    </row>
    <row r="17" spans="1:15" ht="15.6">
      <c r="A17" s="570">
        <v>1988</v>
      </c>
      <c r="B17" s="577">
        <v>528940</v>
      </c>
      <c r="C17" s="577"/>
      <c r="D17" s="626">
        <v>3417</v>
      </c>
      <c r="E17" s="626">
        <v>58905</v>
      </c>
      <c r="F17" s="626">
        <v>719</v>
      </c>
      <c r="G17" s="572">
        <f t="shared" si="0"/>
        <v>63041</v>
      </c>
      <c r="H17" s="577"/>
      <c r="I17" s="573">
        <f t="shared" si="1"/>
        <v>5.4202820386732443E-2</v>
      </c>
      <c r="J17" s="574">
        <f t="shared" si="2"/>
        <v>28670.039815358257</v>
      </c>
      <c r="K17" s="575" t="s">
        <v>229</v>
      </c>
      <c r="L17" s="559"/>
      <c r="M17" s="572">
        <f>$J17-SUM(Harvests!J106:N106)</f>
        <v>23122.039815358257</v>
      </c>
      <c r="N17" s="576" t="s">
        <v>229</v>
      </c>
      <c r="O17" s="578">
        <v>19434</v>
      </c>
    </row>
    <row r="18" spans="1:15" ht="15.6">
      <c r="A18" s="570">
        <v>1989</v>
      </c>
      <c r="B18" s="577">
        <v>643367</v>
      </c>
      <c r="C18" s="577"/>
      <c r="D18" s="626">
        <v>2913</v>
      </c>
      <c r="E18" s="626">
        <v>80557</v>
      </c>
      <c r="F18" s="626">
        <v>890</v>
      </c>
      <c r="G18" s="572">
        <f t="shared" si="0"/>
        <v>84360</v>
      </c>
      <c r="H18" s="577"/>
      <c r="I18" s="573">
        <f t="shared" si="1"/>
        <v>3.4530583214793742E-2</v>
      </c>
      <c r="J18" s="574">
        <f t="shared" si="2"/>
        <v>22215.837731152205</v>
      </c>
      <c r="K18" s="575" t="s">
        <v>229</v>
      </c>
      <c r="L18" s="559"/>
      <c r="M18" s="572">
        <f>$J18-SUM(Harvests!J107:N107)</f>
        <v>16821.837731152205</v>
      </c>
      <c r="N18" s="576" t="s">
        <v>229</v>
      </c>
      <c r="O18" s="578">
        <v>37080</v>
      </c>
    </row>
    <row r="19" spans="1:15" ht="15.6">
      <c r="A19" s="570">
        <v>1990</v>
      </c>
      <c r="B19" s="577">
        <v>624922</v>
      </c>
      <c r="C19" s="577"/>
      <c r="D19" s="626">
        <v>3221</v>
      </c>
      <c r="E19" s="626">
        <v>94001</v>
      </c>
      <c r="F19" s="626">
        <v>1544</v>
      </c>
      <c r="G19" s="572">
        <f t="shared" si="0"/>
        <v>98766</v>
      </c>
      <c r="H19" s="577"/>
      <c r="I19" s="573">
        <f t="shared" si="1"/>
        <v>3.2612437478484496E-2</v>
      </c>
      <c r="J19" s="574">
        <f t="shared" si="2"/>
        <v>20380.229653929488</v>
      </c>
      <c r="K19" s="575" t="s">
        <v>229</v>
      </c>
      <c r="L19" s="559"/>
      <c r="M19" s="572">
        <f>$J19-SUM(Harvests!J108:N108)</f>
        <v>14723.229653929488</v>
      </c>
      <c r="N19" s="576" t="s">
        <v>229</v>
      </c>
      <c r="O19" s="578">
        <v>25466</v>
      </c>
    </row>
    <row r="20" spans="1:15" ht="15.6">
      <c r="A20" s="570">
        <v>1991</v>
      </c>
      <c r="B20" s="577">
        <v>593185</v>
      </c>
      <c r="C20" s="577"/>
      <c r="D20" s="626">
        <v>5164</v>
      </c>
      <c r="E20" s="626">
        <v>111788</v>
      </c>
      <c r="F20" s="626">
        <v>3477</v>
      </c>
      <c r="G20" s="572">
        <f t="shared" si="0"/>
        <v>120429</v>
      </c>
      <c r="H20" s="577"/>
      <c r="I20" s="573">
        <f t="shared" si="1"/>
        <v>4.2880037200342114E-2</v>
      </c>
      <c r="J20" s="574">
        <f t="shared" si="2"/>
        <v>25435.794866684937</v>
      </c>
      <c r="K20" s="575" t="s">
        <v>229</v>
      </c>
      <c r="L20" s="559"/>
      <c r="M20" s="572">
        <f>$J20-SUM(Harvests!J109:N109)</f>
        <v>15167.794866684937</v>
      </c>
      <c r="N20" s="576" t="s">
        <v>229</v>
      </c>
      <c r="O20" s="578">
        <v>22956</v>
      </c>
    </row>
    <row r="21" spans="1:15" ht="15.6">
      <c r="A21" s="570">
        <v>1992</v>
      </c>
      <c r="B21" s="577">
        <v>604898</v>
      </c>
      <c r="C21" s="577"/>
      <c r="D21" s="626">
        <v>4705</v>
      </c>
      <c r="E21" s="626">
        <v>127670</v>
      </c>
      <c r="F21" s="626">
        <v>1817</v>
      </c>
      <c r="G21" s="572">
        <f t="shared" si="0"/>
        <v>134192</v>
      </c>
      <c r="H21" s="577"/>
      <c r="I21" s="573">
        <f t="shared" si="1"/>
        <v>3.5061702635030403E-2</v>
      </c>
      <c r="J21" s="574">
        <f t="shared" si="2"/>
        <v>21208.753800524621</v>
      </c>
      <c r="K21" s="575" t="s">
        <v>229</v>
      </c>
      <c r="L21" s="559"/>
      <c r="M21" s="572">
        <f>$J21-SUM(Harvests!J110:N110)</f>
        <v>11942.753800524621</v>
      </c>
      <c r="N21" s="576" t="s">
        <v>229</v>
      </c>
      <c r="O21" s="578">
        <v>14933</v>
      </c>
    </row>
    <row r="22" spans="1:15" ht="15.6">
      <c r="A22" s="570">
        <v>1993</v>
      </c>
      <c r="B22" s="577">
        <v>819700</v>
      </c>
      <c r="C22" s="577"/>
      <c r="D22" s="626">
        <v>4037</v>
      </c>
      <c r="E22" s="626">
        <v>138211</v>
      </c>
      <c r="F22" s="626">
        <v>1428</v>
      </c>
      <c r="G22" s="572">
        <f t="shared" si="0"/>
        <v>143676</v>
      </c>
      <c r="H22" s="577"/>
      <c r="I22" s="573">
        <f t="shared" si="1"/>
        <v>2.8097942593056601E-2</v>
      </c>
      <c r="J22" s="574">
        <f t="shared" si="2"/>
        <v>23031.883543528496</v>
      </c>
      <c r="K22" s="575" t="s">
        <v>229</v>
      </c>
      <c r="L22" s="579"/>
      <c r="M22" s="572">
        <f>$J22-SUM(Harvests!J111:N111)</f>
        <v>10534.883543528496</v>
      </c>
      <c r="N22" s="576" t="s">
        <v>229</v>
      </c>
      <c r="O22" s="578">
        <v>22827</v>
      </c>
    </row>
    <row r="23" spans="1:15" ht="15.6">
      <c r="A23" s="570">
        <v>1994</v>
      </c>
      <c r="B23" s="577">
        <v>738011</v>
      </c>
      <c r="C23" s="577"/>
      <c r="D23" s="626">
        <v>5423</v>
      </c>
      <c r="E23" s="626">
        <v>153049</v>
      </c>
      <c r="F23" s="626">
        <v>1958</v>
      </c>
      <c r="G23" s="572">
        <f t="shared" si="0"/>
        <v>160430</v>
      </c>
      <c r="H23" s="577"/>
      <c r="I23" s="573">
        <f t="shared" si="1"/>
        <v>3.3802904693635852E-2</v>
      </c>
      <c r="J23" s="574">
        <f t="shared" si="2"/>
        <v>24946.91549585489</v>
      </c>
      <c r="K23" s="575" t="s">
        <v>229</v>
      </c>
      <c r="L23" s="559"/>
      <c r="M23" s="572">
        <f>$J23-SUM(Harvests!J112:N112)</f>
        <v>12783.91549585489</v>
      </c>
      <c r="N23" s="576" t="s">
        <v>229</v>
      </c>
      <c r="O23" s="578">
        <v>29813</v>
      </c>
    </row>
    <row r="24" spans="1:15" ht="15.6">
      <c r="A24" s="570">
        <v>1995</v>
      </c>
      <c r="B24" s="577">
        <v>637293</v>
      </c>
      <c r="C24" s="577"/>
      <c r="D24" s="626">
        <v>6326</v>
      </c>
      <c r="E24" s="626">
        <v>125364</v>
      </c>
      <c r="F24" s="626">
        <v>5547</v>
      </c>
      <c r="G24" s="572">
        <f t="shared" si="0"/>
        <v>137237</v>
      </c>
      <c r="H24" s="577"/>
      <c r="I24" s="573">
        <f t="shared" si="1"/>
        <v>4.6095440733912869E-2</v>
      </c>
      <c r="J24" s="574">
        <f t="shared" si="2"/>
        <v>29376.301711637534</v>
      </c>
      <c r="K24" s="575" t="s">
        <v>229</v>
      </c>
      <c r="L24" s="559"/>
      <c r="M24" s="572">
        <f>$J24-SUM(Harvests!J113:N113)</f>
        <v>16068.301711637534</v>
      </c>
      <c r="N24" s="576" t="s">
        <v>229</v>
      </c>
      <c r="O24" s="578">
        <v>15841</v>
      </c>
    </row>
    <row r="25" spans="1:15" ht="15.6">
      <c r="A25" s="570">
        <v>1996</v>
      </c>
      <c r="B25" s="577">
        <v>907267</v>
      </c>
      <c r="C25" s="577"/>
      <c r="D25" s="626">
        <v>4881</v>
      </c>
      <c r="E25" s="626">
        <v>141337</v>
      </c>
      <c r="F25" s="626">
        <v>3817</v>
      </c>
      <c r="G25" s="572">
        <f t="shared" si="0"/>
        <v>150035</v>
      </c>
      <c r="H25" s="577"/>
      <c r="I25" s="573">
        <f t="shared" si="1"/>
        <v>3.2532409104542276E-2</v>
      </c>
      <c r="J25" s="574">
        <f t="shared" si="2"/>
        <v>29515.581211050758</v>
      </c>
      <c r="K25" s="575" t="s">
        <v>229</v>
      </c>
      <c r="L25" s="559"/>
      <c r="M25" s="572">
        <f>$J25-SUM(Harvests!J114:N114)</f>
        <v>15333.581211050758</v>
      </c>
      <c r="N25" s="576" t="s">
        <v>229</v>
      </c>
      <c r="O25" s="578">
        <v>41484</v>
      </c>
    </row>
    <row r="26" spans="1:15" ht="15.6">
      <c r="A26" s="570">
        <v>1997</v>
      </c>
      <c r="B26" s="577">
        <v>1164791</v>
      </c>
      <c r="C26" s="577"/>
      <c r="D26" s="626">
        <v>7798</v>
      </c>
      <c r="E26" s="626">
        <v>224611</v>
      </c>
      <c r="F26" s="626">
        <v>334</v>
      </c>
      <c r="G26" s="572">
        <f t="shared" si="0"/>
        <v>232743</v>
      </c>
      <c r="H26" s="577"/>
      <c r="I26" s="573">
        <f t="shared" si="1"/>
        <v>3.3504767060663479E-2</v>
      </c>
      <c r="J26" s="574">
        <f t="shared" si="2"/>
        <v>39026.051129357271</v>
      </c>
      <c r="K26" s="575" t="s">
        <v>229</v>
      </c>
      <c r="L26" s="559"/>
      <c r="M26" s="572">
        <f>$J26-SUM(Harvests!J115:N115)</f>
        <v>22650.051129357271</v>
      </c>
      <c r="N26" s="576" t="s">
        <v>229</v>
      </c>
      <c r="O26" s="578">
        <v>38642</v>
      </c>
    </row>
    <row r="27" spans="1:15" ht="16.2" thickBot="1">
      <c r="A27" s="570">
        <v>1998</v>
      </c>
      <c r="B27" s="577">
        <v>865896</v>
      </c>
      <c r="C27" s="577"/>
      <c r="D27" s="626">
        <v>8334</v>
      </c>
      <c r="E27" s="626">
        <v>195567</v>
      </c>
      <c r="F27" s="626">
        <v>2607</v>
      </c>
      <c r="G27" s="572">
        <f t="shared" si="0"/>
        <v>206508</v>
      </c>
      <c r="H27" s="577"/>
      <c r="I27" s="573">
        <f t="shared" si="1"/>
        <v>4.0356790051717127E-2</v>
      </c>
      <c r="J27" s="574">
        <f t="shared" si="2"/>
        <v>34944.783078621651</v>
      </c>
      <c r="K27" s="575" t="s">
        <v>229</v>
      </c>
      <c r="L27" s="580"/>
      <c r="M27" s="572">
        <f>$J27-SUM(Harvests!J116:N116)</f>
        <v>18134.783078621651</v>
      </c>
      <c r="N27" s="576" t="s">
        <v>229</v>
      </c>
      <c r="O27" s="578">
        <v>24952</v>
      </c>
    </row>
    <row r="28" spans="1:15" ht="15.6">
      <c r="A28" s="570">
        <v>1999</v>
      </c>
      <c r="B28" s="577">
        <v>850597</v>
      </c>
      <c r="C28" s="577"/>
      <c r="D28" s="626">
        <v>8680</v>
      </c>
      <c r="E28" s="626">
        <v>208841</v>
      </c>
      <c r="F28" s="626">
        <v>3123</v>
      </c>
      <c r="G28" s="572">
        <f t="shared" si="0"/>
        <v>220644</v>
      </c>
      <c r="H28" s="577"/>
      <c r="I28" s="573">
        <f t="shared" si="1"/>
        <v>3.9339388335962004E-2</v>
      </c>
      <c r="J28" s="574">
        <f t="shared" si="2"/>
        <v>33461.965700404275</v>
      </c>
      <c r="K28" s="581">
        <v>32090</v>
      </c>
      <c r="L28" s="580"/>
      <c r="M28" s="572">
        <f>$J28-SUM(Harvests!J117:N117)</f>
        <v>17528.965700404275</v>
      </c>
      <c r="N28" s="572">
        <f>K28-SUM(Harvests!J117:N117)</f>
        <v>16157</v>
      </c>
      <c r="O28" s="578">
        <v>19019</v>
      </c>
    </row>
    <row r="29" spans="1:15" ht="15.6">
      <c r="A29" s="570">
        <v>2000</v>
      </c>
      <c r="B29" s="582">
        <v>636837</v>
      </c>
      <c r="C29" s="582"/>
      <c r="D29" s="625">
        <v>7789</v>
      </c>
      <c r="E29" s="625">
        <v>161510</v>
      </c>
      <c r="F29" s="625">
        <v>4051</v>
      </c>
      <c r="G29" s="572">
        <f t="shared" si="0"/>
        <v>173350</v>
      </c>
      <c r="H29" s="582"/>
      <c r="I29" s="573">
        <f t="shared" si="1"/>
        <v>4.4932218055956159E-2</v>
      </c>
      <c r="J29" s="574">
        <f t="shared" si="2"/>
        <v>28614.498950100951</v>
      </c>
      <c r="K29" s="583">
        <v>38047</v>
      </c>
      <c r="L29" s="580"/>
      <c r="M29" s="572">
        <f>$J29-SUM(Harvests!J118:N118)</f>
        <v>15059.498950100951</v>
      </c>
      <c r="N29" s="572">
        <f>K29-SUM(Harvests!J118:N118)</f>
        <v>24492</v>
      </c>
      <c r="O29" s="576" t="s">
        <v>229</v>
      </c>
    </row>
    <row r="30" spans="1:15" ht="15.6">
      <c r="A30" s="570">
        <v>2001</v>
      </c>
      <c r="B30" s="582">
        <v>878205</v>
      </c>
      <c r="C30" s="582"/>
      <c r="D30" s="625">
        <v>6176</v>
      </c>
      <c r="E30" s="625">
        <v>200421</v>
      </c>
      <c r="F30" s="625">
        <v>3486</v>
      </c>
      <c r="G30" s="572">
        <f t="shared" si="0"/>
        <v>210083</v>
      </c>
      <c r="H30" s="582"/>
      <c r="I30" s="573">
        <f t="shared" si="1"/>
        <v>2.9397904637690816E-2</v>
      </c>
      <c r="J30" s="574">
        <f t="shared" si="2"/>
        <v>25817.386842343261</v>
      </c>
      <c r="K30" s="583">
        <v>39778</v>
      </c>
      <c r="L30" s="580"/>
      <c r="M30" s="572">
        <f>$J30-SUM(Harvests!J119:N119)</f>
        <v>14247.386842343261</v>
      </c>
      <c r="N30" s="572">
        <f>K30-SUM(Harvests!J119:N119)</f>
        <v>28208</v>
      </c>
      <c r="O30" s="576" t="s">
        <v>229</v>
      </c>
    </row>
    <row r="31" spans="1:15" ht="15.6">
      <c r="A31" s="570">
        <v>2002</v>
      </c>
      <c r="B31" s="582">
        <v>830263</v>
      </c>
      <c r="C31" s="582"/>
      <c r="D31" s="625">
        <v>5766</v>
      </c>
      <c r="E31" s="625">
        <v>132164</v>
      </c>
      <c r="F31" s="625">
        <v>2317</v>
      </c>
      <c r="G31" s="572">
        <f t="shared" si="0"/>
        <v>140247</v>
      </c>
      <c r="H31" s="582"/>
      <c r="I31" s="573">
        <f t="shared" si="1"/>
        <v>4.1113178891527088E-2</v>
      </c>
      <c r="J31" s="574">
        <f t="shared" si="2"/>
        <v>34134.751246015956</v>
      </c>
      <c r="K31" s="583">
        <v>32873</v>
      </c>
      <c r="L31" s="580"/>
      <c r="M31" s="572">
        <f>$J31-SUM(Harvests!J120:N120)</f>
        <v>22730.751246015956</v>
      </c>
      <c r="N31" s="572">
        <f>K31-SUM(Harvests!J120:N120)</f>
        <v>21469</v>
      </c>
      <c r="O31" s="576" t="s">
        <v>229</v>
      </c>
    </row>
    <row r="32" spans="1:15" ht="15.6">
      <c r="A32" s="570">
        <v>2003</v>
      </c>
      <c r="B32" s="584">
        <v>747091</v>
      </c>
      <c r="C32" s="584"/>
      <c r="D32" s="627">
        <v>4611</v>
      </c>
      <c r="E32" s="627">
        <v>129595</v>
      </c>
      <c r="F32" s="627">
        <v>2840</v>
      </c>
      <c r="G32" s="572">
        <f t="shared" si="0"/>
        <v>137046</v>
      </c>
      <c r="H32" s="584"/>
      <c r="I32" s="573">
        <f t="shared" si="1"/>
        <v>3.3645637231294601E-2</v>
      </c>
      <c r="J32" s="574">
        <f t="shared" si="2"/>
        <v>25136.352764765114</v>
      </c>
      <c r="K32" s="583">
        <v>44764</v>
      </c>
      <c r="L32" s="580"/>
      <c r="M32" s="572">
        <f>$J32-SUM(Harvests!J121:N121)</f>
        <v>14388.352764765114</v>
      </c>
      <c r="N32" s="572">
        <f>K32-SUM(Harvests!J121:N121)</f>
        <v>34016</v>
      </c>
      <c r="O32" s="576" t="s">
        <v>229</v>
      </c>
    </row>
    <row r="33" spans="1:15" ht="15.6">
      <c r="A33" s="570">
        <v>2004</v>
      </c>
      <c r="B33" s="584">
        <v>684103</v>
      </c>
      <c r="C33" s="584"/>
      <c r="D33" s="627">
        <v>5917</v>
      </c>
      <c r="E33" s="627">
        <v>164231</v>
      </c>
      <c r="F33" s="627">
        <v>3015</v>
      </c>
      <c r="G33" s="572">
        <f t="shared" si="0"/>
        <v>173163</v>
      </c>
      <c r="H33" s="584"/>
      <c r="I33" s="573">
        <f t="shared" si="1"/>
        <v>3.4170117172837154E-2</v>
      </c>
      <c r="J33" s="574">
        <f t="shared" si="2"/>
        <v>23375.879668289417</v>
      </c>
      <c r="K33" s="583">
        <v>40564</v>
      </c>
      <c r="L33" s="580"/>
      <c r="M33" s="572">
        <f>$J33-SUM(Harvests!J122:N122)</f>
        <v>13449.879668289417</v>
      </c>
      <c r="N33" s="572">
        <f>K33-SUM(Harvests!J122:N122)</f>
        <v>30638</v>
      </c>
      <c r="O33" s="576" t="s">
        <v>229</v>
      </c>
    </row>
    <row r="34" spans="1:15" ht="15.6">
      <c r="A34" s="570">
        <v>2005</v>
      </c>
      <c r="B34" s="582">
        <v>855125.30056050722</v>
      </c>
      <c r="C34" s="582"/>
      <c r="D34" s="625">
        <v>4220</v>
      </c>
      <c r="E34" s="625">
        <v>189001</v>
      </c>
      <c r="F34" s="625">
        <v>1729</v>
      </c>
      <c r="G34" s="572">
        <f t="shared" si="0"/>
        <v>194950</v>
      </c>
      <c r="H34" s="582"/>
      <c r="I34" s="573">
        <f t="shared" si="1"/>
        <v>2.1646576045139778E-2</v>
      </c>
      <c r="J34" s="574">
        <f t="shared" si="2"/>
        <v>18510.534846706028</v>
      </c>
      <c r="K34" s="585">
        <v>30333</v>
      </c>
      <c r="L34" s="580"/>
      <c r="M34" s="572">
        <f>$J34-SUM(Harvests!J123:N123)</f>
        <v>9683.5348467060285</v>
      </c>
      <c r="N34" s="572">
        <f>K34-SUM(Harvests!J123:N123)</f>
        <v>21506</v>
      </c>
      <c r="O34" s="576" t="s">
        <v>229</v>
      </c>
    </row>
    <row r="35" spans="1:15" ht="15.6">
      <c r="A35" s="570">
        <v>2006</v>
      </c>
      <c r="B35" s="582">
        <v>959706</v>
      </c>
      <c r="C35" s="582"/>
      <c r="D35" s="625">
        <v>4958</v>
      </c>
      <c r="E35" s="625">
        <v>173292</v>
      </c>
      <c r="F35" s="625">
        <v>2144</v>
      </c>
      <c r="G35" s="572">
        <f t="shared" si="0"/>
        <v>180394</v>
      </c>
      <c r="H35" s="582"/>
      <c r="I35" s="573">
        <f t="shared" si="1"/>
        <v>2.7484284399702873E-2</v>
      </c>
      <c r="J35" s="574">
        <f t="shared" si="2"/>
        <v>26376.832644101247</v>
      </c>
      <c r="K35" s="585">
        <v>67789</v>
      </c>
      <c r="L35" s="580"/>
      <c r="M35" s="572">
        <f>$J35-SUM(Harvests!J124:N124)</f>
        <v>17023.832644101247</v>
      </c>
      <c r="N35" s="572">
        <f>K35-SUM(Harvests!J124:N124)</f>
        <v>58436</v>
      </c>
      <c r="O35" s="576" t="s">
        <v>229</v>
      </c>
    </row>
    <row r="36" spans="1:15" ht="15.6">
      <c r="A36" s="570">
        <v>2007</v>
      </c>
      <c r="B36" s="582">
        <v>919601</v>
      </c>
      <c r="C36" s="582"/>
      <c r="D36" s="625">
        <v>6089</v>
      </c>
      <c r="E36" s="625">
        <v>190384</v>
      </c>
      <c r="F36" s="625">
        <v>1797</v>
      </c>
      <c r="G36" s="572">
        <f t="shared" si="0"/>
        <v>198270</v>
      </c>
      <c r="H36" s="582"/>
      <c r="I36" s="573">
        <f t="shared" si="1"/>
        <v>3.0710647097392445E-2</v>
      </c>
      <c r="J36" s="574">
        <f t="shared" si="2"/>
        <v>28241.541781409189</v>
      </c>
      <c r="K36" s="585">
        <v>46349</v>
      </c>
      <c r="L36" s="580"/>
      <c r="M36" s="572">
        <f>$J36-SUM(Harvests!J125:N125)</f>
        <v>16429.541781409189</v>
      </c>
      <c r="N36" s="572">
        <f>K36-SUM(Harvests!J125:N125)</f>
        <v>34537</v>
      </c>
      <c r="O36" s="576" t="s">
        <v>229</v>
      </c>
    </row>
    <row r="37" spans="1:15" ht="15.6">
      <c r="A37" s="586">
        <v>2008</v>
      </c>
      <c r="B37" s="582">
        <v>718344</v>
      </c>
      <c r="C37" s="582"/>
      <c r="D37" s="625">
        <v>4655</v>
      </c>
      <c r="E37" s="625">
        <v>122937</v>
      </c>
      <c r="F37" s="625">
        <v>3058</v>
      </c>
      <c r="G37" s="572">
        <f t="shared" si="0"/>
        <v>130650</v>
      </c>
      <c r="H37" s="582"/>
      <c r="I37" s="573">
        <f t="shared" si="1"/>
        <v>3.5629544584768462E-2</v>
      </c>
      <c r="J37" s="574">
        <f t="shared" si="2"/>
        <v>25594.269575200917</v>
      </c>
      <c r="K37" s="585">
        <v>41343</v>
      </c>
      <c r="L37" s="580"/>
      <c r="M37" s="572">
        <f>$J37-SUM(Harvests!J126:N126)</f>
        <v>16715.269575200917</v>
      </c>
      <c r="N37" s="572">
        <f>K37-SUM(Harvests!J126:N126)</f>
        <v>32464</v>
      </c>
      <c r="O37" s="576" t="s">
        <v>229</v>
      </c>
    </row>
    <row r="38" spans="1:15" ht="15.6">
      <c r="A38" s="586">
        <v>2009</v>
      </c>
      <c r="B38" s="582">
        <v>709748</v>
      </c>
      <c r="C38" s="582"/>
      <c r="D38" s="625">
        <v>3031</v>
      </c>
      <c r="E38" s="625">
        <v>137823</v>
      </c>
      <c r="F38" s="625">
        <v>1691</v>
      </c>
      <c r="G38" s="572">
        <f t="shared" si="0"/>
        <v>142545</v>
      </c>
      <c r="H38" s="582"/>
      <c r="I38" s="573">
        <f t="shared" ref="I38:I43" si="3">D38/G38</f>
        <v>2.1263460661545476E-2</v>
      </c>
      <c r="J38" s="574">
        <f t="shared" si="2"/>
        <v>15091.698677610579</v>
      </c>
      <c r="K38" s="585">
        <v>32401</v>
      </c>
      <c r="L38" s="580"/>
      <c r="M38" s="572">
        <f>$J38-SUM(Harvests!J127:N127)</f>
        <v>10468.698677610579</v>
      </c>
      <c r="N38" s="572">
        <f>K38-SUM(Harvests!J127:N127)</f>
        <v>27778</v>
      </c>
      <c r="O38" s="576" t="s">
        <v>229</v>
      </c>
    </row>
    <row r="39" spans="1:15" ht="15.6">
      <c r="A39" s="586">
        <v>2010</v>
      </c>
      <c r="B39" s="582">
        <v>923811</v>
      </c>
      <c r="C39" s="582"/>
      <c r="D39" s="625">
        <v>2843</v>
      </c>
      <c r="E39" s="625">
        <v>166797</v>
      </c>
      <c r="F39" s="625">
        <v>2193</v>
      </c>
      <c r="G39" s="572">
        <f>SUM(D39:F39)</f>
        <v>171833</v>
      </c>
      <c r="H39" s="582"/>
      <c r="I39" s="573">
        <f t="shared" si="3"/>
        <v>1.6545133938184166E-2</v>
      </c>
      <c r="J39" s="574">
        <f t="shared" si="2"/>
        <v>15284.576728567852</v>
      </c>
      <c r="K39" s="585">
        <v>22323</v>
      </c>
      <c r="L39" s="580"/>
      <c r="M39" s="572">
        <f>$J39-SUM(Harvests!J128:N128)</f>
        <v>9732.5767285678521</v>
      </c>
      <c r="N39" s="572">
        <f>K39-SUM(Harvests!J128:N128)</f>
        <v>16771</v>
      </c>
      <c r="O39" s="576" t="s">
        <v>229</v>
      </c>
    </row>
    <row r="40" spans="1:15" ht="15.6">
      <c r="A40" s="586">
        <v>2011</v>
      </c>
      <c r="B40" s="582">
        <v>914231</v>
      </c>
      <c r="C40" s="582"/>
      <c r="D40" s="582">
        <v>3816</v>
      </c>
      <c r="E40" s="582">
        <v>182076</v>
      </c>
      <c r="F40" s="582">
        <v>3060</v>
      </c>
      <c r="G40" s="572">
        <f t="shared" ref="G40:G43" si="4">SUM(D40:F40)</f>
        <v>188952</v>
      </c>
      <c r="H40" s="582"/>
      <c r="I40" s="573">
        <f t="shared" si="3"/>
        <v>2.0195605233075068E-2</v>
      </c>
      <c r="J40" s="574">
        <f t="shared" ref="J40:J42" si="5">I40*B40</f>
        <v>18463.448367839454</v>
      </c>
      <c r="K40" s="685">
        <v>33889</v>
      </c>
      <c r="L40" s="580"/>
      <c r="M40" s="572">
        <f>$J40-SUM(Harvests!J129:N129)</f>
        <v>12568.448367839454</v>
      </c>
      <c r="N40" s="572">
        <f>K40-SUM(Harvests!J129:N129)</f>
        <v>27994</v>
      </c>
      <c r="O40" s="576" t="s">
        <v>229</v>
      </c>
    </row>
    <row r="41" spans="1:15" ht="15.6">
      <c r="A41" s="586">
        <v>2012</v>
      </c>
      <c r="B41" s="582">
        <v>1294400</v>
      </c>
      <c r="C41" s="582"/>
      <c r="D41" s="582">
        <v>2756</v>
      </c>
      <c r="E41" s="582">
        <v>190705</v>
      </c>
      <c r="F41" s="685">
        <v>1561</v>
      </c>
      <c r="G41" s="572">
        <f>SUM(D41:F41)</f>
        <v>195022</v>
      </c>
      <c r="H41" s="582"/>
      <c r="I41" s="573">
        <f t="shared" si="3"/>
        <v>1.4131738983294192E-2</v>
      </c>
      <c r="J41" s="574">
        <f t="shared" si="5"/>
        <v>18292.122939976001</v>
      </c>
      <c r="K41" s="685">
        <v>33582</v>
      </c>
      <c r="L41" s="580"/>
      <c r="M41" s="572">
        <f>$J41-SUM(Harvests!J130:N130)</f>
        <v>14305.122939976001</v>
      </c>
      <c r="N41" s="572">
        <f>K41-SUM(Harvests!J130:N130)</f>
        <v>29595</v>
      </c>
      <c r="O41" s="576" t="s">
        <v>229</v>
      </c>
    </row>
    <row r="42" spans="1:15" ht="15.6">
      <c r="A42" s="586">
        <v>2013</v>
      </c>
      <c r="B42" s="582">
        <v>1267060</v>
      </c>
      <c r="C42" s="582"/>
      <c r="D42" s="595">
        <v>2884</v>
      </c>
      <c r="E42" s="595">
        <v>232638</v>
      </c>
      <c r="F42" s="595">
        <v>864</v>
      </c>
      <c r="G42" s="572">
        <f t="shared" si="4"/>
        <v>236386</v>
      </c>
      <c r="H42" s="582"/>
      <c r="I42" s="573">
        <f t="shared" si="3"/>
        <v>1.2200384117502728E-2</v>
      </c>
      <c r="J42" s="574">
        <f t="shared" si="5"/>
        <v>15458.618699923007</v>
      </c>
      <c r="K42" s="685">
        <v>32581</v>
      </c>
      <c r="L42" s="580"/>
      <c r="M42" s="572">
        <f>$J42-SUM(Harvests!J131:N131)</f>
        <v>11889.618699923007</v>
      </c>
      <c r="N42" s="572">
        <f>K42-SUM(Harvests!J131:N131)</f>
        <v>29012</v>
      </c>
      <c r="O42" s="576" t="s">
        <v>229</v>
      </c>
    </row>
    <row r="43" spans="1:15" ht="15.6">
      <c r="A43" s="586">
        <v>2014</v>
      </c>
      <c r="B43" s="582">
        <v>1218418</v>
      </c>
      <c r="C43" s="582"/>
      <c r="D43" s="891">
        <f>AVERAGE(D38:D42)</f>
        <v>3066</v>
      </c>
      <c r="E43" s="891">
        <f t="shared" ref="E43:F43" si="6">AVERAGE(E38:E42)</f>
        <v>182007.8</v>
      </c>
      <c r="F43" s="891">
        <f t="shared" si="6"/>
        <v>1873.8</v>
      </c>
      <c r="G43" s="572">
        <f t="shared" si="4"/>
        <v>186947.59999999998</v>
      </c>
      <c r="H43" s="582"/>
      <c r="I43" s="573">
        <f t="shared" si="3"/>
        <v>1.6400317522129199E-2</v>
      </c>
      <c r="J43" s="574">
        <f>I43*B43</f>
        <v>19982.442074677612</v>
      </c>
      <c r="K43" s="685">
        <v>24158</v>
      </c>
      <c r="L43" s="580"/>
      <c r="M43" s="572">
        <f>$J43-SUM(Harvests!J132:N132)</f>
        <v>15257.242074677612</v>
      </c>
      <c r="N43" s="572">
        <f>K43-SUM(Harvests!J132:N132)</f>
        <v>19432.8</v>
      </c>
      <c r="O43" s="576" t="s">
        <v>229</v>
      </c>
    </row>
    <row r="44" spans="1:15" ht="15.6">
      <c r="A44" s="586"/>
      <c r="B44" s="582"/>
      <c r="C44" s="582"/>
      <c r="D44" s="582"/>
      <c r="E44" s="582"/>
      <c r="F44" s="582"/>
      <c r="G44" s="582"/>
      <c r="H44" s="582"/>
      <c r="I44" s="582"/>
      <c r="J44" s="582"/>
      <c r="K44" s="587"/>
      <c r="L44" s="580"/>
    </row>
    <row r="45" spans="1:15" ht="15.6">
      <c r="A45" s="570"/>
      <c r="B45" s="582"/>
      <c r="C45" s="582"/>
      <c r="D45" s="582"/>
      <c r="E45" s="582"/>
      <c r="F45" s="582"/>
      <c r="G45" s="582"/>
      <c r="H45" s="582"/>
      <c r="I45" s="582"/>
      <c r="J45" s="582"/>
      <c r="K45" s="582"/>
      <c r="L45" s="559"/>
    </row>
    <row r="46" spans="1:15" ht="15.6">
      <c r="A46" s="588" t="s">
        <v>224</v>
      </c>
      <c r="B46" s="582"/>
      <c r="C46" s="582"/>
      <c r="D46" s="582"/>
      <c r="E46" s="582"/>
      <c r="F46" s="582"/>
      <c r="G46" s="582"/>
      <c r="H46" s="582"/>
      <c r="I46" s="582"/>
      <c r="J46" s="582"/>
      <c r="K46" s="582"/>
      <c r="L46" s="556"/>
    </row>
    <row r="47" spans="1:15" ht="15.6">
      <c r="A47" s="693" t="e">
        <f>"1980- "&amp;FcastYr2-1</f>
        <v>#NAME?</v>
      </c>
      <c r="B47" s="589">
        <f>AVERAGE(B9:B46)</f>
        <v>762474.35144458595</v>
      </c>
      <c r="C47" s="589"/>
      <c r="D47" s="589">
        <f t="shared" ref="D47" si="7">AVERAGE(D9:D46)</f>
        <v>4442.1142857142859</v>
      </c>
      <c r="E47" s="589">
        <f t="shared" ref="E47" si="8">AVERAGE(E9:E46)</f>
        <v>135139.19428571427</v>
      </c>
      <c r="F47" s="589">
        <f t="shared" ref="F47" si="9">AVERAGE(F9:F46)</f>
        <v>1999.4514285714286</v>
      </c>
      <c r="G47" s="589">
        <f t="shared" ref="G47" si="10">AVERAGE(G9:G46)</f>
        <v>141580.75999999998</v>
      </c>
      <c r="H47" s="589"/>
      <c r="I47" s="691">
        <f t="shared" ref="I47" si="11">AVERAGE(I9:I46)</f>
        <v>3.4534763182489756E-2</v>
      </c>
      <c r="J47" s="589">
        <f t="shared" ref="J47" si="12">AVERAGE(J9:J46)</f>
        <v>24215.931099522568</v>
      </c>
      <c r="K47" s="589">
        <f t="shared" ref="K47" si="13">AVERAGE(K9:K46)</f>
        <v>37054</v>
      </c>
      <c r="L47" s="589"/>
      <c r="M47" s="589">
        <f t="shared" ref="M47" si="14">AVERAGE(M9:M46)</f>
        <v>15170.296813808272</v>
      </c>
      <c r="N47" s="589">
        <f t="shared" ref="N47" si="15">AVERAGE(N9:N46)</f>
        <v>28281.612499999999</v>
      </c>
    </row>
    <row r="48" spans="1:15" ht="15.6">
      <c r="A48" s="693" t="e">
        <f>"1980- "&amp;FcastYr2-1</f>
        <v>#NAME?</v>
      </c>
      <c r="B48" s="590">
        <f>AVERAGE(B24:B46)</f>
        <v>899139.36502802535</v>
      </c>
      <c r="C48" s="590"/>
      <c r="D48" s="590">
        <f t="shared" ref="D48:N48" si="16">AVERAGE(D24:D46)</f>
        <v>5229.8</v>
      </c>
      <c r="E48" s="590">
        <f t="shared" si="16"/>
        <v>172565.09</v>
      </c>
      <c r="F48" s="590">
        <f t="shared" si="16"/>
        <v>2555.3900000000003</v>
      </c>
      <c r="G48" s="590">
        <f t="shared" si="16"/>
        <v>180350.28</v>
      </c>
      <c r="H48" s="590"/>
      <c r="I48" s="692">
        <f t="shared" si="16"/>
        <v>2.9564777192941892E-2</v>
      </c>
      <c r="J48" s="590">
        <f t="shared" si="16"/>
        <v>25234.981931929899</v>
      </c>
      <c r="K48" s="590">
        <f t="shared" si="16"/>
        <v>37054</v>
      </c>
      <c r="L48" s="590"/>
      <c r="M48" s="590">
        <f t="shared" si="16"/>
        <v>15183.271931929901</v>
      </c>
      <c r="N48" s="590">
        <f t="shared" si="16"/>
        <v>28281.612499999999</v>
      </c>
    </row>
    <row r="49" spans="1:14" ht="15.6">
      <c r="A49" s="693" t="e">
        <f>"1980- "&amp;FcastYr2-1</f>
        <v>#NAME?</v>
      </c>
      <c r="B49" s="591">
        <f>AVERAGE(B28:B46)</f>
        <v>900471.26878503175</v>
      </c>
      <c r="C49" s="591"/>
      <c r="D49" s="591">
        <f t="shared" ref="D49" si="17">AVERAGE(D28:D46)</f>
        <v>4828.5625</v>
      </c>
      <c r="E49" s="591">
        <f>AVERAGE(E28:E46)</f>
        <v>172776.42499999999</v>
      </c>
      <c r="F49" s="591">
        <f>AVERAGE(F28:F46)</f>
        <v>2425.1750000000002</v>
      </c>
      <c r="G49" s="591">
        <f>AVERAGE(G28:G46)</f>
        <v>180030.16250000001</v>
      </c>
      <c r="H49" s="591"/>
      <c r="I49" s="694">
        <f t="shared" ref="I49" si="18">AVERAGE(I28:I46)</f>
        <v>2.7425383556750144E-2</v>
      </c>
      <c r="J49" s="591">
        <f>AVERAGE(J28:J46)</f>
        <v>23239.807594245674</v>
      </c>
      <c r="K49" s="591">
        <f>AVERAGE(K28:K46)</f>
        <v>37054</v>
      </c>
      <c r="L49" s="591"/>
      <c r="M49" s="591">
        <f t="shared" ref="M49" si="19">AVERAGE(M28:M46)</f>
        <v>14467.420094245677</v>
      </c>
      <c r="N49" s="591">
        <f>AVERAGE(N28:N46)</f>
        <v>28281.612499999999</v>
      </c>
    </row>
    <row r="50" spans="1:14" ht="15.6">
      <c r="A50" s="570"/>
      <c r="B50" s="574"/>
      <c r="C50" s="574"/>
      <c r="D50" s="574"/>
      <c r="E50" s="574"/>
      <c r="F50" s="574"/>
      <c r="G50" s="574"/>
      <c r="H50" s="574"/>
      <c r="I50" s="574"/>
      <c r="J50" s="574"/>
      <c r="K50" s="574"/>
      <c r="L50" s="556"/>
    </row>
    <row r="51" spans="1:14" ht="15.6">
      <c r="A51" s="570"/>
      <c r="B51" s="574"/>
      <c r="C51" s="574"/>
      <c r="D51" s="574"/>
      <c r="E51" s="574"/>
      <c r="F51" s="574"/>
      <c r="G51" s="574"/>
      <c r="H51" s="574"/>
      <c r="I51" s="574"/>
      <c r="J51" s="574"/>
      <c r="K51" s="574"/>
      <c r="L51" s="556"/>
    </row>
    <row r="52" spans="1:14" ht="15.6">
      <c r="A52" s="570"/>
      <c r="B52" s="574"/>
      <c r="C52" s="574"/>
      <c r="D52" s="574"/>
      <c r="E52" s="574"/>
      <c r="F52" s="574"/>
      <c r="G52" s="574"/>
      <c r="H52" s="574"/>
      <c r="I52" s="574"/>
      <c r="J52" s="574"/>
      <c r="K52" s="592"/>
      <c r="L52" s="556"/>
    </row>
    <row r="53" spans="1:14" ht="15.6">
      <c r="A53" s="556"/>
      <c r="B53" s="556"/>
      <c r="C53" s="556"/>
      <c r="D53" s="556"/>
      <c r="E53" s="556"/>
      <c r="F53" s="556"/>
      <c r="G53" s="556"/>
      <c r="H53" s="556"/>
      <c r="I53" s="556"/>
      <c r="J53" s="556"/>
      <c r="K53" s="592"/>
      <c r="L53" s="556"/>
    </row>
    <row r="54" spans="1:14" ht="15.6">
      <c r="A54" s="556"/>
      <c r="B54" s="556"/>
      <c r="C54" s="556"/>
      <c r="D54" s="556"/>
      <c r="E54" s="556"/>
      <c r="F54" s="556"/>
      <c r="G54" s="556"/>
      <c r="H54" s="556"/>
      <c r="I54" s="556"/>
      <c r="J54" s="556"/>
      <c r="K54" s="592"/>
      <c r="L54" s="556"/>
    </row>
    <row r="55" spans="1:14" ht="15.6">
      <c r="A55" s="556"/>
      <c r="B55" s="556"/>
      <c r="C55" s="556"/>
      <c r="D55" s="556"/>
      <c r="E55" s="556"/>
      <c r="F55" s="556"/>
      <c r="G55" s="556"/>
      <c r="H55" s="556"/>
      <c r="I55" s="556"/>
      <c r="J55" s="556"/>
      <c r="K55" s="592"/>
      <c r="L55" s="556"/>
    </row>
    <row r="56" spans="1:14" ht="15.6">
      <c r="A56" s="556"/>
      <c r="B56" s="556"/>
      <c r="C56" s="556"/>
      <c r="D56" s="556"/>
      <c r="E56" s="556"/>
      <c r="F56" s="556"/>
      <c r="G56" s="556"/>
      <c r="H56" s="556"/>
      <c r="I56" s="556"/>
      <c r="J56" s="556"/>
      <c r="K56" s="593"/>
      <c r="L56" s="556"/>
    </row>
    <row r="57" spans="1:14" ht="15.6">
      <c r="A57" s="556"/>
      <c r="B57" s="556"/>
      <c r="C57" s="556"/>
      <c r="D57" s="556"/>
      <c r="E57" s="556"/>
      <c r="F57" s="556"/>
      <c r="G57" s="556"/>
      <c r="H57" s="556"/>
      <c r="I57" s="556"/>
      <c r="J57" s="556"/>
      <c r="K57" s="593"/>
      <c r="L57" s="556"/>
    </row>
    <row r="58" spans="1:14" ht="15.6">
      <c r="A58" s="556"/>
      <c r="B58" s="556"/>
      <c r="C58" s="556"/>
      <c r="D58" s="556"/>
      <c r="E58" s="556"/>
      <c r="F58" s="556"/>
      <c r="G58" s="556"/>
      <c r="H58" s="556"/>
      <c r="I58" s="556"/>
      <c r="J58" s="556"/>
      <c r="K58" s="593"/>
      <c r="L58" s="556"/>
    </row>
    <row r="59" spans="1:14" ht="15.6">
      <c r="A59" s="556"/>
      <c r="B59" s="556"/>
      <c r="C59" s="556"/>
      <c r="D59" s="556"/>
      <c r="E59" s="556"/>
      <c r="F59" s="556"/>
      <c r="G59" s="556"/>
      <c r="H59" s="556"/>
      <c r="I59" s="556"/>
      <c r="J59" s="556"/>
      <c r="K59" s="593"/>
      <c r="L59" s="556"/>
    </row>
    <row r="60" spans="1:14" ht="15.6">
      <c r="A60" s="556"/>
      <c r="B60" s="556"/>
      <c r="C60" s="556"/>
      <c r="D60" s="556"/>
      <c r="E60" s="556"/>
      <c r="F60" s="556"/>
      <c r="G60" s="556"/>
      <c r="H60" s="556"/>
      <c r="I60" s="556"/>
      <c r="J60" s="556"/>
      <c r="K60" s="593"/>
      <c r="L60" s="556"/>
    </row>
    <row r="61" spans="1:14" ht="15.6">
      <c r="A61" s="556"/>
      <c r="B61" s="556"/>
      <c r="C61" s="556"/>
      <c r="D61" s="556"/>
      <c r="E61" s="556"/>
      <c r="F61" s="556"/>
      <c r="G61" s="556"/>
      <c r="H61" s="556"/>
      <c r="I61" s="556"/>
      <c r="J61" s="556"/>
      <c r="K61" s="593"/>
      <c r="L61" s="556"/>
    </row>
    <row r="62" spans="1:14" ht="15.6">
      <c r="A62" s="556"/>
      <c r="B62" s="556"/>
      <c r="C62" s="556"/>
      <c r="D62" s="556"/>
      <c r="E62" s="556"/>
      <c r="F62" s="556"/>
      <c r="G62" s="556"/>
      <c r="H62" s="556"/>
      <c r="I62" s="556"/>
      <c r="J62" s="556"/>
      <c r="K62" s="593"/>
      <c r="L62" s="556"/>
    </row>
    <row r="63" spans="1:14" ht="15.6">
      <c r="A63" s="556"/>
      <c r="B63" s="556"/>
      <c r="C63" s="556"/>
      <c r="D63" s="556"/>
      <c r="E63" s="556"/>
      <c r="F63" s="556"/>
      <c r="G63" s="556"/>
      <c r="H63" s="556"/>
      <c r="I63" s="556"/>
      <c r="J63" s="556"/>
      <c r="K63" s="593"/>
      <c r="L63" s="556"/>
    </row>
    <row r="64" spans="1:14" ht="15.6">
      <c r="A64" s="556"/>
      <c r="B64" s="556"/>
      <c r="C64" s="556"/>
      <c r="D64" s="556"/>
      <c r="E64" s="556"/>
      <c r="F64" s="556"/>
      <c r="G64" s="556"/>
      <c r="H64" s="556"/>
      <c r="I64" s="556"/>
      <c r="J64" s="556"/>
      <c r="K64" s="594"/>
      <c r="L64" s="556"/>
    </row>
    <row r="65" spans="1:12" ht="15.6">
      <c r="A65" s="556"/>
      <c r="B65" s="556"/>
      <c r="C65" s="556"/>
      <c r="D65" s="556"/>
      <c r="E65" s="556"/>
      <c r="F65" s="556"/>
      <c r="G65" s="556"/>
      <c r="H65" s="556"/>
      <c r="I65" s="556"/>
      <c r="J65" s="556"/>
      <c r="K65" s="594"/>
      <c r="L65" s="556"/>
    </row>
    <row r="66" spans="1:12" ht="15.6">
      <c r="A66" s="556"/>
      <c r="B66" s="556"/>
      <c r="C66" s="556"/>
      <c r="D66" s="556"/>
      <c r="E66" s="556"/>
      <c r="F66" s="556"/>
      <c r="G66" s="556"/>
      <c r="H66" s="556"/>
      <c r="I66" s="556"/>
      <c r="J66" s="556"/>
      <c r="K66" s="594"/>
      <c r="L66" s="556"/>
    </row>
    <row r="67" spans="1:12" ht="15.6">
      <c r="A67" s="556"/>
      <c r="B67" s="556"/>
      <c r="C67" s="556"/>
      <c r="D67" s="556"/>
      <c r="E67" s="556"/>
      <c r="F67" s="556"/>
      <c r="G67" s="556"/>
      <c r="H67" s="556"/>
      <c r="I67" s="556"/>
      <c r="J67" s="556"/>
      <c r="K67" s="595"/>
      <c r="L67" s="556"/>
    </row>
    <row r="68" spans="1:12" ht="15.6">
      <c r="A68" s="556"/>
      <c r="B68" s="556"/>
      <c r="C68" s="556"/>
      <c r="D68" s="556"/>
      <c r="E68" s="556"/>
      <c r="F68" s="556"/>
      <c r="G68" s="556"/>
      <c r="H68" s="556"/>
      <c r="I68" s="556"/>
      <c r="J68" s="556"/>
      <c r="K68" s="594"/>
      <c r="L68" s="556"/>
    </row>
    <row r="69" spans="1:12" ht="15.6">
      <c r="A69" s="556"/>
      <c r="B69" s="556"/>
      <c r="C69" s="556"/>
      <c r="D69" s="556"/>
      <c r="E69" s="556"/>
      <c r="F69" s="556"/>
      <c r="G69" s="556"/>
      <c r="H69" s="556"/>
      <c r="I69" s="556"/>
      <c r="J69" s="556"/>
      <c r="K69" s="556"/>
      <c r="L69" s="556"/>
    </row>
    <row r="70" spans="1:12" ht="15.6">
      <c r="A70" s="556"/>
      <c r="B70" s="556"/>
      <c r="C70" s="556"/>
      <c r="D70" s="556"/>
      <c r="E70" s="556"/>
      <c r="F70" s="556"/>
      <c r="G70" s="556"/>
      <c r="H70" s="556"/>
      <c r="I70" s="556"/>
      <c r="J70" s="556"/>
      <c r="K70" s="556"/>
      <c r="L70" s="556"/>
    </row>
    <row r="71" spans="1:12" ht="15.6">
      <c r="A71" s="556"/>
      <c r="B71" s="556"/>
      <c r="C71" s="556"/>
      <c r="D71" s="556"/>
      <c r="E71" s="556"/>
      <c r="F71" s="556"/>
      <c r="G71" s="556"/>
      <c r="H71" s="556"/>
      <c r="I71" s="556"/>
      <c r="J71" s="556"/>
      <c r="K71" s="556"/>
      <c r="L71" s="556"/>
    </row>
    <row r="72" spans="1:12" ht="15.6">
      <c r="A72" s="556"/>
      <c r="B72" s="556"/>
      <c r="C72" s="556"/>
      <c r="D72" s="556"/>
      <c r="E72" s="556"/>
      <c r="F72" s="556"/>
      <c r="G72" s="556"/>
      <c r="H72" s="556"/>
      <c r="I72" s="556"/>
      <c r="J72" s="556"/>
      <c r="K72" s="556"/>
      <c r="L72" s="556"/>
    </row>
  </sheetData>
  <mergeCells count="3">
    <mergeCell ref="D5:G5"/>
    <mergeCell ref="J5:K5"/>
    <mergeCell ref="M5:O5"/>
  </mergeCells>
  <pageMargins left="0.75" right="0.75" top="1" bottom="1" header="0.5" footer="0.5"/>
  <pageSetup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N148"/>
  <sheetViews>
    <sheetView zoomScale="75" zoomScaleNormal="75" workbookViewId="0">
      <pane ySplit="5" topLeftCell="A99" activePane="bottomLeft" state="frozen"/>
      <selection pane="bottomLeft" activeCell="J132" sqref="J132"/>
    </sheetView>
  </sheetViews>
  <sheetFormatPr defaultColWidth="9.33203125" defaultRowHeight="13.2" outlineLevelRow="1"/>
  <cols>
    <col min="1" max="1" width="16.44140625" style="557" customWidth="1"/>
    <col min="2" max="7" width="15.77734375" style="557" customWidth="1"/>
    <col min="8" max="8" width="9.33203125" style="557"/>
    <col min="9" max="9" width="3.77734375" style="557" customWidth="1"/>
    <col min="10" max="10" width="13.33203125" style="557" customWidth="1"/>
    <col min="11" max="11" width="9.33203125" style="557"/>
    <col min="12" max="12" width="15.77734375" style="557" customWidth="1"/>
    <col min="13" max="13" width="20.109375" style="557" customWidth="1"/>
    <col min="14" max="14" width="14.77734375" style="557" customWidth="1"/>
    <col min="15" max="16384" width="9.33203125" style="557"/>
  </cols>
  <sheetData>
    <row r="1" spans="1:14" ht="15.6">
      <c r="A1" s="572" t="str">
        <f ca="1">CELL("filename")</f>
        <v>C:\Users\rebrenner\Desktop\NCEAS\DATA\PWS&amp;CBR_SALMON\PWS&amp;CR_SALMON_FORECAST_DATA\[2015 Copper River Chinook forecast-FINAL.xlsm]Ricker</v>
      </c>
    </row>
    <row r="2" spans="1:14" ht="15.6">
      <c r="A2" s="556"/>
    </row>
    <row r="3" spans="1:14" ht="18">
      <c r="A3" s="596" t="s">
        <v>180</v>
      </c>
      <c r="B3" s="597" t="s">
        <v>392</v>
      </c>
    </row>
    <row r="4" spans="1:14" ht="15.6">
      <c r="A4" s="570"/>
      <c r="B4" s="598"/>
      <c r="C4" s="599"/>
    </row>
    <row r="5" spans="1:14" ht="45" customHeight="1">
      <c r="A5" s="600" t="s">
        <v>12</v>
      </c>
      <c r="B5" s="601" t="s">
        <v>393</v>
      </c>
      <c r="C5" s="602" t="s">
        <v>394</v>
      </c>
      <c r="D5" s="603" t="s">
        <v>395</v>
      </c>
      <c r="E5" s="604" t="s">
        <v>396</v>
      </c>
      <c r="F5" s="605" t="s">
        <v>196</v>
      </c>
      <c r="G5" s="605" t="s">
        <v>194</v>
      </c>
      <c r="J5" s="638" t="s">
        <v>404</v>
      </c>
      <c r="L5" s="557" t="s">
        <v>486</v>
      </c>
      <c r="M5" s="897" t="s">
        <v>487</v>
      </c>
      <c r="N5" s="898" t="s">
        <v>488</v>
      </c>
    </row>
    <row r="6" spans="1:14" ht="15.75" customHeight="1" outlineLevel="1">
      <c r="A6" s="570">
        <v>1890</v>
      </c>
      <c r="B6" s="574">
        <f>Harvests!O8</f>
        <v>5491</v>
      </c>
      <c r="C6" s="569" t="s">
        <v>229</v>
      </c>
      <c r="D6" s="569" t="s">
        <v>229</v>
      </c>
      <c r="E6" s="569" t="s">
        <v>229</v>
      </c>
      <c r="F6" s="569" t="s">
        <v>229</v>
      </c>
      <c r="G6" s="569" t="s">
        <v>229</v>
      </c>
    </row>
    <row r="7" spans="1:14" ht="15.75" customHeight="1" outlineLevel="1">
      <c r="A7" s="570">
        <v>1891</v>
      </c>
      <c r="B7" s="574">
        <f>Harvests!O9</f>
        <v>6185</v>
      </c>
      <c r="C7" s="569" t="s">
        <v>229</v>
      </c>
      <c r="D7" s="569" t="s">
        <v>229</v>
      </c>
      <c r="E7" s="569" t="s">
        <v>229</v>
      </c>
      <c r="F7" s="569" t="s">
        <v>229</v>
      </c>
      <c r="G7" s="569" t="s">
        <v>229</v>
      </c>
    </row>
    <row r="8" spans="1:14" ht="15.6" outlineLevel="1">
      <c r="A8" s="570">
        <v>1892</v>
      </c>
      <c r="B8" s="574">
        <f>Harvests!O10</f>
        <v>0</v>
      </c>
      <c r="C8" s="569" t="s">
        <v>229</v>
      </c>
      <c r="D8" s="569" t="s">
        <v>229</v>
      </c>
      <c r="E8" s="569" t="s">
        <v>229</v>
      </c>
      <c r="F8" s="569" t="s">
        <v>229</v>
      </c>
      <c r="G8" s="569" t="s">
        <v>229</v>
      </c>
    </row>
    <row r="9" spans="1:14" ht="15.6" outlineLevel="1">
      <c r="A9" s="570">
        <v>1893</v>
      </c>
      <c r="B9" s="574">
        <f>Harvests!O11</f>
        <v>8674</v>
      </c>
      <c r="C9" s="569" t="s">
        <v>229</v>
      </c>
      <c r="D9" s="569" t="s">
        <v>229</v>
      </c>
      <c r="E9" s="569" t="s">
        <v>229</v>
      </c>
      <c r="F9" s="569" t="s">
        <v>229</v>
      </c>
      <c r="G9" s="569" t="s">
        <v>229</v>
      </c>
    </row>
    <row r="10" spans="1:14" ht="15.6" outlineLevel="1">
      <c r="A10" s="570">
        <v>1894</v>
      </c>
      <c r="B10" s="574">
        <f>Harvests!O12</f>
        <v>7494</v>
      </c>
      <c r="C10" s="569" t="s">
        <v>229</v>
      </c>
      <c r="D10" s="569" t="s">
        <v>229</v>
      </c>
      <c r="E10" s="569" t="s">
        <v>229</v>
      </c>
      <c r="F10" s="569" t="s">
        <v>229</v>
      </c>
      <c r="G10" s="569" t="s">
        <v>229</v>
      </c>
    </row>
    <row r="11" spans="1:14" ht="15.6" outlineLevel="1">
      <c r="A11" s="570">
        <v>1895</v>
      </c>
      <c r="B11" s="574">
        <f>Harvests!O13</f>
        <v>10248</v>
      </c>
      <c r="C11" s="569" t="s">
        <v>229</v>
      </c>
      <c r="D11" s="569" t="s">
        <v>229</v>
      </c>
      <c r="E11" s="569" t="s">
        <v>229</v>
      </c>
      <c r="F11" s="569" t="s">
        <v>229</v>
      </c>
      <c r="G11" s="569" t="s">
        <v>229</v>
      </c>
    </row>
    <row r="12" spans="1:14" ht="15.6" outlineLevel="1">
      <c r="A12" s="570">
        <v>1896</v>
      </c>
      <c r="B12" s="574">
        <f>Harvests!O14</f>
        <v>1407</v>
      </c>
      <c r="C12" s="569" t="s">
        <v>229</v>
      </c>
      <c r="D12" s="569" t="s">
        <v>229</v>
      </c>
      <c r="E12" s="569" t="s">
        <v>229</v>
      </c>
      <c r="F12" s="569" t="s">
        <v>229</v>
      </c>
      <c r="G12" s="569" t="s">
        <v>229</v>
      </c>
    </row>
    <row r="13" spans="1:14" ht="15.6" outlineLevel="1">
      <c r="A13" s="570">
        <v>1897</v>
      </c>
      <c r="B13" s="574">
        <f>Harvests!O15</f>
        <v>2044</v>
      </c>
      <c r="C13" s="569" t="s">
        <v>229</v>
      </c>
      <c r="D13" s="569" t="s">
        <v>229</v>
      </c>
      <c r="E13" s="569" t="s">
        <v>229</v>
      </c>
      <c r="F13" s="569" t="s">
        <v>229</v>
      </c>
      <c r="G13" s="569" t="s">
        <v>229</v>
      </c>
    </row>
    <row r="14" spans="1:14" ht="15.6" outlineLevel="1">
      <c r="A14" s="570">
        <v>1898</v>
      </c>
      <c r="B14" s="574">
        <f>Harvests!O16</f>
        <v>1850</v>
      </c>
      <c r="C14" s="569" t="s">
        <v>229</v>
      </c>
      <c r="D14" s="569" t="s">
        <v>229</v>
      </c>
      <c r="E14" s="569" t="s">
        <v>229</v>
      </c>
      <c r="F14" s="569" t="s">
        <v>229</v>
      </c>
      <c r="G14" s="569" t="s">
        <v>229</v>
      </c>
    </row>
    <row r="15" spans="1:14" ht="15.6" outlineLevel="1">
      <c r="A15" s="570">
        <v>1899</v>
      </c>
      <c r="B15" s="574">
        <f>Harvests!O17</f>
        <v>4682</v>
      </c>
      <c r="C15" s="569" t="s">
        <v>229</v>
      </c>
      <c r="D15" s="569" t="s">
        <v>229</v>
      </c>
      <c r="E15" s="569" t="s">
        <v>229</v>
      </c>
      <c r="F15" s="569" t="s">
        <v>229</v>
      </c>
      <c r="G15" s="569" t="s">
        <v>229</v>
      </c>
    </row>
    <row r="16" spans="1:14" ht="15.6" outlineLevel="1">
      <c r="A16" s="570">
        <v>1900</v>
      </c>
      <c r="B16" s="574">
        <f>Harvests!O18</f>
        <v>3462</v>
      </c>
      <c r="C16" s="569" t="s">
        <v>229</v>
      </c>
      <c r="D16" s="569" t="s">
        <v>229</v>
      </c>
      <c r="E16" s="569" t="s">
        <v>229</v>
      </c>
      <c r="F16" s="569" t="s">
        <v>229</v>
      </c>
      <c r="G16" s="569" t="s">
        <v>229</v>
      </c>
    </row>
    <row r="17" spans="1:7" ht="15.6" outlineLevel="1">
      <c r="A17" s="570">
        <v>1901</v>
      </c>
      <c r="B17" s="574">
        <f>Harvests!O19</f>
        <v>6558</v>
      </c>
      <c r="C17" s="569" t="s">
        <v>229</v>
      </c>
      <c r="D17" s="569" t="s">
        <v>229</v>
      </c>
      <c r="E17" s="569" t="s">
        <v>229</v>
      </c>
      <c r="F17" s="569" t="s">
        <v>229</v>
      </c>
      <c r="G17" s="569" t="s">
        <v>229</v>
      </c>
    </row>
    <row r="18" spans="1:7" ht="15.6" outlineLevel="1">
      <c r="A18" s="570">
        <v>1902</v>
      </c>
      <c r="B18" s="574">
        <f>Harvests!O20</f>
        <v>2500</v>
      </c>
      <c r="C18" s="569" t="s">
        <v>229</v>
      </c>
      <c r="D18" s="569" t="s">
        <v>229</v>
      </c>
      <c r="E18" s="569" t="s">
        <v>229</v>
      </c>
      <c r="F18" s="569" t="s">
        <v>229</v>
      </c>
      <c r="G18" s="569" t="s">
        <v>229</v>
      </c>
    </row>
    <row r="19" spans="1:7" ht="15.6" outlineLevel="1">
      <c r="A19" s="570">
        <v>1903</v>
      </c>
      <c r="B19" s="574">
        <f>Harvests!O21</f>
        <v>4600</v>
      </c>
      <c r="C19" s="569" t="s">
        <v>229</v>
      </c>
      <c r="D19" s="569" t="s">
        <v>229</v>
      </c>
      <c r="E19" s="569" t="s">
        <v>229</v>
      </c>
      <c r="F19" s="569" t="s">
        <v>229</v>
      </c>
      <c r="G19" s="569" t="s">
        <v>229</v>
      </c>
    </row>
    <row r="20" spans="1:7" ht="15.6" outlineLevel="1">
      <c r="A20" s="570">
        <v>1904</v>
      </c>
      <c r="B20" s="574">
        <f>Harvests!O22</f>
        <v>5014</v>
      </c>
      <c r="C20" s="569" t="s">
        <v>229</v>
      </c>
      <c r="D20" s="569" t="s">
        <v>229</v>
      </c>
      <c r="E20" s="569" t="s">
        <v>229</v>
      </c>
      <c r="F20" s="569" t="s">
        <v>229</v>
      </c>
      <c r="G20" s="569" t="s">
        <v>229</v>
      </c>
    </row>
    <row r="21" spans="1:7" ht="15.6" outlineLevel="1">
      <c r="A21" s="570">
        <v>1905</v>
      </c>
      <c r="B21" s="574">
        <f>Harvests!O23</f>
        <v>20000</v>
      </c>
      <c r="C21" s="569" t="s">
        <v>229</v>
      </c>
      <c r="D21" s="569" t="s">
        <v>229</v>
      </c>
      <c r="E21" s="569" t="s">
        <v>229</v>
      </c>
      <c r="F21" s="569" t="s">
        <v>229</v>
      </c>
      <c r="G21" s="569" t="s">
        <v>229</v>
      </c>
    </row>
    <row r="22" spans="1:7" ht="15.6" outlineLevel="1">
      <c r="A22" s="570">
        <v>1906</v>
      </c>
      <c r="B22" s="574">
        <f>Harvests!O24</f>
        <v>2165</v>
      </c>
      <c r="C22" s="569" t="s">
        <v>229</v>
      </c>
      <c r="D22" s="569" t="s">
        <v>229</v>
      </c>
      <c r="E22" s="569" t="s">
        <v>229</v>
      </c>
      <c r="F22" s="569" t="s">
        <v>229</v>
      </c>
      <c r="G22" s="569" t="s">
        <v>229</v>
      </c>
    </row>
    <row r="23" spans="1:7" ht="15.6" outlineLevel="1">
      <c r="A23" s="570">
        <v>1907</v>
      </c>
      <c r="B23" s="574">
        <f>Harvests!O25</f>
        <v>869</v>
      </c>
      <c r="C23" s="569" t="s">
        <v>229</v>
      </c>
      <c r="D23" s="569" t="s">
        <v>229</v>
      </c>
      <c r="E23" s="569" t="s">
        <v>229</v>
      </c>
      <c r="F23" s="569" t="s">
        <v>229</v>
      </c>
      <c r="G23" s="569" t="s">
        <v>229</v>
      </c>
    </row>
    <row r="24" spans="1:7" ht="15.6" outlineLevel="1">
      <c r="A24" s="570">
        <v>1908</v>
      </c>
      <c r="B24" s="574">
        <f>Harvests!O26</f>
        <v>0</v>
      </c>
      <c r="C24" s="569" t="s">
        <v>229</v>
      </c>
      <c r="D24" s="569" t="s">
        <v>229</v>
      </c>
      <c r="E24" s="569" t="s">
        <v>229</v>
      </c>
      <c r="F24" s="569" t="s">
        <v>229</v>
      </c>
      <c r="G24" s="569" t="s">
        <v>229</v>
      </c>
    </row>
    <row r="25" spans="1:7" ht="15.6" outlineLevel="1">
      <c r="A25" s="570">
        <v>1909</v>
      </c>
      <c r="B25" s="574">
        <f>Harvests!O27</f>
        <v>3067</v>
      </c>
      <c r="C25" s="569" t="s">
        <v>229</v>
      </c>
      <c r="D25" s="569" t="s">
        <v>229</v>
      </c>
      <c r="E25" s="569" t="s">
        <v>229</v>
      </c>
      <c r="F25" s="569" t="s">
        <v>229</v>
      </c>
      <c r="G25" s="569" t="s">
        <v>229</v>
      </c>
    </row>
    <row r="26" spans="1:7" ht="15.6" outlineLevel="1">
      <c r="A26" s="570">
        <v>1910</v>
      </c>
      <c r="B26" s="574">
        <f>Harvests!O28</f>
        <v>974</v>
      </c>
      <c r="C26" s="569" t="s">
        <v>229</v>
      </c>
      <c r="D26" s="569" t="s">
        <v>229</v>
      </c>
      <c r="E26" s="569" t="s">
        <v>229</v>
      </c>
      <c r="F26" s="569" t="s">
        <v>229</v>
      </c>
      <c r="G26" s="569" t="s">
        <v>229</v>
      </c>
    </row>
    <row r="27" spans="1:7" ht="15.6" outlineLevel="1">
      <c r="A27" s="570">
        <v>1911</v>
      </c>
      <c r="B27" s="574">
        <f>Harvests!O29</f>
        <v>1358</v>
      </c>
      <c r="C27" s="569" t="s">
        <v>229</v>
      </c>
      <c r="D27" s="569" t="s">
        <v>229</v>
      </c>
      <c r="E27" s="569" t="s">
        <v>229</v>
      </c>
      <c r="F27" s="569" t="s">
        <v>229</v>
      </c>
      <c r="G27" s="569" t="s">
        <v>229</v>
      </c>
    </row>
    <row r="28" spans="1:7" ht="15.6" outlineLevel="1">
      <c r="A28" s="570">
        <v>1912</v>
      </c>
      <c r="B28" s="574">
        <f>Harvests!O30</f>
        <v>6181</v>
      </c>
      <c r="C28" s="569" t="s">
        <v>229</v>
      </c>
      <c r="D28" s="569" t="s">
        <v>229</v>
      </c>
      <c r="E28" s="569" t="s">
        <v>229</v>
      </c>
      <c r="F28" s="569" t="s">
        <v>229</v>
      </c>
      <c r="G28" s="569" t="s">
        <v>229</v>
      </c>
    </row>
    <row r="29" spans="1:7" ht="15.6" outlineLevel="1">
      <c r="A29" s="570">
        <v>1913</v>
      </c>
      <c r="B29" s="574">
        <f>Harvests!O31</f>
        <v>2307</v>
      </c>
      <c r="C29" s="569" t="s">
        <v>229</v>
      </c>
      <c r="D29" s="569" t="s">
        <v>229</v>
      </c>
      <c r="E29" s="569" t="s">
        <v>229</v>
      </c>
      <c r="F29" s="569" t="s">
        <v>229</v>
      </c>
      <c r="G29" s="569" t="s">
        <v>229</v>
      </c>
    </row>
    <row r="30" spans="1:7" ht="15.6" outlineLevel="1">
      <c r="A30" s="570">
        <v>1914</v>
      </c>
      <c r="B30" s="574">
        <f>Harvests!O32</f>
        <v>3043</v>
      </c>
      <c r="C30" s="569" t="s">
        <v>229</v>
      </c>
      <c r="D30" s="569" t="s">
        <v>229</v>
      </c>
      <c r="E30" s="569" t="s">
        <v>229</v>
      </c>
      <c r="F30" s="569" t="s">
        <v>229</v>
      </c>
      <c r="G30" s="569" t="s">
        <v>229</v>
      </c>
    </row>
    <row r="31" spans="1:7" ht="15.6" outlineLevel="1">
      <c r="A31" s="570">
        <v>1915</v>
      </c>
      <c r="B31" s="574">
        <f>Harvests!O33</f>
        <v>7338</v>
      </c>
      <c r="C31" s="569" t="s">
        <v>229</v>
      </c>
      <c r="D31" s="569" t="s">
        <v>229</v>
      </c>
      <c r="E31" s="569" t="s">
        <v>229</v>
      </c>
      <c r="F31" s="569" t="s">
        <v>229</v>
      </c>
      <c r="G31" s="569" t="s">
        <v>229</v>
      </c>
    </row>
    <row r="32" spans="1:7" ht="15.6" outlineLevel="1">
      <c r="A32" s="570">
        <v>1916</v>
      </c>
      <c r="B32" s="574">
        <f>Harvests!O34</f>
        <v>14266</v>
      </c>
      <c r="C32" s="569" t="s">
        <v>229</v>
      </c>
      <c r="D32" s="569" t="s">
        <v>229</v>
      </c>
      <c r="E32" s="569" t="s">
        <v>229</v>
      </c>
      <c r="F32" s="569" t="s">
        <v>229</v>
      </c>
      <c r="G32" s="569" t="s">
        <v>229</v>
      </c>
    </row>
    <row r="33" spans="1:7" ht="15.6" outlineLevel="1">
      <c r="A33" s="570">
        <v>1917</v>
      </c>
      <c r="B33" s="574">
        <f>Harvests!O35</f>
        <v>14251</v>
      </c>
      <c r="C33" s="569" t="s">
        <v>229</v>
      </c>
      <c r="D33" s="569" t="s">
        <v>229</v>
      </c>
      <c r="E33" s="569" t="s">
        <v>229</v>
      </c>
      <c r="F33" s="569" t="s">
        <v>229</v>
      </c>
      <c r="G33" s="569" t="s">
        <v>229</v>
      </c>
    </row>
    <row r="34" spans="1:7" ht="15.6" outlineLevel="1">
      <c r="A34" s="570">
        <v>1918</v>
      </c>
      <c r="B34" s="574">
        <f>Harvests!O36</f>
        <v>19766</v>
      </c>
      <c r="C34" s="569" t="s">
        <v>229</v>
      </c>
      <c r="D34" s="569" t="s">
        <v>229</v>
      </c>
      <c r="E34" s="569" t="s">
        <v>229</v>
      </c>
      <c r="F34" s="569" t="s">
        <v>229</v>
      </c>
      <c r="G34" s="569" t="s">
        <v>229</v>
      </c>
    </row>
    <row r="35" spans="1:7" ht="15.6" outlineLevel="1">
      <c r="A35" s="570">
        <v>1919</v>
      </c>
      <c r="B35" s="574">
        <f>Harvests!O37</f>
        <v>13338</v>
      </c>
      <c r="C35" s="569" t="s">
        <v>229</v>
      </c>
      <c r="D35" s="569" t="s">
        <v>229</v>
      </c>
      <c r="E35" s="569" t="s">
        <v>229</v>
      </c>
      <c r="F35" s="569" t="s">
        <v>229</v>
      </c>
      <c r="G35" s="569" t="s">
        <v>229</v>
      </c>
    </row>
    <row r="36" spans="1:7" ht="15.6" outlineLevel="1">
      <c r="A36" s="570">
        <v>1920</v>
      </c>
      <c r="B36" s="574">
        <f>Harvests!O38</f>
        <v>23117</v>
      </c>
      <c r="C36" s="569" t="s">
        <v>229</v>
      </c>
      <c r="D36" s="569" t="s">
        <v>229</v>
      </c>
      <c r="E36" s="569" t="s">
        <v>229</v>
      </c>
      <c r="F36" s="569" t="s">
        <v>229</v>
      </c>
      <c r="G36" s="569" t="s">
        <v>229</v>
      </c>
    </row>
    <row r="37" spans="1:7" ht="15.6" outlineLevel="1">
      <c r="A37" s="570">
        <v>1921</v>
      </c>
      <c r="B37" s="574">
        <f>Harvests!O39</f>
        <v>11469</v>
      </c>
      <c r="C37" s="569" t="s">
        <v>229</v>
      </c>
      <c r="D37" s="569" t="s">
        <v>229</v>
      </c>
      <c r="E37" s="569" t="s">
        <v>229</v>
      </c>
      <c r="F37" s="569" t="s">
        <v>229</v>
      </c>
      <c r="G37" s="569" t="s">
        <v>229</v>
      </c>
    </row>
    <row r="38" spans="1:7" ht="15.6" outlineLevel="1">
      <c r="A38" s="570">
        <v>1922</v>
      </c>
      <c r="B38" s="574">
        <f>Harvests!O40</f>
        <v>10147</v>
      </c>
      <c r="C38" s="569" t="s">
        <v>229</v>
      </c>
      <c r="D38" s="569" t="s">
        <v>229</v>
      </c>
      <c r="E38" s="569" t="s">
        <v>229</v>
      </c>
      <c r="F38" s="569" t="s">
        <v>229</v>
      </c>
      <c r="G38" s="569" t="s">
        <v>229</v>
      </c>
    </row>
    <row r="39" spans="1:7" ht="15.6" outlineLevel="1">
      <c r="A39" s="570">
        <v>1923</v>
      </c>
      <c r="B39" s="574">
        <f>Harvests!O41</f>
        <v>10425</v>
      </c>
      <c r="C39" s="569" t="s">
        <v>229</v>
      </c>
      <c r="D39" s="569" t="s">
        <v>229</v>
      </c>
      <c r="E39" s="569" t="s">
        <v>229</v>
      </c>
      <c r="F39" s="569" t="s">
        <v>229</v>
      </c>
      <c r="G39" s="569" t="s">
        <v>229</v>
      </c>
    </row>
    <row r="40" spans="1:7" ht="15.6" outlineLevel="1">
      <c r="A40" s="570">
        <v>1924</v>
      </c>
      <c r="B40" s="574">
        <f>Harvests!O42</f>
        <v>15973</v>
      </c>
      <c r="C40" s="569" t="s">
        <v>229</v>
      </c>
      <c r="D40" s="569" t="s">
        <v>229</v>
      </c>
      <c r="E40" s="569" t="s">
        <v>229</v>
      </c>
      <c r="F40" s="569" t="s">
        <v>229</v>
      </c>
      <c r="G40" s="569" t="s">
        <v>229</v>
      </c>
    </row>
    <row r="41" spans="1:7" ht="15.6" outlineLevel="1">
      <c r="A41" s="570">
        <v>1925</v>
      </c>
      <c r="B41" s="574">
        <f>Harvests!O43</f>
        <v>19805</v>
      </c>
      <c r="C41" s="569" t="s">
        <v>229</v>
      </c>
      <c r="D41" s="569" t="s">
        <v>229</v>
      </c>
      <c r="E41" s="569" t="s">
        <v>229</v>
      </c>
      <c r="F41" s="569" t="s">
        <v>229</v>
      </c>
      <c r="G41" s="569" t="s">
        <v>229</v>
      </c>
    </row>
    <row r="42" spans="1:7" ht="15.6" outlineLevel="1">
      <c r="A42" s="570">
        <v>1926</v>
      </c>
      <c r="B42" s="574">
        <f>Harvests!O44</f>
        <v>21414</v>
      </c>
      <c r="C42" s="569" t="s">
        <v>229</v>
      </c>
      <c r="D42" s="569" t="s">
        <v>229</v>
      </c>
      <c r="E42" s="569" t="s">
        <v>229</v>
      </c>
      <c r="F42" s="569" t="s">
        <v>229</v>
      </c>
      <c r="G42" s="569" t="s">
        <v>229</v>
      </c>
    </row>
    <row r="43" spans="1:7" ht="15.6" outlineLevel="1">
      <c r="A43" s="570">
        <v>1927</v>
      </c>
      <c r="B43" s="574">
        <f>Harvests!O45</f>
        <v>35598</v>
      </c>
      <c r="C43" s="569" t="s">
        <v>229</v>
      </c>
      <c r="D43" s="569" t="s">
        <v>229</v>
      </c>
      <c r="E43" s="569" t="s">
        <v>229</v>
      </c>
      <c r="F43" s="569" t="s">
        <v>229</v>
      </c>
      <c r="G43" s="569" t="s">
        <v>229</v>
      </c>
    </row>
    <row r="44" spans="1:7" ht="15.6" outlineLevel="1">
      <c r="A44" s="570">
        <v>1928</v>
      </c>
      <c r="B44" s="574">
        <f>Harvests!O46</f>
        <v>42144</v>
      </c>
      <c r="C44" s="569" t="s">
        <v>229</v>
      </c>
      <c r="D44" s="569" t="s">
        <v>229</v>
      </c>
      <c r="E44" s="569" t="s">
        <v>229</v>
      </c>
      <c r="F44" s="569" t="s">
        <v>229</v>
      </c>
      <c r="G44" s="569" t="s">
        <v>229</v>
      </c>
    </row>
    <row r="45" spans="1:7" ht="15.6" outlineLevel="1">
      <c r="A45" s="570">
        <v>1929</v>
      </c>
      <c r="B45" s="574">
        <f>Harvests!O47</f>
        <v>43866</v>
      </c>
      <c r="C45" s="569" t="s">
        <v>229</v>
      </c>
      <c r="D45" s="569" t="s">
        <v>229</v>
      </c>
      <c r="E45" s="569" t="s">
        <v>229</v>
      </c>
      <c r="F45" s="569" t="s">
        <v>229</v>
      </c>
      <c r="G45" s="569" t="s">
        <v>229</v>
      </c>
    </row>
    <row r="46" spans="1:7" ht="15.6" outlineLevel="1">
      <c r="A46" s="570">
        <v>1930</v>
      </c>
      <c r="B46" s="574">
        <f>Harvests!O48</f>
        <v>23181</v>
      </c>
      <c r="C46" s="569" t="s">
        <v>229</v>
      </c>
      <c r="D46" s="569" t="s">
        <v>229</v>
      </c>
      <c r="E46" s="569" t="s">
        <v>229</v>
      </c>
      <c r="F46" s="569" t="s">
        <v>229</v>
      </c>
      <c r="G46" s="569" t="s">
        <v>229</v>
      </c>
    </row>
    <row r="47" spans="1:7" ht="15.6" outlineLevel="1">
      <c r="A47" s="570">
        <v>1931</v>
      </c>
      <c r="B47" s="574">
        <f>Harvests!O49</f>
        <v>35268</v>
      </c>
      <c r="C47" s="569" t="s">
        <v>229</v>
      </c>
      <c r="D47" s="569" t="s">
        <v>229</v>
      </c>
      <c r="E47" s="569" t="s">
        <v>229</v>
      </c>
      <c r="F47" s="569" t="s">
        <v>229</v>
      </c>
      <c r="G47" s="569" t="s">
        <v>229</v>
      </c>
    </row>
    <row r="48" spans="1:7" ht="15.6" outlineLevel="1">
      <c r="A48" s="570">
        <v>1932</v>
      </c>
      <c r="B48" s="574">
        <f>Harvests!O50</f>
        <v>29403</v>
      </c>
      <c r="C48" s="569" t="s">
        <v>229</v>
      </c>
      <c r="D48" s="569" t="s">
        <v>229</v>
      </c>
      <c r="E48" s="569" t="s">
        <v>229</v>
      </c>
      <c r="F48" s="569" t="s">
        <v>229</v>
      </c>
      <c r="G48" s="569" t="s">
        <v>229</v>
      </c>
    </row>
    <row r="49" spans="1:7" ht="15.6" outlineLevel="1">
      <c r="A49" s="570">
        <v>1933</v>
      </c>
      <c r="B49" s="574">
        <f>Harvests!O51</f>
        <v>14073</v>
      </c>
      <c r="C49" s="569" t="s">
        <v>229</v>
      </c>
      <c r="D49" s="569" t="s">
        <v>229</v>
      </c>
      <c r="E49" s="569" t="s">
        <v>229</v>
      </c>
      <c r="F49" s="569" t="s">
        <v>229</v>
      </c>
      <c r="G49" s="569" t="s">
        <v>229</v>
      </c>
    </row>
    <row r="50" spans="1:7" ht="15.6" outlineLevel="1">
      <c r="A50" s="570">
        <v>1934</v>
      </c>
      <c r="B50" s="574">
        <f>Harvests!O52</f>
        <v>10407</v>
      </c>
      <c r="C50" s="569" t="s">
        <v>229</v>
      </c>
      <c r="D50" s="569" t="s">
        <v>229</v>
      </c>
      <c r="E50" s="569" t="s">
        <v>229</v>
      </c>
      <c r="F50" s="569" t="s">
        <v>229</v>
      </c>
      <c r="G50" s="569" t="s">
        <v>229</v>
      </c>
    </row>
    <row r="51" spans="1:7" ht="15.6" outlineLevel="1">
      <c r="A51" s="570">
        <v>1935</v>
      </c>
      <c r="B51" s="574">
        <f>Harvests!O53</f>
        <v>2352</v>
      </c>
      <c r="C51" s="569" t="s">
        <v>229</v>
      </c>
      <c r="D51" s="569" t="s">
        <v>229</v>
      </c>
      <c r="E51" s="569" t="s">
        <v>229</v>
      </c>
      <c r="F51" s="569" t="s">
        <v>229</v>
      </c>
      <c r="G51" s="569" t="s">
        <v>229</v>
      </c>
    </row>
    <row r="52" spans="1:7" ht="15.6" outlineLevel="1">
      <c r="A52" s="570">
        <v>1936</v>
      </c>
      <c r="B52" s="574">
        <f>Harvests!O54</f>
        <v>6939</v>
      </c>
      <c r="C52" s="569" t="s">
        <v>229</v>
      </c>
      <c r="D52" s="569" t="s">
        <v>229</v>
      </c>
      <c r="E52" s="569" t="s">
        <v>229</v>
      </c>
      <c r="F52" s="569" t="s">
        <v>229</v>
      </c>
      <c r="G52" s="569" t="s">
        <v>229</v>
      </c>
    </row>
    <row r="53" spans="1:7" ht="15.6" outlineLevel="1">
      <c r="A53" s="570">
        <v>1937</v>
      </c>
      <c r="B53" s="574">
        <f>Harvests!O55</f>
        <v>11538</v>
      </c>
      <c r="C53" s="569" t="s">
        <v>229</v>
      </c>
      <c r="D53" s="569" t="s">
        <v>229</v>
      </c>
      <c r="E53" s="569" t="s">
        <v>229</v>
      </c>
      <c r="F53" s="569" t="s">
        <v>229</v>
      </c>
      <c r="G53" s="569" t="s">
        <v>229</v>
      </c>
    </row>
    <row r="54" spans="1:7" ht="15.6" outlineLevel="1">
      <c r="A54" s="570">
        <v>1938</v>
      </c>
      <c r="B54" s="574">
        <f>Harvests!O56</f>
        <v>7614</v>
      </c>
      <c r="C54" s="569" t="s">
        <v>229</v>
      </c>
      <c r="D54" s="569" t="s">
        <v>229</v>
      </c>
      <c r="E54" s="569" t="s">
        <v>229</v>
      </c>
      <c r="F54" s="569" t="s">
        <v>229</v>
      </c>
      <c r="G54" s="569" t="s">
        <v>229</v>
      </c>
    </row>
    <row r="55" spans="1:7" ht="15.6" outlineLevel="1">
      <c r="A55" s="570">
        <v>1939</v>
      </c>
      <c r="B55" s="574">
        <f>Harvests!O57</f>
        <v>6555</v>
      </c>
      <c r="C55" s="569" t="s">
        <v>229</v>
      </c>
      <c r="D55" s="569" t="s">
        <v>229</v>
      </c>
      <c r="E55" s="569" t="s">
        <v>229</v>
      </c>
      <c r="F55" s="569" t="s">
        <v>229</v>
      </c>
      <c r="G55" s="569" t="s">
        <v>229</v>
      </c>
    </row>
    <row r="56" spans="1:7" ht="15.6" outlineLevel="1">
      <c r="A56" s="570">
        <v>1940</v>
      </c>
      <c r="B56" s="574">
        <f>Harvests!O58</f>
        <v>3876</v>
      </c>
      <c r="C56" s="569" t="s">
        <v>229</v>
      </c>
      <c r="D56" s="569" t="s">
        <v>229</v>
      </c>
      <c r="E56" s="569" t="s">
        <v>229</v>
      </c>
      <c r="F56" s="569" t="s">
        <v>229</v>
      </c>
      <c r="G56" s="569" t="s">
        <v>229</v>
      </c>
    </row>
    <row r="57" spans="1:7" ht="15.6" outlineLevel="1">
      <c r="A57" s="570">
        <v>1941</v>
      </c>
      <c r="B57" s="574">
        <f>Harvests!O59</f>
        <v>9225</v>
      </c>
      <c r="C57" s="569" t="s">
        <v>229</v>
      </c>
      <c r="D57" s="569" t="s">
        <v>229</v>
      </c>
      <c r="E57" s="569" t="s">
        <v>229</v>
      </c>
      <c r="F57" s="569" t="s">
        <v>229</v>
      </c>
      <c r="G57" s="569" t="s">
        <v>229</v>
      </c>
    </row>
    <row r="58" spans="1:7" ht="15.6" outlineLevel="1">
      <c r="A58" s="570">
        <v>1942</v>
      </c>
      <c r="B58" s="574">
        <f>Harvests!O60</f>
        <v>15762</v>
      </c>
      <c r="C58" s="569" t="s">
        <v>229</v>
      </c>
      <c r="D58" s="569" t="s">
        <v>229</v>
      </c>
      <c r="E58" s="569" t="s">
        <v>229</v>
      </c>
      <c r="F58" s="569" t="s">
        <v>229</v>
      </c>
      <c r="G58" s="569" t="s">
        <v>229</v>
      </c>
    </row>
    <row r="59" spans="1:7" ht="15.6" outlineLevel="1">
      <c r="A59" s="570">
        <v>1943</v>
      </c>
      <c r="B59" s="574">
        <f>Harvests!O61</f>
        <v>14670</v>
      </c>
      <c r="C59" s="569" t="s">
        <v>229</v>
      </c>
      <c r="D59" s="569" t="s">
        <v>229</v>
      </c>
      <c r="E59" s="569" t="s">
        <v>229</v>
      </c>
      <c r="F59" s="569" t="s">
        <v>229</v>
      </c>
      <c r="G59" s="569" t="s">
        <v>229</v>
      </c>
    </row>
    <row r="60" spans="1:7" ht="15.6" outlineLevel="1">
      <c r="A60" s="570">
        <v>1944</v>
      </c>
      <c r="B60" s="574">
        <f>Harvests!O62</f>
        <v>7638</v>
      </c>
      <c r="C60" s="569" t="s">
        <v>229</v>
      </c>
      <c r="D60" s="569" t="s">
        <v>229</v>
      </c>
      <c r="E60" s="569" t="s">
        <v>229</v>
      </c>
      <c r="F60" s="569" t="s">
        <v>229</v>
      </c>
      <c r="G60" s="569" t="s">
        <v>229</v>
      </c>
    </row>
    <row r="61" spans="1:7" ht="15.6" outlineLevel="1">
      <c r="A61" s="570">
        <v>1945</v>
      </c>
      <c r="B61" s="574">
        <f>Harvests!O63</f>
        <v>18063</v>
      </c>
      <c r="C61" s="569" t="s">
        <v>229</v>
      </c>
      <c r="D61" s="569" t="s">
        <v>229</v>
      </c>
      <c r="E61" s="569" t="s">
        <v>229</v>
      </c>
      <c r="F61" s="569" t="s">
        <v>229</v>
      </c>
      <c r="G61" s="569" t="s">
        <v>229</v>
      </c>
    </row>
    <row r="62" spans="1:7" ht="15.6" outlineLevel="1">
      <c r="A62" s="570">
        <v>1946</v>
      </c>
      <c r="B62" s="574">
        <f>Harvests!O64</f>
        <v>23329</v>
      </c>
      <c r="C62" s="569" t="s">
        <v>229</v>
      </c>
      <c r="D62" s="569" t="s">
        <v>229</v>
      </c>
      <c r="E62" s="569" t="s">
        <v>229</v>
      </c>
      <c r="F62" s="569" t="s">
        <v>229</v>
      </c>
      <c r="G62" s="569" t="s">
        <v>229</v>
      </c>
    </row>
    <row r="63" spans="1:7" ht="15.6" outlineLevel="1">
      <c r="A63" s="570">
        <v>1947</v>
      </c>
      <c r="B63" s="574">
        <f>Harvests!O65</f>
        <v>15182</v>
      </c>
      <c r="C63" s="569" t="s">
        <v>229</v>
      </c>
      <c r="D63" s="569" t="s">
        <v>229</v>
      </c>
      <c r="E63" s="569" t="s">
        <v>229</v>
      </c>
      <c r="F63" s="569" t="s">
        <v>229</v>
      </c>
      <c r="G63" s="569" t="s">
        <v>229</v>
      </c>
    </row>
    <row r="64" spans="1:7" ht="15.6" outlineLevel="1">
      <c r="A64" s="570">
        <v>1948</v>
      </c>
      <c r="B64" s="574">
        <f>Harvests!O66</f>
        <v>4367</v>
      </c>
      <c r="C64" s="569" t="s">
        <v>229</v>
      </c>
      <c r="D64" s="569" t="s">
        <v>229</v>
      </c>
      <c r="E64" s="569" t="s">
        <v>229</v>
      </c>
      <c r="F64" s="569" t="s">
        <v>229</v>
      </c>
      <c r="G64" s="569" t="s">
        <v>229</v>
      </c>
    </row>
    <row r="65" spans="1:7" ht="15.6" outlineLevel="1">
      <c r="A65" s="570">
        <v>1949</v>
      </c>
      <c r="B65" s="574">
        <f>Harvests!O67</f>
        <v>9300</v>
      </c>
      <c r="C65" s="569" t="s">
        <v>229</v>
      </c>
      <c r="D65" s="569" t="s">
        <v>229</v>
      </c>
      <c r="E65" s="569" t="s">
        <v>229</v>
      </c>
      <c r="F65" s="569" t="s">
        <v>229</v>
      </c>
      <c r="G65" s="569" t="s">
        <v>229</v>
      </c>
    </row>
    <row r="66" spans="1:7" ht="15.6" outlineLevel="1">
      <c r="A66" s="570">
        <v>1950</v>
      </c>
      <c r="B66" s="574">
        <f>Harvests!O68</f>
        <v>17777</v>
      </c>
      <c r="C66" s="569" t="s">
        <v>229</v>
      </c>
      <c r="D66" s="569" t="s">
        <v>229</v>
      </c>
      <c r="E66" s="569" t="s">
        <v>229</v>
      </c>
      <c r="F66" s="569" t="s">
        <v>229</v>
      </c>
      <c r="G66" s="569" t="s">
        <v>229</v>
      </c>
    </row>
    <row r="67" spans="1:7" ht="15.6" outlineLevel="1">
      <c r="A67" s="570">
        <v>1951</v>
      </c>
      <c r="B67" s="574">
        <f>Harvests!O69</f>
        <v>17473</v>
      </c>
      <c r="C67" s="569" t="s">
        <v>229</v>
      </c>
      <c r="D67" s="569" t="s">
        <v>229</v>
      </c>
      <c r="E67" s="569" t="s">
        <v>229</v>
      </c>
      <c r="F67" s="569" t="s">
        <v>229</v>
      </c>
      <c r="G67" s="569" t="s">
        <v>229</v>
      </c>
    </row>
    <row r="68" spans="1:7" ht="15.6" outlineLevel="1">
      <c r="A68" s="570">
        <v>1952</v>
      </c>
      <c r="B68" s="574">
        <f>Harvests!O70</f>
        <v>29890</v>
      </c>
      <c r="C68" s="569" t="s">
        <v>229</v>
      </c>
      <c r="D68" s="569" t="s">
        <v>229</v>
      </c>
      <c r="E68" s="569" t="s">
        <v>229</v>
      </c>
      <c r="F68" s="569" t="s">
        <v>229</v>
      </c>
      <c r="G68" s="569" t="s">
        <v>229</v>
      </c>
    </row>
    <row r="69" spans="1:7" ht="15.6" outlineLevel="1">
      <c r="A69" s="570">
        <v>1953</v>
      </c>
      <c r="B69" s="574">
        <f>Harvests!O71</f>
        <v>12224</v>
      </c>
      <c r="C69" s="569" t="s">
        <v>229</v>
      </c>
      <c r="D69" s="569" t="s">
        <v>229</v>
      </c>
      <c r="E69" s="569" t="s">
        <v>229</v>
      </c>
      <c r="F69" s="569" t="s">
        <v>229</v>
      </c>
      <c r="G69" s="569" t="s">
        <v>229</v>
      </c>
    </row>
    <row r="70" spans="1:7" ht="15.6" outlineLevel="1">
      <c r="A70" s="570">
        <v>1954</v>
      </c>
      <c r="B70" s="574">
        <f>Harvests!O72</f>
        <v>15852</v>
      </c>
      <c r="C70" s="569" t="s">
        <v>229</v>
      </c>
      <c r="D70" s="569" t="s">
        <v>229</v>
      </c>
      <c r="E70" s="569" t="s">
        <v>229</v>
      </c>
      <c r="F70" s="569" t="s">
        <v>229</v>
      </c>
      <c r="G70" s="569" t="s">
        <v>229</v>
      </c>
    </row>
    <row r="71" spans="1:7" ht="15.6" outlineLevel="1">
      <c r="A71" s="570">
        <v>1955</v>
      </c>
      <c r="B71" s="574">
        <f>Harvests!O73</f>
        <v>20872</v>
      </c>
      <c r="C71" s="569" t="s">
        <v>229</v>
      </c>
      <c r="D71" s="569" t="s">
        <v>229</v>
      </c>
      <c r="E71" s="569" t="s">
        <v>229</v>
      </c>
      <c r="F71" s="569" t="s">
        <v>229</v>
      </c>
      <c r="G71" s="569" t="s">
        <v>229</v>
      </c>
    </row>
    <row r="72" spans="1:7" ht="15.6" outlineLevel="1">
      <c r="A72" s="570">
        <v>1956</v>
      </c>
      <c r="B72" s="574">
        <f>Harvests!O74</f>
        <v>11849</v>
      </c>
      <c r="C72" s="569" t="s">
        <v>229</v>
      </c>
      <c r="D72" s="569" t="s">
        <v>229</v>
      </c>
      <c r="E72" s="569" t="s">
        <v>229</v>
      </c>
      <c r="F72" s="569" t="s">
        <v>229</v>
      </c>
      <c r="G72" s="569" t="s">
        <v>229</v>
      </c>
    </row>
    <row r="73" spans="1:7" ht="15.6" outlineLevel="1">
      <c r="A73" s="570">
        <v>1957</v>
      </c>
      <c r="B73" s="574">
        <f>Harvests!O75</f>
        <v>8503</v>
      </c>
      <c r="C73" s="569" t="s">
        <v>229</v>
      </c>
      <c r="D73" s="569" t="s">
        <v>229</v>
      </c>
      <c r="E73" s="569" t="s">
        <v>229</v>
      </c>
      <c r="F73" s="569" t="s">
        <v>229</v>
      </c>
      <c r="G73" s="569" t="s">
        <v>229</v>
      </c>
    </row>
    <row r="74" spans="1:7" ht="15.6" outlineLevel="1">
      <c r="A74" s="570">
        <v>1958</v>
      </c>
      <c r="B74" s="574">
        <f>Harvests!O76</f>
        <v>7037</v>
      </c>
      <c r="C74" s="569" t="s">
        <v>229</v>
      </c>
      <c r="D74" s="569" t="s">
        <v>229</v>
      </c>
      <c r="E74" s="569" t="s">
        <v>229</v>
      </c>
      <c r="F74" s="569" t="s">
        <v>229</v>
      </c>
      <c r="G74" s="569" t="s">
        <v>229</v>
      </c>
    </row>
    <row r="75" spans="1:7" ht="15.6" outlineLevel="1">
      <c r="A75" s="570">
        <v>1959</v>
      </c>
      <c r="B75" s="574">
        <f>Harvests!O77</f>
        <v>9910</v>
      </c>
      <c r="C75" s="569" t="s">
        <v>229</v>
      </c>
      <c r="D75" s="569" t="s">
        <v>229</v>
      </c>
      <c r="E75" s="569" t="s">
        <v>229</v>
      </c>
      <c r="F75" s="569" t="s">
        <v>229</v>
      </c>
      <c r="G75" s="569" t="s">
        <v>229</v>
      </c>
    </row>
    <row r="76" spans="1:7" ht="15.6" outlineLevel="1">
      <c r="A76" s="570">
        <v>1960</v>
      </c>
      <c r="B76" s="574">
        <f>Harvests!O78</f>
        <v>14251</v>
      </c>
      <c r="C76" s="569" t="s">
        <v>229</v>
      </c>
      <c r="D76" s="569" t="s">
        <v>229</v>
      </c>
      <c r="E76" s="569" t="s">
        <v>229</v>
      </c>
      <c r="F76" s="569" t="s">
        <v>229</v>
      </c>
      <c r="G76" s="569" t="s">
        <v>229</v>
      </c>
    </row>
    <row r="77" spans="1:7" ht="15.6" outlineLevel="1">
      <c r="A77" s="570">
        <v>1961</v>
      </c>
      <c r="B77" s="574">
        <f>Harvests!O79</f>
        <v>8095</v>
      </c>
      <c r="C77" s="569" t="s">
        <v>229</v>
      </c>
      <c r="D77" s="569" t="s">
        <v>229</v>
      </c>
      <c r="E77" s="569" t="s">
        <v>229</v>
      </c>
      <c r="F77" s="569" t="s">
        <v>229</v>
      </c>
      <c r="G77" s="569" t="s">
        <v>229</v>
      </c>
    </row>
    <row r="78" spans="1:7" ht="15.6" outlineLevel="1">
      <c r="A78" s="570">
        <v>1962</v>
      </c>
      <c r="B78" s="574">
        <f>Harvests!O80</f>
        <v>15926</v>
      </c>
      <c r="C78" s="569" t="s">
        <v>229</v>
      </c>
      <c r="D78" s="569" t="s">
        <v>229</v>
      </c>
      <c r="E78" s="569" t="s">
        <v>229</v>
      </c>
      <c r="F78" s="569" t="s">
        <v>229</v>
      </c>
      <c r="G78" s="569" t="s">
        <v>229</v>
      </c>
    </row>
    <row r="79" spans="1:7" ht="15.6" outlineLevel="1">
      <c r="A79" s="570">
        <v>1963</v>
      </c>
      <c r="B79" s="574">
        <f>Harvests!O81</f>
        <v>11510</v>
      </c>
      <c r="C79" s="569" t="s">
        <v>229</v>
      </c>
      <c r="D79" s="569" t="s">
        <v>229</v>
      </c>
      <c r="E79" s="569" t="s">
        <v>229</v>
      </c>
      <c r="F79" s="569" t="s">
        <v>229</v>
      </c>
      <c r="G79" s="569" t="s">
        <v>229</v>
      </c>
    </row>
    <row r="80" spans="1:7" ht="15.6" outlineLevel="1">
      <c r="A80" s="570">
        <v>1964</v>
      </c>
      <c r="B80" s="574">
        <f>Harvests!O82</f>
        <v>13534</v>
      </c>
      <c r="C80" s="569" t="s">
        <v>229</v>
      </c>
      <c r="D80" s="569" t="s">
        <v>229</v>
      </c>
      <c r="E80" s="569" t="s">
        <v>229</v>
      </c>
      <c r="F80" s="569" t="s">
        <v>229</v>
      </c>
      <c r="G80" s="569" t="s">
        <v>229</v>
      </c>
    </row>
    <row r="81" spans="1:10" ht="15.6" outlineLevel="1">
      <c r="A81" s="570">
        <v>1965</v>
      </c>
      <c r="B81" s="574">
        <f>Harvests!O83</f>
        <v>16053</v>
      </c>
      <c r="C81" s="569" t="s">
        <v>229</v>
      </c>
      <c r="D81" s="569" t="s">
        <v>229</v>
      </c>
      <c r="E81" s="569" t="s">
        <v>229</v>
      </c>
      <c r="F81" s="569" t="s">
        <v>229</v>
      </c>
      <c r="G81" s="569" t="s">
        <v>229</v>
      </c>
    </row>
    <row r="82" spans="1:10" ht="15.6" outlineLevel="1">
      <c r="A82" s="570">
        <v>1966</v>
      </c>
      <c r="B82" s="574">
        <f>Harvests!O84</f>
        <v>12164</v>
      </c>
      <c r="C82" s="569" t="s">
        <v>229</v>
      </c>
      <c r="D82" s="569" t="s">
        <v>229</v>
      </c>
      <c r="E82" s="569" t="s">
        <v>229</v>
      </c>
      <c r="F82" s="569" t="s">
        <v>229</v>
      </c>
      <c r="G82" s="569" t="s">
        <v>229</v>
      </c>
    </row>
    <row r="83" spans="1:10" ht="15.6" outlineLevel="1">
      <c r="A83" s="570">
        <v>1967</v>
      </c>
      <c r="B83" s="574">
        <f>Harvests!O85</f>
        <v>11322</v>
      </c>
      <c r="C83" s="569" t="s">
        <v>229</v>
      </c>
      <c r="D83" s="569" t="s">
        <v>229</v>
      </c>
      <c r="E83" s="569" t="s">
        <v>229</v>
      </c>
      <c r="F83" s="569" t="s">
        <v>229</v>
      </c>
      <c r="G83" s="569" t="s">
        <v>229</v>
      </c>
    </row>
    <row r="84" spans="1:10" ht="15.6" outlineLevel="1">
      <c r="A84" s="570">
        <v>1968</v>
      </c>
      <c r="B84" s="574">
        <f>Harvests!O86</f>
        <v>10125</v>
      </c>
      <c r="C84" s="569" t="s">
        <v>229</v>
      </c>
      <c r="D84" s="569" t="s">
        <v>229</v>
      </c>
      <c r="E84" s="569" t="s">
        <v>229</v>
      </c>
      <c r="F84" s="569" t="s">
        <v>229</v>
      </c>
      <c r="G84" s="569" t="s">
        <v>229</v>
      </c>
    </row>
    <row r="85" spans="1:10" ht="15.6" outlineLevel="1">
      <c r="A85" s="570">
        <v>1969</v>
      </c>
      <c r="B85" s="574">
        <f>Harvests!O87</f>
        <v>15578</v>
      </c>
      <c r="C85" s="569" t="s">
        <v>229</v>
      </c>
      <c r="D85" s="569" t="s">
        <v>229</v>
      </c>
      <c r="E85" s="569" t="s">
        <v>229</v>
      </c>
      <c r="F85" s="569" t="s">
        <v>229</v>
      </c>
      <c r="G85" s="569" t="s">
        <v>229</v>
      </c>
    </row>
    <row r="86" spans="1:10" ht="15.6" outlineLevel="1">
      <c r="A86" s="570">
        <v>1970</v>
      </c>
      <c r="B86" s="574">
        <f>Harvests!O88</f>
        <v>20465</v>
      </c>
      <c r="C86" s="569" t="s">
        <v>229</v>
      </c>
      <c r="D86" s="569" t="s">
        <v>229</v>
      </c>
      <c r="E86" s="569" t="s">
        <v>229</v>
      </c>
      <c r="F86" s="569" t="s">
        <v>229</v>
      </c>
      <c r="G86" s="569" t="s">
        <v>229</v>
      </c>
    </row>
    <row r="87" spans="1:10" ht="15.6" outlineLevel="1">
      <c r="A87" s="570">
        <v>1971</v>
      </c>
      <c r="B87" s="574">
        <f>Harvests!O89</f>
        <v>18564</v>
      </c>
      <c r="C87" s="569" t="s">
        <v>229</v>
      </c>
      <c r="D87" s="569" t="s">
        <v>229</v>
      </c>
      <c r="E87" s="569" t="s">
        <v>229</v>
      </c>
      <c r="F87" s="569" t="s">
        <v>229</v>
      </c>
      <c r="G87" s="569" t="s">
        <v>229</v>
      </c>
    </row>
    <row r="88" spans="1:10" ht="15.6" outlineLevel="1">
      <c r="A88" s="570">
        <v>1972</v>
      </c>
      <c r="B88" s="574">
        <f>Harvests!O90</f>
        <v>24757</v>
      </c>
      <c r="C88" s="569" t="s">
        <v>229</v>
      </c>
      <c r="D88" s="569" t="s">
        <v>229</v>
      </c>
      <c r="E88" s="569" t="s">
        <v>229</v>
      </c>
      <c r="F88" s="569" t="s">
        <v>229</v>
      </c>
      <c r="G88" s="569" t="s">
        <v>229</v>
      </c>
    </row>
    <row r="89" spans="1:10" ht="15.6" outlineLevel="1">
      <c r="A89" s="570">
        <v>1973</v>
      </c>
      <c r="B89" s="574">
        <f>Harvests!O91</f>
        <v>23068</v>
      </c>
      <c r="C89" s="569" t="s">
        <v>229</v>
      </c>
      <c r="D89" s="569" t="s">
        <v>229</v>
      </c>
      <c r="E89" s="569" t="s">
        <v>229</v>
      </c>
      <c r="F89" s="569" t="s">
        <v>229</v>
      </c>
      <c r="G89" s="569" t="s">
        <v>229</v>
      </c>
    </row>
    <row r="90" spans="1:10" ht="15.6" outlineLevel="1">
      <c r="A90" s="570">
        <v>1974</v>
      </c>
      <c r="B90" s="574">
        <f>Harvests!O92</f>
        <v>21058</v>
      </c>
      <c r="C90" s="569" t="s">
        <v>229</v>
      </c>
      <c r="D90" s="569" t="s">
        <v>229</v>
      </c>
      <c r="E90" s="569" t="s">
        <v>229</v>
      </c>
      <c r="F90" s="569" t="s">
        <v>229</v>
      </c>
      <c r="G90" s="569" t="s">
        <v>229</v>
      </c>
    </row>
    <row r="91" spans="1:10" ht="15.6" outlineLevel="1">
      <c r="A91" s="570">
        <v>1975</v>
      </c>
      <c r="B91" s="574">
        <f>Harvests!O93</f>
        <v>22261</v>
      </c>
      <c r="C91" s="569" t="s">
        <v>229</v>
      </c>
      <c r="D91" s="569" t="s">
        <v>229</v>
      </c>
      <c r="E91" s="569" t="s">
        <v>229</v>
      </c>
      <c r="F91" s="569" t="s">
        <v>229</v>
      </c>
      <c r="G91" s="569" t="s">
        <v>229</v>
      </c>
    </row>
    <row r="92" spans="1:10" ht="15.6" outlineLevel="1">
      <c r="A92" s="570">
        <v>1976</v>
      </c>
      <c r="B92" s="574">
        <f>Harvests!O94</f>
        <v>34166</v>
      </c>
      <c r="C92" s="569" t="s">
        <v>229</v>
      </c>
      <c r="D92" s="569" t="s">
        <v>229</v>
      </c>
      <c r="E92" s="569" t="s">
        <v>229</v>
      </c>
      <c r="F92" s="569" t="s">
        <v>229</v>
      </c>
      <c r="G92" s="569" t="s">
        <v>229</v>
      </c>
    </row>
    <row r="93" spans="1:10" ht="15.6" outlineLevel="1">
      <c r="A93" s="570">
        <v>1977</v>
      </c>
      <c r="B93" s="574">
        <f>Harvests!O95</f>
        <v>26421</v>
      </c>
      <c r="C93" s="575" t="s">
        <v>229</v>
      </c>
      <c r="D93" s="569" t="s">
        <v>229</v>
      </c>
      <c r="E93" s="569" t="s">
        <v>229</v>
      </c>
      <c r="F93" s="569" t="s">
        <v>229</v>
      </c>
      <c r="G93" s="569" t="s">
        <v>229</v>
      </c>
    </row>
    <row r="94" spans="1:10" ht="15.6">
      <c r="A94" s="570">
        <v>1978</v>
      </c>
      <c r="B94" s="574">
        <f>Harvests!O96</f>
        <v>33864</v>
      </c>
      <c r="C94" s="575" t="s">
        <v>229</v>
      </c>
      <c r="D94" s="569" t="s">
        <v>229</v>
      </c>
      <c r="E94" s="569" t="s">
        <v>229</v>
      </c>
      <c r="F94" s="569" t="s">
        <v>229</v>
      </c>
      <c r="G94" s="569" t="s">
        <v>229</v>
      </c>
    </row>
    <row r="95" spans="1:10" ht="16.2" thickBot="1">
      <c r="A95" s="570">
        <v>1979</v>
      </c>
      <c r="B95" s="574">
        <f>Harvests!O97</f>
        <v>26008</v>
      </c>
      <c r="C95" s="575" t="s">
        <v>229</v>
      </c>
      <c r="D95" s="569" t="s">
        <v>229</v>
      </c>
      <c r="E95" s="569" t="s">
        <v>229</v>
      </c>
      <c r="F95" s="569" t="s">
        <v>229</v>
      </c>
      <c r="G95" s="569" t="s">
        <v>229</v>
      </c>
    </row>
    <row r="96" spans="1:10" ht="15.6">
      <c r="A96" s="570">
        <v>1980</v>
      </c>
      <c r="B96" s="574">
        <f>Harvests!O98</f>
        <v>15376</v>
      </c>
      <c r="C96" s="606">
        <f>Escapements!O9</f>
        <v>14283</v>
      </c>
      <c r="D96" s="572">
        <f t="shared" ref="D96:D127" si="0">SUM(B96:C96)</f>
        <v>29659</v>
      </c>
      <c r="E96" s="607">
        <f>Brood_Tab!U11</f>
        <v>31560.948560059544</v>
      </c>
      <c r="F96" s="607">
        <f>E96-C96</f>
        <v>17277.948560059544</v>
      </c>
      <c r="G96" s="608">
        <f>E96/C96</f>
        <v>2.2096862395896899</v>
      </c>
      <c r="J96" s="671">
        <f t="shared" ref="J96:J130" si="1">RANK(D96,$D$96:$D$130)</f>
        <v>35</v>
      </c>
    </row>
    <row r="97" spans="1:10" ht="15.6">
      <c r="A97" s="570">
        <v>1981</v>
      </c>
      <c r="B97" s="574">
        <f>Harvests!O99</f>
        <v>25963</v>
      </c>
      <c r="C97" s="609">
        <f>Escapements!O10</f>
        <v>15084</v>
      </c>
      <c r="D97" s="572">
        <f t="shared" si="0"/>
        <v>41047</v>
      </c>
      <c r="E97" s="607">
        <f>Brood_Tab!U12</f>
        <v>54616.967915391098</v>
      </c>
      <c r="F97" s="607">
        <f t="shared" ref="F97:F121" si="2">E97-C97</f>
        <v>39532.967915391098</v>
      </c>
      <c r="G97" s="608">
        <f t="shared" ref="G97:G120" si="3">E97/C97</f>
        <v>3.6208544096652808</v>
      </c>
      <c r="J97" s="671">
        <f t="shared" si="1"/>
        <v>32</v>
      </c>
    </row>
    <row r="98" spans="1:10" ht="15.6">
      <c r="A98" s="570">
        <v>1982</v>
      </c>
      <c r="B98" s="574">
        <f>Harvests!O100</f>
        <v>54142</v>
      </c>
      <c r="C98" s="609">
        <f>Escapements!O11</f>
        <v>29956</v>
      </c>
      <c r="D98" s="572">
        <f t="shared" si="0"/>
        <v>84098</v>
      </c>
      <c r="E98" s="607">
        <f>Brood_Tab!U13</f>
        <v>34766.708449348887</v>
      </c>
      <c r="F98" s="607">
        <f t="shared" si="2"/>
        <v>4810.7084493488874</v>
      </c>
      <c r="G98" s="608">
        <f t="shared" si="3"/>
        <v>1.1605924839547632</v>
      </c>
      <c r="J98" s="671">
        <f t="shared" si="1"/>
        <v>12</v>
      </c>
    </row>
    <row r="99" spans="1:10" ht="15.6">
      <c r="A99" s="570">
        <v>1983</v>
      </c>
      <c r="B99" s="574">
        <f>Harvests!O101</f>
        <v>65973</v>
      </c>
      <c r="C99" s="609">
        <f>Escapements!O12</f>
        <v>16757</v>
      </c>
      <c r="D99" s="572">
        <f t="shared" si="0"/>
        <v>82730</v>
      </c>
      <c r="E99" s="607">
        <f>Brood_Tab!U14</f>
        <v>30849.06547229514</v>
      </c>
      <c r="F99" s="607">
        <f t="shared" si="2"/>
        <v>14092.06547229514</v>
      </c>
      <c r="G99" s="608">
        <f t="shared" si="3"/>
        <v>1.8409658931965829</v>
      </c>
      <c r="J99" s="671">
        <f t="shared" si="1"/>
        <v>13</v>
      </c>
    </row>
    <row r="100" spans="1:10" ht="15.6">
      <c r="A100" s="570">
        <v>1984</v>
      </c>
      <c r="B100" s="574">
        <f>Harvests!O102</f>
        <v>44411</v>
      </c>
      <c r="C100" s="609">
        <f>Escapements!O13</f>
        <v>41962</v>
      </c>
      <c r="D100" s="572">
        <f t="shared" si="0"/>
        <v>86373</v>
      </c>
      <c r="E100" s="607">
        <f>Brood_Tab!U15</f>
        <v>21826.641024549521</v>
      </c>
      <c r="F100" s="607">
        <f t="shared" si="2"/>
        <v>-20135.358975450479</v>
      </c>
      <c r="G100" s="608">
        <f t="shared" si="3"/>
        <v>0.5201525433618398</v>
      </c>
      <c r="J100" s="671">
        <f t="shared" si="1"/>
        <v>11</v>
      </c>
    </row>
    <row r="101" spans="1:10" ht="15.6">
      <c r="A101" s="570">
        <v>1985</v>
      </c>
      <c r="B101" s="574">
        <f>Harvests!O103</f>
        <v>47743</v>
      </c>
      <c r="C101" s="609">
        <f>Escapements!O14</f>
        <v>8254</v>
      </c>
      <c r="D101" s="572">
        <f t="shared" si="0"/>
        <v>55997</v>
      </c>
      <c r="E101" s="607">
        <f>Brood_Tab!U16</f>
        <v>21510.453920260963</v>
      </c>
      <c r="F101" s="607">
        <f t="shared" si="2"/>
        <v>13256.453920260963</v>
      </c>
      <c r="G101" s="608">
        <f t="shared" si="3"/>
        <v>2.6060642016308413</v>
      </c>
      <c r="J101" s="671">
        <f t="shared" si="1"/>
        <v>24</v>
      </c>
    </row>
    <row r="102" spans="1:10" ht="15.6">
      <c r="A102" s="570">
        <v>1986</v>
      </c>
      <c r="B102" s="574">
        <f>Harvests!O104</f>
        <v>47600</v>
      </c>
      <c r="C102" s="609">
        <f>Escapements!O15</f>
        <v>55424</v>
      </c>
      <c r="D102" s="572">
        <f t="shared" si="0"/>
        <v>103024</v>
      </c>
      <c r="E102" s="607">
        <f>Brood_Tab!U17</f>
        <v>67560.466389581823</v>
      </c>
      <c r="F102" s="607">
        <f t="shared" si="2"/>
        <v>12136.466389581823</v>
      </c>
      <c r="G102" s="608">
        <f t="shared" si="3"/>
        <v>1.218974927641127</v>
      </c>
      <c r="J102" s="671">
        <f t="shared" si="1"/>
        <v>4</v>
      </c>
    </row>
    <row r="103" spans="1:10" ht="15.6">
      <c r="A103" s="570">
        <v>1987</v>
      </c>
      <c r="B103" s="574">
        <f>Harvests!O105</f>
        <v>47166</v>
      </c>
      <c r="C103" s="609">
        <f>Escapements!O16</f>
        <v>22744</v>
      </c>
      <c r="D103" s="572">
        <f t="shared" si="0"/>
        <v>69910</v>
      </c>
      <c r="E103" s="607">
        <f>Brood_Tab!U18</f>
        <v>27548.454278320864</v>
      </c>
      <c r="F103" s="607">
        <f t="shared" si="2"/>
        <v>4804.4542783208635</v>
      </c>
      <c r="G103" s="608">
        <f t="shared" si="3"/>
        <v>1.211240515226911</v>
      </c>
      <c r="J103" s="671">
        <f t="shared" si="1"/>
        <v>19</v>
      </c>
    </row>
    <row r="104" spans="1:10" ht="15.6">
      <c r="A104" s="570">
        <v>1988</v>
      </c>
      <c r="B104" s="574">
        <f>Harvests!O106</f>
        <v>36367</v>
      </c>
      <c r="C104" s="609">
        <f>Escapements!O17</f>
        <v>19434</v>
      </c>
      <c r="D104" s="572">
        <f t="shared" si="0"/>
        <v>55801</v>
      </c>
      <c r="E104" s="607">
        <f>Brood_Tab!U19</f>
        <v>72769.690931419915</v>
      </c>
      <c r="F104" s="607">
        <f t="shared" si="2"/>
        <v>53335.690931419915</v>
      </c>
      <c r="G104" s="608">
        <f t="shared" si="3"/>
        <v>3.7444525538448037</v>
      </c>
      <c r="J104" s="671">
        <f t="shared" si="1"/>
        <v>25</v>
      </c>
    </row>
    <row r="105" spans="1:10" ht="15.6">
      <c r="A105" s="570">
        <v>1989</v>
      </c>
      <c r="B105" s="574">
        <f>Harvests!O107</f>
        <v>36343</v>
      </c>
      <c r="C105" s="609">
        <f>Escapements!O18</f>
        <v>37080</v>
      </c>
      <c r="D105" s="572">
        <f t="shared" si="0"/>
        <v>73423</v>
      </c>
      <c r="E105" s="607">
        <f>Brood_Tab!U20</f>
        <v>69641.083395748617</v>
      </c>
      <c r="F105" s="607">
        <f t="shared" si="2"/>
        <v>32561.083395748617</v>
      </c>
      <c r="G105" s="608">
        <f t="shared" si="3"/>
        <v>1.8781306201658203</v>
      </c>
      <c r="J105" s="671">
        <f t="shared" si="1"/>
        <v>16</v>
      </c>
    </row>
    <row r="106" spans="1:10" ht="15.6">
      <c r="A106" s="570">
        <v>1990</v>
      </c>
      <c r="B106" s="574">
        <f>Harvests!O108</f>
        <v>27433</v>
      </c>
      <c r="C106" s="609">
        <f>Escapements!O19</f>
        <v>25466</v>
      </c>
      <c r="D106" s="572">
        <f t="shared" si="0"/>
        <v>52899</v>
      </c>
      <c r="E106" s="607">
        <f>Brood_Tab!U21</f>
        <v>97679.968679626356</v>
      </c>
      <c r="F106" s="607">
        <f t="shared" si="2"/>
        <v>72213.968679626356</v>
      </c>
      <c r="G106" s="608">
        <f t="shared" si="3"/>
        <v>3.8357012754113859</v>
      </c>
      <c r="J106" s="671">
        <f t="shared" si="1"/>
        <v>28</v>
      </c>
    </row>
    <row r="107" spans="1:10" ht="15.6">
      <c r="A107" s="570">
        <v>1991</v>
      </c>
      <c r="B107" s="574">
        <f>Harvests!O109</f>
        <v>45219</v>
      </c>
      <c r="C107" s="609">
        <f>Escapements!O20</f>
        <v>22956</v>
      </c>
      <c r="D107" s="572">
        <f t="shared" si="0"/>
        <v>68175</v>
      </c>
      <c r="E107" s="607">
        <f>Brood_Tab!U22</f>
        <v>78719.237027894982</v>
      </c>
      <c r="F107" s="607">
        <f t="shared" si="2"/>
        <v>55763.237027894982</v>
      </c>
      <c r="G107" s="608">
        <f t="shared" si="3"/>
        <v>3.4291356084637994</v>
      </c>
      <c r="J107" s="671">
        <f t="shared" si="1"/>
        <v>20</v>
      </c>
    </row>
    <row r="108" spans="1:10" ht="15.6">
      <c r="A108" s="570">
        <v>1992</v>
      </c>
      <c r="B108" s="574">
        <f>Harvests!O110</f>
        <v>49239</v>
      </c>
      <c r="C108" s="609">
        <f>Escapements!O21</f>
        <v>14933</v>
      </c>
      <c r="D108" s="572">
        <f t="shared" si="0"/>
        <v>64172</v>
      </c>
      <c r="E108" s="607">
        <f>Brood_Tab!U23</f>
        <v>92788.327797677266</v>
      </c>
      <c r="F108" s="607">
        <f t="shared" si="2"/>
        <v>77855.327797677266</v>
      </c>
      <c r="G108" s="608">
        <f t="shared" si="3"/>
        <v>6.2136427909781871</v>
      </c>
      <c r="J108" s="671">
        <f t="shared" si="1"/>
        <v>23</v>
      </c>
    </row>
    <row r="109" spans="1:10" ht="15.6">
      <c r="A109" s="570">
        <v>1993</v>
      </c>
      <c r="B109" s="574">
        <f>Harvests!O111</f>
        <v>42474</v>
      </c>
      <c r="C109" s="609">
        <f>Escapements!O22</f>
        <v>22827</v>
      </c>
      <c r="D109" s="572">
        <f t="shared" si="0"/>
        <v>65301</v>
      </c>
      <c r="E109" s="607">
        <f>Brood_Tab!U24</f>
        <v>106430.35627915662</v>
      </c>
      <c r="F109" s="607">
        <f t="shared" si="2"/>
        <v>83603.356279156622</v>
      </c>
      <c r="G109" s="608">
        <f t="shared" si="3"/>
        <v>4.6624767283986781</v>
      </c>
      <c r="J109" s="671">
        <f t="shared" si="1"/>
        <v>22</v>
      </c>
    </row>
    <row r="110" spans="1:10" ht="15.6">
      <c r="A110" s="570">
        <v>1994</v>
      </c>
      <c r="B110" s="574">
        <f>Harvests!O112</f>
        <v>60260</v>
      </c>
      <c r="C110" s="609">
        <f>Escapements!O23</f>
        <v>29813</v>
      </c>
      <c r="D110" s="572">
        <f t="shared" si="0"/>
        <v>90073</v>
      </c>
      <c r="E110" s="607">
        <f>Brood_Tab!U25</f>
        <v>79051.478919924019</v>
      </c>
      <c r="F110" s="607">
        <f t="shared" si="2"/>
        <v>49238.478919924019</v>
      </c>
      <c r="G110" s="608">
        <f t="shared" si="3"/>
        <v>2.6515774635200757</v>
      </c>
      <c r="J110" s="671">
        <f t="shared" si="1"/>
        <v>9</v>
      </c>
    </row>
    <row r="111" spans="1:10" ht="15.6">
      <c r="A111" s="570">
        <v>1995</v>
      </c>
      <c r="B111" s="574">
        <f>Harvests!O113</f>
        <v>80869</v>
      </c>
      <c r="C111" s="609">
        <f>Escapements!O24</f>
        <v>15841</v>
      </c>
      <c r="D111" s="572">
        <f t="shared" si="0"/>
        <v>96710</v>
      </c>
      <c r="E111" s="607">
        <f>Brood_Tab!U26</f>
        <v>76293.203574343555</v>
      </c>
      <c r="F111" s="607">
        <f t="shared" si="2"/>
        <v>60452.203574343555</v>
      </c>
      <c r="G111" s="608">
        <f t="shared" si="3"/>
        <v>4.8161860724918597</v>
      </c>
      <c r="J111" s="671">
        <f t="shared" si="1"/>
        <v>6</v>
      </c>
    </row>
    <row r="112" spans="1:10" ht="15.6">
      <c r="A112" s="570">
        <v>1996</v>
      </c>
      <c r="B112" s="574">
        <f>Harvests!O114</f>
        <v>72384</v>
      </c>
      <c r="C112" s="609">
        <f>Escapements!O25</f>
        <v>41484</v>
      </c>
      <c r="D112" s="572">
        <f t="shared" si="0"/>
        <v>113868</v>
      </c>
      <c r="E112" s="607">
        <f>Brood_Tab!U27</f>
        <v>76990.745140068466</v>
      </c>
      <c r="F112" s="607">
        <f t="shared" si="2"/>
        <v>35506.745140068466</v>
      </c>
      <c r="G112" s="608">
        <f t="shared" si="3"/>
        <v>1.8559142112638238</v>
      </c>
      <c r="J112" s="671">
        <f t="shared" si="1"/>
        <v>1</v>
      </c>
    </row>
    <row r="113" spans="1:14" ht="15.6">
      <c r="A113" s="570">
        <v>1997</v>
      </c>
      <c r="B113" s="574">
        <f>Harvests!O115</f>
        <v>69118</v>
      </c>
      <c r="C113" s="609">
        <f>Escapements!O26</f>
        <v>38642</v>
      </c>
      <c r="D113" s="572">
        <f t="shared" si="0"/>
        <v>107760</v>
      </c>
      <c r="E113" s="607">
        <f>Brood_Tab!U28</f>
        <v>84461.237888165342</v>
      </c>
      <c r="F113" s="607">
        <f t="shared" si="2"/>
        <v>45819.237888165342</v>
      </c>
      <c r="G113" s="608">
        <f t="shared" si="3"/>
        <v>2.1857367084562225</v>
      </c>
      <c r="J113" s="671">
        <f t="shared" si="1"/>
        <v>3</v>
      </c>
    </row>
    <row r="114" spans="1:14" ht="16.2" thickBot="1">
      <c r="A114" s="570">
        <v>1998</v>
      </c>
      <c r="B114" s="574">
        <f>Harvests!O116</f>
        <v>87413</v>
      </c>
      <c r="C114" s="610">
        <f>Escapements!O27</f>
        <v>24952</v>
      </c>
      <c r="D114" s="572">
        <f t="shared" si="0"/>
        <v>112365</v>
      </c>
      <c r="E114" s="607">
        <f>Brood_Tab!U29</f>
        <v>96482.08221429617</v>
      </c>
      <c r="F114" s="607">
        <f t="shared" si="2"/>
        <v>71530.08221429617</v>
      </c>
      <c r="G114" s="608">
        <f t="shared" si="3"/>
        <v>3.8667073667159415</v>
      </c>
      <c r="J114" s="671">
        <f t="shared" si="1"/>
        <v>2</v>
      </c>
    </row>
    <row r="115" spans="1:14" ht="15.6">
      <c r="A115" s="570">
        <v>1999</v>
      </c>
      <c r="B115" s="574">
        <f>Harvests!O117</f>
        <v>79794</v>
      </c>
      <c r="C115" s="611">
        <f>Escapements!N28</f>
        <v>16157</v>
      </c>
      <c r="D115" s="572">
        <f t="shared" si="0"/>
        <v>95951</v>
      </c>
      <c r="E115" s="607">
        <f>Brood_Tab!U30</f>
        <v>76599.877524403302</v>
      </c>
      <c r="F115" s="607">
        <f t="shared" si="2"/>
        <v>60442.877524403302</v>
      </c>
      <c r="G115" s="608">
        <f t="shared" si="3"/>
        <v>4.740971561824801</v>
      </c>
      <c r="J115" s="671">
        <f t="shared" si="1"/>
        <v>7</v>
      </c>
      <c r="N115" s="637">
        <f t="shared" ref="N115:N130" si="4">B115/D115</f>
        <v>0.83161196860897746</v>
      </c>
    </row>
    <row r="116" spans="1:14" ht="15.6">
      <c r="A116" s="570">
        <v>2000</v>
      </c>
      <c r="B116" s="574">
        <f>Harvests!O118</f>
        <v>46254</v>
      </c>
      <c r="C116" s="611">
        <f>Escapements!N29</f>
        <v>24492</v>
      </c>
      <c r="D116" s="572">
        <f t="shared" si="0"/>
        <v>70746</v>
      </c>
      <c r="E116" s="607">
        <f>Brood_Tab!U31</f>
        <v>63817.578886621472</v>
      </c>
      <c r="F116" s="607">
        <f t="shared" si="2"/>
        <v>39325.578886621472</v>
      </c>
      <c r="G116" s="608">
        <f t="shared" si="3"/>
        <v>2.6056499627070666</v>
      </c>
      <c r="J116" s="671">
        <f t="shared" si="1"/>
        <v>18</v>
      </c>
      <c r="L116" s="723">
        <f>Harvests!B118</f>
        <v>31259</v>
      </c>
      <c r="M116" s="724">
        <f t="shared" ref="M116:M130" si="5">L116/D116</f>
        <v>0.4418483023775196</v>
      </c>
      <c r="N116" s="637">
        <f t="shared" si="4"/>
        <v>0.65380374862183022</v>
      </c>
    </row>
    <row r="117" spans="1:14" ht="15.6">
      <c r="A117" s="570">
        <v>2001</v>
      </c>
      <c r="B117" s="574">
        <f>Harvests!O119</f>
        <v>52947</v>
      </c>
      <c r="C117" s="611">
        <f>Escapements!N30</f>
        <v>28208</v>
      </c>
      <c r="D117" s="572">
        <f t="shared" si="0"/>
        <v>81155</v>
      </c>
      <c r="E117" s="607">
        <f>Brood_Tab!U32</f>
        <v>98778.105168012771</v>
      </c>
      <c r="F117" s="607">
        <f t="shared" si="2"/>
        <v>70570.105168012771</v>
      </c>
      <c r="G117" s="608">
        <f t="shared" si="3"/>
        <v>3.5017762750997155</v>
      </c>
      <c r="J117" s="671">
        <f t="shared" si="1"/>
        <v>14</v>
      </c>
      <c r="L117" s="723">
        <f>Harvests!B119</f>
        <v>39524</v>
      </c>
      <c r="M117" s="724">
        <f t="shared" si="5"/>
        <v>0.48701866798102394</v>
      </c>
      <c r="N117" s="637">
        <f t="shared" si="4"/>
        <v>0.65241821206333561</v>
      </c>
    </row>
    <row r="118" spans="1:14" ht="15.6">
      <c r="A118" s="570">
        <v>2002</v>
      </c>
      <c r="B118" s="574">
        <f>Harvests!O120</f>
        <v>51503</v>
      </c>
      <c r="C118" s="611">
        <f>Escapements!N31</f>
        <v>21469</v>
      </c>
      <c r="D118" s="572">
        <f t="shared" si="0"/>
        <v>72972</v>
      </c>
      <c r="E118" s="607">
        <f>Brood_Tab!U33</f>
        <v>86651.522790541218</v>
      </c>
      <c r="F118" s="607">
        <f t="shared" si="2"/>
        <v>65182.522790541218</v>
      </c>
      <c r="G118" s="608">
        <f t="shared" si="3"/>
        <v>4.0361229116652479</v>
      </c>
      <c r="J118" s="671">
        <f t="shared" si="1"/>
        <v>17</v>
      </c>
      <c r="L118" s="723">
        <f>Harvests!B120</f>
        <v>38734</v>
      </c>
      <c r="M118" s="724">
        <f t="shared" si="5"/>
        <v>0.53080633667708166</v>
      </c>
      <c r="N118" s="637">
        <f t="shared" si="4"/>
        <v>0.70579126240201717</v>
      </c>
    </row>
    <row r="119" spans="1:14" ht="15.6">
      <c r="A119" s="570">
        <v>2003</v>
      </c>
      <c r="B119" s="574">
        <f>Harvests!O121</f>
        <v>60489</v>
      </c>
      <c r="C119" s="611">
        <f>Escapements!N32</f>
        <v>34016</v>
      </c>
      <c r="D119" s="572">
        <f t="shared" si="0"/>
        <v>94505</v>
      </c>
      <c r="E119" s="607">
        <f>Brood_Tab!U34</f>
        <v>48143.1684449776</v>
      </c>
      <c r="F119" s="607">
        <f t="shared" si="2"/>
        <v>14127.1684449776</v>
      </c>
      <c r="G119" s="608">
        <f t="shared" si="3"/>
        <v>1.4153095144925212</v>
      </c>
      <c r="J119" s="671">
        <f t="shared" si="1"/>
        <v>8</v>
      </c>
      <c r="L119" s="723">
        <f>Harvests!B121</f>
        <v>47721</v>
      </c>
      <c r="M119" s="724">
        <f t="shared" si="5"/>
        <v>0.50495740966086455</v>
      </c>
      <c r="N119" s="637">
        <f t="shared" si="4"/>
        <v>0.64006137241415795</v>
      </c>
    </row>
    <row r="120" spans="1:14" ht="15.6">
      <c r="A120" s="570">
        <v>2004</v>
      </c>
      <c r="B120" s="574">
        <f>Harvests!O122</f>
        <v>49921</v>
      </c>
      <c r="C120" s="611">
        <f>Escapements!N33</f>
        <v>30638</v>
      </c>
      <c r="D120" s="572">
        <f t="shared" si="0"/>
        <v>80559</v>
      </c>
      <c r="E120" s="607">
        <f>Brood_Tab!U35</f>
        <v>38721.768008069106</v>
      </c>
      <c r="F120" s="607">
        <f t="shared" si="2"/>
        <v>8083.7680080691061</v>
      </c>
      <c r="G120" s="608">
        <f t="shared" si="3"/>
        <v>1.2638477710055849</v>
      </c>
      <c r="J120" s="671">
        <f t="shared" si="1"/>
        <v>15</v>
      </c>
      <c r="L120" s="723">
        <f>Harvests!B122</f>
        <v>38191</v>
      </c>
      <c r="M120" s="724">
        <f t="shared" si="5"/>
        <v>0.47407490162489602</v>
      </c>
      <c r="N120" s="637">
        <f t="shared" si="4"/>
        <v>0.61968246874961208</v>
      </c>
    </row>
    <row r="121" spans="1:14" ht="15.6">
      <c r="A121" s="570">
        <v>2005</v>
      </c>
      <c r="B121" s="574">
        <f>Harvests!O123</f>
        <v>44835</v>
      </c>
      <c r="C121" s="611">
        <f>Escapements!N34</f>
        <v>21506</v>
      </c>
      <c r="D121" s="572">
        <f t="shared" si="0"/>
        <v>66341</v>
      </c>
      <c r="E121" s="607">
        <f>Brood_Tab!U36</f>
        <v>32648.042906772465</v>
      </c>
      <c r="F121" s="607">
        <f t="shared" si="2"/>
        <v>11142.042906772465</v>
      </c>
      <c r="G121" s="608">
        <f>E121/C121</f>
        <v>1.5180899705557735</v>
      </c>
      <c r="J121" s="671">
        <f t="shared" si="1"/>
        <v>21</v>
      </c>
      <c r="L121" s="723">
        <f>Harvests!B123</f>
        <v>34608</v>
      </c>
      <c r="M121" s="724">
        <f t="shared" si="5"/>
        <v>0.52166834988920874</v>
      </c>
      <c r="N121" s="637">
        <f t="shared" si="4"/>
        <v>0.67582641202273108</v>
      </c>
    </row>
    <row r="122" spans="1:14" ht="15.6">
      <c r="A122" s="570">
        <v>2006</v>
      </c>
      <c r="B122" s="574">
        <f>Harvests!O124</f>
        <v>41441</v>
      </c>
      <c r="C122" s="611">
        <f>Escapements!N35</f>
        <v>58436</v>
      </c>
      <c r="D122" s="572">
        <f t="shared" si="0"/>
        <v>99877</v>
      </c>
      <c r="E122" s="607">
        <f>Brood_Tab!U37</f>
        <v>53243.201443703925</v>
      </c>
      <c r="F122" s="612" t="s">
        <v>229</v>
      </c>
      <c r="G122" s="612" t="s">
        <v>229</v>
      </c>
      <c r="J122" s="671">
        <f t="shared" si="1"/>
        <v>5</v>
      </c>
      <c r="L122" s="723">
        <f>Harvests!B124</f>
        <v>30278</v>
      </c>
      <c r="M122" s="724">
        <f t="shared" si="5"/>
        <v>0.30315287803998919</v>
      </c>
      <c r="N122" s="637">
        <f t="shared" si="4"/>
        <v>0.41492035203300059</v>
      </c>
    </row>
    <row r="123" spans="1:14" ht="15.6">
      <c r="A123" s="570">
        <v>2007</v>
      </c>
      <c r="B123" s="574">
        <f>Harvests!O125</f>
        <v>53233</v>
      </c>
      <c r="C123" s="611">
        <f>Escapements!N36</f>
        <v>34537</v>
      </c>
      <c r="D123" s="572">
        <f t="shared" si="0"/>
        <v>87770</v>
      </c>
      <c r="E123" s="607">
        <f>Brood_Tab!U38</f>
        <v>47436.500551039637</v>
      </c>
      <c r="F123" s="612" t="s">
        <v>229</v>
      </c>
      <c r="G123" s="612" t="s">
        <v>229</v>
      </c>
      <c r="J123" s="671">
        <f t="shared" si="1"/>
        <v>10</v>
      </c>
      <c r="L123" s="723">
        <f>Harvests!B125</f>
        <v>39095</v>
      </c>
      <c r="M123" s="724">
        <f t="shared" si="5"/>
        <v>0.44542554403554746</v>
      </c>
      <c r="N123" s="637">
        <f t="shared" si="4"/>
        <v>0.6065056397402302</v>
      </c>
    </row>
    <row r="124" spans="1:14" ht="15.6">
      <c r="A124" s="570">
        <v>2008</v>
      </c>
      <c r="B124" s="574">
        <f>Harvests!O126</f>
        <v>21416</v>
      </c>
      <c r="C124" s="611">
        <f>Escapements!N37</f>
        <v>32464</v>
      </c>
      <c r="D124" s="572">
        <f t="shared" si="0"/>
        <v>53880</v>
      </c>
      <c r="E124" s="612" t="s">
        <v>229</v>
      </c>
      <c r="F124" s="612" t="s">
        <v>229</v>
      </c>
      <c r="G124" s="612" t="s">
        <v>229</v>
      </c>
      <c r="J124" s="671">
        <f t="shared" si="1"/>
        <v>27</v>
      </c>
      <c r="L124" s="723">
        <f>Harvests!B126</f>
        <v>11437</v>
      </c>
      <c r="M124" s="724">
        <f t="shared" si="5"/>
        <v>0.212268002969562</v>
      </c>
      <c r="N124" s="637">
        <f t="shared" si="4"/>
        <v>0.39747587230883447</v>
      </c>
    </row>
    <row r="125" spans="1:14" ht="15.6">
      <c r="A125" s="570">
        <v>2009</v>
      </c>
      <c r="B125" s="574">
        <f>Harvests!O127</f>
        <v>15233</v>
      </c>
      <c r="C125" s="611">
        <f>Escapements!N38</f>
        <v>27778</v>
      </c>
      <c r="D125" s="572">
        <f t="shared" si="0"/>
        <v>43011</v>
      </c>
      <c r="E125" s="612" t="s">
        <v>229</v>
      </c>
      <c r="F125" s="612" t="s">
        <v>229</v>
      </c>
      <c r="G125" s="612" t="s">
        <v>229</v>
      </c>
      <c r="J125" s="671">
        <f t="shared" si="1"/>
        <v>30</v>
      </c>
      <c r="L125" s="723">
        <f>Harvests!B127</f>
        <v>9457</v>
      </c>
      <c r="M125" s="724">
        <f t="shared" si="5"/>
        <v>0.21987398572458208</v>
      </c>
      <c r="N125" s="637">
        <f t="shared" si="4"/>
        <v>0.35416521355002206</v>
      </c>
    </row>
    <row r="126" spans="1:14" ht="15.6">
      <c r="A126" s="570">
        <v>2010</v>
      </c>
      <c r="B126" s="574">
        <f>Harvests!O128</f>
        <v>16413</v>
      </c>
      <c r="C126" s="611">
        <f>Escapements!N39</f>
        <v>16771</v>
      </c>
      <c r="D126" s="572">
        <f>SUM(B126:C126)</f>
        <v>33184</v>
      </c>
      <c r="E126" s="612" t="s">
        <v>229</v>
      </c>
      <c r="F126" s="612" t="s">
        <v>229</v>
      </c>
      <c r="G126" s="612" t="s">
        <v>229</v>
      </c>
      <c r="J126" s="671">
        <f t="shared" si="1"/>
        <v>34</v>
      </c>
      <c r="L126" s="723">
        <f>Harvests!B128</f>
        <v>9645</v>
      </c>
      <c r="M126" s="724">
        <f t="shared" si="5"/>
        <v>0.29065212150433944</v>
      </c>
      <c r="N126" s="637">
        <f t="shared" si="4"/>
        <v>0.49460583413693349</v>
      </c>
    </row>
    <row r="127" spans="1:14" ht="15.6">
      <c r="A127" s="570">
        <v>2011</v>
      </c>
      <c r="B127" s="574">
        <f>Harvests!O129</f>
        <v>25894</v>
      </c>
      <c r="C127" s="611">
        <f>Escapements!N40</f>
        <v>27994</v>
      </c>
      <c r="D127" s="572">
        <f t="shared" si="0"/>
        <v>53888</v>
      </c>
      <c r="E127" s="612" t="s">
        <v>229</v>
      </c>
      <c r="F127" s="612" t="s">
        <v>229</v>
      </c>
      <c r="G127" s="612" t="s">
        <v>229</v>
      </c>
      <c r="J127" s="671">
        <f t="shared" si="1"/>
        <v>26</v>
      </c>
      <c r="L127" s="723">
        <f>Harvests!B129</f>
        <v>18499</v>
      </c>
      <c r="M127" s="724">
        <f t="shared" si="5"/>
        <v>0.34328607482185275</v>
      </c>
      <c r="N127" s="637">
        <f t="shared" si="4"/>
        <v>0.48051514251781474</v>
      </c>
    </row>
    <row r="128" spans="1:14" ht="15.6">
      <c r="A128" s="570">
        <v>2012</v>
      </c>
      <c r="B128" s="574">
        <f>Harvests!O130</f>
        <v>16849</v>
      </c>
      <c r="C128" s="611">
        <f>Escapements!N41</f>
        <v>29595</v>
      </c>
      <c r="D128" s="572">
        <f>SUM(B128:C128)</f>
        <v>46444</v>
      </c>
      <c r="E128" s="612" t="s">
        <v>229</v>
      </c>
      <c r="F128" s="612" t="s">
        <v>229</v>
      </c>
      <c r="G128" s="612" t="s">
        <v>229</v>
      </c>
      <c r="J128" s="671">
        <f t="shared" si="1"/>
        <v>29</v>
      </c>
      <c r="L128" s="723">
        <f>Harvests!B130</f>
        <v>11764</v>
      </c>
      <c r="M128" s="724">
        <f t="shared" si="5"/>
        <v>0.25329428989751096</v>
      </c>
      <c r="N128" s="637">
        <f t="shared" si="4"/>
        <v>0.36278098355008181</v>
      </c>
    </row>
    <row r="129" spans="1:14" ht="15.6">
      <c r="A129" s="570">
        <v>2013</v>
      </c>
      <c r="B129" s="574">
        <f>Harvests!O131</f>
        <v>13888</v>
      </c>
      <c r="C129" s="611">
        <f>Escapements!N42</f>
        <v>29012</v>
      </c>
      <c r="D129" s="572">
        <f>SUM(B129:C129)</f>
        <v>42900</v>
      </c>
      <c r="E129" s="612" t="s">
        <v>229</v>
      </c>
      <c r="F129" s="612" t="s">
        <v>229</v>
      </c>
      <c r="G129" s="612" t="s">
        <v>229</v>
      </c>
      <c r="J129" s="671">
        <f t="shared" si="1"/>
        <v>31</v>
      </c>
      <c r="L129" s="723">
        <f>Harvests!B131</f>
        <v>8826</v>
      </c>
      <c r="M129" s="724">
        <f t="shared" si="5"/>
        <v>0.20573426573426573</v>
      </c>
      <c r="N129" s="637">
        <f t="shared" si="4"/>
        <v>0.32372960372960374</v>
      </c>
    </row>
    <row r="130" spans="1:14" ht="15.6">
      <c r="A130" s="570">
        <v>2014</v>
      </c>
      <c r="B130" s="574">
        <f>Harvests!O132</f>
        <v>16096.200000000003</v>
      </c>
      <c r="C130" s="611">
        <f>Escapements!N43</f>
        <v>19432.8</v>
      </c>
      <c r="D130" s="572">
        <f>SUM(B130:C130)</f>
        <v>35529</v>
      </c>
      <c r="E130" s="612" t="s">
        <v>229</v>
      </c>
      <c r="F130" s="612" t="s">
        <v>229</v>
      </c>
      <c r="G130" s="612" t="s">
        <v>229</v>
      </c>
      <c r="J130" s="671">
        <f t="shared" si="1"/>
        <v>33</v>
      </c>
      <c r="L130" s="723">
        <f>Harvests!B132</f>
        <v>10207</v>
      </c>
      <c r="M130" s="724">
        <f t="shared" si="5"/>
        <v>0.28728644206141463</v>
      </c>
      <c r="N130" s="637">
        <f t="shared" si="4"/>
        <v>0.45304399223169811</v>
      </c>
    </row>
    <row r="131" spans="1:14" ht="15.6">
      <c r="A131" s="570">
        <v>2015</v>
      </c>
      <c r="B131" s="574"/>
      <c r="C131" s="574"/>
      <c r="D131" s="689">
        <v>35529</v>
      </c>
      <c r="J131" s="671"/>
      <c r="L131" s="723"/>
    </row>
    <row r="132" spans="1:14" ht="16.2" thickBot="1">
      <c r="A132" s="570"/>
      <c r="B132" s="574"/>
      <c r="C132" s="574"/>
      <c r="D132" s="572"/>
      <c r="J132" s="896">
        <f>RANK(D131,$D$96:$D$131)</f>
        <v>33</v>
      </c>
      <c r="L132" s="723"/>
    </row>
    <row r="133" spans="1:14" ht="15.6">
      <c r="A133" s="556"/>
      <c r="B133" s="556"/>
      <c r="C133" s="556"/>
      <c r="D133" s="556"/>
      <c r="E133" s="556"/>
      <c r="F133" s="556"/>
      <c r="G133" s="556"/>
      <c r="H133" s="556"/>
      <c r="L133" s="728" t="s">
        <v>224</v>
      </c>
      <c r="M133" s="901"/>
      <c r="N133" s="899"/>
    </row>
    <row r="134" spans="1:14" ht="15.6">
      <c r="A134" s="613" t="s">
        <v>410</v>
      </c>
      <c r="B134" s="614"/>
      <c r="C134" s="614"/>
      <c r="D134" s="614"/>
      <c r="E134" s="614"/>
      <c r="F134" s="563"/>
      <c r="G134" s="563"/>
      <c r="H134" s="556"/>
      <c r="L134" s="729">
        <v>5</v>
      </c>
      <c r="M134" s="900">
        <f>AVERAGE(M126:M130)</f>
        <v>0.2760506388038767</v>
      </c>
      <c r="N134" s="903">
        <f>AVERAGE(N126:N130)</f>
        <v>0.42293511123322636</v>
      </c>
    </row>
    <row r="135" spans="1:14" ht="16.2" thickBot="1">
      <c r="A135" s="559" t="s">
        <v>148</v>
      </c>
      <c r="B135" s="615">
        <f>COUNT(B115:B133)</f>
        <v>16</v>
      </c>
      <c r="C135" s="615">
        <f>COUNT(C115:C133)</f>
        <v>16</v>
      </c>
      <c r="D135" s="615">
        <f>COUNT(D115:D133)</f>
        <v>17</v>
      </c>
      <c r="E135" s="615">
        <f>COUNT(E115:E133)</f>
        <v>9</v>
      </c>
      <c r="F135" s="615">
        <f t="shared" ref="F135:G135" si="6">COUNT(F115:F133)</f>
        <v>7</v>
      </c>
      <c r="G135" s="615">
        <f t="shared" si="6"/>
        <v>7</v>
      </c>
      <c r="H135" s="556"/>
      <c r="L135" s="730">
        <v>10</v>
      </c>
      <c r="M135" s="902">
        <f>AVERAGE(M121:M130)</f>
        <v>0.3082641954678273</v>
      </c>
      <c r="N135" s="904">
        <f>AVERAGE(N121:N130)</f>
        <v>0.45635690458209499</v>
      </c>
    </row>
    <row r="136" spans="1:14" ht="15.6">
      <c r="A136" s="559" t="s">
        <v>224</v>
      </c>
      <c r="B136" s="574">
        <f>AVERAGE(B115:B133)</f>
        <v>37887.887499999997</v>
      </c>
      <c r="C136" s="574">
        <f>AVERAGE(C115:C133)</f>
        <v>28281.612499999999</v>
      </c>
      <c r="D136" s="574">
        <f>AVERAGE(D115:D133)</f>
        <v>64367.117647058825</v>
      </c>
      <c r="E136" s="574">
        <f>AVERAGE(E115:E133)</f>
        <v>60671.085080460165</v>
      </c>
      <c r="F136" s="574">
        <f t="shared" ref="F136:G136" si="7">AVERAGE(F115:F133)</f>
        <v>38410.580532771135</v>
      </c>
      <c r="G136" s="616">
        <f t="shared" si="7"/>
        <v>2.7259668524786731</v>
      </c>
    </row>
    <row r="137" spans="1:14" ht="15.6">
      <c r="A137" s="559" t="s">
        <v>360</v>
      </c>
      <c r="B137" s="574">
        <f>MEDIAN(B115:B133)</f>
        <v>43138</v>
      </c>
      <c r="C137" s="574">
        <f>MEDIAN(C115:C133)</f>
        <v>28101</v>
      </c>
      <c r="D137" s="574">
        <f>MEDIAN(D115:D133)</f>
        <v>66341</v>
      </c>
      <c r="E137" s="574">
        <f>MEDIAN(E115:E133)</f>
        <v>53243.201443703925</v>
      </c>
      <c r="F137" s="574">
        <f t="shared" ref="F137:G137" si="8">MEDIAN(F115:F133)</f>
        <v>39325.578886621472</v>
      </c>
      <c r="G137" s="616">
        <f t="shared" si="8"/>
        <v>2.6056499627070666</v>
      </c>
    </row>
    <row r="138" spans="1:14" ht="15.6">
      <c r="A138" s="559" t="s">
        <v>118</v>
      </c>
      <c r="B138" s="574">
        <f>MIN(B115:B133)</f>
        <v>13888</v>
      </c>
      <c r="C138" s="574">
        <f>MIN(C115:C133)</f>
        <v>16157</v>
      </c>
      <c r="D138" s="574">
        <f>MIN(D115:D133)</f>
        <v>33184</v>
      </c>
      <c r="E138" s="574">
        <f>MIN(E115:E133)</f>
        <v>32648.042906772465</v>
      </c>
      <c r="F138" s="574">
        <f t="shared" ref="F138:G138" si="9">MIN(F115:F133)</f>
        <v>8083.7680080691061</v>
      </c>
      <c r="G138" s="616">
        <f t="shared" si="9"/>
        <v>1.2638477710055849</v>
      </c>
    </row>
    <row r="139" spans="1:14" ht="15.6">
      <c r="A139" s="559" t="s">
        <v>119</v>
      </c>
      <c r="B139" s="574">
        <f>MAX(B115:B133)</f>
        <v>79794</v>
      </c>
      <c r="C139" s="574">
        <f>MAX(C115:C133)</f>
        <v>58436</v>
      </c>
      <c r="D139" s="574">
        <f>MAX(D115:D133)</f>
        <v>99877</v>
      </c>
      <c r="E139" s="574">
        <f>MAX(E115:E133)</f>
        <v>98778.105168012771</v>
      </c>
      <c r="F139" s="574">
        <f t="shared" ref="F139:G139" si="10">MAX(F115:F133)</f>
        <v>70570.105168012771</v>
      </c>
      <c r="G139" s="616">
        <f t="shared" si="10"/>
        <v>4.740971561824801</v>
      </c>
    </row>
    <row r="140" spans="1:14" ht="15.6">
      <c r="A140" s="617" t="s">
        <v>150</v>
      </c>
      <c r="B140" s="591">
        <f>STDEV(B115:B133)</f>
        <v>20121.838830878096</v>
      </c>
      <c r="C140" s="591">
        <f>STDEV(C115:C133)</f>
        <v>9904.3054316039779</v>
      </c>
      <c r="D140" s="591">
        <f>STDEV(D115:D133)</f>
        <v>23009.14505659205</v>
      </c>
      <c r="E140" s="591">
        <f>STDEV(E115:E133)</f>
        <v>22486.370222817142</v>
      </c>
      <c r="F140" s="591">
        <f t="shared" ref="F140:G140" si="11">STDEV(F115:F133)</f>
        <v>27356.303522612016</v>
      </c>
      <c r="G140" s="618">
        <f t="shared" si="11"/>
        <v>1.3968828822423824</v>
      </c>
    </row>
    <row r="141" spans="1:14">
      <c r="A141" s="619"/>
      <c r="B141" s="619"/>
      <c r="C141" s="619"/>
      <c r="D141" s="619"/>
      <c r="E141" s="619"/>
      <c r="F141" s="619"/>
      <c r="G141" s="619"/>
    </row>
    <row r="142" spans="1:14" ht="15.6">
      <c r="A142" s="620" t="s">
        <v>411</v>
      </c>
      <c r="B142" s="563"/>
      <c r="C142" s="563"/>
      <c r="D142" s="563"/>
      <c r="E142" s="563"/>
      <c r="F142" s="563"/>
      <c r="G142" s="563"/>
    </row>
    <row r="143" spans="1:14" ht="15.6">
      <c r="A143" s="559" t="s">
        <v>148</v>
      </c>
      <c r="B143" s="615">
        <f>COUNT(B96:B133)</f>
        <v>35</v>
      </c>
      <c r="C143" s="615">
        <f>COUNT(C96:C133)</f>
        <v>35</v>
      </c>
      <c r="D143" s="615">
        <f>COUNT(D96:D133)</f>
        <v>36</v>
      </c>
      <c r="E143" s="615">
        <f t="shared" ref="E143:G143" si="12">COUNT(E96:E133)</f>
        <v>28</v>
      </c>
      <c r="F143" s="615">
        <f t="shared" si="12"/>
        <v>26</v>
      </c>
      <c r="G143" s="615">
        <f t="shared" si="12"/>
        <v>26</v>
      </c>
    </row>
    <row r="144" spans="1:14" ht="15.6">
      <c r="A144" s="559" t="s">
        <v>224</v>
      </c>
      <c r="B144" s="574">
        <f>AVERAGE(B96:B133)</f>
        <v>44619.97714285714</v>
      </c>
      <c r="C144" s="574">
        <f>AVERAGE(C96:C133)</f>
        <v>27154.222857142857</v>
      </c>
      <c r="D144" s="574">
        <f>AVERAGE(D96:D133)</f>
        <v>70767.388888888891</v>
      </c>
      <c r="E144" s="574">
        <f t="shared" ref="E144:G144" si="13">AVERAGE(E96:E133)</f>
        <v>63128.102985081088</v>
      </c>
      <c r="F144" s="574">
        <f t="shared" si="13"/>
        <v>38174.199291827965</v>
      </c>
      <c r="G144" s="616">
        <f t="shared" si="13"/>
        <v>2.792690791589552</v>
      </c>
    </row>
    <row r="145" spans="1:7" ht="15.6">
      <c r="A145" s="559" t="s">
        <v>360</v>
      </c>
      <c r="B145" s="574">
        <f>MEDIAN(B96:B133)</f>
        <v>46254</v>
      </c>
      <c r="C145" s="574">
        <f>MEDIAN(C96:C133)</f>
        <v>25466</v>
      </c>
      <c r="D145" s="574">
        <f>MEDIAN(D96:D133)</f>
        <v>70328</v>
      </c>
      <c r="E145" s="574">
        <f t="shared" ref="E145:G145" si="14">MEDIAN(E96:E133)</f>
        <v>68600.774892665213</v>
      </c>
      <c r="F145" s="574">
        <f t="shared" si="14"/>
        <v>39429.273401006285</v>
      </c>
      <c r="G145" s="616">
        <f t="shared" si="14"/>
        <v>2.6058570821689537</v>
      </c>
    </row>
    <row r="146" spans="1:7" ht="15.6">
      <c r="A146" s="559" t="s">
        <v>118</v>
      </c>
      <c r="B146" s="574">
        <f>MIN(B96:B133)</f>
        <v>13888</v>
      </c>
      <c r="C146" s="574">
        <f>MIN(C96:C133)</f>
        <v>8254</v>
      </c>
      <c r="D146" s="574">
        <f>MIN(D96:D133)</f>
        <v>29659</v>
      </c>
      <c r="E146" s="574">
        <f t="shared" ref="E146:G146" si="15">MIN(E96:E133)</f>
        <v>21510.453920260963</v>
      </c>
      <c r="F146" s="574">
        <f t="shared" si="15"/>
        <v>-20135.358975450479</v>
      </c>
      <c r="G146" s="616">
        <f t="shared" si="15"/>
        <v>0.5201525433618398</v>
      </c>
    </row>
    <row r="147" spans="1:7" ht="15.6">
      <c r="A147" s="559" t="s">
        <v>119</v>
      </c>
      <c r="B147" s="574">
        <f>MAX(B96:B133)</f>
        <v>87413</v>
      </c>
      <c r="C147" s="574">
        <f>MAX(C96:C133)</f>
        <v>58436</v>
      </c>
      <c r="D147" s="574">
        <f>MAX(D96:D133)</f>
        <v>113868</v>
      </c>
      <c r="E147" s="574">
        <f t="shared" ref="E147:G147" si="16">MAX(E96:E133)</f>
        <v>106430.35627915662</v>
      </c>
      <c r="F147" s="574">
        <f t="shared" si="16"/>
        <v>83603.356279156622</v>
      </c>
      <c r="G147" s="616">
        <f t="shared" si="16"/>
        <v>6.2136427909781871</v>
      </c>
    </row>
    <row r="148" spans="1:7" ht="15.6">
      <c r="A148" s="617" t="s">
        <v>150</v>
      </c>
      <c r="B148" s="591">
        <f>STDEV(B96:B133)</f>
        <v>20141.182662441035</v>
      </c>
      <c r="C148" s="591">
        <f>STDEV(C96:C133)</f>
        <v>11032.166416627699</v>
      </c>
      <c r="D148" s="591">
        <f>STDEV(D96:D133)</f>
        <v>24021.819499634399</v>
      </c>
      <c r="E148" s="591">
        <f t="shared" ref="E148:G148" si="17">STDEV(E96:E133)</f>
        <v>25999.856717013245</v>
      </c>
      <c r="F148" s="591">
        <f t="shared" si="17"/>
        <v>27999.52241258755</v>
      </c>
      <c r="G148" s="618">
        <f t="shared" si="17"/>
        <v>1.4346995914933076</v>
      </c>
    </row>
  </sheetData>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Q75"/>
  <sheetViews>
    <sheetView topLeftCell="M25" zoomScale="75" zoomScaleNormal="75" workbookViewId="0">
      <selection activeCell="AV53" sqref="AV53"/>
    </sheetView>
  </sheetViews>
  <sheetFormatPr defaultRowHeight="13.2"/>
  <cols>
    <col min="1" max="1" width="10.44140625" customWidth="1"/>
    <col min="2" max="2" width="15" customWidth="1"/>
    <col min="3" max="3" width="16.109375" customWidth="1"/>
    <col min="4" max="4" width="16.44140625" customWidth="1"/>
    <col min="5" max="5" width="15.33203125" customWidth="1"/>
    <col min="6" max="6" width="11.44140625" customWidth="1"/>
    <col min="7" max="7" width="13" customWidth="1"/>
    <col min="8" max="8" width="24.6640625" customWidth="1"/>
    <col min="9" max="9" width="19.44140625" customWidth="1"/>
    <col min="10" max="10" width="15.44140625" customWidth="1"/>
    <col min="11" max="11" width="1.77734375" customWidth="1"/>
    <col min="12" max="12" width="18.44140625" customWidth="1"/>
    <col min="13" max="13" width="3.33203125" customWidth="1"/>
    <col min="14" max="14" width="16.44140625" customWidth="1"/>
    <col min="15" max="15" width="1.77734375" customWidth="1"/>
    <col min="16" max="20" width="12.77734375" customWidth="1"/>
    <col min="24" max="24" width="1.77734375" customWidth="1"/>
    <col min="25" max="25" width="12.44140625" customWidth="1"/>
    <col min="26" max="26" width="12.6640625" customWidth="1"/>
    <col min="27" max="27" width="11.109375" customWidth="1"/>
    <col min="28" max="28" width="25" customWidth="1"/>
    <col min="29" max="29" width="40.77734375" customWidth="1"/>
    <col min="30" max="30" width="1.77734375" customWidth="1"/>
    <col min="31" max="31" width="20.77734375" customWidth="1"/>
    <col min="32" max="32" width="16" customWidth="1"/>
    <col min="33" max="33" width="15.44140625" customWidth="1"/>
    <col min="34" max="34" width="13" customWidth="1"/>
    <col min="35" max="35" width="11.33203125" bestFit="1" customWidth="1"/>
    <col min="36" max="36" width="1.77734375" customWidth="1"/>
    <col min="37" max="37" width="14.109375" customWidth="1"/>
  </cols>
  <sheetData>
    <row r="1" spans="1:41" ht="15.6">
      <c r="A1" s="648" t="str">
        <f ca="1">CELL("filename",A1)</f>
        <v>C:\Users\rebrenner\Desktop\NCEAS\DATA\PWS&amp;CBR_SALMON\PWS&amp;CR_SALMON_FORECAST_DATA\[2015 Copper River Chinook forecast-FINAL.xlsm]Mean run forecasts</v>
      </c>
      <c r="B1" s="343"/>
      <c r="C1" s="343"/>
      <c r="D1" s="343"/>
      <c r="E1" s="343"/>
      <c r="F1" s="343"/>
      <c r="G1" s="343"/>
      <c r="H1" s="343"/>
      <c r="I1" s="343"/>
      <c r="J1" s="343"/>
      <c r="K1" s="343"/>
      <c r="L1" s="343"/>
      <c r="M1" s="343"/>
      <c r="N1" s="343"/>
      <c r="O1" s="343"/>
      <c r="P1" s="343"/>
      <c r="Q1" s="343"/>
    </row>
    <row r="2" spans="1:41" ht="15.6">
      <c r="A2" s="343"/>
      <c r="B2" s="343"/>
      <c r="C2" s="343"/>
      <c r="D2" s="343"/>
      <c r="E2" s="343"/>
      <c r="F2" s="343"/>
      <c r="G2" s="343"/>
      <c r="H2" s="343"/>
      <c r="I2" s="343"/>
      <c r="J2" s="343"/>
      <c r="K2" s="343"/>
      <c r="L2" s="343"/>
      <c r="M2" s="343"/>
      <c r="N2" s="343"/>
      <c r="O2" s="343"/>
      <c r="P2" s="343"/>
      <c r="Q2" s="343"/>
    </row>
    <row r="3" spans="1:41" ht="15.6">
      <c r="A3" s="280" t="s">
        <v>230</v>
      </c>
      <c r="B3" s="280" t="s">
        <v>406</v>
      </c>
      <c r="C3" s="343"/>
      <c r="D3" s="343"/>
      <c r="E3" s="343"/>
      <c r="F3" s="343"/>
      <c r="G3" s="343"/>
      <c r="H3" s="343"/>
      <c r="I3" s="343"/>
      <c r="J3" s="343"/>
      <c r="K3" s="343"/>
      <c r="L3" s="343"/>
      <c r="M3" s="343"/>
      <c r="N3" s="343"/>
      <c r="O3" s="343"/>
      <c r="P3" s="648">
        <f>COUNT(P7:P20)</f>
        <v>14</v>
      </c>
      <c r="Q3" s="343"/>
    </row>
    <row r="4" spans="1:41" ht="15.6">
      <c r="A4" s="343"/>
      <c r="B4" s="343"/>
      <c r="C4" s="343"/>
      <c r="D4" s="343"/>
      <c r="E4" s="343"/>
      <c r="F4" s="343"/>
      <c r="G4" s="343"/>
      <c r="H4" s="343"/>
      <c r="I4" s="343"/>
      <c r="J4" s="343"/>
      <c r="K4" s="343"/>
      <c r="L4" s="345"/>
      <c r="M4" s="343"/>
      <c r="N4" s="343"/>
      <c r="O4" s="343"/>
      <c r="P4" s="343"/>
      <c r="Q4" s="343"/>
    </row>
    <row r="5" spans="1:41" ht="15.6">
      <c r="A5" s="354"/>
      <c r="B5" s="356" t="s">
        <v>213</v>
      </c>
      <c r="C5" s="350"/>
      <c r="D5" s="350"/>
      <c r="E5" s="350"/>
      <c r="F5" s="350"/>
      <c r="G5" s="355" t="s">
        <v>232</v>
      </c>
      <c r="H5" s="355" t="s">
        <v>227</v>
      </c>
      <c r="I5" s="350" t="s">
        <v>238</v>
      </c>
      <c r="J5" s="350"/>
      <c r="K5" s="354"/>
      <c r="L5" s="350" t="s">
        <v>231</v>
      </c>
      <c r="M5" s="350"/>
      <c r="N5" s="350"/>
      <c r="O5" s="354"/>
      <c r="P5" s="366" t="s">
        <v>235</v>
      </c>
      <c r="Q5" s="366"/>
      <c r="S5" s="370" t="s">
        <v>258</v>
      </c>
      <c r="T5" s="370"/>
      <c r="U5" s="370"/>
      <c r="V5" s="370"/>
      <c r="W5" s="370"/>
      <c r="X5" s="334"/>
      <c r="Y5" s="370" t="s">
        <v>259</v>
      </c>
      <c r="Z5" s="370"/>
      <c r="AA5" s="370"/>
      <c r="AB5" s="370"/>
      <c r="AC5" s="370"/>
      <c r="AE5" s="370" t="s">
        <v>260</v>
      </c>
      <c r="AF5" s="370"/>
      <c r="AG5" s="370"/>
      <c r="AH5" s="370"/>
      <c r="AI5" s="370"/>
      <c r="AK5" s="370" t="s">
        <v>261</v>
      </c>
      <c r="AL5" s="370"/>
      <c r="AM5" s="370"/>
      <c r="AN5" s="370"/>
      <c r="AO5" s="370"/>
    </row>
    <row r="6" spans="1:41" ht="18.600000000000001">
      <c r="A6" s="292" t="s">
        <v>12</v>
      </c>
      <c r="B6" s="346" t="s">
        <v>167</v>
      </c>
      <c r="C6" s="346" t="s">
        <v>214</v>
      </c>
      <c r="D6" s="346" t="s">
        <v>215</v>
      </c>
      <c r="E6" s="346" t="s">
        <v>216</v>
      </c>
      <c r="F6" s="346" t="s">
        <v>225</v>
      </c>
      <c r="G6" s="346" t="s">
        <v>226</v>
      </c>
      <c r="H6" s="358" t="s">
        <v>240</v>
      </c>
      <c r="I6" s="358" t="s">
        <v>241</v>
      </c>
      <c r="J6" s="358" t="s">
        <v>239</v>
      </c>
      <c r="K6" s="344"/>
      <c r="L6" s="346" t="s">
        <v>236</v>
      </c>
      <c r="M6" s="344"/>
      <c r="N6" s="346" t="s">
        <v>237</v>
      </c>
      <c r="O6" s="344"/>
      <c r="P6" s="367" t="s">
        <v>54</v>
      </c>
      <c r="Q6" s="647" t="s">
        <v>405</v>
      </c>
      <c r="R6" s="1" t="s">
        <v>12</v>
      </c>
      <c r="S6" s="336" t="s">
        <v>262</v>
      </c>
      <c r="T6" s="336" t="s">
        <v>254</v>
      </c>
      <c r="U6" s="336" t="s">
        <v>255</v>
      </c>
      <c r="V6" s="336" t="s">
        <v>256</v>
      </c>
      <c r="W6" s="336" t="s">
        <v>257</v>
      </c>
      <c r="X6" s="336"/>
      <c r="Y6" s="336" t="s">
        <v>262</v>
      </c>
      <c r="Z6" s="336" t="s">
        <v>254</v>
      </c>
      <c r="AA6" s="336" t="s">
        <v>255</v>
      </c>
      <c r="AB6" s="336" t="s">
        <v>256</v>
      </c>
      <c r="AC6" s="336" t="s">
        <v>257</v>
      </c>
      <c r="AD6" s="249"/>
      <c r="AE6" s="336" t="s">
        <v>262</v>
      </c>
      <c r="AF6" s="336" t="s">
        <v>254</v>
      </c>
      <c r="AG6" s="336" t="s">
        <v>255</v>
      </c>
      <c r="AH6" s="336" t="s">
        <v>256</v>
      </c>
      <c r="AI6" s="336" t="s">
        <v>257</v>
      </c>
      <c r="AJ6" s="249"/>
      <c r="AK6" s="336" t="s">
        <v>262</v>
      </c>
      <c r="AL6" s="336" t="s">
        <v>254</v>
      </c>
      <c r="AM6" s="336" t="s">
        <v>255</v>
      </c>
      <c r="AN6" s="336" t="s">
        <v>256</v>
      </c>
      <c r="AO6" s="336" t="s">
        <v>257</v>
      </c>
    </row>
    <row r="7" spans="1:41" ht="18.600000000000001">
      <c r="A7" s="329">
        <v>1999</v>
      </c>
      <c r="B7" s="649">
        <f>Harvests!B117</f>
        <v>62337</v>
      </c>
      <c r="C7" s="649">
        <f>Harvests!E117</f>
        <v>1115</v>
      </c>
      <c r="D7" s="649">
        <f>Harvests!F117</f>
        <v>353</v>
      </c>
      <c r="E7" s="650" t="str">
        <f>Harvests!G117</f>
        <v>NA</v>
      </c>
      <c r="F7" s="650">
        <f>Harvests!H117</f>
        <v>14</v>
      </c>
      <c r="G7" s="649">
        <f>Harvests!N117</f>
        <v>6742</v>
      </c>
      <c r="H7" s="649">
        <f>SUM(Harvests!J117:M117)</f>
        <v>9191</v>
      </c>
      <c r="I7" s="649">
        <f>H7+G7</f>
        <v>15933</v>
      </c>
      <c r="J7" s="649">
        <f>SUM(B7:H7)</f>
        <v>79752</v>
      </c>
      <c r="K7" s="342"/>
      <c r="L7" s="655">
        <f>Escapements!K28</f>
        <v>32090</v>
      </c>
      <c r="M7" s="553" t="s">
        <v>233</v>
      </c>
      <c r="N7" s="655">
        <f>L7-I7</f>
        <v>16157</v>
      </c>
      <c r="O7" s="343"/>
      <c r="P7" s="649">
        <f>L7+SUM(B7:F7)</f>
        <v>95909</v>
      </c>
      <c r="Q7" s="649">
        <f>RANK(P7,$P$7:$P$21)</f>
        <v>2</v>
      </c>
      <c r="R7" s="652">
        <f>A7</f>
        <v>1999</v>
      </c>
      <c r="S7" s="297"/>
      <c r="T7" s="297"/>
      <c r="U7" s="297"/>
      <c r="V7" s="297"/>
      <c r="W7" s="297"/>
      <c r="X7" s="297"/>
      <c r="Y7" s="371"/>
      <c r="Z7" s="371"/>
      <c r="AA7" s="371"/>
      <c r="AB7" s="371"/>
      <c r="AC7" s="371"/>
      <c r="AD7" s="297"/>
      <c r="AE7" s="297"/>
      <c r="AF7" s="297"/>
      <c r="AG7" s="297"/>
      <c r="AH7" s="297"/>
      <c r="AI7" s="297"/>
      <c r="AJ7" s="297"/>
      <c r="AK7" s="297"/>
      <c r="AL7" s="297"/>
      <c r="AM7" s="297"/>
      <c r="AN7" s="297"/>
      <c r="AO7" s="297"/>
    </row>
    <row r="8" spans="1:41" ht="18.600000000000001">
      <c r="A8" s="329">
        <v>2000</v>
      </c>
      <c r="B8" s="649">
        <f>Harvests!B118</f>
        <v>31259</v>
      </c>
      <c r="C8" s="649">
        <f>Harvests!E118</f>
        <v>740</v>
      </c>
      <c r="D8" s="649">
        <f>Harvests!F118</f>
        <v>689</v>
      </c>
      <c r="E8" s="650" t="str">
        <f>Harvests!G118</f>
        <v>NA</v>
      </c>
      <c r="F8" s="650">
        <f>Harvests!H118</f>
        <v>6</v>
      </c>
      <c r="G8" s="649">
        <f>Harvests!N118</f>
        <v>5531</v>
      </c>
      <c r="H8" s="649">
        <f>SUM(Harvests!J118:M118)</f>
        <v>8024</v>
      </c>
      <c r="I8" s="649">
        <f t="shared" ref="I8:I15" si="0">H8+G8</f>
        <v>13555</v>
      </c>
      <c r="J8" s="649">
        <f t="shared" ref="J8:J17" si="1">SUM(B8:H8)</f>
        <v>46249</v>
      </c>
      <c r="K8" s="342"/>
      <c r="L8" s="655">
        <f>Escapements!K29</f>
        <v>38047</v>
      </c>
      <c r="M8" s="553" t="s">
        <v>233</v>
      </c>
      <c r="N8" s="655">
        <f t="shared" ref="N8:N17" si="2">L8-I8</f>
        <v>24492</v>
      </c>
      <c r="O8" s="343"/>
      <c r="P8" s="649">
        <f t="shared" ref="P8:P21" si="3">L8+SUM(B8:F8)</f>
        <v>70741</v>
      </c>
      <c r="Q8" s="649">
        <f t="shared" ref="Q8:Q20" si="4">RANK(P8,$P$7:$P$21)</f>
        <v>8</v>
      </c>
      <c r="R8" s="652">
        <f t="shared" ref="R8:R18" si="5">A8</f>
        <v>2000</v>
      </c>
      <c r="S8" s="33">
        <f>P7</f>
        <v>95909</v>
      </c>
      <c r="T8" s="297"/>
      <c r="U8" s="297"/>
      <c r="V8" s="297"/>
      <c r="W8" s="297"/>
      <c r="X8" s="297"/>
      <c r="Y8" s="279">
        <f>S8-P8</f>
        <v>25168</v>
      </c>
      <c r="Z8" s="371"/>
      <c r="AA8" s="371"/>
      <c r="AB8" s="371"/>
      <c r="AC8" s="371"/>
      <c r="AD8" s="297"/>
      <c r="AE8" s="653">
        <f>Y8/$P8</f>
        <v>0.35577670657751514</v>
      </c>
      <c r="AF8" s="373"/>
      <c r="AG8" s="373"/>
      <c r="AH8" s="373"/>
      <c r="AI8" s="373"/>
      <c r="AJ8" s="297"/>
      <c r="AK8" s="654">
        <f>ABS(AE8)</f>
        <v>0.35577670657751514</v>
      </c>
      <c r="AL8" s="372"/>
      <c r="AM8" s="372"/>
      <c r="AN8" s="372"/>
      <c r="AO8" s="372"/>
    </row>
    <row r="9" spans="1:41" ht="18.600000000000001">
      <c r="A9" s="329">
        <v>2001</v>
      </c>
      <c r="B9" s="649">
        <f>Harvests!B119</f>
        <v>39524</v>
      </c>
      <c r="C9" s="649">
        <f>Harvests!E119</f>
        <v>935</v>
      </c>
      <c r="D9" s="649">
        <f>Harvests!F119</f>
        <v>826</v>
      </c>
      <c r="E9" s="650" t="str">
        <f>Harvests!G119</f>
        <v>NA</v>
      </c>
      <c r="F9" s="650">
        <f>Harvests!H119</f>
        <v>16</v>
      </c>
      <c r="G9" s="649">
        <f>Harvests!N119</f>
        <v>4904</v>
      </c>
      <c r="H9" s="649">
        <f>SUM(Harvests!J119:M119)</f>
        <v>6666</v>
      </c>
      <c r="I9" s="649">
        <f t="shared" si="0"/>
        <v>11570</v>
      </c>
      <c r="J9" s="649">
        <f t="shared" si="1"/>
        <v>52871</v>
      </c>
      <c r="K9" s="342"/>
      <c r="L9" s="655">
        <f>Escapements!K30</f>
        <v>39778</v>
      </c>
      <c r="M9" s="553" t="s">
        <v>233</v>
      </c>
      <c r="N9" s="655">
        <f t="shared" si="2"/>
        <v>28208</v>
      </c>
      <c r="O9" s="343"/>
      <c r="P9" s="649">
        <f t="shared" si="3"/>
        <v>81079</v>
      </c>
      <c r="Q9" s="649">
        <f t="shared" si="4"/>
        <v>5</v>
      </c>
      <c r="R9" s="652">
        <f t="shared" si="5"/>
        <v>2001</v>
      </c>
      <c r="S9" s="33">
        <f t="shared" ref="S9:S14" si="6">P8</f>
        <v>70741</v>
      </c>
      <c r="T9" s="33">
        <f>AVERAGE(P7:P8)</f>
        <v>83325</v>
      </c>
      <c r="U9" s="297"/>
      <c r="V9" s="297"/>
      <c r="W9" s="297"/>
      <c r="X9" s="297"/>
      <c r="Y9" s="279">
        <f t="shared" ref="Y9:Y20" si="7">S9-P9</f>
        <v>-10338</v>
      </c>
      <c r="Z9" s="279">
        <f>T9-P9</f>
        <v>2246</v>
      </c>
      <c r="AA9" s="371"/>
      <c r="AB9" s="371"/>
      <c r="AC9" s="371"/>
      <c r="AD9" s="297"/>
      <c r="AE9" s="653">
        <f t="shared" ref="AE9:AG20" si="8">Y9/$P9</f>
        <v>-0.12750527263533099</v>
      </c>
      <c r="AF9" s="653">
        <f t="shared" si="8"/>
        <v>2.7701377668693496E-2</v>
      </c>
      <c r="AG9" s="373"/>
      <c r="AH9" s="373"/>
      <c r="AI9" s="373"/>
      <c r="AJ9" s="297"/>
      <c r="AK9" s="654">
        <f t="shared" ref="AK9:AK13" si="9">ABS(AE9)</f>
        <v>0.12750527263533099</v>
      </c>
      <c r="AL9" s="654">
        <f t="shared" ref="AL9:AO13" si="10">ABS(AF9)</f>
        <v>2.7701377668693496E-2</v>
      </c>
      <c r="AM9" s="372"/>
      <c r="AN9" s="372"/>
      <c r="AO9" s="372"/>
    </row>
    <row r="10" spans="1:41" ht="18.600000000000001">
      <c r="A10" s="329">
        <v>2002</v>
      </c>
      <c r="B10" s="649">
        <f>Harvests!B120</f>
        <v>38734</v>
      </c>
      <c r="C10" s="649">
        <f>Harvests!E120</f>
        <v>773</v>
      </c>
      <c r="D10" s="649">
        <f>Harvests!F120</f>
        <v>549</v>
      </c>
      <c r="E10" s="650">
        <f>Harvests!G120</f>
        <v>25</v>
      </c>
      <c r="F10" s="650">
        <f>Harvests!H120</f>
        <v>4</v>
      </c>
      <c r="G10" s="649">
        <f>Harvests!N120</f>
        <v>5098</v>
      </c>
      <c r="H10" s="649">
        <f>SUM(Harvests!J120:M120)</f>
        <v>6306</v>
      </c>
      <c r="I10" s="649">
        <f t="shared" si="0"/>
        <v>11404</v>
      </c>
      <c r="J10" s="649">
        <f t="shared" si="1"/>
        <v>51489</v>
      </c>
      <c r="K10" s="342"/>
      <c r="L10" s="655">
        <f>Escapements!K31</f>
        <v>32873</v>
      </c>
      <c r="M10" s="553" t="s">
        <v>233</v>
      </c>
      <c r="N10" s="655">
        <f t="shared" si="2"/>
        <v>21469</v>
      </c>
      <c r="O10" s="343"/>
      <c r="P10" s="649">
        <f t="shared" si="3"/>
        <v>72958</v>
      </c>
      <c r="Q10" s="649">
        <f t="shared" si="4"/>
        <v>7</v>
      </c>
      <c r="R10" s="652">
        <f t="shared" si="5"/>
        <v>2002</v>
      </c>
      <c r="S10" s="33">
        <f t="shared" si="6"/>
        <v>81079</v>
      </c>
      <c r="T10" s="33">
        <f t="shared" ref="T10:T15" si="11">AVERAGE(P8:P9)</f>
        <v>75910</v>
      </c>
      <c r="U10" s="33">
        <f>AVERAGE(P7:P9)</f>
        <v>82576.333333333328</v>
      </c>
      <c r="V10" s="297"/>
      <c r="W10" s="297"/>
      <c r="X10" s="297"/>
      <c r="Y10" s="279">
        <f t="shared" si="7"/>
        <v>8121</v>
      </c>
      <c r="Z10" s="279">
        <f t="shared" ref="Z10:Z21" si="12">T10-P10</f>
        <v>2952</v>
      </c>
      <c r="AA10" s="279">
        <f>U10-P10</f>
        <v>9618.3333333333285</v>
      </c>
      <c r="AB10" s="371"/>
      <c r="AC10" s="371"/>
      <c r="AD10" s="297"/>
      <c r="AE10" s="653">
        <f t="shared" si="8"/>
        <v>0.11131061706735382</v>
      </c>
      <c r="AF10" s="653">
        <f t="shared" si="8"/>
        <v>4.0461635461498398E-2</v>
      </c>
      <c r="AG10" s="653">
        <f t="shared" si="8"/>
        <v>0.13183384047442814</v>
      </c>
      <c r="AH10" s="373"/>
      <c r="AI10" s="373"/>
      <c r="AJ10" s="297"/>
      <c r="AK10" s="654">
        <f t="shared" si="9"/>
        <v>0.11131061706735382</v>
      </c>
      <c r="AL10" s="654">
        <f t="shared" si="10"/>
        <v>4.0461635461498398E-2</v>
      </c>
      <c r="AM10" s="654">
        <f t="shared" si="10"/>
        <v>0.13183384047442814</v>
      </c>
      <c r="AN10" s="372"/>
      <c r="AO10" s="372"/>
    </row>
    <row r="11" spans="1:41" ht="18.600000000000001">
      <c r="A11" s="329">
        <v>2003</v>
      </c>
      <c r="B11" s="649">
        <f>Harvests!B121</f>
        <v>47721</v>
      </c>
      <c r="C11" s="649">
        <f>Harvests!E121</f>
        <v>1073</v>
      </c>
      <c r="D11" s="649">
        <f>Harvests!F121</f>
        <v>710</v>
      </c>
      <c r="E11" s="650">
        <f>Harvests!G121</f>
        <v>83</v>
      </c>
      <c r="F11" s="650">
        <f>Harvests!H121</f>
        <v>3</v>
      </c>
      <c r="G11" s="649">
        <f>Harvests!N121</f>
        <v>5717</v>
      </c>
      <c r="H11" s="649">
        <f>SUM(Harvests!J121:M121)</f>
        <v>5031</v>
      </c>
      <c r="I11" s="649">
        <f t="shared" si="0"/>
        <v>10748</v>
      </c>
      <c r="J11" s="649">
        <f t="shared" si="1"/>
        <v>60338</v>
      </c>
      <c r="K11" s="342"/>
      <c r="L11" s="655">
        <f>Escapements!K32</f>
        <v>44764</v>
      </c>
      <c r="M11" s="553" t="s">
        <v>234</v>
      </c>
      <c r="N11" s="655">
        <f t="shared" si="2"/>
        <v>34016</v>
      </c>
      <c r="O11" s="343"/>
      <c r="P11" s="649">
        <f t="shared" si="3"/>
        <v>94354</v>
      </c>
      <c r="Q11" s="649">
        <f t="shared" si="4"/>
        <v>3</v>
      </c>
      <c r="R11" s="652">
        <f t="shared" si="5"/>
        <v>2003</v>
      </c>
      <c r="S11" s="33">
        <f t="shared" si="6"/>
        <v>72958</v>
      </c>
      <c r="T11" s="33">
        <f t="shared" si="11"/>
        <v>77018.5</v>
      </c>
      <c r="U11" s="33">
        <f t="shared" ref="U11:U16" si="13">AVERAGE(P8:P10)</f>
        <v>74926</v>
      </c>
      <c r="V11" s="33">
        <f t="shared" ref="V11:V16" si="14">AVERAGE(P7:P10)</f>
        <v>80171.75</v>
      </c>
      <c r="W11" s="297"/>
      <c r="X11" s="297"/>
      <c r="Y11" s="279">
        <f t="shared" si="7"/>
        <v>-21396</v>
      </c>
      <c r="Z11" s="279">
        <f t="shared" si="12"/>
        <v>-17335.5</v>
      </c>
      <c r="AA11" s="279">
        <f t="shared" ref="AA11:AA21" si="15">U11-P11</f>
        <v>-19428</v>
      </c>
      <c r="AB11" s="279">
        <f>V11-P11</f>
        <v>-14182.25</v>
      </c>
      <c r="AC11" s="371"/>
      <c r="AD11" s="297"/>
      <c r="AE11" s="653">
        <f t="shared" si="8"/>
        <v>-0.22676304131250397</v>
      </c>
      <c r="AF11" s="653">
        <f t="shared" si="8"/>
        <v>-0.18372829980710939</v>
      </c>
      <c r="AG11" s="653">
        <f>AA11/$P11</f>
        <v>-0.20590542001398987</v>
      </c>
      <c r="AH11" s="653">
        <f>AB11/$P11</f>
        <v>-0.15030894291709943</v>
      </c>
      <c r="AI11" s="373"/>
      <c r="AJ11" s="297"/>
      <c r="AK11" s="654">
        <f t="shared" si="9"/>
        <v>0.22676304131250397</v>
      </c>
      <c r="AL11" s="654">
        <f t="shared" si="10"/>
        <v>0.18372829980710939</v>
      </c>
      <c r="AM11" s="654">
        <f t="shared" si="10"/>
        <v>0.20590542001398987</v>
      </c>
      <c r="AN11" s="654">
        <f t="shared" si="10"/>
        <v>0.15030894291709943</v>
      </c>
      <c r="AO11" s="372"/>
    </row>
    <row r="12" spans="1:41" ht="18.600000000000001">
      <c r="A12" s="329">
        <v>2004</v>
      </c>
      <c r="B12" s="649">
        <f>Harvests!B122</f>
        <v>38191</v>
      </c>
      <c r="C12" s="649">
        <f>Harvests!E122</f>
        <v>539</v>
      </c>
      <c r="D12" s="649">
        <f>Harvests!F122</f>
        <v>1106</v>
      </c>
      <c r="E12" s="650">
        <f>Harvests!G122</f>
        <v>67</v>
      </c>
      <c r="F12" s="650">
        <f>Harvests!H122</f>
        <v>5</v>
      </c>
      <c r="G12" s="649">
        <f>Harvests!N122</f>
        <v>3435</v>
      </c>
      <c r="H12" s="649">
        <f>SUM(Harvests!J122:M122)</f>
        <v>6491</v>
      </c>
      <c r="I12" s="649">
        <f t="shared" si="0"/>
        <v>9926</v>
      </c>
      <c r="J12" s="649">
        <f t="shared" si="1"/>
        <v>49834</v>
      </c>
      <c r="K12" s="342"/>
      <c r="L12" s="655">
        <f>Escapements!K33</f>
        <v>40564</v>
      </c>
      <c r="M12" s="553" t="s">
        <v>234</v>
      </c>
      <c r="N12" s="655">
        <f t="shared" si="2"/>
        <v>30638</v>
      </c>
      <c r="O12" s="343"/>
      <c r="P12" s="649">
        <f t="shared" si="3"/>
        <v>80472</v>
      </c>
      <c r="Q12" s="649">
        <f t="shared" si="4"/>
        <v>6</v>
      </c>
      <c r="R12" s="652">
        <f t="shared" si="5"/>
        <v>2004</v>
      </c>
      <c r="S12" s="33">
        <f t="shared" si="6"/>
        <v>94354</v>
      </c>
      <c r="T12" s="33">
        <f t="shared" si="11"/>
        <v>83656</v>
      </c>
      <c r="U12" s="33">
        <f t="shared" si="13"/>
        <v>82797</v>
      </c>
      <c r="V12" s="33">
        <f t="shared" si="14"/>
        <v>79783</v>
      </c>
      <c r="W12" s="33">
        <f t="shared" ref="W12:W17" si="16">AVERAGE(P7:P11)</f>
        <v>83008.2</v>
      </c>
      <c r="X12" s="297"/>
      <c r="Y12" s="279">
        <f t="shared" si="7"/>
        <v>13882</v>
      </c>
      <c r="Z12" s="279">
        <f t="shared" si="12"/>
        <v>3184</v>
      </c>
      <c r="AA12" s="279">
        <f t="shared" si="15"/>
        <v>2325</v>
      </c>
      <c r="AB12" s="279">
        <f t="shared" ref="AB12:AB21" si="17">V12-P12</f>
        <v>-689</v>
      </c>
      <c r="AC12" s="279">
        <f>W12-P12</f>
        <v>2536.1999999999971</v>
      </c>
      <c r="AD12" s="297"/>
      <c r="AE12" s="653">
        <f t="shared" si="8"/>
        <v>0.17250720747589224</v>
      </c>
      <c r="AF12" s="653">
        <f t="shared" si="8"/>
        <v>3.9566557311860026E-2</v>
      </c>
      <c r="AG12" s="653">
        <f t="shared" si="8"/>
        <v>2.8892036981807336E-2</v>
      </c>
      <c r="AH12" s="653">
        <f t="shared" ref="AH12:AI20" si="18">AB12/$P12</f>
        <v>-8.5619842926732276E-3</v>
      </c>
      <c r="AI12" s="653">
        <f t="shared" si="18"/>
        <v>3.1516552341186964E-2</v>
      </c>
      <c r="AJ12" s="297"/>
      <c r="AK12" s="654">
        <f t="shared" si="9"/>
        <v>0.17250720747589224</v>
      </c>
      <c r="AL12" s="654">
        <f t="shared" si="10"/>
        <v>3.9566557311860026E-2</v>
      </c>
      <c r="AM12" s="654">
        <f t="shared" si="10"/>
        <v>2.8892036981807336E-2</v>
      </c>
      <c r="AN12" s="654">
        <f t="shared" si="10"/>
        <v>8.5619842926732276E-3</v>
      </c>
      <c r="AO12" s="654">
        <f t="shared" si="10"/>
        <v>3.1516552341186964E-2</v>
      </c>
    </row>
    <row r="13" spans="1:41" ht="18.600000000000001">
      <c r="A13" s="329">
        <v>2005</v>
      </c>
      <c r="B13" s="649">
        <f>Harvests!B123</f>
        <v>34608</v>
      </c>
      <c r="C13" s="649">
        <f>Harvests!E123</f>
        <v>760</v>
      </c>
      <c r="D13" s="649">
        <f>Harvests!F123</f>
        <v>260</v>
      </c>
      <c r="E13" s="650">
        <f>Harvests!G123</f>
        <v>92</v>
      </c>
      <c r="F13" s="650">
        <f>Harvests!H123</f>
        <v>11</v>
      </c>
      <c r="G13" s="649">
        <f>Harvests!N123</f>
        <v>4093</v>
      </c>
      <c r="H13" s="649">
        <f>SUM(Harvests!J123:M123)</f>
        <v>4734</v>
      </c>
      <c r="I13" s="649">
        <f t="shared" si="0"/>
        <v>8827</v>
      </c>
      <c r="J13" s="649">
        <f t="shared" si="1"/>
        <v>44558</v>
      </c>
      <c r="K13" s="342"/>
      <c r="L13" s="655">
        <f>Escapements!K34</f>
        <v>30333</v>
      </c>
      <c r="M13" s="553" t="s">
        <v>234</v>
      </c>
      <c r="N13" s="655">
        <f t="shared" si="2"/>
        <v>21506</v>
      </c>
      <c r="O13" s="343"/>
      <c r="P13" s="649">
        <f t="shared" si="3"/>
        <v>66064</v>
      </c>
      <c r="Q13" s="649">
        <f t="shared" si="4"/>
        <v>9</v>
      </c>
      <c r="R13" s="652">
        <f t="shared" si="5"/>
        <v>2005</v>
      </c>
      <c r="S13" s="33">
        <f t="shared" si="6"/>
        <v>80472</v>
      </c>
      <c r="T13" s="33">
        <f t="shared" si="11"/>
        <v>87413</v>
      </c>
      <c r="U13" s="33">
        <f t="shared" si="13"/>
        <v>82594.666666666672</v>
      </c>
      <c r="V13" s="33">
        <f t="shared" si="14"/>
        <v>82215.75</v>
      </c>
      <c r="W13" s="33">
        <f t="shared" si="16"/>
        <v>79920.800000000003</v>
      </c>
      <c r="X13" s="297"/>
      <c r="Y13" s="279">
        <f t="shared" si="7"/>
        <v>14408</v>
      </c>
      <c r="Z13" s="279">
        <f t="shared" si="12"/>
        <v>21349</v>
      </c>
      <c r="AA13" s="279">
        <f t="shared" si="15"/>
        <v>16530.666666666672</v>
      </c>
      <c r="AB13" s="279">
        <f t="shared" si="17"/>
        <v>16151.75</v>
      </c>
      <c r="AC13" s="279">
        <f t="shared" ref="AC13:AC21" si="19">W13-P13</f>
        <v>13856.800000000003</v>
      </c>
      <c r="AD13" s="297"/>
      <c r="AE13" s="653">
        <f t="shared" si="8"/>
        <v>0.21809154759021554</v>
      </c>
      <c r="AF13" s="653">
        <f t="shared" si="8"/>
        <v>0.32315633325260351</v>
      </c>
      <c r="AG13" s="653">
        <f t="shared" si="8"/>
        <v>0.25022200694276264</v>
      </c>
      <c r="AH13" s="653">
        <f t="shared" si="18"/>
        <v>0.24448640712036812</v>
      </c>
      <c r="AI13" s="653">
        <f t="shared" si="18"/>
        <v>0.20974812303221124</v>
      </c>
      <c r="AJ13" s="297"/>
      <c r="AK13" s="654">
        <f t="shared" si="9"/>
        <v>0.21809154759021554</v>
      </c>
      <c r="AL13" s="654">
        <f t="shared" si="10"/>
        <v>0.32315633325260351</v>
      </c>
      <c r="AM13" s="654">
        <f t="shared" si="10"/>
        <v>0.25022200694276264</v>
      </c>
      <c r="AN13" s="654">
        <f t="shared" si="10"/>
        <v>0.24448640712036812</v>
      </c>
      <c r="AO13" s="654">
        <f t="shared" si="10"/>
        <v>0.20974812303221124</v>
      </c>
    </row>
    <row r="14" spans="1:41" ht="18.600000000000001">
      <c r="A14" s="329">
        <v>2006</v>
      </c>
      <c r="B14" s="649">
        <f>Harvests!B124</f>
        <v>30278</v>
      </c>
      <c r="C14" s="649">
        <f>Harvests!E124</f>
        <v>779</v>
      </c>
      <c r="D14" s="649">
        <f>Harvests!F124</f>
        <v>779</v>
      </c>
      <c r="E14" s="650">
        <f>Harvests!G124</f>
        <v>11</v>
      </c>
      <c r="F14" s="650">
        <f>Harvests!H124</f>
        <v>3</v>
      </c>
      <c r="G14" s="649">
        <f>Harvests!N124</f>
        <v>3425</v>
      </c>
      <c r="H14" s="649">
        <f>SUM(Harvests!J124:M124)</f>
        <v>5928</v>
      </c>
      <c r="I14" s="649">
        <f>H14+G14</f>
        <v>9353</v>
      </c>
      <c r="J14" s="649">
        <f t="shared" si="1"/>
        <v>41203</v>
      </c>
      <c r="K14" s="342"/>
      <c r="L14" s="655">
        <f>Escapements!K35</f>
        <v>67789</v>
      </c>
      <c r="M14" s="553"/>
      <c r="N14" s="655">
        <f t="shared" si="2"/>
        <v>58436</v>
      </c>
      <c r="O14" s="343"/>
      <c r="P14" s="649">
        <f t="shared" si="3"/>
        <v>99639</v>
      </c>
      <c r="Q14" s="649">
        <f t="shared" si="4"/>
        <v>1</v>
      </c>
      <c r="R14" s="652">
        <f t="shared" si="5"/>
        <v>2006</v>
      </c>
      <c r="S14" s="33">
        <f t="shared" si="6"/>
        <v>66064</v>
      </c>
      <c r="T14" s="33">
        <f t="shared" si="11"/>
        <v>73268</v>
      </c>
      <c r="U14" s="33">
        <f t="shared" si="13"/>
        <v>80296.666666666672</v>
      </c>
      <c r="V14" s="33">
        <f t="shared" si="14"/>
        <v>78462</v>
      </c>
      <c r="W14" s="33">
        <f t="shared" si="16"/>
        <v>78985.399999999994</v>
      </c>
      <c r="X14" s="297"/>
      <c r="Y14" s="279">
        <f t="shared" si="7"/>
        <v>-33575</v>
      </c>
      <c r="Z14" s="279">
        <f t="shared" si="12"/>
        <v>-26371</v>
      </c>
      <c r="AA14" s="279">
        <f t="shared" si="15"/>
        <v>-19342.333333333328</v>
      </c>
      <c r="AB14" s="279">
        <f t="shared" si="17"/>
        <v>-21177</v>
      </c>
      <c r="AC14" s="279">
        <f t="shared" si="19"/>
        <v>-20653.600000000006</v>
      </c>
      <c r="AD14" s="297"/>
      <c r="AE14" s="653">
        <f t="shared" si="8"/>
        <v>-0.33696644888045846</v>
      </c>
      <c r="AF14" s="653">
        <f t="shared" si="8"/>
        <v>-0.2646654422465099</v>
      </c>
      <c r="AG14" s="653">
        <f t="shared" si="8"/>
        <v>-0.19412412141162927</v>
      </c>
      <c r="AH14" s="653">
        <f t="shared" si="18"/>
        <v>-0.21253725950681962</v>
      </c>
      <c r="AI14" s="653">
        <f t="shared" si="18"/>
        <v>-0.20728429630967798</v>
      </c>
      <c r="AJ14" s="297"/>
      <c r="AK14" s="654">
        <f t="shared" ref="AK14:AO17" si="20">ABS(AE14)</f>
        <v>0.33696644888045846</v>
      </c>
      <c r="AL14" s="654">
        <f t="shared" si="20"/>
        <v>0.2646654422465099</v>
      </c>
      <c r="AM14" s="654">
        <f t="shared" si="20"/>
        <v>0.19412412141162927</v>
      </c>
      <c r="AN14" s="654">
        <f t="shared" si="20"/>
        <v>0.21253725950681962</v>
      </c>
      <c r="AO14" s="654">
        <f t="shared" si="20"/>
        <v>0.20728429630967798</v>
      </c>
    </row>
    <row r="15" spans="1:41" ht="18.600000000000001">
      <c r="A15" s="329">
        <v>2007</v>
      </c>
      <c r="B15" s="649">
        <f>Harvests!B125</f>
        <v>39095</v>
      </c>
      <c r="C15" s="649">
        <f>Harvests!E125</f>
        <v>1021</v>
      </c>
      <c r="D15" s="649">
        <f>Harvests!F125</f>
        <v>1145</v>
      </c>
      <c r="E15" s="650">
        <f>Harvests!G125</f>
        <v>70</v>
      </c>
      <c r="F15" s="650">
        <f>Harvests!H125</f>
        <v>2</v>
      </c>
      <c r="G15" s="649">
        <f>Harvests!N125</f>
        <v>5123</v>
      </c>
      <c r="H15" s="649">
        <f>SUM(Harvests!J125:M125)</f>
        <v>6689</v>
      </c>
      <c r="I15" s="649">
        <f t="shared" si="0"/>
        <v>11812</v>
      </c>
      <c r="J15" s="649">
        <f t="shared" si="1"/>
        <v>53145</v>
      </c>
      <c r="K15" s="342"/>
      <c r="L15" s="655">
        <f>Escapements!K36</f>
        <v>46349</v>
      </c>
      <c r="M15" s="553"/>
      <c r="N15" s="655">
        <f t="shared" si="2"/>
        <v>34537</v>
      </c>
      <c r="O15" s="343"/>
      <c r="P15" s="649">
        <f t="shared" si="3"/>
        <v>87682</v>
      </c>
      <c r="Q15" s="649">
        <f t="shared" si="4"/>
        <v>4</v>
      </c>
      <c r="R15" s="652">
        <f t="shared" si="5"/>
        <v>2007</v>
      </c>
      <c r="S15" s="33">
        <f t="shared" ref="S15:S21" si="21">P14</f>
        <v>99639</v>
      </c>
      <c r="T15" s="33">
        <f t="shared" si="11"/>
        <v>82851.5</v>
      </c>
      <c r="U15" s="33">
        <f t="shared" si="13"/>
        <v>82058.333333333328</v>
      </c>
      <c r="V15" s="33">
        <f t="shared" si="14"/>
        <v>85132.25</v>
      </c>
      <c r="W15" s="33">
        <f t="shared" si="16"/>
        <v>82697.399999999994</v>
      </c>
      <c r="X15" s="297"/>
      <c r="Y15" s="279">
        <f t="shared" si="7"/>
        <v>11957</v>
      </c>
      <c r="Z15" s="279">
        <f t="shared" si="12"/>
        <v>-4830.5</v>
      </c>
      <c r="AA15" s="279">
        <f t="shared" si="15"/>
        <v>-5623.6666666666715</v>
      </c>
      <c r="AB15" s="279">
        <f t="shared" si="17"/>
        <v>-2549.75</v>
      </c>
      <c r="AC15" s="279">
        <f t="shared" si="19"/>
        <v>-4984.6000000000058</v>
      </c>
      <c r="AD15" s="297"/>
      <c r="AE15" s="653">
        <f t="shared" si="8"/>
        <v>0.13636778358157889</v>
      </c>
      <c r="AF15" s="653">
        <f t="shared" si="8"/>
        <v>-5.5091124746242101E-2</v>
      </c>
      <c r="AG15" s="653">
        <f t="shared" si="8"/>
        <v>-6.4137071082624383E-2</v>
      </c>
      <c r="AH15" s="653">
        <f t="shared" si="18"/>
        <v>-2.9079514609612007E-2</v>
      </c>
      <c r="AI15" s="653">
        <f t="shared" si="18"/>
        <v>-5.6848612029835155E-2</v>
      </c>
      <c r="AJ15" s="297"/>
      <c r="AK15" s="654">
        <f t="shared" si="20"/>
        <v>0.13636778358157889</v>
      </c>
      <c r="AL15" s="654">
        <f t="shared" si="20"/>
        <v>5.5091124746242101E-2</v>
      </c>
      <c r="AM15" s="654">
        <f t="shared" si="20"/>
        <v>6.4137071082624383E-2</v>
      </c>
      <c r="AN15" s="654">
        <f t="shared" si="20"/>
        <v>2.9079514609612007E-2</v>
      </c>
      <c r="AO15" s="654">
        <f t="shared" si="20"/>
        <v>5.6848612029835155E-2</v>
      </c>
    </row>
    <row r="16" spans="1:41" ht="18.600000000000001">
      <c r="A16" s="329">
        <v>2008</v>
      </c>
      <c r="B16" s="649">
        <f>Harvests!B126</f>
        <v>11437</v>
      </c>
      <c r="C16" s="649">
        <f>Harvests!E126</f>
        <v>537</v>
      </c>
      <c r="D16" s="649">
        <f>Harvests!F126</f>
        <v>470</v>
      </c>
      <c r="E16" s="650">
        <f>Harvests!G126</f>
        <v>47</v>
      </c>
      <c r="F16" s="650">
        <f>Harvests!H126</f>
        <v>4</v>
      </c>
      <c r="G16" s="649">
        <f>Harvests!N126</f>
        <v>3616</v>
      </c>
      <c r="H16" s="649">
        <f>SUM(Harvests!J126:M126)</f>
        <v>5263</v>
      </c>
      <c r="I16" s="651">
        <f t="shared" ref="I16:I21" si="22">H16+G16</f>
        <v>8879</v>
      </c>
      <c r="J16" s="651">
        <f>SUM(B16:H16)</f>
        <v>21374</v>
      </c>
      <c r="K16" s="427"/>
      <c r="L16" s="655">
        <f>Escapements!K37</f>
        <v>41343</v>
      </c>
      <c r="M16" s="554"/>
      <c r="N16" s="655">
        <f t="shared" si="2"/>
        <v>32464</v>
      </c>
      <c r="O16" s="343"/>
      <c r="P16" s="649">
        <f t="shared" si="3"/>
        <v>53838</v>
      </c>
      <c r="Q16" s="649">
        <f t="shared" si="4"/>
        <v>11</v>
      </c>
      <c r="R16" s="652">
        <f t="shared" si="5"/>
        <v>2008</v>
      </c>
      <c r="S16" s="328">
        <f t="shared" si="21"/>
        <v>87682</v>
      </c>
      <c r="T16" s="328">
        <f t="shared" ref="T16:T21" si="23">AVERAGE(P14:P15)</f>
        <v>93660.5</v>
      </c>
      <c r="U16" s="328">
        <f t="shared" si="13"/>
        <v>84461.666666666672</v>
      </c>
      <c r="V16" s="328">
        <f t="shared" si="14"/>
        <v>83464.25</v>
      </c>
      <c r="W16" s="328">
        <f t="shared" si="16"/>
        <v>85642.2</v>
      </c>
      <c r="X16" s="297"/>
      <c r="Y16" s="279">
        <f t="shared" si="7"/>
        <v>33844</v>
      </c>
      <c r="Z16" s="279">
        <f t="shared" si="12"/>
        <v>39822.5</v>
      </c>
      <c r="AA16" s="279">
        <f t="shared" si="15"/>
        <v>30623.666666666672</v>
      </c>
      <c r="AB16" s="279">
        <f t="shared" si="17"/>
        <v>29626.25</v>
      </c>
      <c r="AC16" s="279">
        <f t="shared" si="19"/>
        <v>31804.199999999997</v>
      </c>
      <c r="AD16" s="297"/>
      <c r="AE16" s="653">
        <f>Y16/$P16</f>
        <v>0.62862662060254837</v>
      </c>
      <c r="AF16" s="653">
        <f t="shared" si="8"/>
        <v>0.73967272186931166</v>
      </c>
      <c r="AG16" s="653">
        <f t="shared" si="8"/>
        <v>0.56881137238877133</v>
      </c>
      <c r="AH16" s="653">
        <f t="shared" si="18"/>
        <v>0.5502851146030685</v>
      </c>
      <c r="AI16" s="653">
        <f t="shared" si="18"/>
        <v>0.5907388833166165</v>
      </c>
      <c r="AK16" s="654">
        <f t="shared" si="20"/>
        <v>0.62862662060254837</v>
      </c>
      <c r="AL16" s="654">
        <f t="shared" si="20"/>
        <v>0.73967272186931166</v>
      </c>
      <c r="AM16" s="654">
        <f t="shared" si="20"/>
        <v>0.56881137238877133</v>
      </c>
      <c r="AN16" s="654">
        <f t="shared" si="20"/>
        <v>0.5502851146030685</v>
      </c>
      <c r="AO16" s="654">
        <f t="shared" si="20"/>
        <v>0.5907388833166165</v>
      </c>
    </row>
    <row r="17" spans="1:43" ht="18.600000000000001">
      <c r="A17" s="329">
        <v>2009</v>
      </c>
      <c r="B17" s="649">
        <f>Harvests!B127</f>
        <v>9457</v>
      </c>
      <c r="C17" s="649">
        <f>Harvests!E127</f>
        <v>876</v>
      </c>
      <c r="D17" s="649">
        <f>Harvests!F127</f>
        <v>212</v>
      </c>
      <c r="E17" s="650">
        <f>Harvests!G127</f>
        <v>50</v>
      </c>
      <c r="F17" s="650">
        <f>Harvests!H127</f>
        <v>0</v>
      </c>
      <c r="G17" s="649">
        <f>Harvests!N127</f>
        <v>1355</v>
      </c>
      <c r="H17" s="649">
        <f>SUM(Harvests!J127:M127)</f>
        <v>3268</v>
      </c>
      <c r="I17" s="649">
        <f t="shared" si="22"/>
        <v>4623</v>
      </c>
      <c r="J17" s="649">
        <f t="shared" si="1"/>
        <v>15218</v>
      </c>
      <c r="K17" s="427"/>
      <c r="L17" s="655">
        <f>Escapements!K38</f>
        <v>32401</v>
      </c>
      <c r="M17" s="554"/>
      <c r="N17" s="655">
        <f t="shared" si="2"/>
        <v>27778</v>
      </c>
      <c r="O17" s="343"/>
      <c r="P17" s="649">
        <f t="shared" si="3"/>
        <v>42996</v>
      </c>
      <c r="Q17" s="649">
        <f t="shared" si="4"/>
        <v>13</v>
      </c>
      <c r="R17" s="652">
        <f t="shared" si="5"/>
        <v>2009</v>
      </c>
      <c r="S17" s="328">
        <f t="shared" si="21"/>
        <v>53838</v>
      </c>
      <c r="T17" s="328">
        <f t="shared" si="23"/>
        <v>70760</v>
      </c>
      <c r="U17" s="328">
        <f t="shared" ref="U17:U22" si="24">AVERAGE(P14:P16)</f>
        <v>80386.333333333328</v>
      </c>
      <c r="V17" s="328">
        <f t="shared" ref="V17:V22" si="25">AVERAGE(P13:P16)</f>
        <v>76805.75</v>
      </c>
      <c r="W17" s="328">
        <f t="shared" si="16"/>
        <v>77539</v>
      </c>
      <c r="X17" s="297"/>
      <c r="Y17" s="279">
        <f t="shared" si="7"/>
        <v>10842</v>
      </c>
      <c r="Z17" s="279">
        <f t="shared" si="12"/>
        <v>27764</v>
      </c>
      <c r="AA17" s="279">
        <f t="shared" si="15"/>
        <v>37390.333333333328</v>
      </c>
      <c r="AB17" s="279">
        <f t="shared" si="17"/>
        <v>33809.75</v>
      </c>
      <c r="AC17" s="279">
        <f t="shared" si="19"/>
        <v>34543</v>
      </c>
      <c r="AD17" s="297"/>
      <c r="AE17" s="653">
        <f t="shared" si="8"/>
        <v>0.25216299190622382</v>
      </c>
      <c r="AF17" s="653">
        <f t="shared" si="8"/>
        <v>0.64573448692901669</v>
      </c>
      <c r="AG17" s="653">
        <f t="shared" si="8"/>
        <v>0.86962353087108868</v>
      </c>
      <c r="AH17" s="653">
        <f t="shared" si="18"/>
        <v>0.78634640431668057</v>
      </c>
      <c r="AI17" s="653">
        <f t="shared" si="18"/>
        <v>0.80340031630849384</v>
      </c>
      <c r="AK17" s="654">
        <f t="shared" si="20"/>
        <v>0.25216299190622382</v>
      </c>
      <c r="AL17" s="654">
        <f t="shared" si="20"/>
        <v>0.64573448692901669</v>
      </c>
      <c r="AM17" s="654">
        <f t="shared" si="20"/>
        <v>0.86962353087108868</v>
      </c>
      <c r="AN17" s="654">
        <f t="shared" si="20"/>
        <v>0.78634640431668057</v>
      </c>
      <c r="AO17" s="654">
        <f t="shared" si="20"/>
        <v>0.80340031630849384</v>
      </c>
    </row>
    <row r="18" spans="1:43" ht="18.600000000000001">
      <c r="A18" s="329">
        <v>2010</v>
      </c>
      <c r="B18" s="649">
        <f>Harvests!B128</f>
        <v>9645</v>
      </c>
      <c r="C18" s="649">
        <f>Harvests!E128</f>
        <v>906</v>
      </c>
      <c r="D18" s="649">
        <f>Harvests!F128</f>
        <v>278</v>
      </c>
      <c r="E18" s="650">
        <f>Harvests!G128</f>
        <v>32</v>
      </c>
      <c r="F18" s="650">
        <f>Harvests!H128</f>
        <v>0</v>
      </c>
      <c r="G18" s="649">
        <f>Harvests!N128</f>
        <v>2409</v>
      </c>
      <c r="H18" s="649">
        <f>SUM(Harvests!J128:M128)</f>
        <v>3143</v>
      </c>
      <c r="I18" s="649">
        <f t="shared" si="22"/>
        <v>5552</v>
      </c>
      <c r="J18" s="649">
        <f t="shared" ref="J18" si="26">SUM(B18:H18)</f>
        <v>16413</v>
      </c>
      <c r="K18" s="427"/>
      <c r="L18" s="655">
        <f>Escapements!K39</f>
        <v>22323</v>
      </c>
      <c r="M18" s="554"/>
      <c r="N18" s="655">
        <f t="shared" ref="N18:N19" si="27">L18-I18</f>
        <v>16771</v>
      </c>
      <c r="O18" s="343"/>
      <c r="P18" s="649">
        <f t="shared" si="3"/>
        <v>33184</v>
      </c>
      <c r="Q18" s="649">
        <f t="shared" si="4"/>
        <v>15</v>
      </c>
      <c r="R18" s="652">
        <f t="shared" si="5"/>
        <v>2010</v>
      </c>
      <c r="S18" s="328">
        <f t="shared" si="21"/>
        <v>42996</v>
      </c>
      <c r="T18" s="328">
        <f t="shared" si="23"/>
        <v>48417</v>
      </c>
      <c r="U18" s="328">
        <f t="shared" si="24"/>
        <v>61505.333333333336</v>
      </c>
      <c r="V18" s="328">
        <f t="shared" si="25"/>
        <v>71038.75</v>
      </c>
      <c r="W18" s="328">
        <f t="shared" ref="W18:W19" si="28">AVERAGE(P13:P17)</f>
        <v>70043.8</v>
      </c>
      <c r="X18" s="297"/>
      <c r="Y18" s="279">
        <f t="shared" si="7"/>
        <v>9812</v>
      </c>
      <c r="Z18" s="279">
        <f t="shared" si="12"/>
        <v>15233</v>
      </c>
      <c r="AA18" s="279">
        <f t="shared" si="15"/>
        <v>28321.333333333336</v>
      </c>
      <c r="AB18" s="279">
        <f t="shared" si="17"/>
        <v>37854.75</v>
      </c>
      <c r="AC18" s="279">
        <f t="shared" si="19"/>
        <v>36859.800000000003</v>
      </c>
      <c r="AD18" s="297"/>
      <c r="AE18" s="653">
        <f t="shared" si="8"/>
        <v>0.29568466730954679</v>
      </c>
      <c r="AF18" s="653">
        <f t="shared" si="8"/>
        <v>0.45904652844744454</v>
      </c>
      <c r="AG18" s="653">
        <f t="shared" si="8"/>
        <v>0.85346351655416275</v>
      </c>
      <c r="AH18" s="653">
        <f t="shared" si="18"/>
        <v>1.1407530737704918</v>
      </c>
      <c r="AI18" s="653">
        <f t="shared" si="18"/>
        <v>1.1107702507232402</v>
      </c>
      <c r="AK18" s="654">
        <f t="shared" ref="AK18:AK20" si="29">ABS(AE18)</f>
        <v>0.29568466730954679</v>
      </c>
      <c r="AL18" s="654">
        <f t="shared" ref="AL18:AL20" si="30">ABS(AF18)</f>
        <v>0.45904652844744454</v>
      </c>
      <c r="AM18" s="654">
        <f t="shared" ref="AM18:AM20" si="31">ABS(AG18)</f>
        <v>0.85346351655416275</v>
      </c>
      <c r="AN18" s="654">
        <f t="shared" ref="AN18:AN20" si="32">ABS(AH18)</f>
        <v>1.1407530737704918</v>
      </c>
      <c r="AO18" s="654">
        <f t="shared" ref="AO18:AO20" si="33">ABS(AI18)</f>
        <v>1.1107702507232402</v>
      </c>
    </row>
    <row r="19" spans="1:43" ht="18.600000000000001">
      <c r="A19" s="329">
        <v>2011</v>
      </c>
      <c r="B19" s="649">
        <f>Harvests!B129</f>
        <v>18499</v>
      </c>
      <c r="C19" s="649">
        <f>Harvests!E129</f>
        <v>1281</v>
      </c>
      <c r="D19" s="649">
        <f>Harvests!F129</f>
        <v>212</v>
      </c>
      <c r="E19" s="650">
        <f>Harvests!G129</f>
        <v>6</v>
      </c>
      <c r="F19" s="650">
        <f>Harvests!H129</f>
        <v>0</v>
      </c>
      <c r="G19" s="649">
        <f>Harvests!N129</f>
        <v>1753</v>
      </c>
      <c r="H19" s="649">
        <f>SUM(Harvests!J129:M129)</f>
        <v>4142</v>
      </c>
      <c r="I19" s="649">
        <f t="shared" si="22"/>
        <v>5895</v>
      </c>
      <c r="J19" s="649">
        <f t="shared" ref="J19" si="34">SUM(B19:H19)</f>
        <v>25893</v>
      </c>
      <c r="K19" s="427"/>
      <c r="L19" s="655">
        <f>Escapements!K40</f>
        <v>33889</v>
      </c>
      <c r="M19" s="554"/>
      <c r="N19" s="655">
        <f t="shared" si="27"/>
        <v>27994</v>
      </c>
      <c r="O19" s="343"/>
      <c r="P19" s="649">
        <f t="shared" si="3"/>
        <v>53887</v>
      </c>
      <c r="Q19" s="649">
        <f t="shared" si="4"/>
        <v>10</v>
      </c>
      <c r="R19" s="652">
        <f t="shared" ref="R19:R20" si="35">A19</f>
        <v>2011</v>
      </c>
      <c r="S19" s="328">
        <f t="shared" si="21"/>
        <v>33184</v>
      </c>
      <c r="T19" s="328">
        <f t="shared" si="23"/>
        <v>38090</v>
      </c>
      <c r="U19" s="328">
        <f t="shared" si="24"/>
        <v>43339.333333333336</v>
      </c>
      <c r="V19" s="328">
        <f t="shared" si="25"/>
        <v>54425</v>
      </c>
      <c r="W19" s="328">
        <f t="shared" si="28"/>
        <v>63467.8</v>
      </c>
      <c r="X19" s="297"/>
      <c r="Y19" s="279">
        <f t="shared" si="7"/>
        <v>-20703</v>
      </c>
      <c r="Z19" s="279">
        <f t="shared" si="12"/>
        <v>-15797</v>
      </c>
      <c r="AA19" s="279">
        <f t="shared" si="15"/>
        <v>-10547.666666666664</v>
      </c>
      <c r="AB19" s="279">
        <f t="shared" si="17"/>
        <v>538</v>
      </c>
      <c r="AC19" s="279">
        <f t="shared" si="19"/>
        <v>9580.8000000000029</v>
      </c>
      <c r="AD19" s="297"/>
      <c r="AE19" s="653">
        <f t="shared" si="8"/>
        <v>-0.38419284799673392</v>
      </c>
      <c r="AF19" s="653">
        <f t="shared" si="8"/>
        <v>-0.29315048156327128</v>
      </c>
      <c r="AG19" s="653">
        <f t="shared" si="8"/>
        <v>-0.19573675778326247</v>
      </c>
      <c r="AH19" s="653">
        <f t="shared" si="18"/>
        <v>9.983855104199529E-3</v>
      </c>
      <c r="AI19" s="653">
        <f t="shared" si="18"/>
        <v>0.17779427320132876</v>
      </c>
      <c r="AK19" s="654">
        <f t="shared" si="29"/>
        <v>0.38419284799673392</v>
      </c>
      <c r="AL19" s="654">
        <f t="shared" si="30"/>
        <v>0.29315048156327128</v>
      </c>
      <c r="AM19" s="654">
        <f t="shared" si="31"/>
        <v>0.19573675778326247</v>
      </c>
      <c r="AN19" s="654">
        <f t="shared" si="32"/>
        <v>9.983855104199529E-3</v>
      </c>
      <c r="AO19" s="654">
        <f t="shared" si="33"/>
        <v>0.17779427320132876</v>
      </c>
    </row>
    <row r="20" spans="1:43" ht="18.600000000000001">
      <c r="A20" s="329">
        <v>2012</v>
      </c>
      <c r="B20" s="649">
        <f>Harvests!B130</f>
        <v>11764</v>
      </c>
      <c r="C20" s="649">
        <f>Harvests!E130</f>
        <v>853</v>
      </c>
      <c r="D20" s="649">
        <f>Harvests!F130</f>
        <v>238</v>
      </c>
      <c r="E20" s="650">
        <f>Harvests!G130</f>
        <v>6</v>
      </c>
      <c r="F20" s="650">
        <f>Harvests!H130</f>
        <v>0</v>
      </c>
      <c r="G20" s="649">
        <f>Harvests!N130</f>
        <v>535</v>
      </c>
      <c r="H20" s="649">
        <f>SUM(Harvests!J130:M130)</f>
        <v>3452</v>
      </c>
      <c r="I20" s="649">
        <f t="shared" si="22"/>
        <v>3987</v>
      </c>
      <c r="J20" s="649">
        <f t="shared" ref="J20" si="36">SUM(B20:H20)</f>
        <v>16848</v>
      </c>
      <c r="K20" s="427"/>
      <c r="L20" s="655">
        <f>Escapements!K41</f>
        <v>33582</v>
      </c>
      <c r="M20" s="554"/>
      <c r="N20" s="655">
        <f>L20-I20</f>
        <v>29595</v>
      </c>
      <c r="O20" s="343"/>
      <c r="P20" s="649">
        <f>L20+SUM(B20:F20)</f>
        <v>46443</v>
      </c>
      <c r="Q20" s="649">
        <f t="shared" si="4"/>
        <v>12</v>
      </c>
      <c r="R20" s="652">
        <f t="shared" si="35"/>
        <v>2012</v>
      </c>
      <c r="S20" s="328">
        <f t="shared" si="21"/>
        <v>53887</v>
      </c>
      <c r="T20" s="328">
        <f t="shared" si="23"/>
        <v>43535.5</v>
      </c>
      <c r="U20" s="328">
        <f t="shared" si="24"/>
        <v>43355.666666666664</v>
      </c>
      <c r="V20" s="328">
        <f t="shared" si="25"/>
        <v>45976.25</v>
      </c>
      <c r="W20" s="328">
        <f t="shared" ref="W20" si="37">AVERAGE(P15:P19)</f>
        <v>54317.4</v>
      </c>
      <c r="X20" s="297"/>
      <c r="Y20" s="279">
        <f t="shared" si="7"/>
        <v>7444</v>
      </c>
      <c r="Z20" s="279">
        <f t="shared" si="12"/>
        <v>-2907.5</v>
      </c>
      <c r="AA20" s="279">
        <f t="shared" si="15"/>
        <v>-3087.3333333333358</v>
      </c>
      <c r="AB20" s="279">
        <f t="shared" si="17"/>
        <v>-466.75</v>
      </c>
      <c r="AC20" s="279">
        <f t="shared" si="19"/>
        <v>7874.4000000000015</v>
      </c>
      <c r="AD20" s="297"/>
      <c r="AE20" s="653">
        <f>Y20/$P20</f>
        <v>0.1602824968240639</v>
      </c>
      <c r="AF20" s="653">
        <f t="shared" si="8"/>
        <v>-6.2603621643735327E-2</v>
      </c>
      <c r="AG20" s="653">
        <f t="shared" si="8"/>
        <v>-6.6475751638208902E-2</v>
      </c>
      <c r="AH20" s="653">
        <f t="shared" si="18"/>
        <v>-1.0049953706694228E-2</v>
      </c>
      <c r="AI20" s="653">
        <f t="shared" si="18"/>
        <v>0.16954977068664817</v>
      </c>
      <c r="AK20" s="654">
        <f t="shared" si="29"/>
        <v>0.1602824968240639</v>
      </c>
      <c r="AL20" s="654">
        <f t="shared" si="30"/>
        <v>6.2603621643735327E-2</v>
      </c>
      <c r="AM20" s="654">
        <f t="shared" si="31"/>
        <v>6.6475751638208902E-2</v>
      </c>
      <c r="AN20" s="654">
        <f t="shared" si="32"/>
        <v>1.0049953706694228E-2</v>
      </c>
      <c r="AO20" s="654">
        <f t="shared" si="33"/>
        <v>0.16954977068664817</v>
      </c>
    </row>
    <row r="21" spans="1:43" ht="18.600000000000001">
      <c r="A21" s="329">
        <v>2013</v>
      </c>
      <c r="B21" s="649">
        <f>Harvests!B131</f>
        <v>8826</v>
      </c>
      <c r="C21" s="649">
        <f>Harvests!E131</f>
        <v>562</v>
      </c>
      <c r="D21" s="649">
        <f>Harvests!F131</f>
        <v>860</v>
      </c>
      <c r="E21" s="650">
        <f>Harvests!G131</f>
        <v>55</v>
      </c>
      <c r="F21" s="650">
        <f>Harvests!H131</f>
        <v>0</v>
      </c>
      <c r="G21" s="649">
        <f>Harvests!N131</f>
        <v>285</v>
      </c>
      <c r="H21" s="649">
        <f>SUM(Harvests!J131:M131)</f>
        <v>3284</v>
      </c>
      <c r="I21" s="649">
        <f t="shared" si="22"/>
        <v>3569</v>
      </c>
      <c r="J21" s="649">
        <f t="shared" ref="J21" si="38">SUM(B21:H21)</f>
        <v>13872</v>
      </c>
      <c r="K21" s="427"/>
      <c r="L21" s="655">
        <f>Escapements!K42</f>
        <v>32581</v>
      </c>
      <c r="M21" s="554"/>
      <c r="N21" s="655">
        <f>L21-I21</f>
        <v>29012</v>
      </c>
      <c r="O21" s="343"/>
      <c r="P21" s="649">
        <f t="shared" si="3"/>
        <v>42884</v>
      </c>
      <c r="Q21" s="649">
        <f>RANK(P21,$P$7:$P$21)</f>
        <v>14</v>
      </c>
      <c r="R21" s="652">
        <f>A21</f>
        <v>2013</v>
      </c>
      <c r="S21" s="328">
        <f t="shared" si="21"/>
        <v>46443</v>
      </c>
      <c r="T21" s="328">
        <f t="shared" si="23"/>
        <v>50165</v>
      </c>
      <c r="U21" s="328">
        <f t="shared" si="24"/>
        <v>44504.666666666664</v>
      </c>
      <c r="V21" s="328">
        <f t="shared" si="25"/>
        <v>44127.5</v>
      </c>
      <c r="W21" s="328">
        <f t="shared" ref="W21" si="39">AVERAGE(P16:P20)</f>
        <v>46069.599999999999</v>
      </c>
      <c r="X21" s="297"/>
      <c r="Y21" s="279">
        <f>S21-P21</f>
        <v>3559</v>
      </c>
      <c r="Z21" s="279">
        <f t="shared" si="12"/>
        <v>7281</v>
      </c>
      <c r="AA21" s="279">
        <f t="shared" si="15"/>
        <v>1620.6666666666642</v>
      </c>
      <c r="AB21" s="279">
        <f t="shared" si="17"/>
        <v>1243.5</v>
      </c>
      <c r="AC21" s="279">
        <f t="shared" si="19"/>
        <v>3185.5999999999985</v>
      </c>
      <c r="AD21" s="297"/>
      <c r="AE21" s="653">
        <f>Y21/$P21</f>
        <v>8.2991325436060068E-2</v>
      </c>
      <c r="AF21" s="653">
        <f t="shared" ref="AF21:AF22" si="40">Z21/$P21</f>
        <v>0.16978360227590711</v>
      </c>
      <c r="AG21" s="653">
        <f t="shared" ref="AG21:AG22" si="41">AA21/$P21</f>
        <v>3.779187264869565E-2</v>
      </c>
      <c r="AH21" s="653">
        <f t="shared" ref="AH21:AH22" si="42">AB21/$P21</f>
        <v>2.8996828654043467E-2</v>
      </c>
      <c r="AI21" s="653">
        <f t="shared" ref="AI21:AI22" si="43">AC21/$P21</f>
        <v>7.4284115287752972E-2</v>
      </c>
      <c r="AK21" s="654">
        <f t="shared" ref="AK21:AK22" si="44">ABS(AE21)</f>
        <v>8.2991325436060068E-2</v>
      </c>
      <c r="AL21" s="654">
        <f t="shared" ref="AL21:AL22" si="45">ABS(AF21)</f>
        <v>0.16978360227590711</v>
      </c>
      <c r="AM21" s="654">
        <f t="shared" ref="AM21:AM22" si="46">ABS(AG21)</f>
        <v>3.779187264869565E-2</v>
      </c>
      <c r="AN21" s="654">
        <f t="shared" ref="AN21:AN22" si="47">ABS(AH21)</f>
        <v>2.8996828654043467E-2</v>
      </c>
      <c r="AO21" s="654">
        <f t="shared" ref="AO21:AO22" si="48">ABS(AI21)</f>
        <v>7.4284115287752972E-2</v>
      </c>
    </row>
    <row r="22" spans="1:43" ht="18.600000000000001">
      <c r="A22" s="329">
        <v>2014</v>
      </c>
      <c r="B22" s="649">
        <f>Harvests!B132</f>
        <v>10207</v>
      </c>
      <c r="C22" s="649">
        <f>Harvests!E132</f>
        <v>768</v>
      </c>
      <c r="D22" s="649">
        <f>Harvests!F132</f>
        <v>360</v>
      </c>
      <c r="E22" s="650">
        <f>Harvests!G132</f>
        <v>36</v>
      </c>
      <c r="F22" s="650">
        <f>Harvests!H132</f>
        <v>0</v>
      </c>
      <c r="G22" s="649">
        <f>Harvests!N132</f>
        <v>1267.4000000000001</v>
      </c>
      <c r="H22" s="649">
        <f>SUM(Harvests!J132:M132)</f>
        <v>3457.8</v>
      </c>
      <c r="I22" s="649">
        <f t="shared" ref="I22" si="49">H22+G22</f>
        <v>4725.2000000000007</v>
      </c>
      <c r="J22" s="649">
        <f t="shared" ref="J22" si="50">SUM(B22:H22)</f>
        <v>16096.2</v>
      </c>
      <c r="K22" s="427"/>
      <c r="L22" s="655">
        <f>Escapements!K43</f>
        <v>24158</v>
      </c>
      <c r="M22" s="554"/>
      <c r="N22" s="655">
        <f t="shared" ref="N22" si="51">L22-I22</f>
        <v>19432.8</v>
      </c>
      <c r="O22" s="343"/>
      <c r="P22" s="649">
        <f>L22+SUM(B22:F22)</f>
        <v>35529</v>
      </c>
      <c r="Q22" s="649">
        <f>RANK(P22,$P$7:$P$22)</f>
        <v>15</v>
      </c>
      <c r="R22" s="652">
        <f>A22</f>
        <v>2014</v>
      </c>
      <c r="S22" s="328">
        <f>P21</f>
        <v>42884</v>
      </c>
      <c r="T22" s="328">
        <f t="shared" ref="T22:T23" si="52">AVERAGE(P20:P21)</f>
        <v>44663.5</v>
      </c>
      <c r="U22" s="328">
        <f t="shared" si="24"/>
        <v>47738</v>
      </c>
      <c r="V22" s="328">
        <f t="shared" si="25"/>
        <v>44099.5</v>
      </c>
      <c r="W22" s="328">
        <f t="shared" ref="W22:W23" si="53">AVERAGE(P17:P21)</f>
        <v>43878.8</v>
      </c>
      <c r="X22" s="297"/>
      <c r="Y22" s="279">
        <f t="shared" ref="Y22" si="54">S22-P22</f>
        <v>7355</v>
      </c>
      <c r="Z22" s="279">
        <f t="shared" ref="Z22" si="55">T22-P22</f>
        <v>9134.5</v>
      </c>
      <c r="AA22" s="279">
        <f t="shared" ref="AA22" si="56">U22-P22</f>
        <v>12209</v>
      </c>
      <c r="AB22" s="279">
        <f t="shared" ref="AB22" si="57">V22-P22</f>
        <v>8570.5</v>
      </c>
      <c r="AC22" s="279">
        <f t="shared" ref="AC22" si="58">W22-P22</f>
        <v>8349.8000000000029</v>
      </c>
      <c r="AD22" s="297"/>
      <c r="AE22" s="653">
        <f>Y22/$P22</f>
        <v>0.20701398857271525</v>
      </c>
      <c r="AF22" s="653">
        <f t="shared" si="40"/>
        <v>0.2570998339384728</v>
      </c>
      <c r="AG22" s="653">
        <f t="shared" si="41"/>
        <v>0.34363477722423935</v>
      </c>
      <c r="AH22" s="653">
        <f t="shared" si="42"/>
        <v>0.24122547777871597</v>
      </c>
      <c r="AI22" s="653">
        <f t="shared" si="43"/>
        <v>0.23501365082045661</v>
      </c>
      <c r="AK22" s="654">
        <f t="shared" si="44"/>
        <v>0.20701398857271525</v>
      </c>
      <c r="AL22" s="654">
        <f t="shared" si="45"/>
        <v>0.2570998339384728</v>
      </c>
      <c r="AM22" s="654">
        <f t="shared" si="46"/>
        <v>0.34363477722423935</v>
      </c>
      <c r="AN22" s="654">
        <f t="shared" si="47"/>
        <v>0.24122547777871597</v>
      </c>
      <c r="AO22" s="654">
        <f t="shared" si="48"/>
        <v>0.23501365082045661</v>
      </c>
    </row>
    <row r="23" spans="1:43" ht="18.600000000000001">
      <c r="A23" s="329">
        <v>2015</v>
      </c>
      <c r="B23" s="649"/>
      <c r="C23" s="649"/>
      <c r="D23" s="649"/>
      <c r="E23" s="650"/>
      <c r="F23" s="650"/>
      <c r="G23" s="649"/>
      <c r="H23" s="649"/>
      <c r="I23" s="649"/>
      <c r="J23" s="649"/>
      <c r="K23" s="427"/>
      <c r="L23" s="651"/>
      <c r="M23" s="428"/>
      <c r="N23" s="651"/>
      <c r="O23" s="343"/>
      <c r="P23" s="649"/>
      <c r="Q23" s="649"/>
      <c r="R23" s="652">
        <f>A23</f>
        <v>2015</v>
      </c>
      <c r="S23" s="328">
        <f>P22</f>
        <v>35529</v>
      </c>
      <c r="T23" s="328">
        <f t="shared" si="52"/>
        <v>39206.5</v>
      </c>
      <c r="U23" s="328">
        <f t="shared" ref="U23" si="59">AVERAGE(P20:P22)</f>
        <v>41618.666666666664</v>
      </c>
      <c r="V23" s="328">
        <f t="shared" ref="V23" si="60">AVERAGE(P19:P22)</f>
        <v>44685.75</v>
      </c>
      <c r="W23" s="328">
        <f t="shared" si="53"/>
        <v>42385.4</v>
      </c>
      <c r="X23" s="297"/>
      <c r="Y23" s="279"/>
      <c r="Z23" s="279"/>
      <c r="AA23" s="279"/>
      <c r="AB23" s="279"/>
      <c r="AC23" s="279"/>
      <c r="AD23" s="297"/>
      <c r="AE23" s="653"/>
      <c r="AF23" s="653"/>
      <c r="AG23" s="653"/>
      <c r="AH23" s="653"/>
      <c r="AI23" s="653"/>
      <c r="AK23" s="654"/>
      <c r="AL23" s="654"/>
      <c r="AM23" s="654"/>
      <c r="AN23" s="654"/>
      <c r="AO23" s="654"/>
    </row>
    <row r="24" spans="1:43" ht="18.600000000000001">
      <c r="A24" s="329"/>
      <c r="B24" s="426"/>
      <c r="C24" s="426"/>
      <c r="D24" s="426"/>
      <c r="E24" s="426"/>
      <c r="F24" s="426"/>
      <c r="G24" s="347"/>
      <c r="H24" s="347"/>
      <c r="I24" s="347"/>
      <c r="J24" s="347"/>
      <c r="K24" s="427"/>
      <c r="L24" s="347"/>
      <c r="M24" s="428"/>
      <c r="N24" s="347"/>
      <c r="O24" s="343"/>
      <c r="P24" s="347"/>
      <c r="Q24" s="347"/>
      <c r="R24" s="1"/>
      <c r="S24" s="430"/>
      <c r="T24" s="430"/>
      <c r="U24" s="430"/>
      <c r="V24" s="430"/>
      <c r="W24" s="430"/>
      <c r="X24" s="297"/>
      <c r="Y24" s="371"/>
      <c r="Z24" s="371"/>
      <c r="AA24" s="371"/>
      <c r="AB24" s="371"/>
      <c r="AC24" s="371"/>
      <c r="AD24" s="297"/>
      <c r="AE24" s="373"/>
      <c r="AF24" s="373"/>
      <c r="AG24" s="373"/>
      <c r="AH24" s="373"/>
      <c r="AI24" s="373"/>
      <c r="AK24" s="372"/>
      <c r="AL24" s="372"/>
      <c r="AM24" s="372"/>
      <c r="AN24" s="372"/>
      <c r="AO24" s="372"/>
    </row>
    <row r="25" spans="1:43" ht="15.6">
      <c r="A25" s="329"/>
      <c r="B25" s="343"/>
      <c r="C25" s="343"/>
      <c r="D25" s="343"/>
      <c r="E25" s="343"/>
      <c r="F25" s="343"/>
      <c r="G25" s="343"/>
      <c r="H25" s="343"/>
      <c r="I25" s="343"/>
      <c r="J25" s="343"/>
      <c r="K25" s="343"/>
      <c r="L25" s="343"/>
      <c r="M25" s="343"/>
      <c r="N25" s="343"/>
      <c r="O25" s="343"/>
      <c r="P25" s="343"/>
      <c r="Q25" s="343"/>
      <c r="S25" s="368"/>
      <c r="T25" s="297"/>
      <c r="U25" s="297"/>
      <c r="V25" s="297"/>
      <c r="W25" s="297"/>
      <c r="X25" s="297"/>
      <c r="Y25" s="297"/>
      <c r="Z25" s="297"/>
      <c r="AA25" s="297"/>
      <c r="AB25" s="297"/>
      <c r="AC25" s="297"/>
      <c r="AD25" s="297"/>
      <c r="AE25" s="297"/>
      <c r="AF25" s="297"/>
      <c r="AG25" s="297"/>
      <c r="AH25" s="297"/>
      <c r="AI25" s="297"/>
      <c r="AJ25" s="297"/>
      <c r="AK25" s="297"/>
      <c r="AL25" s="297"/>
      <c r="AM25" s="297"/>
      <c r="AN25" s="297"/>
      <c r="AO25" s="297"/>
    </row>
    <row r="26" spans="1:43" ht="15.6">
      <c r="A26" s="360" t="s">
        <v>224</v>
      </c>
      <c r="B26" s="656">
        <f>AVERAGE(B7:B24)</f>
        <v>27598.875</v>
      </c>
      <c r="C26" s="656">
        <f t="shared" ref="C26:J26" si="61">AVERAGE(C7:C24)</f>
        <v>844.875</v>
      </c>
      <c r="D26" s="656">
        <f t="shared" si="61"/>
        <v>565.4375</v>
      </c>
      <c r="E26" s="656">
        <f t="shared" si="61"/>
        <v>44.615384615384613</v>
      </c>
      <c r="F26" s="656">
        <f t="shared" si="61"/>
        <v>4.25</v>
      </c>
      <c r="G26" s="656">
        <f t="shared" si="61"/>
        <v>3455.5250000000001</v>
      </c>
      <c r="H26" s="656">
        <f t="shared" si="61"/>
        <v>5316.8625000000002</v>
      </c>
      <c r="I26" s="656">
        <f t="shared" si="61"/>
        <v>8772.3875000000007</v>
      </c>
      <c r="J26" s="656">
        <f t="shared" si="61"/>
        <v>37822.074999999997</v>
      </c>
      <c r="K26" s="359"/>
      <c r="L26" s="656">
        <f>AVERAGE(L7:L24)</f>
        <v>37054</v>
      </c>
      <c r="M26" s="359"/>
      <c r="N26" s="656">
        <f>AVERAGE(N7:N24)</f>
        <v>28281.612499999999</v>
      </c>
      <c r="O26" s="359"/>
      <c r="P26" s="656">
        <f>AVERAGE(P7:P24)</f>
        <v>66103.6875</v>
      </c>
      <c r="Q26" s="349"/>
      <c r="S26" s="368"/>
      <c r="T26" s="297"/>
      <c r="U26" s="297"/>
      <c r="V26" s="297"/>
      <c r="W26" s="297"/>
      <c r="X26" s="297"/>
      <c r="Y26" s="297"/>
      <c r="Z26" s="297"/>
      <c r="AA26" s="297"/>
      <c r="AB26" s="25"/>
      <c r="AC26" s="25" t="s">
        <v>400</v>
      </c>
      <c r="AD26" s="297"/>
      <c r="AE26" s="657">
        <f>SMALL(AE8:AE23,1)</f>
        <v>-0.38419284799673392</v>
      </c>
      <c r="AF26" s="278">
        <f>SMALL(AF8:AF23,1)</f>
        <v>-0.29315048156327128</v>
      </c>
      <c r="AG26" s="278">
        <f>SMALL(AG8:AG23,1)</f>
        <v>-0.20590542001398987</v>
      </c>
      <c r="AH26" s="278">
        <f>SMALL(AH8:AH23,1)</f>
        <v>-0.21253725950681962</v>
      </c>
      <c r="AI26" s="278">
        <f>SMALL(AI8:AI23,1)</f>
        <v>-0.20728429630967798</v>
      </c>
      <c r="AK26" s="785">
        <f>AVERAGE(AK7:AK24)</f>
        <v>0.2464162375845827</v>
      </c>
      <c r="AL26" s="658">
        <f>AVERAGE(AL7:AL24)</f>
        <v>0.25439014622583406</v>
      </c>
      <c r="AM26" s="658">
        <f t="shared" ref="AM26:AN26" si="62">AVERAGE(AM7:AM24)</f>
        <v>0.2931270827704362</v>
      </c>
      <c r="AN26" s="658">
        <f t="shared" si="62"/>
        <v>0.28438456803170559</v>
      </c>
      <c r="AO26" s="658">
        <f>AVERAGE(AO7:AO24)</f>
        <v>0.33335898582340445</v>
      </c>
      <c r="AP26" s="635" t="s">
        <v>398</v>
      </c>
      <c r="AQ26" s="374"/>
    </row>
    <row r="27" spans="1:43" ht="18.600000000000001">
      <c r="A27" s="361" t="s">
        <v>242</v>
      </c>
      <c r="B27" s="343"/>
      <c r="C27" s="343"/>
      <c r="D27" s="343"/>
      <c r="E27" s="343"/>
      <c r="F27" s="343"/>
      <c r="G27" s="343"/>
      <c r="H27" s="343"/>
      <c r="I27" s="343"/>
      <c r="J27" s="343"/>
      <c r="K27" s="343"/>
      <c r="L27" s="343"/>
      <c r="M27" s="343"/>
      <c r="N27" s="343"/>
      <c r="O27" s="343"/>
      <c r="P27" s="343"/>
      <c r="Q27" s="343"/>
      <c r="AB27" s="439"/>
      <c r="AC27" s="439" t="s">
        <v>401</v>
      </c>
      <c r="AE27" s="657">
        <f>LARGE(AE8:AE23,1)</f>
        <v>0.62862662060254837</v>
      </c>
      <c r="AF27" s="278">
        <f>LARGE(AF8:AF23,1)</f>
        <v>0.73967272186931166</v>
      </c>
      <c r="AG27" s="278">
        <f>LARGE(AG8:AG23,1)</f>
        <v>0.86962353087108868</v>
      </c>
      <c r="AH27" s="278">
        <f>LARGE(AH8:AH23,1)</f>
        <v>1.1407530737704918</v>
      </c>
      <c r="AI27" s="278">
        <f>LARGE(AI8:AI23,1)</f>
        <v>1.1107702507232402</v>
      </c>
      <c r="AK27" s="786">
        <f>STDEV(AK7:AK24)</f>
        <v>0.14003085818673244</v>
      </c>
      <c r="AL27" s="659">
        <f>STDEV(AL7:AL24)</f>
        <v>0.22682317695495996</v>
      </c>
      <c r="AM27" s="659">
        <f t="shared" ref="AM27:AN27" si="63">STDEV(AM7:AM24)</f>
        <v>0.29132625532528272</v>
      </c>
      <c r="AN27" s="659">
        <f t="shared" si="63"/>
        <v>0.361771597958294</v>
      </c>
      <c r="AO27" s="659">
        <f>STDEV(AO7:AO24)</f>
        <v>0.34901551329843195</v>
      </c>
      <c r="AP27" s="636" t="s">
        <v>399</v>
      </c>
      <c r="AQ27" s="2"/>
    </row>
    <row r="28" spans="1:43" ht="18.600000000000001">
      <c r="A28" s="361" t="s">
        <v>243</v>
      </c>
      <c r="B28" s="343"/>
      <c r="C28" s="343"/>
      <c r="D28" s="343"/>
      <c r="E28" s="343"/>
      <c r="F28" s="343"/>
      <c r="G28" s="343"/>
      <c r="H28" s="343"/>
      <c r="I28" s="343"/>
      <c r="J28" s="343"/>
      <c r="K28" s="343"/>
      <c r="L28" s="343"/>
      <c r="M28" s="343"/>
      <c r="N28" s="343"/>
      <c r="O28" s="343"/>
    </row>
    <row r="29" spans="1:43" ht="18.600000000000001">
      <c r="A29" s="361" t="s">
        <v>244</v>
      </c>
      <c r="B29" s="343"/>
      <c r="C29" s="343"/>
      <c r="D29" s="343"/>
      <c r="E29" s="343"/>
      <c r="F29" s="343"/>
      <c r="G29" s="343"/>
      <c r="H29" s="343"/>
      <c r="I29" s="343"/>
      <c r="J29" s="343"/>
      <c r="K29" s="343"/>
      <c r="L29" s="343"/>
      <c r="M29" s="343"/>
      <c r="N29" s="343"/>
      <c r="O29" s="343"/>
      <c r="P29" s="648">
        <f>20/53</f>
        <v>0.37735849056603776</v>
      </c>
      <c r="Q29" s="343"/>
    </row>
    <row r="30" spans="1:43" ht="18.600000000000001">
      <c r="A30" s="361" t="s">
        <v>245</v>
      </c>
      <c r="B30" s="343"/>
      <c r="C30" s="343"/>
      <c r="D30" s="649"/>
      <c r="E30" s="343"/>
      <c r="F30" s="343"/>
      <c r="G30" s="343"/>
      <c r="H30" s="343"/>
      <c r="I30" s="343"/>
      <c r="J30" s="343"/>
      <c r="K30" s="343"/>
      <c r="L30" s="343"/>
      <c r="M30" s="343"/>
      <c r="N30" s="343"/>
      <c r="O30" s="343"/>
      <c r="P30" s="343"/>
      <c r="Q30" s="343"/>
      <c r="AC30" s="439"/>
    </row>
    <row r="31" spans="1:43" ht="24.6">
      <c r="A31" s="361" t="s">
        <v>246</v>
      </c>
      <c r="B31" s="343"/>
      <c r="C31" s="343"/>
      <c r="D31" s="343"/>
      <c r="E31" s="343"/>
      <c r="F31" s="343"/>
      <c r="G31" s="345"/>
      <c r="H31" s="345"/>
      <c r="I31" s="345"/>
      <c r="J31" s="345"/>
      <c r="K31" s="345"/>
      <c r="L31" s="345"/>
      <c r="M31" s="345"/>
      <c r="N31" s="379" t="s">
        <v>265</v>
      </c>
      <c r="O31" s="343"/>
      <c r="P31" s="343"/>
      <c r="Q31" s="343"/>
      <c r="AC31" s="439"/>
    </row>
    <row r="32" spans="1:43" ht="18.600000000000001">
      <c r="A32" s="365"/>
      <c r="B32" s="344"/>
      <c r="C32" s="344"/>
      <c r="D32" s="344"/>
      <c r="E32" s="344"/>
      <c r="F32" s="344"/>
      <c r="G32" s="344"/>
      <c r="H32" s="344"/>
      <c r="I32" s="344"/>
      <c r="J32" s="344"/>
      <c r="K32" s="344"/>
      <c r="L32" s="344"/>
      <c r="M32" s="344"/>
      <c r="N32" s="360"/>
      <c r="O32" s="360"/>
      <c r="P32" s="436" t="s">
        <v>254</v>
      </c>
      <c r="Q32" s="436"/>
      <c r="R32" s="380" t="s">
        <v>255</v>
      </c>
      <c r="S32" s="380" t="s">
        <v>256</v>
      </c>
      <c r="T32" s="380" t="s">
        <v>257</v>
      </c>
    </row>
    <row r="33" spans="1:37" ht="18.600000000000001">
      <c r="A33" s="361"/>
      <c r="B33" s="343"/>
      <c r="C33" s="343"/>
      <c r="D33" s="343"/>
      <c r="E33" s="343"/>
      <c r="F33" s="343"/>
      <c r="G33" s="345"/>
      <c r="H33" s="345"/>
      <c r="I33" s="345"/>
      <c r="J33" s="345"/>
      <c r="K33" s="345"/>
      <c r="L33" s="345"/>
      <c r="M33" s="345"/>
      <c r="N33" s="345" t="s">
        <v>149</v>
      </c>
      <c r="O33" s="345"/>
      <c r="P33" s="925">
        <v>2</v>
      </c>
      <c r="Q33" s="925"/>
      <c r="R33" s="926">
        <v>3</v>
      </c>
      <c r="S33" s="926">
        <v>4</v>
      </c>
      <c r="T33" s="926">
        <v>5</v>
      </c>
    </row>
    <row r="34" spans="1:37" ht="15.6">
      <c r="A34" s="4" t="s">
        <v>249</v>
      </c>
      <c r="B34" s="343"/>
      <c r="C34" s="343"/>
      <c r="D34" s="343"/>
      <c r="E34" s="343"/>
      <c r="F34" s="343"/>
      <c r="G34" s="345"/>
      <c r="H34" s="345"/>
      <c r="I34" s="345"/>
      <c r="J34" s="345"/>
      <c r="K34" s="345"/>
      <c r="L34" s="345"/>
      <c r="M34" s="345"/>
      <c r="N34" t="s">
        <v>349</v>
      </c>
      <c r="P34" s="235">
        <v>0.8</v>
      </c>
      <c r="Q34" s="235"/>
      <c r="R34">
        <v>0.8</v>
      </c>
      <c r="S34">
        <v>0.8</v>
      </c>
      <c r="T34">
        <v>0.8</v>
      </c>
    </row>
    <row r="35" spans="1:37" ht="15.6">
      <c r="A35" s="343" t="s">
        <v>250</v>
      </c>
      <c r="B35" s="343"/>
      <c r="C35" s="343"/>
      <c r="D35" s="343"/>
      <c r="E35" s="343"/>
      <c r="F35" s="343"/>
      <c r="G35" s="345"/>
      <c r="H35" s="345"/>
      <c r="I35" s="345"/>
      <c r="J35" s="345"/>
      <c r="K35" s="345"/>
      <c r="L35" s="345"/>
      <c r="M35" s="345"/>
      <c r="N35" s="345" t="s">
        <v>251</v>
      </c>
      <c r="O35" s="345"/>
      <c r="P35" s="663">
        <f>STDEV(P21:P25)</f>
        <v>5200.7703756270566</v>
      </c>
      <c r="Q35" s="378"/>
      <c r="R35" s="660">
        <f>STDEV(P20:P25)</f>
        <v>5565.9366088137849</v>
      </c>
      <c r="S35" s="660">
        <f>STDEV(P19:P25)</f>
        <v>7634.2059781398784</v>
      </c>
      <c r="T35" s="660">
        <f>STDEV(P18:P25)</f>
        <v>8376.6864749732758</v>
      </c>
      <c r="U35" s="341"/>
    </row>
    <row r="36" spans="1:37" ht="15.6">
      <c r="B36" s="343"/>
      <c r="C36" s="343"/>
      <c r="D36" s="343"/>
      <c r="E36" s="343"/>
      <c r="F36" s="343"/>
      <c r="G36" s="345"/>
      <c r="H36" s="345"/>
      <c r="I36" s="345"/>
      <c r="J36" s="345"/>
      <c r="K36" s="345"/>
      <c r="L36" s="345"/>
      <c r="M36" s="345"/>
      <c r="N36" s="345" t="s">
        <v>252</v>
      </c>
      <c r="O36" s="345"/>
      <c r="P36" s="664">
        <f>TINV(1-P34,P33-1)</f>
        <v>3.0776835371752544</v>
      </c>
      <c r="Q36" s="437"/>
      <c r="R36" s="661">
        <f>TINV(1-R34,R33-1)</f>
        <v>1.8856180831641269</v>
      </c>
      <c r="S36" s="661">
        <f>TINV(1-S34,S33-1)</f>
        <v>1.63774435369621</v>
      </c>
      <c r="T36" s="661">
        <f>TINV(1-T34,T33-1)</f>
        <v>1.5332062740589445</v>
      </c>
      <c r="U36" s="349"/>
    </row>
    <row r="37" spans="1:37" ht="16.2" thickBot="1">
      <c r="A37" s="354"/>
      <c r="B37" s="362"/>
      <c r="C37" s="355" t="s">
        <v>247</v>
      </c>
      <c r="D37" s="355" t="s">
        <v>248</v>
      </c>
      <c r="E37" s="355"/>
      <c r="F37" s="353"/>
      <c r="G37" s="345"/>
      <c r="H37" s="352"/>
      <c r="I37" s="352"/>
      <c r="J37" s="352"/>
      <c r="K37" s="345"/>
      <c r="L37" s="353"/>
      <c r="M37" s="23"/>
      <c r="N37" s="348" t="s">
        <v>350</v>
      </c>
      <c r="O37" s="23"/>
      <c r="P37" s="438">
        <f>P36*P35*(SQRT(1+(1/P33)))</f>
        <v>19603.664901461467</v>
      </c>
      <c r="Q37" s="438"/>
      <c r="R37" s="429">
        <f>R36*R35*(SQRT(1+(1/R33)))</f>
        <v>12118.848562018447</v>
      </c>
      <c r="S37" s="429">
        <f>S36*S35*(SQRT(1+(1/S33)))</f>
        <v>13978.642265643748</v>
      </c>
      <c r="T37" s="429">
        <f>T36*T35*(SQRT(1+(1/T33)))</f>
        <v>14069.007839757549</v>
      </c>
      <c r="U37" s="369"/>
    </row>
    <row r="38" spans="1:37" ht="22.8">
      <c r="A38" s="292" t="s">
        <v>12</v>
      </c>
      <c r="B38" s="346" t="s">
        <v>167</v>
      </c>
      <c r="C38" s="346" t="s">
        <v>228</v>
      </c>
      <c r="D38" s="358" t="s">
        <v>115</v>
      </c>
      <c r="E38" s="358" t="s">
        <v>0</v>
      </c>
      <c r="F38" s="357"/>
      <c r="G38" s="345"/>
      <c r="H38" s="353"/>
      <c r="I38" s="345"/>
      <c r="J38" s="353"/>
      <c r="K38" s="345"/>
      <c r="L38" s="353"/>
      <c r="M38" s="23"/>
      <c r="N38" s="345" t="s">
        <v>224</v>
      </c>
      <c r="O38" s="345"/>
      <c r="P38" s="663">
        <f>AVERAGE(P21:P22)</f>
        <v>39206.5</v>
      </c>
      <c r="Q38" s="378"/>
      <c r="R38" s="662">
        <f>AVERAGE(P20:P22)</f>
        <v>41618.666666666664</v>
      </c>
      <c r="S38" s="662">
        <f>AVERAGE(P19:P22)</f>
        <v>44685.75</v>
      </c>
      <c r="T38" s="662">
        <f>AVERAGE(P18:P22)</f>
        <v>42385.4</v>
      </c>
      <c r="U38" s="375"/>
      <c r="AC38" s="905"/>
      <c r="AD38" s="906"/>
      <c r="AE38" s="921" t="s">
        <v>409</v>
      </c>
      <c r="AF38" s="907">
        <v>27000</v>
      </c>
      <c r="AG38" s="908"/>
    </row>
    <row r="39" spans="1:37" ht="15.6">
      <c r="A39" s="329">
        <v>1999</v>
      </c>
      <c r="B39" s="665">
        <f t="shared" ref="B39:B51" si="64">B7/$P7</f>
        <v>0.64995985778185572</v>
      </c>
      <c r="C39" s="665">
        <f t="shared" ref="C39:C47" si="65">H7/$P7</f>
        <v>9.5830422588078279E-2</v>
      </c>
      <c r="D39" s="665">
        <f t="shared" ref="D39:D49" si="66">G7/P7</f>
        <v>7.0295801228247606E-2</v>
      </c>
      <c r="E39" s="666">
        <f t="shared" ref="E39:E47" si="67">J7/P7</f>
        <v>0.83153822894618856</v>
      </c>
      <c r="F39" s="343"/>
      <c r="G39" s="345"/>
      <c r="H39" s="345"/>
      <c r="I39" s="345"/>
      <c r="J39" s="345"/>
      <c r="K39" s="345"/>
      <c r="L39" s="345"/>
      <c r="M39" s="345"/>
      <c r="P39" s="235"/>
      <c r="Q39" s="235"/>
      <c r="U39" s="311"/>
      <c r="AC39" s="909"/>
      <c r="AD39" s="774"/>
      <c r="AE39" s="774"/>
      <c r="AF39" s="774"/>
      <c r="AG39" s="910"/>
    </row>
    <row r="40" spans="1:37" ht="15.6">
      <c r="A40" s="329">
        <v>2000</v>
      </c>
      <c r="B40" s="665">
        <f t="shared" si="64"/>
        <v>0.44187953237867716</v>
      </c>
      <c r="C40" s="665">
        <f t="shared" si="65"/>
        <v>0.1134278565471226</v>
      </c>
      <c r="D40" s="665">
        <f t="shared" si="66"/>
        <v>7.8186624446926117E-2</v>
      </c>
      <c r="E40" s="666">
        <f t="shared" si="67"/>
        <v>0.65377927934295532</v>
      </c>
      <c r="F40" s="343"/>
      <c r="G40" s="345"/>
      <c r="H40" s="345"/>
      <c r="I40" s="345"/>
      <c r="J40" s="345"/>
      <c r="K40" s="345"/>
      <c r="L40" s="345"/>
      <c r="M40" s="345"/>
      <c r="N40" s="23"/>
      <c r="O40" s="23"/>
      <c r="P40" s="23"/>
      <c r="Q40" s="23"/>
      <c r="R40" s="23"/>
      <c r="S40" s="23"/>
      <c r="T40" s="23"/>
      <c r="U40" s="23"/>
      <c r="AC40" s="909"/>
      <c r="AD40" s="774"/>
      <c r="AE40" s="911" t="s">
        <v>395</v>
      </c>
      <c r="AF40" s="911" t="s">
        <v>407</v>
      </c>
      <c r="AG40" s="912" t="s">
        <v>408</v>
      </c>
    </row>
    <row r="41" spans="1:37" ht="25.2">
      <c r="A41" s="329">
        <v>2001</v>
      </c>
      <c r="B41" s="665">
        <f t="shared" si="64"/>
        <v>0.48747517852958228</v>
      </c>
      <c r="C41" s="665">
        <f t="shared" si="65"/>
        <v>8.221611021349548E-2</v>
      </c>
      <c r="D41" s="665">
        <f t="shared" si="66"/>
        <v>6.048421909495677E-2</v>
      </c>
      <c r="E41" s="666">
        <f t="shared" si="67"/>
        <v>0.65209240370502841</v>
      </c>
      <c r="F41" s="343"/>
      <c r="G41" s="345"/>
      <c r="H41" s="345"/>
      <c r="I41" s="345"/>
      <c r="J41" s="345"/>
      <c r="K41" s="345"/>
      <c r="L41" s="345"/>
      <c r="M41" s="345"/>
      <c r="N41" s="381" t="s">
        <v>351</v>
      </c>
      <c r="O41" s="381"/>
      <c r="P41" s="663">
        <f>P42-P37</f>
        <v>19602.835098538533</v>
      </c>
      <c r="Q41" s="378"/>
      <c r="R41" s="663">
        <f>R42-R37</f>
        <v>29499.818104648217</v>
      </c>
      <c r="S41" s="663">
        <f>S42-S37</f>
        <v>30707.10773435625</v>
      </c>
      <c r="T41" s="663">
        <f>T42-T37</f>
        <v>28316.392160242453</v>
      </c>
      <c r="U41" s="349"/>
      <c r="AC41" s="913" t="s">
        <v>402</v>
      </c>
      <c r="AD41" s="914"/>
      <c r="AE41" s="915">
        <f>AE42/(AE27+1)</f>
        <v>21815.313314021121</v>
      </c>
      <c r="AF41" s="915">
        <f>IF(AE41-$AF$38&lt;=0,0,AE41-$AF$38)</f>
        <v>0</v>
      </c>
      <c r="AG41" s="916">
        <f>AF41*Harvests!$S$136</f>
        <v>0</v>
      </c>
    </row>
    <row r="42" spans="1:37" ht="25.2">
      <c r="A42" s="329">
        <v>2002</v>
      </c>
      <c r="B42" s="665">
        <f t="shared" si="64"/>
        <v>0.53090819375531129</v>
      </c>
      <c r="C42" s="665">
        <f t="shared" si="65"/>
        <v>8.6433290386249625E-2</v>
      </c>
      <c r="D42" s="665">
        <f t="shared" si="66"/>
        <v>6.9875818964335645E-2</v>
      </c>
      <c r="E42" s="666">
        <f t="shared" si="67"/>
        <v>0.70573480632692787</v>
      </c>
      <c r="F42" s="343"/>
      <c r="G42" s="343"/>
      <c r="H42" s="343"/>
      <c r="I42" s="343"/>
      <c r="J42" s="343"/>
      <c r="K42" s="343"/>
      <c r="L42" s="343"/>
      <c r="M42" s="343"/>
      <c r="N42" s="381" t="s">
        <v>253</v>
      </c>
      <c r="O42" s="381"/>
      <c r="P42" s="663">
        <f>P38</f>
        <v>39206.5</v>
      </c>
      <c r="Q42" s="378"/>
      <c r="R42" s="663">
        <f>R38</f>
        <v>41618.666666666664</v>
      </c>
      <c r="S42" s="663">
        <f>S38</f>
        <v>44685.75</v>
      </c>
      <c r="T42" s="663">
        <f>T38</f>
        <v>42385.4</v>
      </c>
      <c r="U42" s="349" t="s">
        <v>354</v>
      </c>
      <c r="AC42" s="913" t="s">
        <v>489</v>
      </c>
      <c r="AD42" s="914"/>
      <c r="AE42" s="915">
        <f>S23</f>
        <v>35529</v>
      </c>
      <c r="AF42" s="915">
        <f>AE42-$AF$38</f>
        <v>8529</v>
      </c>
      <c r="AG42" s="916">
        <f>AF42*Harvests!$S$136</f>
        <v>5579.9204381417221</v>
      </c>
    </row>
    <row r="43" spans="1:37" ht="25.8" thickBot="1">
      <c r="A43" s="329">
        <v>2003</v>
      </c>
      <c r="B43" s="665">
        <f t="shared" si="64"/>
        <v>0.50576552133454866</v>
      </c>
      <c r="C43" s="665">
        <f t="shared" si="65"/>
        <v>5.3320473959768529E-2</v>
      </c>
      <c r="D43" s="665">
        <f t="shared" si="66"/>
        <v>6.0590965936791231E-2</v>
      </c>
      <c r="E43" s="666">
        <f t="shared" si="67"/>
        <v>0.63948534243381305</v>
      </c>
      <c r="F43" s="343"/>
      <c r="G43" s="343"/>
      <c r="H43" s="343"/>
      <c r="I43" s="343"/>
      <c r="J43" s="343"/>
      <c r="K43" s="343"/>
      <c r="L43" s="343"/>
      <c r="M43" s="343"/>
      <c r="N43" s="382" t="s">
        <v>352</v>
      </c>
      <c r="O43" s="382"/>
      <c r="P43" s="667">
        <f>P42+P37</f>
        <v>58810.164901461467</v>
      </c>
      <c r="Q43" s="383"/>
      <c r="R43" s="667">
        <f>R42+R37</f>
        <v>53737.515228685108</v>
      </c>
      <c r="S43" s="667">
        <f>S42+S37</f>
        <v>58664.39226564375</v>
      </c>
      <c r="T43" s="667">
        <f>T42+T37</f>
        <v>56454.40783975755</v>
      </c>
      <c r="U43" s="349"/>
      <c r="AC43" s="917" t="s">
        <v>403</v>
      </c>
      <c r="AD43" s="918"/>
      <c r="AE43" s="919">
        <f>AE42/(AE26+1)</f>
        <v>57695.010336306652</v>
      </c>
      <c r="AF43" s="919">
        <f>AE43-$AF$38</f>
        <v>30695.010336306652</v>
      </c>
      <c r="AG43" s="920">
        <f>AF43*Harvests!$S$136</f>
        <v>20081.570585593727</v>
      </c>
    </row>
    <row r="44" spans="1:37" ht="15.6">
      <c r="A44" s="329">
        <v>2004</v>
      </c>
      <c r="B44" s="665">
        <f t="shared" si="64"/>
        <v>0.47458743413858234</v>
      </c>
      <c r="C44" s="665">
        <f t="shared" si="65"/>
        <v>8.066159658017695E-2</v>
      </c>
      <c r="D44" s="665">
        <f t="shared" si="66"/>
        <v>4.2685654637637939E-2</v>
      </c>
      <c r="E44" s="666">
        <f t="shared" si="67"/>
        <v>0.61927129933392977</v>
      </c>
      <c r="F44" s="343"/>
      <c r="G44" s="343"/>
      <c r="H44" s="343"/>
      <c r="I44" s="343"/>
      <c r="J44" s="343"/>
      <c r="K44" s="343"/>
      <c r="L44" s="343"/>
      <c r="M44" s="343"/>
      <c r="N44" s="343"/>
      <c r="O44" s="343"/>
      <c r="P44" s="343"/>
      <c r="Q44" s="343"/>
      <c r="U44" s="23"/>
    </row>
    <row r="45" spans="1:37" ht="15.6">
      <c r="A45" s="329">
        <v>2005</v>
      </c>
      <c r="B45" s="665">
        <f t="shared" si="64"/>
        <v>0.5238556551223057</v>
      </c>
      <c r="C45" s="665">
        <f t="shared" si="65"/>
        <v>7.165778638895616E-2</v>
      </c>
      <c r="D45" s="665">
        <f t="shared" si="66"/>
        <v>6.1955073867764589E-2</v>
      </c>
      <c r="E45" s="666">
        <f t="shared" si="67"/>
        <v>0.67446718333736977</v>
      </c>
      <c r="F45" s="343"/>
      <c r="G45" s="343"/>
      <c r="H45" s="343"/>
      <c r="I45" s="343"/>
      <c r="J45" s="343"/>
      <c r="K45" s="343"/>
      <c r="L45" s="343"/>
      <c r="M45" s="343"/>
      <c r="N45" s="381" t="s">
        <v>346</v>
      </c>
      <c r="O45" s="421"/>
      <c r="P45" s="421"/>
      <c r="Q45" s="421"/>
      <c r="R45" s="422">
        <v>27000</v>
      </c>
      <c r="U45" s="23"/>
      <c r="AC45" s="348"/>
      <c r="AD45" s="677"/>
      <c r="AE45" s="677"/>
      <c r="AF45" s="677"/>
      <c r="AG45" s="678"/>
      <c r="AH45" s="679"/>
      <c r="AI45" s="679"/>
      <c r="AJ45" s="679"/>
      <c r="AK45" s="679"/>
    </row>
    <row r="46" spans="1:37" ht="15.6">
      <c r="A46" s="329">
        <v>2006</v>
      </c>
      <c r="B46" s="665">
        <f t="shared" si="64"/>
        <v>0.30387699595539897</v>
      </c>
      <c r="C46" s="665">
        <f t="shared" si="65"/>
        <v>5.9494776141872159E-2</v>
      </c>
      <c r="D46" s="665">
        <f t="shared" si="66"/>
        <v>3.4374090466584371E-2</v>
      </c>
      <c r="E46" s="666">
        <f t="shared" si="67"/>
        <v>0.41352281737070828</v>
      </c>
      <c r="F46" s="343"/>
      <c r="G46" s="343"/>
      <c r="H46" s="343"/>
      <c r="I46" s="343"/>
      <c r="J46" s="343"/>
      <c r="K46" s="343"/>
      <c r="L46" s="343"/>
      <c r="M46" s="343"/>
      <c r="N46" s="423" t="s">
        <v>347</v>
      </c>
      <c r="O46" s="343"/>
      <c r="P46" s="649">
        <f>P42-$R$45</f>
        <v>12206.5</v>
      </c>
      <c r="Q46" s="347"/>
      <c r="R46" s="649">
        <f>R42-$R$45</f>
        <v>14618.666666666664</v>
      </c>
      <c r="S46" s="649">
        <f>S42-$R$45</f>
        <v>17685.75</v>
      </c>
      <c r="T46" s="668">
        <f>T42-$R$45</f>
        <v>15385.400000000001</v>
      </c>
      <c r="AC46" s="680"/>
      <c r="AD46" s="677"/>
      <c r="AE46" s="651"/>
      <c r="AF46" s="426"/>
      <c r="AG46" s="651"/>
      <c r="AH46" s="651"/>
      <c r="AI46" s="651"/>
      <c r="AJ46" s="679"/>
      <c r="AK46" s="679"/>
    </row>
    <row r="47" spans="1:37" ht="15.6">
      <c r="A47" s="329">
        <v>2007</v>
      </c>
      <c r="B47" s="665">
        <f>B15/$P15</f>
        <v>0.44587258502315186</v>
      </c>
      <c r="C47" s="665">
        <f t="shared" si="65"/>
        <v>7.6287037248237946E-2</v>
      </c>
      <c r="D47" s="665">
        <f t="shared" si="66"/>
        <v>5.8427043178759609E-2</v>
      </c>
      <c r="E47" s="666">
        <f t="shared" si="67"/>
        <v>0.60611071827741159</v>
      </c>
      <c r="F47" s="343"/>
      <c r="G47" s="343"/>
      <c r="H47" s="343"/>
      <c r="I47" s="343"/>
      <c r="J47" s="343"/>
      <c r="K47" s="343"/>
      <c r="L47" s="343"/>
      <c r="M47" s="343"/>
      <c r="N47" s="423" t="s">
        <v>348</v>
      </c>
      <c r="O47" s="343"/>
      <c r="P47" s="649">
        <f>P46*'Exploitation rates'!$B$32</f>
        <v>8915.8397399957321</v>
      </c>
      <c r="Q47" s="347"/>
      <c r="R47" s="649">
        <f>R46*'Exploitation rates'!$B$32</f>
        <v>10677.728195012296</v>
      </c>
      <c r="S47" s="649">
        <f>S46*'Exploitation rates'!$B$32</f>
        <v>12917.979165332366</v>
      </c>
      <c r="T47" s="668">
        <f>T46*'Exploitation rates'!$B$32</f>
        <v>11237.763546940594</v>
      </c>
      <c r="AC47" s="680"/>
      <c r="AD47" s="677"/>
      <c r="AE47" s="651"/>
      <c r="AF47" s="426"/>
      <c r="AG47" s="651"/>
      <c r="AH47" s="651"/>
      <c r="AI47" s="651"/>
      <c r="AJ47" s="679"/>
      <c r="AK47" s="679"/>
    </row>
    <row r="48" spans="1:37" ht="15.6">
      <c r="A48" s="329">
        <v>2008</v>
      </c>
      <c r="B48" s="665">
        <f t="shared" si="64"/>
        <v>0.21243359708755896</v>
      </c>
      <c r="C48" s="665">
        <f>H16/$P16</f>
        <v>9.7756231657936773E-2</v>
      </c>
      <c r="D48" s="665">
        <f t="shared" si="66"/>
        <v>6.7164456331958833E-2</v>
      </c>
      <c r="E48" s="666">
        <f>J16/P16</f>
        <v>0.39700583231175007</v>
      </c>
      <c r="F48" s="343"/>
      <c r="G48" s="343"/>
      <c r="H48" s="343"/>
      <c r="I48" s="343"/>
      <c r="J48" s="343"/>
      <c r="K48" s="343"/>
      <c r="L48" s="343"/>
      <c r="M48" s="343"/>
      <c r="N48" s="423"/>
      <c r="O48" s="343"/>
      <c r="P48" s="347"/>
      <c r="Q48" s="347"/>
      <c r="R48" s="347"/>
      <c r="S48" s="347"/>
      <c r="T48" s="426"/>
      <c r="AC48" s="679"/>
      <c r="AD48" s="679"/>
      <c r="AE48" s="679"/>
      <c r="AF48" s="679"/>
      <c r="AG48" s="679"/>
      <c r="AH48" s="679"/>
      <c r="AI48" s="679"/>
      <c r="AJ48" s="679"/>
      <c r="AK48" s="679"/>
    </row>
    <row r="49" spans="1:37" ht="15.6">
      <c r="A49" s="329">
        <v>2009</v>
      </c>
      <c r="B49" s="665">
        <f t="shared" si="64"/>
        <v>0.2199506930877291</v>
      </c>
      <c r="C49" s="665">
        <f>H17/$P17</f>
        <v>7.6007070425155823E-2</v>
      </c>
      <c r="D49" s="665">
        <f t="shared" si="66"/>
        <v>3.1514559493906413E-2</v>
      </c>
      <c r="E49" s="666">
        <f>J17/P17</f>
        <v>0.35393990138617548</v>
      </c>
      <c r="F49" s="343"/>
      <c r="G49" s="343"/>
      <c r="H49" s="343"/>
      <c r="I49" s="343"/>
      <c r="J49" s="343"/>
      <c r="K49" s="343"/>
      <c r="L49" s="343"/>
      <c r="M49" s="343"/>
      <c r="N49" s="423"/>
      <c r="O49" s="343"/>
      <c r="P49" s="347"/>
      <c r="Q49" s="347"/>
      <c r="R49" s="347"/>
      <c r="S49" s="347"/>
      <c r="T49" s="426"/>
      <c r="AC49" s="679"/>
      <c r="AD49" s="679"/>
      <c r="AE49" s="679"/>
      <c r="AF49" s="679"/>
      <c r="AG49" s="679"/>
      <c r="AH49" s="679"/>
      <c r="AI49" s="679"/>
      <c r="AJ49" s="679"/>
      <c r="AK49" s="679"/>
    </row>
    <row r="50" spans="1:37" ht="15.6">
      <c r="A50" s="329">
        <v>2010</v>
      </c>
      <c r="B50" s="665">
        <f>B18/$P18</f>
        <v>0.29065212150433944</v>
      </c>
      <c r="C50" s="665">
        <f t="shared" ref="C50" si="68">H18/$P18</f>
        <v>9.4714320154291223E-2</v>
      </c>
      <c r="D50" s="665">
        <f t="shared" ref="D50:D51" si="69">G18/P18</f>
        <v>7.2595226615236264E-2</v>
      </c>
      <c r="E50" s="666">
        <f t="shared" ref="E50" si="70">J18/P18</f>
        <v>0.49460583413693349</v>
      </c>
      <c r="F50" s="343"/>
      <c r="G50" s="343"/>
      <c r="H50" s="343"/>
      <c r="I50" s="343"/>
      <c r="J50" s="343"/>
      <c r="K50" s="343"/>
      <c r="L50" s="343"/>
      <c r="M50" s="343"/>
      <c r="N50" s="423"/>
      <c r="O50" s="343"/>
      <c r="P50" s="347"/>
      <c r="Q50" s="347"/>
      <c r="R50" s="347"/>
      <c r="S50" s="347"/>
      <c r="T50" s="426"/>
    </row>
    <row r="51" spans="1:37" ht="15.6">
      <c r="A51" s="329">
        <v>2011</v>
      </c>
      <c r="B51" s="665">
        <f t="shared" si="64"/>
        <v>0.34329244530220648</v>
      </c>
      <c r="C51" s="665">
        <f>H19/$P19</f>
        <v>7.6864549891439496E-2</v>
      </c>
      <c r="D51" s="665">
        <f t="shared" si="69"/>
        <v>3.2531037170375046E-2</v>
      </c>
      <c r="E51" s="666">
        <f>J19/P19</f>
        <v>0.48050550225471822</v>
      </c>
      <c r="F51" s="343"/>
      <c r="G51" s="343"/>
      <c r="H51" s="343"/>
      <c r="I51" s="343"/>
      <c r="J51" s="343"/>
      <c r="K51" s="343"/>
      <c r="L51" s="343"/>
      <c r="M51" s="343"/>
      <c r="N51" s="423"/>
      <c r="O51" s="343"/>
      <c r="P51" s="347"/>
      <c r="Q51" s="347"/>
      <c r="R51" s="347"/>
      <c r="S51" s="347"/>
      <c r="T51" s="426"/>
    </row>
    <row r="52" spans="1:37" ht="15.6">
      <c r="A52" s="329">
        <v>2012</v>
      </c>
      <c r="B52" s="665">
        <f>B20/$P20</f>
        <v>0.25329974377193548</v>
      </c>
      <c r="C52" s="665">
        <f t="shared" ref="C52" si="71">H20/$P20</f>
        <v>7.4327670477789973E-2</v>
      </c>
      <c r="D52" s="665">
        <f t="shared" ref="D52" si="72">G20/P20</f>
        <v>1.1519497017849838E-2</v>
      </c>
      <c r="E52" s="666">
        <f t="shared" ref="E52" si="73">J20/P20</f>
        <v>0.36276726309669916</v>
      </c>
      <c r="F52" s="343"/>
      <c r="G52" s="343"/>
      <c r="H52" s="343"/>
      <c r="I52" s="343"/>
      <c r="J52" s="343"/>
      <c r="K52" s="343"/>
      <c r="L52" s="343"/>
      <c r="M52" s="343"/>
      <c r="N52" s="423"/>
      <c r="O52" s="343"/>
      <c r="P52" s="347"/>
      <c r="Q52" s="347"/>
      <c r="R52" s="347"/>
      <c r="S52" s="347"/>
      <c r="T52" s="426"/>
    </row>
    <row r="53" spans="1:37" ht="15.6">
      <c r="A53" s="329">
        <v>2013</v>
      </c>
      <c r="B53" s="665">
        <f>B21/$P21</f>
        <v>0.20581102509094301</v>
      </c>
      <c r="C53" s="665">
        <f t="shared" ref="C53" si="74">H21/$P21</f>
        <v>7.6578677362186362E-2</v>
      </c>
      <c r="D53" s="665">
        <f t="shared" ref="D53" si="75">G21/P21</f>
        <v>6.6458352765600224E-3</v>
      </c>
      <c r="E53" s="666">
        <f t="shared" ref="E53" si="76">J21/P21</f>
        <v>0.32347728756645833</v>
      </c>
      <c r="F53" s="343"/>
      <c r="G53" s="343"/>
      <c r="H53" s="343"/>
      <c r="I53" s="343"/>
      <c r="J53" s="343"/>
      <c r="K53" s="343"/>
      <c r="L53" s="343"/>
      <c r="M53" s="343"/>
      <c r="N53" s="423"/>
      <c r="O53" s="343"/>
      <c r="P53" s="349"/>
      <c r="Q53" s="349"/>
      <c r="R53" s="349"/>
      <c r="S53" s="349"/>
      <c r="T53" s="341"/>
      <c r="U53" s="23"/>
      <c r="V53" s="23"/>
    </row>
    <row r="54" spans="1:37" ht="15.6">
      <c r="A54" s="329"/>
      <c r="B54" s="665"/>
      <c r="C54" s="665"/>
      <c r="D54" s="665"/>
      <c r="E54" s="666"/>
      <c r="F54" s="343"/>
      <c r="G54" s="343"/>
      <c r="H54" s="343"/>
      <c r="I54" s="343"/>
      <c r="J54" s="343"/>
      <c r="K54" s="343"/>
      <c r="L54" s="343"/>
      <c r="M54" s="343"/>
      <c r="N54" s="423"/>
      <c r="O54" s="343"/>
      <c r="P54" s="349"/>
      <c r="Q54" s="349"/>
      <c r="R54" s="349"/>
      <c r="S54" s="349"/>
      <c r="T54" s="341"/>
      <c r="U54" s="23"/>
      <c r="V54" s="23"/>
    </row>
    <row r="55" spans="1:37" ht="15.6">
      <c r="A55" s="329"/>
      <c r="B55" s="665"/>
      <c r="C55" s="665"/>
      <c r="D55" s="665"/>
      <c r="E55" s="666"/>
      <c r="F55" s="343"/>
      <c r="G55" s="343"/>
      <c r="H55" s="343"/>
      <c r="I55" s="343"/>
      <c r="J55" s="343"/>
      <c r="K55" s="343"/>
      <c r="L55" s="343"/>
      <c r="M55" s="343"/>
      <c r="N55" s="423"/>
      <c r="O55" s="343"/>
      <c r="P55" s="349"/>
      <c r="Q55" s="349"/>
      <c r="R55" s="349"/>
      <c r="S55" s="349"/>
      <c r="T55" s="341"/>
      <c r="U55" s="23"/>
      <c r="V55" s="23"/>
    </row>
    <row r="56" spans="1:37" ht="15.6">
      <c r="A56" s="329"/>
      <c r="B56" s="665"/>
      <c r="C56" s="665"/>
      <c r="D56" s="665"/>
      <c r="E56" s="666"/>
      <c r="F56" s="343"/>
      <c r="G56" s="343"/>
      <c r="H56" s="343"/>
      <c r="I56" s="343"/>
      <c r="J56" s="343"/>
      <c r="K56" s="343"/>
      <c r="L56" s="343"/>
      <c r="M56" s="343"/>
      <c r="N56" s="423"/>
      <c r="O56" s="343"/>
      <c r="P56" s="349"/>
      <c r="Q56" s="349"/>
      <c r="R56" s="349"/>
      <c r="S56" s="349"/>
      <c r="T56" s="341"/>
      <c r="U56" s="23"/>
      <c r="V56" s="23"/>
    </row>
    <row r="57" spans="1:37" ht="15.6">
      <c r="A57" s="329"/>
      <c r="B57" s="351"/>
      <c r="C57" s="351"/>
      <c r="D57" s="431"/>
      <c r="E57" s="364"/>
      <c r="F57" s="343"/>
      <c r="G57" s="343"/>
      <c r="H57" s="343"/>
      <c r="I57" s="343"/>
      <c r="J57" s="343"/>
      <c r="K57" s="343"/>
      <c r="L57" s="343"/>
      <c r="M57" s="343"/>
      <c r="N57" s="423"/>
      <c r="O57" s="343"/>
      <c r="P57" s="349"/>
      <c r="Q57" s="349"/>
      <c r="R57" s="349"/>
      <c r="S57" s="349"/>
      <c r="T57" s="341"/>
      <c r="U57" s="23"/>
      <c r="V57" s="23"/>
    </row>
    <row r="58" spans="1:37" ht="15.6">
      <c r="A58" s="329"/>
      <c r="B58" s="351"/>
      <c r="C58" s="351"/>
      <c r="D58" s="431"/>
      <c r="E58" s="364"/>
      <c r="F58" s="343"/>
      <c r="G58" s="343"/>
      <c r="H58" s="343"/>
      <c r="I58" s="343"/>
      <c r="J58" s="343"/>
      <c r="K58" s="343"/>
      <c r="L58" s="343"/>
      <c r="M58" s="343"/>
      <c r="N58" s="423"/>
      <c r="O58" s="343"/>
      <c r="P58" s="349"/>
      <c r="Q58" s="349"/>
      <c r="R58" s="349"/>
      <c r="S58" s="349"/>
      <c r="T58" s="341"/>
      <c r="U58" s="23"/>
      <c r="V58" s="23"/>
    </row>
    <row r="59" spans="1:37" ht="10.5" customHeight="1">
      <c r="A59" s="343"/>
      <c r="B59" s="343"/>
      <c r="C59" s="343"/>
      <c r="D59" s="343"/>
      <c r="E59" s="343"/>
      <c r="F59" s="343"/>
      <c r="G59" s="343"/>
      <c r="H59" s="343"/>
      <c r="I59" s="343"/>
      <c r="J59" s="343"/>
      <c r="K59" s="343"/>
      <c r="L59" s="343"/>
      <c r="M59" s="343"/>
      <c r="N59" s="343"/>
      <c r="O59" s="343"/>
      <c r="P59" s="345"/>
      <c r="Q59" s="345"/>
      <c r="R59" s="23"/>
      <c r="S59" s="23"/>
      <c r="T59" s="23"/>
      <c r="U59" s="23"/>
      <c r="V59" s="23"/>
    </row>
    <row r="60" spans="1:37" ht="15.6">
      <c r="A60" s="360" t="s">
        <v>224</v>
      </c>
      <c r="B60" s="669">
        <f>AVERAGE(B46:B52)</f>
        <v>0.29562545453318861</v>
      </c>
      <c r="C60" s="669">
        <f>AVERAGE(C46:C52)</f>
        <v>7.9350236570960478E-2</v>
      </c>
      <c r="D60" s="669">
        <f>AVERAGE(D46:D52)</f>
        <v>4.4017987182095764E-2</v>
      </c>
      <c r="E60" s="669">
        <f>AVERAGE(E46:E52)</f>
        <v>0.44406540983348514</v>
      </c>
      <c r="F60" s="343"/>
      <c r="G60" s="343"/>
      <c r="H60" s="343"/>
      <c r="I60" s="343"/>
      <c r="J60" s="343"/>
      <c r="K60" s="343"/>
      <c r="L60" s="343"/>
      <c r="M60" s="343"/>
      <c r="N60" s="343"/>
      <c r="O60" s="343"/>
      <c r="P60" s="345"/>
      <c r="Q60" s="345"/>
      <c r="R60" s="23"/>
      <c r="S60" s="23"/>
      <c r="T60" s="23"/>
      <c r="U60" s="23"/>
      <c r="V60" s="23"/>
    </row>
    <row r="61" spans="1:37" ht="15.6">
      <c r="A61" s="343"/>
      <c r="B61" s="343"/>
      <c r="C61" s="343"/>
      <c r="D61" s="343"/>
      <c r="E61" s="343"/>
      <c r="F61" s="343"/>
      <c r="G61" s="343"/>
      <c r="H61" s="343"/>
      <c r="I61" s="343"/>
      <c r="J61" s="343"/>
      <c r="K61" s="343"/>
      <c r="L61" s="343"/>
      <c r="M61" s="343"/>
      <c r="N61" s="343"/>
      <c r="O61" s="343"/>
      <c r="P61" s="345"/>
      <c r="Q61" s="929"/>
      <c r="R61" s="930"/>
      <c r="S61" s="929"/>
      <c r="T61" s="929"/>
      <c r="U61" s="929"/>
      <c r="V61" s="23"/>
    </row>
    <row r="62" spans="1:37" ht="15.6">
      <c r="A62" s="343"/>
      <c r="B62" s="343"/>
      <c r="C62" s="363"/>
      <c r="D62" s="343"/>
      <c r="E62" s="343"/>
      <c r="F62" s="343"/>
      <c r="G62" s="343"/>
      <c r="H62" s="343"/>
      <c r="I62" s="343"/>
      <c r="J62" s="343"/>
      <c r="K62" s="343"/>
      <c r="L62" s="343"/>
      <c r="M62" s="343"/>
      <c r="N62" s="343"/>
      <c r="O62" s="343"/>
      <c r="P62" s="345"/>
      <c r="Q62" s="345"/>
      <c r="R62" s="23"/>
      <c r="S62" s="23"/>
      <c r="T62" s="23"/>
      <c r="U62" s="23"/>
      <c r="V62" s="23"/>
    </row>
    <row r="63" spans="1:37" ht="15.6">
      <c r="A63" s="343"/>
      <c r="B63" s="649">
        <f>AVERAGE(B16:B17)</f>
        <v>10447</v>
      </c>
      <c r="C63" s="343"/>
      <c r="D63" s="343"/>
      <c r="E63" s="343"/>
      <c r="F63" s="343"/>
      <c r="G63" s="343"/>
      <c r="H63" s="343"/>
      <c r="I63" s="343"/>
      <c r="J63" s="343"/>
      <c r="K63" s="343"/>
      <c r="L63" s="343"/>
      <c r="M63" s="343"/>
      <c r="N63" s="343"/>
      <c r="O63" s="343"/>
      <c r="P63" s="343"/>
      <c r="Q63" s="343"/>
    </row>
    <row r="64" spans="1:37" ht="15.6">
      <c r="A64" s="343"/>
      <c r="B64" s="649">
        <f>STDEV(B16:B17)</f>
        <v>1400.071426749364</v>
      </c>
      <c r="C64" s="343"/>
      <c r="D64" s="343"/>
      <c r="E64" s="343"/>
      <c r="F64" s="343"/>
      <c r="G64" s="343"/>
      <c r="H64" s="343"/>
      <c r="I64" s="343"/>
      <c r="J64" s="343"/>
      <c r="K64" s="343"/>
      <c r="L64" s="343"/>
      <c r="M64" s="343"/>
      <c r="N64" s="343"/>
      <c r="O64" s="343"/>
      <c r="P64" s="343"/>
      <c r="Q64" s="343"/>
    </row>
    <row r="65" spans="1:17" ht="15.6">
      <c r="A65" s="343"/>
      <c r="B65" s="670">
        <f>1.886*B64</f>
        <v>2640.5347108493006</v>
      </c>
      <c r="C65" s="343"/>
      <c r="D65" s="343"/>
      <c r="E65" s="343"/>
      <c r="F65" s="343"/>
      <c r="G65" s="343"/>
      <c r="H65" s="343"/>
      <c r="I65" s="343"/>
      <c r="J65" s="343"/>
      <c r="K65" s="343"/>
      <c r="L65" s="343"/>
      <c r="M65" s="343"/>
      <c r="N65" s="343"/>
      <c r="O65" s="343"/>
      <c r="P65" s="343"/>
      <c r="Q65" s="343"/>
    </row>
    <row r="66" spans="1:17" ht="15.6">
      <c r="B66" s="649">
        <f>B67-B65</f>
        <v>6275.3050291464315</v>
      </c>
      <c r="C66" s="343" t="s">
        <v>357</v>
      </c>
      <c r="D66" s="343"/>
      <c r="E66" s="343"/>
      <c r="F66" s="343"/>
      <c r="G66" s="343"/>
      <c r="H66" s="343"/>
      <c r="I66" s="343"/>
      <c r="J66" s="343"/>
      <c r="K66" s="343"/>
      <c r="L66" s="343"/>
      <c r="M66" s="343"/>
      <c r="N66" s="343"/>
      <c r="O66" s="343"/>
      <c r="P66" s="343"/>
      <c r="Q66" s="343"/>
    </row>
    <row r="67" spans="1:17" ht="15.6">
      <c r="B67" s="649">
        <f>P47</f>
        <v>8915.8397399957321</v>
      </c>
      <c r="C67" s="343" t="s">
        <v>358</v>
      </c>
      <c r="D67" s="343"/>
      <c r="E67" s="343"/>
      <c r="F67" s="343"/>
      <c r="G67" s="343"/>
      <c r="H67" s="343"/>
      <c r="I67" s="343"/>
      <c r="J67" s="343"/>
      <c r="K67" s="343"/>
      <c r="L67" s="343"/>
      <c r="M67" s="343"/>
      <c r="N67" s="343"/>
      <c r="O67" s="343"/>
      <c r="P67" s="343"/>
      <c r="Q67" s="343"/>
    </row>
    <row r="68" spans="1:17" ht="15.6">
      <c r="B68" s="649">
        <f>B67+B65</f>
        <v>11556.374450845033</v>
      </c>
      <c r="C68" s="343" t="s">
        <v>359</v>
      </c>
      <c r="D68" s="343"/>
      <c r="E68" s="343"/>
      <c r="F68" s="343"/>
      <c r="G68" s="343"/>
      <c r="H68" s="343"/>
      <c r="I68" s="343"/>
      <c r="J68" s="343"/>
      <c r="K68" s="343"/>
      <c r="L68" s="343"/>
      <c r="M68" s="343"/>
      <c r="N68" s="343"/>
      <c r="O68" s="343"/>
      <c r="P68" s="343"/>
      <c r="Q68" s="343"/>
    </row>
    <row r="69" spans="1:17" ht="15.6">
      <c r="A69" s="343"/>
      <c r="B69" s="343"/>
      <c r="C69" s="343"/>
      <c r="D69" s="343"/>
      <c r="E69" s="343"/>
      <c r="F69" s="343"/>
      <c r="G69" s="343"/>
      <c r="H69" s="343"/>
      <c r="I69" s="343"/>
      <c r="J69" s="343"/>
      <c r="K69" s="343"/>
      <c r="L69" s="343"/>
      <c r="M69" s="343"/>
      <c r="N69" s="343"/>
      <c r="O69" s="343"/>
      <c r="P69" s="343"/>
      <c r="Q69" s="343"/>
    </row>
    <row r="70" spans="1:17" ht="15.6">
      <c r="A70" s="343"/>
      <c r="B70" s="343"/>
      <c r="C70" s="343"/>
      <c r="D70" s="343"/>
      <c r="E70" s="343"/>
      <c r="F70" s="343"/>
      <c r="G70" s="343"/>
      <c r="H70" s="343"/>
      <c r="I70" s="343"/>
      <c r="J70" s="343"/>
      <c r="K70" s="343"/>
      <c r="L70" s="343"/>
      <c r="M70" s="343"/>
      <c r="N70" s="343"/>
      <c r="O70" s="343"/>
      <c r="P70" s="343"/>
      <c r="Q70" s="343"/>
    </row>
    <row r="71" spans="1:17" ht="15.6">
      <c r="A71" s="343"/>
      <c r="B71" s="343"/>
      <c r="C71" s="343"/>
      <c r="D71" s="343"/>
      <c r="E71" s="343"/>
      <c r="F71" s="343"/>
      <c r="G71" s="343"/>
      <c r="H71" s="343"/>
      <c r="I71" s="343"/>
      <c r="J71" s="343"/>
      <c r="K71" s="343"/>
      <c r="L71" s="343"/>
      <c r="M71" s="343"/>
      <c r="N71" s="343"/>
      <c r="O71" s="343"/>
      <c r="P71" s="343"/>
      <c r="Q71" s="343"/>
    </row>
    <row r="72" spans="1:17" ht="15.6">
      <c r="A72" s="343"/>
      <c r="B72" s="343"/>
      <c r="C72" s="343"/>
      <c r="D72" s="343"/>
      <c r="E72" s="343"/>
      <c r="F72" s="343"/>
      <c r="G72" s="343"/>
      <c r="H72" s="343"/>
      <c r="I72" s="343"/>
      <c r="J72" s="343"/>
      <c r="K72" s="343"/>
      <c r="L72" s="343"/>
      <c r="M72" s="343"/>
      <c r="N72" s="343"/>
      <c r="O72" s="343"/>
      <c r="P72" s="343"/>
      <c r="Q72" s="343"/>
    </row>
    <row r="73" spans="1:17" ht="15.6">
      <c r="A73" s="343"/>
      <c r="B73" s="343"/>
      <c r="C73" s="343"/>
      <c r="D73" s="343"/>
      <c r="E73" s="343"/>
      <c r="F73" s="343"/>
      <c r="G73" s="343"/>
      <c r="H73" s="343"/>
      <c r="I73" s="343"/>
      <c r="J73" s="343"/>
      <c r="K73" s="343"/>
      <c r="L73" s="343"/>
      <c r="M73" s="343"/>
      <c r="N73" s="343"/>
      <c r="O73" s="343"/>
      <c r="P73" s="343"/>
      <c r="Q73" s="343"/>
    </row>
    <row r="74" spans="1:17" ht="15.6">
      <c r="A74" s="343"/>
      <c r="B74" s="343"/>
      <c r="C74" s="343"/>
      <c r="D74" s="343"/>
      <c r="E74" s="343"/>
      <c r="F74" s="343"/>
      <c r="G74" s="343"/>
      <c r="H74" s="343"/>
      <c r="I74" s="343"/>
      <c r="J74" s="343"/>
      <c r="K74" s="343"/>
      <c r="L74" s="343"/>
      <c r="M74" s="343"/>
      <c r="N74" s="343"/>
      <c r="O74" s="343"/>
      <c r="P74" s="343"/>
      <c r="Q74" s="343"/>
    </row>
    <row r="75" spans="1:17" ht="15.6">
      <c r="A75" s="343"/>
      <c r="B75" s="343"/>
      <c r="C75" s="343"/>
      <c r="D75" s="343"/>
      <c r="E75" s="343"/>
      <c r="F75" s="343"/>
      <c r="G75" s="343"/>
      <c r="H75" s="343"/>
      <c r="I75" s="343"/>
      <c r="J75" s="343"/>
      <c r="K75" s="343"/>
      <c r="L75" s="343"/>
      <c r="M75" s="343"/>
      <c r="N75" s="343"/>
      <c r="O75" s="343"/>
      <c r="P75" s="343"/>
      <c r="Q75" s="343"/>
    </row>
  </sheetData>
  <phoneticPr fontId="52" type="noConversion"/>
  <pageMargins left="0.75" right="0.75" top="1" bottom="1" header="0.5" footer="0.5"/>
  <pageSetup scale="46"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32"/>
  <sheetViews>
    <sheetView workbookViewId="0">
      <selection activeCell="A3" sqref="A3"/>
    </sheetView>
  </sheetViews>
  <sheetFormatPr defaultRowHeight="13.2"/>
  <cols>
    <col min="1" max="1" width="17.6640625" customWidth="1"/>
    <col min="2" max="2" width="12" customWidth="1"/>
    <col min="3" max="3" width="19.44140625" customWidth="1"/>
    <col min="4" max="4" width="13.109375" customWidth="1"/>
    <col min="5" max="5" width="13.77734375" customWidth="1"/>
    <col min="6" max="6" width="9" customWidth="1"/>
    <col min="7" max="7" width="14.77734375" customWidth="1"/>
  </cols>
  <sheetData>
    <row r="1" spans="1:7">
      <c r="A1" s="297" t="str">
        <f ca="1">CELL("filename",A1)</f>
        <v>C:\Users\rebrenner\Desktop\NCEAS\DATA\PWS&amp;CBR_SALMON\PWS&amp;CR_SALMON_FORECAST_DATA\[2015 Copper River Chinook forecast-FINAL.xlsm]Exploitation rates</v>
      </c>
    </row>
    <row r="2" spans="1:7">
      <c r="A2" s="297"/>
    </row>
    <row r="5" spans="1:7">
      <c r="A5" s="334"/>
      <c r="B5" s="370" t="s">
        <v>343</v>
      </c>
      <c r="C5" s="370"/>
      <c r="D5" s="370"/>
      <c r="E5" s="370"/>
      <c r="F5" s="370"/>
      <c r="G5" s="334"/>
    </row>
    <row r="6" spans="1:7">
      <c r="A6" s="23"/>
      <c r="B6" s="922"/>
      <c r="C6" s="922"/>
      <c r="D6" s="923" t="s">
        <v>227</v>
      </c>
      <c r="E6" s="924"/>
      <c r="F6" s="924"/>
      <c r="G6" s="23"/>
    </row>
    <row r="7" spans="1:7">
      <c r="A7" s="416" t="s">
        <v>12</v>
      </c>
      <c r="B7" s="336" t="s">
        <v>167</v>
      </c>
      <c r="C7" s="840" t="s">
        <v>491</v>
      </c>
      <c r="D7" s="840" t="s">
        <v>215</v>
      </c>
      <c r="E7" s="336" t="s">
        <v>214</v>
      </c>
      <c r="F7" s="336" t="s">
        <v>136</v>
      </c>
      <c r="G7" s="418" t="s">
        <v>345</v>
      </c>
    </row>
    <row r="8" spans="1:7">
      <c r="A8" s="1">
        <v>1999</v>
      </c>
      <c r="B8" s="372">
        <f>Harvests!B117/(Harvests!I117+Escapements!K28)</f>
        <v>0.64967535512918051</v>
      </c>
      <c r="C8" s="372">
        <f>Harvests!I117/(Harvests!I117+Escapements!K28)</f>
        <v>0.6655584621317131</v>
      </c>
      <c r="D8" s="372">
        <f>(Harvests!K117+Harvests!L117+Harvests!M117)/(Harvests!I117+Escapements!K28)</f>
        <v>3.4163270836155953E-2</v>
      </c>
      <c r="E8" s="372">
        <f>Harvests!J117/(Harvests!I117+Escapements!K28)</f>
        <v>6.1625204531479606E-2</v>
      </c>
      <c r="F8" s="372">
        <f>Harvests!N117/(Harvests!I117+Escapements!K28)</f>
        <v>7.0265031109628867E-2</v>
      </c>
      <c r="G8" s="372">
        <f>Harvests!O117/(Harvests!O117+Escapements!K28)</f>
        <v>0.71318508455185725</v>
      </c>
    </row>
    <row r="9" spans="1:7">
      <c r="A9" s="1">
        <v>2000</v>
      </c>
      <c r="B9" s="372">
        <f>Harvests!B118/(Harvests!I118+Escapements!K29)</f>
        <v>0.4418483023775196</v>
      </c>
      <c r="C9" s="372">
        <f>Harvests!I118/(Harvests!I118+Escapements!K29)</f>
        <v>0.46220281005286518</v>
      </c>
      <c r="D9" s="372">
        <f>(Harvests!K118+Harvests!L118+Harvests!M118)/(Harvests!I118+Escapements!K29)</f>
        <v>6.8639923105193221E-2</v>
      </c>
      <c r="E9" s="372">
        <f>Harvests!J118/(Harvests!I118+Escapements!K29)</f>
        <v>4.4779916885760329E-2</v>
      </c>
      <c r="F9" s="372">
        <f>Harvests!N118/(Harvests!I118+Escapements!K29)</f>
        <v>7.8181098578011476E-2</v>
      </c>
      <c r="G9" s="372">
        <f>Harvests!O118/(Harvests!O118+Escapements!K29)</f>
        <v>0.54867676540017318</v>
      </c>
    </row>
    <row r="10" spans="1:7">
      <c r="A10" s="1">
        <v>2001</v>
      </c>
      <c r="B10" s="372">
        <f>Harvests!B119/(Harvests!I119+Escapements!K30)</f>
        <v>0.48701866798102394</v>
      </c>
      <c r="C10" s="372">
        <f>Harvests!I119/(Harvests!I119+Escapements!K30)</f>
        <v>0.50985151869878631</v>
      </c>
      <c r="D10" s="372">
        <f>(Harvests!K119+Harvests!L119+Harvests!M119)/(Harvests!I119+Escapements!K30)</f>
        <v>4.3780420183599282E-2</v>
      </c>
      <c r="E10" s="372">
        <f>Harvests!J119/(Harvests!I119+Escapements!K30)</f>
        <v>3.8358696321853243E-2</v>
      </c>
      <c r="F10" s="372">
        <f>Harvests!N119/(Harvests!I119+Escapements!K30)</f>
        <v>6.042757685909679E-2</v>
      </c>
      <c r="G10" s="372">
        <f>Harvests!O119/(Harvests!O119+Escapements!K30)</f>
        <v>0.57101105419250475</v>
      </c>
    </row>
    <row r="11" spans="1:7">
      <c r="A11" s="1">
        <v>2002</v>
      </c>
      <c r="B11" s="372">
        <f>Harvests!B120/(Harvests!I120+Escapements!K31)</f>
        <v>0.53080633667708166</v>
      </c>
      <c r="C11" s="372">
        <f>Harvests!I120/(Harvests!I120+Escapements!K31)</f>
        <v>0.54951214164337003</v>
      </c>
      <c r="D11" s="372">
        <f>(Harvests!K120+Harvests!L120+Harvests!M120)/(Harvests!I120+Escapements!K31)</f>
        <v>5.8241517294304664E-2</v>
      </c>
      <c r="E11" s="372">
        <f>Harvests!J120/(Harvests!I120+Escapements!K31)</f>
        <v>2.8175190484021267E-2</v>
      </c>
      <c r="F11" s="372">
        <f>Harvests!N120/(Harvests!I120+Escapements!K31)</f>
        <v>6.9862412980321226E-2</v>
      </c>
      <c r="G11" s="372">
        <f>Harvests!O120/(Harvests!O120+Escapements!K31)</f>
        <v>0.61039869157106286</v>
      </c>
    </row>
    <row r="12" spans="1:7">
      <c r="A12" s="1">
        <v>2003</v>
      </c>
      <c r="B12" s="372">
        <f>Harvests!B121/(Harvests!I121+Escapements!K32)</f>
        <v>0.50495740966086455</v>
      </c>
      <c r="C12" s="372">
        <f>Harvests!I121/(Harvests!I121+Escapements!K32)</f>
        <v>0.52633194010898898</v>
      </c>
      <c r="D12" s="372">
        <f>(Harvests!K121+Harvests!L121+Harvests!M121)/(Harvests!I121+Escapements!K32)</f>
        <v>3.290831172953812E-2</v>
      </c>
      <c r="E12" s="372">
        <f>Harvests!J121/(Harvests!I121+Escapements!K32)</f>
        <v>2.0326966827152002E-2</v>
      </c>
      <c r="F12" s="372">
        <f>Harvests!N121/(Harvests!I121+Escapements!K32)</f>
        <v>6.049415374847892E-2</v>
      </c>
      <c r="G12" s="372">
        <f>Harvests!O121/(Harvests!O121+Escapements!K32)</f>
        <v>0.57470095864250903</v>
      </c>
    </row>
    <row r="13" spans="1:7">
      <c r="A13" s="1">
        <v>2004</v>
      </c>
      <c r="B13" s="372">
        <f>Harvests!B122/(Harvests!I122+Escapements!K33)</f>
        <v>0.47407490162489602</v>
      </c>
      <c r="C13" s="372">
        <f>Harvests!I122/(Harvests!I122+Escapements!K33)</f>
        <v>0.496468426867265</v>
      </c>
      <c r="D13" s="372">
        <f>(Harvests!K122+Harvests!L122+Harvests!M122)/(Harvests!I122+Escapements!K33)</f>
        <v>4.9516503432267031E-2</v>
      </c>
      <c r="E13" s="372">
        <f>Harvests!J122/(Harvests!I122+Escapements!K33)</f>
        <v>3.1057982348340969E-2</v>
      </c>
      <c r="F13" s="372">
        <f>Harvests!N122/(Harvests!I122+Escapements!K33)</f>
        <v>4.2639556101739098E-2</v>
      </c>
      <c r="G13" s="372">
        <f>Harvests!O122/(Harvests!O122+Escapements!K33)</f>
        <v>0.55170470243686798</v>
      </c>
    </row>
    <row r="14" spans="1:7">
      <c r="A14" s="1">
        <v>2005</v>
      </c>
      <c r="B14" s="372">
        <f>Harvests!B123/(Harvests!I123+Escapements!K34)</f>
        <v>0.52166834988920874</v>
      </c>
      <c r="C14" s="372">
        <f>Harvests!I123/(Harvests!I123+Escapements!K34)</f>
        <v>0.54277143847695997</v>
      </c>
      <c r="D14" s="372">
        <f>(Harvests!K123+Harvests!L123+Harvests!M123)/(Harvests!I123+Escapements!K34)</f>
        <v>4.023153102907704E-2</v>
      </c>
      <c r="E14" s="372">
        <f>Harvests!J123/(Harvests!I123+Escapements!K34)</f>
        <v>3.1127055666932968E-2</v>
      </c>
      <c r="F14" s="372">
        <f>Harvests!N123/(Harvests!I123+Escapements!K34)</f>
        <v>6.169638684976108E-2</v>
      </c>
      <c r="G14" s="372">
        <f>Harvests!O123/(Harvests!O123+Escapements!K34)</f>
        <v>0.5964639208173691</v>
      </c>
    </row>
    <row r="15" spans="1:7">
      <c r="A15" s="1">
        <v>2006</v>
      </c>
      <c r="B15" s="372">
        <f>Harvests!B124/(Harvests!I124+Escapements!K35)</f>
        <v>0.30315287803998919</v>
      </c>
      <c r="C15" s="372">
        <f>Harvests!I124/(Harvests!I124+Escapements!K35)</f>
        <v>0.32127516845720233</v>
      </c>
      <c r="D15" s="372">
        <f>(Harvests!K124+Harvests!L124+Harvests!M124)/(Harvests!I124+Escapements!K35)</f>
        <v>3.2509987284359762E-2</v>
      </c>
      <c r="E15" s="372">
        <f>Harvests!J124/(Harvests!I124+Escapements!K35)</f>
        <v>2.6843016910800283E-2</v>
      </c>
      <c r="F15" s="372">
        <f>Harvests!N124/(Harvests!I124+Escapements!K35)</f>
        <v>3.4292179380638187E-2</v>
      </c>
      <c r="G15" s="372">
        <f>Harvests!O124/(Harvests!O124+Escapements!K35)</f>
        <v>0.37939210839512955</v>
      </c>
    </row>
    <row r="16" spans="1:7">
      <c r="A16" s="1">
        <v>2007</v>
      </c>
      <c r="B16" s="372">
        <f>Harvests!B125/(Harvests!I125+Escapements!K36)</f>
        <v>0.44542554403554746</v>
      </c>
      <c r="C16" s="372">
        <f>Harvests!I125/(Harvests!I125+Escapements!K36)</f>
        <v>0.47192662640993505</v>
      </c>
      <c r="D16" s="372">
        <f>(Harvests!K125+Harvests!L125+Harvests!M125)/(Harvests!I125+Escapements!K36)</f>
        <v>4.5197675743420304E-2</v>
      </c>
      <c r="E16" s="372">
        <f>Harvests!J125/(Harvests!I125+Escapements!K36)</f>
        <v>3.1012874558505182E-2</v>
      </c>
      <c r="F16" s="372">
        <f>Harvests!N125/(Harvests!I125+Escapements!K36)</f>
        <v>5.8368463028369601E-2</v>
      </c>
      <c r="G16" s="372">
        <f>Harvests!O125/(Harvests!O125+Escapements!K36)</f>
        <v>0.534564479524412</v>
      </c>
    </row>
    <row r="17" spans="1:7">
      <c r="A17" s="1">
        <v>2008</v>
      </c>
      <c r="B17" s="372">
        <f>Harvests!B126/(Harvests!I126+Escapements!K37)</f>
        <v>0.212268002969562</v>
      </c>
      <c r="C17" s="372">
        <f>Harvests!I126/(Harvests!I126+Escapements!K37)</f>
        <v>0.2326837416481069</v>
      </c>
      <c r="D17" s="372">
        <f>(Harvests!K126+Harvests!L126+Harvests!M126)/(Harvests!I126+Escapements!K37)</f>
        <v>6.0152190051967334E-2</v>
      </c>
      <c r="E17" s="372">
        <f>Harvests!J126/(Harvests!I126+Escapements!K37)</f>
        <v>3.7527839643652562E-2</v>
      </c>
      <c r="F17" s="372">
        <f>Harvests!N126/(Harvests!I126+Escapements!K37)</f>
        <v>6.7112100965107641E-2</v>
      </c>
      <c r="G17" s="372">
        <f>Harvests!O126/(Harvests!O126+Escapements!K37)</f>
        <v>0.34124189359295082</v>
      </c>
    </row>
    <row r="18" spans="1:7">
      <c r="A18" s="1">
        <v>2009</v>
      </c>
      <c r="B18" s="372">
        <f>Harvests!B127/(Harvests!I127+Escapements!K38)</f>
        <v>0.21987398572458208</v>
      </c>
      <c r="C18" s="372">
        <f>Harvests!I127/(Harvests!I127+Escapements!K38)</f>
        <v>0.24668108158378088</v>
      </c>
      <c r="D18" s="372">
        <f>(Harvests!K127+Harvests!L127+Harvests!M127)/(Harvests!I127+Escapements!K38)</f>
        <v>7.0795842923903188E-2</v>
      </c>
      <c r="E18" s="372">
        <f>Harvests!J127/(Harvests!I127+Escapements!K38)</f>
        <v>5.1847201878589197E-3</v>
      </c>
      <c r="F18" s="372">
        <f>Harvests!N127/(Harvests!I127+Escapements!K38)</f>
        <v>3.1503568854479087E-2</v>
      </c>
      <c r="G18" s="372">
        <f>Harvests!O127/(Harvests!O127+Escapements!K38)</f>
        <v>0.31979258512826975</v>
      </c>
    </row>
    <row r="19" spans="1:7">
      <c r="A19" s="1">
        <v>2010</v>
      </c>
      <c r="B19" s="372">
        <f>Harvests!B128/(Harvests!I128+Escapements!K39)</f>
        <v>0.29065212150433944</v>
      </c>
      <c r="C19" s="372">
        <f>Harvests!I128/(Harvests!I128+Escapements!K39)</f>
        <v>0.32729628736740596</v>
      </c>
      <c r="D19" s="372">
        <f>(Harvests!K128+Harvests!L128+Harvests!M128)/(Harvests!I128+Escapements!K39)</f>
        <v>7.3619816779170691E-2</v>
      </c>
      <c r="E19" s="372">
        <f>Harvests!J128/(Harvests!I128+Escapements!K39)</f>
        <v>2.1094503375120539E-2</v>
      </c>
      <c r="F19" s="372">
        <f>Harvests!N128/(Harvests!I128+Escapements!K39)</f>
        <v>7.2595226615236264E-2</v>
      </c>
      <c r="G19" s="372">
        <f>Harvests!O128/(Harvests!O128+Escapements!K39)</f>
        <v>0.42371437422552666</v>
      </c>
    </row>
    <row r="20" spans="1:7">
      <c r="A20" s="1">
        <v>2011</v>
      </c>
      <c r="B20" s="372">
        <f>Harvests!B129/(Harvests!I129+Escapements!K40)</f>
        <v>0.34328607482185275</v>
      </c>
      <c r="C20" s="372">
        <f>Harvests!I129/(Harvests!I129+Escapements!K40)</f>
        <v>0.37112158551068886</v>
      </c>
      <c r="D20" s="372">
        <f>(Harvests!K129+Harvests!L129+Harvests!M129)/(Harvests!I129+Escapements!K40)</f>
        <v>5.7062796912114015E-2</v>
      </c>
      <c r="E20" s="372">
        <f>Harvests!J129/(Harvests!I129+Escapements!K40)</f>
        <v>1.9800326603325414E-2</v>
      </c>
      <c r="F20" s="372">
        <f>Harvests!N129/(Harvests!I129+Escapements!K40)</f>
        <v>3.253043349168646E-2</v>
      </c>
      <c r="G20" s="372">
        <f>Harvests!O129/(Harvests!O129+Escapements!K40)</f>
        <v>0.43313316494655674</v>
      </c>
    </row>
    <row r="21" spans="1:7">
      <c r="A21" s="1">
        <v>2012</v>
      </c>
      <c r="B21" s="372">
        <f>Harvests!B130/(Harvests!I130+Escapements!K41)</f>
        <v>0.25329428989751096</v>
      </c>
      <c r="C21" s="372">
        <f>Harvests!I130/(Harvests!I130+Escapements!K41)</f>
        <v>0.27693566445611922</v>
      </c>
      <c r="D21" s="372">
        <f>(Harvests!K130+Harvests!L130+Harvests!M130)/(Harvests!I130+Escapements!K41)</f>
        <v>6.2117819309275686E-2</v>
      </c>
      <c r="E21" s="372">
        <f>Harvests!J130/(Harvests!I130+Escapements!K41)</f>
        <v>1.2208250796658342E-2</v>
      </c>
      <c r="F21" s="372">
        <f>Harvests!N130/(Harvests!I130+Escapements!K41)</f>
        <v>1.1519248988028594E-2</v>
      </c>
      <c r="G21" s="372">
        <f>Harvests!O130/(Harvests!O130+Escapements!K41)</f>
        <v>0.33410005750431282</v>
      </c>
    </row>
    <row r="22" spans="1:7">
      <c r="A22" s="1">
        <v>2013</v>
      </c>
      <c r="B22" s="372">
        <f>Harvests!B131/(Harvests!I131+Escapements!K42)</f>
        <v>0.20573426573426573</v>
      </c>
      <c r="C22" s="372">
        <f>Harvests!I131/(Harvests!I131+Escapements!K42)</f>
        <v>0.24053613053613054</v>
      </c>
      <c r="D22" s="372">
        <f>(Harvests!K131+Harvests!L131+Harvests!M131)/(Harvests!I131+Escapements!K42)</f>
        <v>5.9207459207459207E-2</v>
      </c>
      <c r="E22" s="372">
        <f>Harvests!J131/(Harvests!I131+Escapements!K42)</f>
        <v>1.7342657342657344E-2</v>
      </c>
      <c r="F22" s="372">
        <f>Harvests!N131/(Harvests!I131+Escapements!K42)</f>
        <v>6.6433566433566436E-3</v>
      </c>
      <c r="G22" s="372">
        <f>Harvests!O131/(Harvests!O131+Escapements!K42)</f>
        <v>0.29886591060707141</v>
      </c>
    </row>
    <row r="23" spans="1:7">
      <c r="A23" s="1">
        <v>2014</v>
      </c>
      <c r="B23" s="372">
        <f>Harvests!B132/(Harvests!I132+Escapements!K43)</f>
        <v>0.28728644206141463</v>
      </c>
      <c r="C23" s="372">
        <f>Harvests!I132/(Harvests!I132+Escapements!K43)</f>
        <v>0.32004841115708293</v>
      </c>
      <c r="D23" s="372">
        <f>(Harvests!K132+Harvests!L132+Harvests!M132)/(Harvests!I132+Escapements!K43)</f>
        <v>7.874130991584341E-2</v>
      </c>
      <c r="E23" s="372">
        <f>Harvests!J132/(Harvests!I132+Escapements!K43)</f>
        <v>1.8582003433814633E-2</v>
      </c>
      <c r="F23" s="372">
        <f>Harvests!N132/(Harvests!I132+Escapements!K43)</f>
        <v>3.5672267724957081E-2</v>
      </c>
      <c r="G23" s="372">
        <f>Harvests!O132/(Harvests!O132+Escapements!K43)</f>
        <v>0.39986386513705402</v>
      </c>
    </row>
    <row r="24" spans="1:7">
      <c r="A24" s="1">
        <v>2015</v>
      </c>
      <c r="B24" s="372"/>
      <c r="C24" s="417"/>
      <c r="D24" s="372"/>
      <c r="E24" s="372"/>
      <c r="F24" s="372"/>
      <c r="G24" s="372"/>
    </row>
    <row r="25" spans="1:7">
      <c r="B25" s="372"/>
    </row>
    <row r="26" spans="1:7">
      <c r="A26" t="s">
        <v>224</v>
      </c>
    </row>
    <row r="27" spans="1:7">
      <c r="A27" s="334" t="s">
        <v>344</v>
      </c>
      <c r="B27" s="419">
        <f>AVERAGE(B8:B25)</f>
        <v>0.38568893300805246</v>
      </c>
      <c r="C27" s="419"/>
      <c r="D27" s="419"/>
      <c r="E27" s="419"/>
      <c r="F27" s="419">
        <f>AVERAGE(F8:F25)</f>
        <v>4.9612691369931079E-2</v>
      </c>
      <c r="G27" s="419">
        <f>AVERAGE(G8:G25)</f>
        <v>0.47692560104210174</v>
      </c>
    </row>
    <row r="28" spans="1:7">
      <c r="A28" s="441" t="s">
        <v>490</v>
      </c>
      <c r="B28" s="420">
        <f>AVERAGE(B19:B23)</f>
        <v>0.2760506388038767</v>
      </c>
      <c r="C28" s="420"/>
      <c r="D28" s="420"/>
      <c r="E28" s="420"/>
      <c r="F28" s="420">
        <f>AVERAGE(F19:F23)</f>
        <v>3.1792106692653012E-2</v>
      </c>
      <c r="G28" s="420">
        <f>AVERAGE(G19:G23)</f>
        <v>0.37793547448410436</v>
      </c>
    </row>
    <row r="31" spans="1:7">
      <c r="B31" s="927">
        <f>B27/G27</f>
        <v>0.80869832142645837</v>
      </c>
      <c r="C31" s="396"/>
    </row>
    <row r="32" spans="1:7" ht="52.8">
      <c r="A32" s="475" t="s">
        <v>363</v>
      </c>
      <c r="B32" s="928">
        <f>B28/G28</f>
        <v>0.730417379264796</v>
      </c>
      <c r="C32" s="396"/>
    </row>
  </sheetData>
  <phoneticPr fontId="52"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R47"/>
  <sheetViews>
    <sheetView zoomScale="70" workbookViewId="0">
      <selection activeCell="C33" sqref="C33"/>
    </sheetView>
  </sheetViews>
  <sheetFormatPr defaultRowHeight="13.2"/>
  <cols>
    <col min="1" max="1" width="11.44140625" customWidth="1"/>
    <col min="2" max="2" width="13.33203125" customWidth="1"/>
    <col min="3" max="4" width="16.44140625" customWidth="1"/>
    <col min="5" max="5" width="18.33203125" customWidth="1"/>
    <col min="6" max="6" width="13.33203125" customWidth="1"/>
    <col min="7" max="7" width="20.33203125" customWidth="1"/>
    <col min="8" max="8" width="19.33203125" customWidth="1"/>
    <col min="9" max="9" width="22.109375" customWidth="1"/>
    <col min="10" max="10" width="15.77734375" customWidth="1"/>
    <col min="11" max="11" width="14" customWidth="1"/>
    <col min="12" max="12" width="13.77734375" customWidth="1"/>
    <col min="13" max="13" width="19.77734375" customWidth="1"/>
    <col min="14" max="14" width="19.33203125" customWidth="1"/>
    <col min="15" max="15" width="8.33203125" customWidth="1"/>
    <col min="16" max="16" width="26.6640625" customWidth="1"/>
    <col min="17" max="17" width="28.33203125" customWidth="1"/>
    <col min="18" max="18" width="36.33203125" customWidth="1"/>
  </cols>
  <sheetData>
    <row r="1" spans="1:18">
      <c r="A1" t="s">
        <v>114</v>
      </c>
      <c r="B1" s="297" t="str">
        <f ca="1">CELL("filename",B2)</f>
        <v>C:\Users\rebrenner\Desktop\NCEAS\DATA\PWS&amp;CBR_SALMON\PWS&amp;CR_SALMON_FORECAST_DATA\[2015 Copper River Chinook forecast-FINAL.xlsm]Sibling Forecast Sumry</v>
      </c>
      <c r="N1" s="75"/>
      <c r="O1" s="66"/>
      <c r="P1" s="66"/>
      <c r="Q1" s="66"/>
    </row>
    <row r="2" spans="1:18">
      <c r="A2" t="s">
        <v>138</v>
      </c>
      <c r="B2" s="104">
        <v>36469</v>
      </c>
      <c r="C2" s="104" t="s">
        <v>55</v>
      </c>
      <c r="D2" s="104"/>
      <c r="N2" s="75"/>
      <c r="O2" s="66"/>
      <c r="P2" s="66"/>
      <c r="Q2" s="66"/>
    </row>
    <row r="3" spans="1:18" ht="27">
      <c r="A3" s="93" t="s">
        <v>139</v>
      </c>
      <c r="B3" s="688">
        <v>2015</v>
      </c>
      <c r="C3" s="94"/>
      <c r="D3" s="94"/>
      <c r="J3" s="774"/>
      <c r="N3" s="75"/>
      <c r="O3" s="66"/>
      <c r="P3" s="66"/>
      <c r="Q3" s="66"/>
    </row>
    <row r="4" spans="1:18" ht="15">
      <c r="A4" s="62" t="s">
        <v>140</v>
      </c>
      <c r="B4" s="96" t="str">
        <f>"COPPER RIVER CHINOOK SALMON - "&amp;FIXED(B3,0,TRUE)&amp;" Forecast"</f>
        <v>COPPER RIVER CHINOOK SALMON - 2015 Forecast</v>
      </c>
      <c r="C4" s="95"/>
      <c r="D4" s="95"/>
      <c r="I4" s="62"/>
      <c r="N4" s="75"/>
      <c r="O4" s="66"/>
      <c r="P4" s="66"/>
      <c r="Q4" s="66"/>
    </row>
    <row r="5" spans="1:18" ht="15.6" thickBot="1">
      <c r="I5" s="62"/>
      <c r="J5" s="96"/>
      <c r="N5" s="75"/>
      <c r="R5" s="66"/>
    </row>
    <row r="6" spans="1:18" ht="22.8">
      <c r="A6" s="160" t="s">
        <v>183</v>
      </c>
      <c r="B6" s="26"/>
      <c r="C6" s="26"/>
      <c r="D6" s="26"/>
      <c r="E6" s="26"/>
      <c r="F6" s="26"/>
      <c r="G6" s="26"/>
      <c r="H6" s="161"/>
      <c r="I6" s="26"/>
      <c r="J6" s="26"/>
      <c r="K6" s="26"/>
      <c r="L6" s="26"/>
      <c r="M6" s="26"/>
      <c r="N6" s="26"/>
      <c r="O6" s="162"/>
      <c r="P6" s="705"/>
      <c r="Q6" s="705"/>
      <c r="R6" s="27"/>
    </row>
    <row r="7" spans="1:18" ht="23.4" thickBot="1">
      <c r="A7" s="163"/>
      <c r="B7" s="23"/>
      <c r="C7" s="23"/>
      <c r="D7" s="23"/>
      <c r="E7" s="23"/>
      <c r="F7" s="23"/>
      <c r="G7" s="23"/>
      <c r="H7" s="97"/>
      <c r="I7" s="23"/>
      <c r="J7" s="23"/>
      <c r="K7" s="23"/>
      <c r="L7" s="23"/>
      <c r="M7" s="23"/>
      <c r="N7" s="23"/>
      <c r="O7" s="98"/>
      <c r="P7" s="706"/>
      <c r="Q7" s="706"/>
      <c r="R7" s="29"/>
    </row>
    <row r="8" spans="1:18" ht="15.6">
      <c r="A8" s="207" t="s">
        <v>27</v>
      </c>
      <c r="B8" s="208"/>
      <c r="C8" s="208" t="s">
        <v>141</v>
      </c>
      <c r="D8" s="208"/>
      <c r="E8" s="715" t="s">
        <v>426</v>
      </c>
      <c r="F8" s="209" t="s">
        <v>169</v>
      </c>
      <c r="G8" s="210"/>
      <c r="H8" s="197"/>
      <c r="I8" s="198" t="s">
        <v>78</v>
      </c>
      <c r="J8" s="199" t="s">
        <v>72</v>
      </c>
      <c r="K8" s="200"/>
      <c r="L8" s="201" t="s">
        <v>117</v>
      </c>
      <c r="M8" s="201" t="s">
        <v>421</v>
      </c>
      <c r="N8" s="202" t="s">
        <v>186</v>
      </c>
      <c r="O8" s="203"/>
      <c r="P8" s="707"/>
      <c r="Q8" s="707"/>
      <c r="R8" s="29"/>
    </row>
    <row r="9" spans="1:18" ht="19.8" thickBot="1">
      <c r="A9" s="164" t="s">
        <v>12</v>
      </c>
      <c r="B9" s="194" t="s">
        <v>142</v>
      </c>
      <c r="C9" s="195" t="s">
        <v>58</v>
      </c>
      <c r="D9" s="99"/>
      <c r="E9" s="716" t="s">
        <v>163</v>
      </c>
      <c r="F9" s="196" t="s">
        <v>143</v>
      </c>
      <c r="G9" s="211" t="s">
        <v>144</v>
      </c>
      <c r="H9" s="204" t="s">
        <v>145</v>
      </c>
      <c r="I9" s="101" t="s">
        <v>116</v>
      </c>
      <c r="J9" s="100" t="s">
        <v>143</v>
      </c>
      <c r="K9" s="102" t="s">
        <v>144</v>
      </c>
      <c r="L9" s="99" t="s">
        <v>146</v>
      </c>
      <c r="M9" s="99" t="s">
        <v>340</v>
      </c>
      <c r="N9" s="103" t="s">
        <v>187</v>
      </c>
      <c r="O9" s="165" t="s">
        <v>181</v>
      </c>
      <c r="P9" s="165" t="s">
        <v>422</v>
      </c>
      <c r="Q9" s="165" t="s">
        <v>423</v>
      </c>
      <c r="R9" s="165" t="s">
        <v>147</v>
      </c>
    </row>
    <row r="10" spans="1:18">
      <c r="A10" s="28"/>
      <c r="B10" s="23"/>
      <c r="C10" s="23"/>
      <c r="D10" s="23"/>
      <c r="E10" s="23"/>
      <c r="F10" s="23"/>
      <c r="G10" s="29"/>
      <c r="H10" s="205"/>
      <c r="I10" s="23"/>
      <c r="J10" s="23"/>
      <c r="K10" s="23"/>
      <c r="L10" s="23"/>
      <c r="M10" s="23"/>
      <c r="N10" s="23"/>
      <c r="O10" s="29"/>
      <c r="P10" s="708"/>
      <c r="Q10" s="708"/>
      <c r="R10" s="29"/>
    </row>
    <row r="11" spans="1:18">
      <c r="A11" s="317">
        <f>FcastYR-3</f>
        <v>2012</v>
      </c>
      <c r="B11" s="61">
        <v>1.1000000000000001</v>
      </c>
      <c r="C11" s="318">
        <f>Brood_Tab!E50</f>
        <v>2.5044632504510812E-2</v>
      </c>
      <c r="D11" s="318"/>
      <c r="E11" s="319">
        <f>Brood_Tab!E48</f>
        <v>1061.616927233709</v>
      </c>
      <c r="F11" s="311">
        <f>E11-(Brood_Tab!$E$53*(Brood_Tab!$E$52/SQRT(Brood_Tab!$E$51)))</f>
        <v>-109.65228737156963</v>
      </c>
      <c r="G11" s="320">
        <f>E11+(Brood_Tab!$E$53*(Brood_Tab!$E$52/SQRT(Brood_Tab!$E$51)))</f>
        <v>2232.8861418389879</v>
      </c>
      <c r="H11" s="205"/>
      <c r="I11" s="23"/>
      <c r="J11" s="23"/>
      <c r="K11" s="23"/>
      <c r="L11" s="23"/>
      <c r="M11" s="23"/>
      <c r="N11" s="23"/>
      <c r="O11" s="29"/>
      <c r="P11" s="708">
        <f>E11-F11</f>
        <v>1171.2692146052786</v>
      </c>
      <c r="Q11" s="708">
        <f>G11-E11</f>
        <v>1171.2692146052789</v>
      </c>
      <c r="R11" s="29"/>
    </row>
    <row r="12" spans="1:18">
      <c r="A12" s="28"/>
      <c r="B12" s="61"/>
      <c r="C12" s="23"/>
      <c r="D12" s="23"/>
      <c r="E12" s="23"/>
      <c r="F12" s="23"/>
      <c r="G12" s="29"/>
      <c r="H12" s="205"/>
      <c r="I12" s="23"/>
      <c r="J12" s="23"/>
      <c r="K12" s="23"/>
      <c r="L12" s="23"/>
      <c r="M12" s="23"/>
      <c r="N12" s="23"/>
      <c r="O12" s="29"/>
      <c r="P12" s="708"/>
      <c r="Q12" s="708"/>
      <c r="R12" s="29"/>
    </row>
    <row r="13" spans="1:18">
      <c r="A13" s="317">
        <f>FcastYR-4</f>
        <v>2011</v>
      </c>
      <c r="B13" s="61">
        <v>1.2</v>
      </c>
      <c r="C13" s="318">
        <f>Brood_Tab!G50</f>
        <v>0.13883944068725521</v>
      </c>
      <c r="D13" s="318"/>
      <c r="E13" s="319">
        <f>Brood_Tab!G48</f>
        <v>5885.2650512920618</v>
      </c>
      <c r="F13" s="311">
        <f>E13-(Brood_Tab!$G$53*(Brood_Tab!$G$52/SQRT(Brood_Tab!$G$51)))</f>
        <v>4746.0718142527803</v>
      </c>
      <c r="G13" s="320">
        <f>E13+(Brood_Tab!$G$53*(Brood_Tab!$G$52/SQRT(Brood_Tab!$G$51)))</f>
        <v>7024.4582883313433</v>
      </c>
      <c r="H13" s="205"/>
      <c r="I13" s="23"/>
      <c r="J13" s="23"/>
      <c r="K13" s="23"/>
      <c r="L13" s="23"/>
      <c r="M13" s="23"/>
      <c r="N13" s="23"/>
      <c r="O13" s="29"/>
      <c r="P13" s="708">
        <f>E13-F13</f>
        <v>1139.1932370392815</v>
      </c>
      <c r="Q13" s="708">
        <f>G13-E13</f>
        <v>1139.1932370392815</v>
      </c>
      <c r="R13" s="29"/>
    </row>
    <row r="14" spans="1:18">
      <c r="A14" s="28"/>
      <c r="B14" s="61"/>
      <c r="C14" s="23"/>
      <c r="D14" s="23"/>
      <c r="E14" s="23"/>
      <c r="F14" s="23"/>
      <c r="G14" s="29"/>
      <c r="H14" s="205"/>
      <c r="I14" s="23"/>
      <c r="J14" s="23"/>
      <c r="K14" s="23"/>
      <c r="L14" s="23"/>
      <c r="M14" s="23"/>
      <c r="N14" s="23"/>
      <c r="O14" s="29"/>
      <c r="P14" s="708"/>
      <c r="Q14" s="708"/>
      <c r="R14" s="29"/>
    </row>
    <row r="15" spans="1:18">
      <c r="A15" s="317">
        <f>FcastYR-5</f>
        <v>2010</v>
      </c>
      <c r="B15" s="61">
        <v>1.3</v>
      </c>
      <c r="C15" s="318">
        <f>Brood_Tab!J50</f>
        <v>0.65390224877813385</v>
      </c>
      <c r="D15" s="318"/>
      <c r="E15" s="311">
        <f>Brood_Tab!J48</f>
        <v>27718.262423456319</v>
      </c>
      <c r="F15" s="311">
        <f>E15-(Brood_Tab!$J$53*(Brood_Tab!$J$52/SQRT(Brood_Tab!$J$51)))</f>
        <v>21300.144833362243</v>
      </c>
      <c r="G15" s="320">
        <f>E15+(Brood_Tab!$J$53*(Brood_Tab!$J$52/SQRT(Brood_Tab!$J$51)))</f>
        <v>34136.380013550399</v>
      </c>
      <c r="H15" s="205" t="s">
        <v>152</v>
      </c>
      <c r="I15" s="321">
        <f>'Ln1.3=ln1.2'!U45</f>
        <v>57835.586106968403</v>
      </c>
      <c r="J15" s="322">
        <f>'Ln1.3=ln1.2'!V45</f>
        <v>34360.037903507211</v>
      </c>
      <c r="K15" s="322">
        <f>'Ln1.3=ln1.2'!W45</f>
        <v>97350.155134582339</v>
      </c>
      <c r="L15" s="323">
        <f>'Ln1.3=ln1.2'!X48</f>
        <v>8.4026419698698451E-2</v>
      </c>
      <c r="M15" s="323">
        <f>'Ln1.3=ln1.2'!Y48</f>
        <v>0.32816053274606161</v>
      </c>
      <c r="N15" s="311">
        <f>'Ln1.3=ln1.2'!T48</f>
        <v>153192730.85227543</v>
      </c>
      <c r="O15" s="324">
        <f>'Ln1.3=ln1.2'!L45</f>
        <v>0.72001340392237423</v>
      </c>
      <c r="P15" s="709">
        <f>I15-J15</f>
        <v>23475.548203461192</v>
      </c>
      <c r="Q15" s="709">
        <f>K15-I15</f>
        <v>39514.569027613936</v>
      </c>
      <c r="R15" s="29"/>
    </row>
    <row r="16" spans="1:18">
      <c r="A16" s="317">
        <f>FcastYR-5</f>
        <v>2010</v>
      </c>
      <c r="B16" s="61">
        <v>2.2000000000000002</v>
      </c>
      <c r="C16" s="318">
        <f>Brood_Tab!K50</f>
        <v>4.8350511785971231E-3</v>
      </c>
      <c r="D16" s="318"/>
      <c r="E16" s="319">
        <f>Brood_Tab!K48</f>
        <v>204.95298440955349</v>
      </c>
      <c r="F16" s="311">
        <f>E16-(Brood_Tab!$K$53*(Brood_Tab!$K$52/SQRT(Brood_Tab!$K$51)))</f>
        <v>117.45075315185211</v>
      </c>
      <c r="G16" s="320">
        <f>E16+(Brood_Tab!$K$53*(Brood_Tab!$K$52/SQRT(Brood_Tab!$K$51)))</f>
        <v>292.45521566725489</v>
      </c>
      <c r="H16" s="205"/>
      <c r="I16" s="23"/>
      <c r="J16" s="23"/>
      <c r="K16" s="23"/>
      <c r="L16" s="23"/>
      <c r="M16" s="23"/>
      <c r="N16" s="45"/>
      <c r="O16" s="206"/>
      <c r="P16" s="708">
        <f>E16-F16</f>
        <v>87.502231257701382</v>
      </c>
      <c r="Q16" s="708">
        <f>G16-E16</f>
        <v>87.502231257701396</v>
      </c>
      <c r="R16" s="29"/>
    </row>
    <row r="17" spans="1:18">
      <c r="A17" s="28"/>
      <c r="B17" s="61"/>
      <c r="C17" s="23"/>
      <c r="D17" s="23"/>
      <c r="E17" s="23"/>
      <c r="F17" s="23"/>
      <c r="G17" s="29"/>
      <c r="H17" s="205"/>
      <c r="I17" s="23"/>
      <c r="J17" s="23"/>
      <c r="K17" s="23"/>
      <c r="L17" s="23"/>
      <c r="M17" s="23"/>
      <c r="N17" s="45"/>
      <c r="O17" s="206"/>
      <c r="P17" s="708"/>
      <c r="Q17" s="708"/>
      <c r="R17" s="29"/>
    </row>
    <row r="18" spans="1:18">
      <c r="A18" s="317">
        <f>FcastYR-6</f>
        <v>2009</v>
      </c>
      <c r="B18" s="61">
        <v>1.4</v>
      </c>
      <c r="C18" s="318">
        <f>Brood_Tab!M50</f>
        <v>0.14966354378529861</v>
      </c>
      <c r="D18" s="318"/>
      <c r="E18" s="722">
        <f>Brood_Tab!M48</f>
        <v>6344.0879575150238</v>
      </c>
      <c r="F18" s="311">
        <f>E18-(Brood_Tab!$M$53*(Brood_Tab!$M$52/SQRT(Brood_Tab!$M$51)))</f>
        <v>5354.8321838483171</v>
      </c>
      <c r="G18" s="320">
        <f>E18+(Brood_Tab!$M$53*(Brood_Tab!$M$52/SQRT(Brood_Tab!$M$51)))</f>
        <v>7333.3437311817306</v>
      </c>
      <c r="H18" s="205" t="s">
        <v>153</v>
      </c>
      <c r="I18" s="773">
        <f>'Ln1.4=Ln1.3'!U45</f>
        <v>22777.522904314297</v>
      </c>
      <c r="J18" s="322">
        <f>'Ln1.4=Ln1.3'!V45</f>
        <v>11090.174102850931</v>
      </c>
      <c r="K18" s="322">
        <f>'Ln1.4=Ln1.3'!W45</f>
        <v>46781.5513845893</v>
      </c>
      <c r="L18" s="323">
        <f>'Ln1.4=Ln1.3'!X48</f>
        <v>0.59223378320825437</v>
      </c>
      <c r="M18" s="323">
        <f>'Ln1.4=Ln1.3'!Y48</f>
        <v>0.70307599916076025</v>
      </c>
      <c r="N18" s="311">
        <f>'Ln1.4=Ln1.3'!T48</f>
        <v>92058443.354512289</v>
      </c>
      <c r="O18" s="324">
        <f>'Ln1.4=Ln1.3'!L45</f>
        <v>6.0255008458122872E-2</v>
      </c>
      <c r="P18" s="708">
        <f>E18-F18</f>
        <v>989.25577366670677</v>
      </c>
      <c r="Q18" s="708">
        <f>G18-E18</f>
        <v>989.25577366670677</v>
      </c>
      <c r="R18" s="29"/>
    </row>
    <row r="19" spans="1:18">
      <c r="A19" s="317">
        <f>FcastYR-6</f>
        <v>2009</v>
      </c>
      <c r="B19" s="61">
        <v>2.2999999999999998</v>
      </c>
      <c r="C19" s="318">
        <f>Brood_Tab!N50</f>
        <v>2.1220263986936449E-2</v>
      </c>
      <c r="D19" s="318"/>
      <c r="E19" s="319">
        <f>Brood_Tab!N48</f>
        <v>899.50577014224928</v>
      </c>
      <c r="F19" s="311">
        <f>E19-(Brood_Tab!$N$53*(Brood_Tab!$N$52/SQRT(Brood_Tab!$N$51)))</f>
        <v>674.12281171547068</v>
      </c>
      <c r="G19" s="320">
        <f>E19+(Brood_Tab!$N$53*(Brood_Tab!$N$52/SQRT(Brood_Tab!$N$51)))</f>
        <v>1124.888728569028</v>
      </c>
      <c r="H19" s="205"/>
      <c r="I19" s="23"/>
      <c r="J19" s="23"/>
      <c r="K19" s="23"/>
      <c r="L19" s="23"/>
      <c r="M19" s="23"/>
      <c r="N19" s="23"/>
      <c r="O19" s="206"/>
      <c r="P19" s="708">
        <f>E19-F19</f>
        <v>225.3829584267786</v>
      </c>
      <c r="Q19" s="708">
        <f>G19-E19</f>
        <v>225.38295842677871</v>
      </c>
      <c r="R19" s="29"/>
    </row>
    <row r="20" spans="1:18">
      <c r="A20" s="28"/>
      <c r="B20" s="61"/>
      <c r="C20" s="23"/>
      <c r="D20" s="23"/>
      <c r="E20" s="23"/>
      <c r="F20" s="23"/>
      <c r="G20" s="29"/>
      <c r="H20" s="205"/>
      <c r="I20" s="23"/>
      <c r="J20" s="23"/>
      <c r="K20" s="23"/>
      <c r="L20" s="23"/>
      <c r="M20" s="23"/>
      <c r="N20" s="23"/>
      <c r="O20" s="29"/>
      <c r="P20" s="708"/>
      <c r="Q20" s="708"/>
      <c r="R20" s="29"/>
    </row>
    <row r="21" spans="1:18">
      <c r="A21" s="317">
        <f>FcastYR-7</f>
        <v>2008</v>
      </c>
      <c r="B21" s="61">
        <v>1.5</v>
      </c>
      <c r="C21" s="323">
        <f>Brood_Tab!P50</f>
        <v>3.9452509686209074E-3</v>
      </c>
      <c r="D21" s="323"/>
      <c r="E21" s="319">
        <f>Brood_Tab!P48</f>
        <v>167.23524330887167</v>
      </c>
      <c r="F21" s="311">
        <f>E21-(Brood_Tab!$P$53*(Brood_Tab!$P$52/SQRT(Brood_Tab!$P$51)))</f>
        <v>-60.508394684724919</v>
      </c>
      <c r="G21" s="320">
        <f>E21+(Brood_Tab!$P$53*(Brood_Tab!$P$52/SQRT(Brood_Tab!$P$51)))</f>
        <v>394.97888130246827</v>
      </c>
      <c r="H21" s="205"/>
      <c r="I21" s="23"/>
      <c r="J21" s="23"/>
      <c r="K21" s="23"/>
      <c r="L21" s="23"/>
      <c r="M21" s="23"/>
      <c r="N21" s="23"/>
      <c r="O21" s="29"/>
      <c r="P21" s="708">
        <f>E21-F21</f>
        <v>227.74363799359659</v>
      </c>
      <c r="Q21" s="708">
        <f>G21-E21</f>
        <v>227.74363799359659</v>
      </c>
      <c r="R21" s="29"/>
    </row>
    <row r="22" spans="1:18">
      <c r="A22" s="317">
        <f>FcastYR-7</f>
        <v>2008</v>
      </c>
      <c r="B22" s="61">
        <v>2.4</v>
      </c>
      <c r="C22" s="318">
        <f>Brood_Tab!Q50</f>
        <v>1.4522314061442909E-3</v>
      </c>
      <c r="D22" s="318"/>
      <c r="E22" s="319">
        <f>Brood_Tab!Q48</f>
        <v>61.558637075050356</v>
      </c>
      <c r="F22" s="311">
        <f>E22-(Brood_Tab!$Q$53*(Brood_Tab!$Q$52/SQRT(Brood_Tab!$Q$51)))</f>
        <v>22.582025906276002</v>
      </c>
      <c r="G22" s="320">
        <f>E22+(Brood_Tab!$Q$53*(Brood_Tab!$Q$52/SQRT(Brood_Tab!$Q$51)))</f>
        <v>100.53524824382471</v>
      </c>
      <c r="H22" s="205"/>
      <c r="I22" s="23"/>
      <c r="J22" s="23"/>
      <c r="K22" s="23"/>
      <c r="L22" s="23"/>
      <c r="M22" s="23"/>
      <c r="N22" s="23"/>
      <c r="O22" s="29"/>
      <c r="P22" s="708">
        <f>E22-F22</f>
        <v>38.976611168774355</v>
      </c>
      <c r="Q22" s="708">
        <f>G22-E22</f>
        <v>38.976611168774355</v>
      </c>
      <c r="R22" s="29"/>
    </row>
    <row r="23" spans="1:18" ht="13.8" thickBot="1">
      <c r="A23" s="32"/>
      <c r="B23" s="30"/>
      <c r="C23" s="30"/>
      <c r="D23" s="30"/>
      <c r="E23" s="30"/>
      <c r="F23" s="30"/>
      <c r="G23" s="31"/>
      <c r="H23" s="32"/>
      <c r="I23" s="30"/>
      <c r="J23" s="30"/>
      <c r="K23" s="30"/>
      <c r="L23" s="30"/>
      <c r="M23" s="30"/>
      <c r="N23" s="30"/>
      <c r="O23" s="31"/>
      <c r="P23" s="710"/>
      <c r="Q23" s="710"/>
      <c r="R23" s="31"/>
    </row>
    <row r="24" spans="1:18">
      <c r="A24" s="28"/>
      <c r="B24" s="23"/>
      <c r="C24" s="23"/>
      <c r="D24" s="23"/>
      <c r="E24" s="23"/>
      <c r="F24" s="23"/>
      <c r="G24" s="23"/>
      <c r="H24" s="23"/>
      <c r="I24" s="23"/>
      <c r="J24" s="23"/>
      <c r="K24" s="23"/>
      <c r="L24" s="23"/>
      <c r="M24" s="23"/>
      <c r="N24" s="23"/>
      <c r="O24" s="23"/>
      <c r="P24" s="23"/>
      <c r="Q24" s="23"/>
      <c r="R24" s="29"/>
    </row>
    <row r="25" spans="1:18">
      <c r="A25" s="254" t="s">
        <v>161</v>
      </c>
      <c r="B25" s="23"/>
      <c r="C25" s="23"/>
      <c r="D25" s="23"/>
      <c r="E25" s="319">
        <f>SUM(E11:E22)</f>
        <v>42342.484994432845</v>
      </c>
      <c r="F25" s="319">
        <f>SUM(F11:F22)</f>
        <v>32045.043740180645</v>
      </c>
      <c r="G25" s="319">
        <f t="shared" ref="G25" si="0">SUM(G11:G22)</f>
        <v>52639.926248685042</v>
      </c>
      <c r="H25" s="23"/>
      <c r="I25" s="325">
        <f>SUM(I15)</f>
        <v>57835.586106968403</v>
      </c>
      <c r="J25" s="325">
        <f>SUM(J15)</f>
        <v>34360.037903507211</v>
      </c>
      <c r="K25" s="325">
        <f>SUM(K15)</f>
        <v>97350.155134582339</v>
      </c>
      <c r="L25" s="23"/>
      <c r="M25" s="23"/>
      <c r="N25" s="23"/>
      <c r="O25" s="23"/>
      <c r="P25" s="23"/>
      <c r="Q25" s="23"/>
      <c r="R25" s="29"/>
    </row>
    <row r="26" spans="1:18">
      <c r="A26" s="28"/>
      <c r="B26" s="23"/>
      <c r="C26" s="23"/>
      <c r="D26" s="23"/>
      <c r="E26" s="23"/>
      <c r="F26" s="23"/>
      <c r="G26" s="23"/>
      <c r="H26" s="23"/>
      <c r="I26" s="23"/>
      <c r="J26" s="23"/>
      <c r="K26" s="23"/>
      <c r="L26" s="23"/>
      <c r="M26" s="23"/>
      <c r="N26" s="23"/>
      <c r="O26" s="23"/>
      <c r="P26" s="23"/>
      <c r="Q26" s="23"/>
      <c r="R26" s="29"/>
    </row>
    <row r="27" spans="1:18" ht="21.6" thickBot="1">
      <c r="A27" s="28"/>
      <c r="B27" s="23"/>
      <c r="C27" s="23"/>
      <c r="D27" s="23"/>
      <c r="E27" s="23"/>
      <c r="F27" s="23"/>
      <c r="G27" s="256" t="s">
        <v>164</v>
      </c>
      <c r="H27" s="256"/>
      <c r="I27" s="783">
        <f>E11+E13+I15+E16+E18+E19+E21+E22</f>
        <v>72459.808677944922</v>
      </c>
      <c r="J27" s="311">
        <f>I27-P27</f>
        <v>48904.311151837566</v>
      </c>
      <c r="K27" s="311">
        <f>I27+Q27</f>
        <v>112021.92775273017</v>
      </c>
      <c r="L27" s="23"/>
      <c r="N27" s="23"/>
      <c r="O27" s="23"/>
      <c r="P27" s="711">
        <f>SQRT(SUMSQ(P10:P23))</f>
        <v>23555.49752610736</v>
      </c>
      <c r="Q27" s="711">
        <f>SQRT(SUMSQ(Q10:Q23))</f>
        <v>39562.119074785245</v>
      </c>
      <c r="R27" s="29"/>
    </row>
    <row r="28" spans="1:18" ht="21">
      <c r="A28" s="28"/>
      <c r="B28" s="23"/>
      <c r="C28" s="23"/>
      <c r="D28" s="23"/>
      <c r="E28" s="23"/>
      <c r="F28" s="23"/>
      <c r="G28" s="166"/>
      <c r="H28" s="166"/>
      <c r="I28" s="167"/>
      <c r="J28" s="45"/>
      <c r="K28" s="45"/>
      <c r="L28" s="23"/>
      <c r="M28" s="23"/>
      <c r="N28" s="23"/>
      <c r="O28" s="23"/>
      <c r="P28" s="23"/>
      <c r="Q28" s="23"/>
      <c r="R28" s="29"/>
    </row>
    <row r="29" spans="1:18">
      <c r="A29" s="28"/>
      <c r="B29" s="23"/>
      <c r="C29" s="23"/>
      <c r="D29" s="23"/>
      <c r="E29" s="23"/>
      <c r="F29" s="23"/>
      <c r="G29" s="23"/>
      <c r="H29" s="23"/>
      <c r="I29" s="23"/>
      <c r="J29" s="23"/>
      <c r="K29" s="23"/>
      <c r="L29" s="23"/>
      <c r="M29" s="23"/>
      <c r="N29" s="23"/>
      <c r="O29" s="23"/>
      <c r="P29" s="23"/>
      <c r="Q29" s="23"/>
      <c r="R29" s="29"/>
    </row>
    <row r="30" spans="1:18" ht="18.600000000000001" thickBot="1">
      <c r="A30" s="168"/>
      <c r="B30" s="169"/>
      <c r="C30" s="169"/>
      <c r="D30" s="169"/>
      <c r="E30" s="157" t="s">
        <v>165</v>
      </c>
      <c r="F30" s="153"/>
      <c r="G30" s="153"/>
      <c r="H30" s="153"/>
      <c r="I30" s="153"/>
      <c r="J30" s="153"/>
      <c r="K30" s="169"/>
      <c r="L30" s="169"/>
      <c r="M30" s="169"/>
      <c r="N30" s="169"/>
      <c r="O30" s="169"/>
      <c r="P30" s="169"/>
      <c r="Q30" s="169"/>
      <c r="R30" s="170"/>
    </row>
    <row r="31" spans="1:18" ht="18">
      <c r="A31" s="168"/>
      <c r="B31" s="169"/>
      <c r="C31" s="169"/>
      <c r="D31" s="169"/>
      <c r="E31" s="169"/>
      <c r="F31" s="169"/>
      <c r="G31" s="169"/>
      <c r="H31" s="171"/>
      <c r="I31" s="154" t="s">
        <v>168</v>
      </c>
      <c r="J31" s="154"/>
      <c r="K31" s="169"/>
      <c r="L31" s="169"/>
      <c r="M31" s="169"/>
      <c r="N31" s="169"/>
      <c r="O31" s="169"/>
      <c r="P31" s="169"/>
      <c r="Q31" s="169"/>
      <c r="R31" s="170"/>
    </row>
    <row r="32" spans="1:18" ht="18.600000000000001" thickBot="1">
      <c r="A32" s="168"/>
      <c r="B32" s="169"/>
      <c r="C32" s="169"/>
      <c r="D32" s="169"/>
      <c r="E32" s="155"/>
      <c r="F32" s="155"/>
      <c r="G32" s="155"/>
      <c r="H32" s="156" t="s">
        <v>78</v>
      </c>
      <c r="I32" s="156" t="s">
        <v>79</v>
      </c>
      <c r="J32" s="156" t="s">
        <v>80</v>
      </c>
      <c r="K32" s="169"/>
      <c r="L32" s="169"/>
      <c r="M32" s="169"/>
      <c r="N32" s="169"/>
      <c r="O32" s="169"/>
      <c r="P32" s="169"/>
      <c r="Q32" s="169"/>
      <c r="R32" s="170"/>
    </row>
    <row r="33" spans="1:18" ht="18.600000000000001" thickTop="1">
      <c r="A33" s="168"/>
      <c r="B33" s="169"/>
      <c r="C33" s="169"/>
      <c r="D33" s="169"/>
      <c r="E33" s="169" t="s">
        <v>166</v>
      </c>
      <c r="F33" s="169"/>
      <c r="G33" s="169"/>
      <c r="H33" s="777">
        <f>I27</f>
        <v>72459.808677944922</v>
      </c>
      <c r="I33" s="777">
        <f>J27</f>
        <v>48904.311151837566</v>
      </c>
      <c r="J33" s="777">
        <f>K27</f>
        <v>112021.92775273017</v>
      </c>
      <c r="K33" s="169"/>
      <c r="L33" s="169"/>
      <c r="M33" s="169"/>
      <c r="N33" s="169"/>
      <c r="O33" s="169"/>
      <c r="P33" s="169"/>
      <c r="Q33" s="169"/>
      <c r="R33" s="170"/>
    </row>
    <row r="34" spans="1:18" ht="18">
      <c r="A34" s="168"/>
      <c r="B34" s="169"/>
      <c r="C34" s="169"/>
      <c r="D34" s="169"/>
      <c r="E34" s="169"/>
      <c r="F34" s="169"/>
      <c r="G34" s="169"/>
      <c r="H34" s="739"/>
      <c r="I34" s="739"/>
      <c r="J34" s="739"/>
      <c r="K34" s="169"/>
      <c r="L34" s="169"/>
      <c r="M34" s="169"/>
      <c r="N34" s="169"/>
      <c r="O34" s="169"/>
      <c r="P34" s="169"/>
      <c r="Q34" s="169"/>
      <c r="R34" s="170"/>
    </row>
    <row r="35" spans="1:18" ht="18.600000000000001" thickBot="1">
      <c r="A35" s="168"/>
      <c r="B35" s="169"/>
      <c r="C35" s="169"/>
      <c r="D35" s="169"/>
      <c r="E35" s="153" t="s">
        <v>182</v>
      </c>
      <c r="F35" s="153"/>
      <c r="G35" s="153"/>
      <c r="H35" s="784">
        <v>27000</v>
      </c>
      <c r="I35" s="784">
        <v>27000</v>
      </c>
      <c r="J35" s="784">
        <v>27000</v>
      </c>
      <c r="K35" s="169"/>
      <c r="L35" s="169"/>
      <c r="M35" s="169"/>
      <c r="N35" s="169"/>
      <c r="O35" s="169"/>
      <c r="P35" s="169"/>
      <c r="Q35" s="169"/>
      <c r="R35" s="170"/>
    </row>
    <row r="36" spans="1:18" ht="18">
      <c r="A36" s="168"/>
      <c r="B36" s="169"/>
      <c r="C36" s="169"/>
      <c r="D36" s="169"/>
      <c r="E36" s="169" t="s">
        <v>137</v>
      </c>
      <c r="F36" s="169"/>
      <c r="G36" s="169"/>
      <c r="H36" s="171"/>
      <c r="I36" s="171"/>
      <c r="J36" s="171"/>
      <c r="K36" s="169"/>
      <c r="L36" s="169"/>
      <c r="M36" s="169"/>
      <c r="N36" s="169"/>
      <c r="O36" s="169"/>
      <c r="P36" s="169"/>
      <c r="Q36" s="169"/>
      <c r="R36" s="170"/>
    </row>
    <row r="37" spans="1:18" ht="18">
      <c r="A37" s="168"/>
      <c r="B37" s="169"/>
      <c r="C37" s="169"/>
      <c r="D37" s="169"/>
      <c r="E37" s="169"/>
      <c r="F37" s="169" t="s">
        <v>440</v>
      </c>
      <c r="G37" s="169"/>
      <c r="H37" s="775">
        <f>H33-H35</f>
        <v>45459.808677944922</v>
      </c>
      <c r="I37" s="775">
        <f>I33-I35</f>
        <v>21904.311151837566</v>
      </c>
      <c r="J37" s="775">
        <f>J33-J35</f>
        <v>85021.927752730175</v>
      </c>
      <c r="K37" s="169"/>
      <c r="L37" s="169"/>
      <c r="M37" s="169"/>
      <c r="N37" s="169"/>
      <c r="O37" s="169"/>
      <c r="P37" s="169"/>
      <c r="Q37" s="169"/>
      <c r="R37" s="170"/>
    </row>
    <row r="38" spans="1:18" ht="18">
      <c r="A38" s="168"/>
      <c r="B38" s="169"/>
      <c r="C38" s="169"/>
      <c r="D38" s="169"/>
      <c r="E38" s="169"/>
      <c r="F38" s="169" t="s">
        <v>427</v>
      </c>
      <c r="G38" s="169"/>
      <c r="H38" s="172">
        <f>H37/H33</f>
        <v>0.62737963993247237</v>
      </c>
      <c r="I38" s="172">
        <f>I37/I33</f>
        <v>0.44790143518900211</v>
      </c>
      <c r="J38" s="172">
        <f>J37/J33</f>
        <v>0.7589757599994349</v>
      </c>
      <c r="K38" s="169"/>
      <c r="L38" s="169"/>
      <c r="M38" s="169"/>
      <c r="N38" s="169"/>
      <c r="O38" s="169"/>
      <c r="P38" s="169"/>
      <c r="Q38" s="169"/>
      <c r="R38" s="170"/>
    </row>
    <row r="39" spans="1:18" ht="18">
      <c r="A39" s="168"/>
      <c r="B39" s="169"/>
      <c r="C39" s="169"/>
      <c r="D39" s="169"/>
      <c r="E39" s="158"/>
      <c r="F39" s="158"/>
      <c r="G39" s="158"/>
      <c r="H39" s="159"/>
      <c r="I39" s="159"/>
      <c r="J39" s="159"/>
      <c r="K39" s="169"/>
      <c r="L39" s="169"/>
      <c r="M39" s="169"/>
      <c r="N39" s="171"/>
      <c r="O39" s="169"/>
      <c r="P39" s="169"/>
      <c r="Q39" s="169"/>
      <c r="R39" s="170"/>
    </row>
    <row r="40" spans="1:18" ht="18">
      <c r="A40" s="168"/>
      <c r="B40" s="169"/>
      <c r="C40" s="169"/>
      <c r="D40" s="169"/>
      <c r="E40" s="776" t="s">
        <v>428</v>
      </c>
      <c r="F40" s="776"/>
      <c r="G40" s="776"/>
      <c r="H40" s="777"/>
      <c r="I40" s="777"/>
      <c r="J40" s="777"/>
      <c r="K40" s="169"/>
      <c r="L40" s="169"/>
      <c r="M40" s="169"/>
      <c r="N40" s="169"/>
      <c r="O40" s="169"/>
      <c r="P40" s="169"/>
      <c r="Q40" s="169"/>
      <c r="R40" s="170"/>
    </row>
    <row r="41" spans="1:18" ht="18">
      <c r="A41" s="168"/>
      <c r="B41" s="169"/>
      <c r="C41" s="169"/>
      <c r="D41" s="169"/>
      <c r="E41" s="776"/>
      <c r="F41" s="778" t="s">
        <v>429</v>
      </c>
      <c r="G41" s="779">
        <f>Harvests!S136</f>
        <v>0.65422915208602672</v>
      </c>
      <c r="H41" s="780">
        <f>$G41*$H$37</f>
        <v>29741.132085364905</v>
      </c>
      <c r="I41" s="780">
        <f>$G41*$I$37</f>
        <v>14330.438911895189</v>
      </c>
      <c r="J41" s="780">
        <f>$G41*$J$37</f>
        <v>55623.823702388087</v>
      </c>
      <c r="K41" s="169"/>
      <c r="L41" s="169"/>
      <c r="M41" s="169"/>
      <c r="N41" s="169"/>
      <c r="O41" s="169"/>
      <c r="P41" s="169"/>
      <c r="Q41" s="169"/>
      <c r="R41" s="170"/>
    </row>
    <row r="42" spans="1:18" ht="18">
      <c r="A42" s="168"/>
      <c r="B42" s="169"/>
      <c r="C42" s="169"/>
      <c r="D42" s="169"/>
      <c r="E42" s="776"/>
      <c r="F42" s="778" t="s">
        <v>430</v>
      </c>
      <c r="G42" s="779">
        <f>Harvests!S137</f>
        <v>0.66794681285064061</v>
      </c>
      <c r="H42" s="780">
        <f>$G42*$H$37</f>
        <v>30364.734319233205</v>
      </c>
      <c r="I42" s="780">
        <f>$G42*$I$37</f>
        <v>14630.914821558647</v>
      </c>
      <c r="J42" s="780">
        <f>$G42*$J$37</f>
        <v>56790.125664853549</v>
      </c>
      <c r="K42" s="169"/>
      <c r="L42" s="169"/>
      <c r="M42" s="169"/>
      <c r="N42" s="169"/>
      <c r="O42" s="169"/>
      <c r="P42" s="169"/>
      <c r="Q42" s="169"/>
      <c r="R42" s="170"/>
    </row>
    <row r="43" spans="1:18" ht="18">
      <c r="A43" s="168"/>
      <c r="B43" s="169"/>
      <c r="C43" s="169"/>
      <c r="D43" s="169"/>
      <c r="E43" s="781"/>
      <c r="F43" s="781"/>
      <c r="G43" s="781"/>
      <c r="H43" s="782"/>
      <c r="I43" s="782"/>
      <c r="J43" s="782"/>
      <c r="K43" s="169"/>
      <c r="L43" s="169"/>
      <c r="M43" s="169"/>
      <c r="N43" s="169"/>
      <c r="O43" s="169"/>
      <c r="P43" s="169"/>
      <c r="Q43" s="169"/>
      <c r="R43" s="170"/>
    </row>
    <row r="44" spans="1:18" ht="15.6">
      <c r="A44" s="173"/>
      <c r="B44" s="13"/>
      <c r="C44" s="13"/>
      <c r="D44" s="13"/>
      <c r="E44" s="13"/>
      <c r="F44" s="13"/>
      <c r="G44" s="13"/>
      <c r="H44" s="174"/>
      <c r="I44" s="174"/>
      <c r="J44" s="174"/>
      <c r="K44" s="13"/>
      <c r="L44" s="13"/>
      <c r="M44" s="13"/>
      <c r="N44" s="23"/>
      <c r="O44" s="23"/>
      <c r="P44" s="23"/>
      <c r="Q44" s="23"/>
      <c r="R44" s="29"/>
    </row>
    <row r="45" spans="1:18" ht="13.8" thickBot="1">
      <c r="A45" s="32"/>
      <c r="B45" s="30"/>
      <c r="C45" s="30"/>
      <c r="D45" s="30"/>
      <c r="E45" s="30"/>
      <c r="F45" s="30"/>
      <c r="G45" s="30"/>
      <c r="H45" s="30"/>
      <c r="I45" s="30"/>
      <c r="J45" s="30"/>
      <c r="K45" s="30"/>
      <c r="L45" s="30"/>
      <c r="M45" s="30"/>
      <c r="N45" s="30"/>
      <c r="O45" s="30"/>
      <c r="P45" s="30"/>
      <c r="Q45" s="30"/>
      <c r="R45" s="31"/>
    </row>
    <row r="46" spans="1:18" ht="20.399999999999999">
      <c r="A46" s="152" t="s">
        <v>19</v>
      </c>
      <c r="B46" t="s">
        <v>162</v>
      </c>
    </row>
    <row r="47" spans="1:18">
      <c r="H47" s="3"/>
      <c r="I47" s="3"/>
      <c r="J47" s="3"/>
    </row>
  </sheetData>
  <phoneticPr fontId="52" type="noConversion"/>
  <pageMargins left="0.5" right="0.5" top="0.5" bottom="0.5" header="0.5" footer="0.5"/>
  <pageSetup scale="56"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92D050"/>
  </sheetPr>
  <dimension ref="A1:AC68"/>
  <sheetViews>
    <sheetView workbookViewId="0">
      <selection activeCell="C28" sqref="C28"/>
    </sheetView>
  </sheetViews>
  <sheetFormatPr defaultRowHeight="13.2"/>
  <cols>
    <col min="1" max="1" width="14" customWidth="1"/>
    <col min="2" max="2" width="6.77734375" customWidth="1"/>
    <col min="3" max="3" width="6.6640625" customWidth="1"/>
    <col min="4" max="4" width="5.77734375" customWidth="1"/>
    <col min="5" max="5" width="7.33203125" customWidth="1"/>
    <col min="6" max="6" width="7.77734375" customWidth="1"/>
    <col min="7" max="7" width="5.77734375" customWidth="1"/>
    <col min="8" max="8" width="7.33203125" customWidth="1"/>
    <col min="9" max="9" width="7.77734375" customWidth="1"/>
    <col min="10" max="12" width="5.77734375" customWidth="1"/>
    <col min="13" max="14" width="7.77734375" customWidth="1"/>
    <col min="15" max="19" width="5.77734375" customWidth="1"/>
    <col min="20" max="20" width="10.109375" customWidth="1"/>
    <col min="21" max="21" width="11" customWidth="1"/>
    <col min="22" max="22" width="13" customWidth="1"/>
    <col min="24" max="24" width="10.6640625" customWidth="1"/>
    <col min="25" max="27" width="14.109375" customWidth="1"/>
  </cols>
  <sheetData>
    <row r="1" spans="1:27">
      <c r="A1" s="25" t="str">
        <f ca="1">CELL("filename",A1)</f>
        <v>C:\Users\rebrenner\Desktop\NCEAS\DATA\PWS&amp;CBR_SALMON\PWS&amp;CR_SALMON_FORECAST_DATA\[2015 Copper River Chinook forecast-FINAL.xlsm]Brood_Forecasts</v>
      </c>
    </row>
    <row r="2" spans="1:27" ht="15">
      <c r="X2" s="815" t="s">
        <v>455</v>
      </c>
      <c r="Y2" s="816">
        <f>COUNTA(U6:U21)-1</f>
        <v>15</v>
      </c>
      <c r="Z2" s="830"/>
      <c r="AA2" s="830"/>
    </row>
    <row r="3" spans="1:27" ht="21">
      <c r="A3" s="806" t="s">
        <v>450</v>
      </c>
      <c r="X3" s="817" t="s">
        <v>456</v>
      </c>
      <c r="Y3" s="818">
        <f>VLOOKUP(Y2,AB27:AC68,2)</f>
        <v>1.341</v>
      </c>
      <c r="Z3" s="831"/>
      <c r="AA3" s="831"/>
    </row>
    <row r="4" spans="1:27" ht="15.6">
      <c r="A4" s="4" t="s">
        <v>451</v>
      </c>
    </row>
    <row r="5" spans="1:27" ht="26.4">
      <c r="A5" s="795" t="s">
        <v>12</v>
      </c>
      <c r="B5" s="800">
        <v>0.1</v>
      </c>
      <c r="C5" s="800">
        <v>0.2</v>
      </c>
      <c r="D5" s="800">
        <v>1.1000000000000001</v>
      </c>
      <c r="E5" s="800">
        <v>0.3</v>
      </c>
      <c r="F5" s="800">
        <v>1.2</v>
      </c>
      <c r="G5" s="800">
        <v>2.1</v>
      </c>
      <c r="H5" s="800">
        <v>0.4</v>
      </c>
      <c r="I5" s="801">
        <v>1.3</v>
      </c>
      <c r="J5" s="800">
        <v>2.2000000000000002</v>
      </c>
      <c r="K5" s="800">
        <v>0.5</v>
      </c>
      <c r="L5" s="800">
        <v>1.4</v>
      </c>
      <c r="M5" s="800">
        <v>2.2999999999999998</v>
      </c>
      <c r="N5" s="800">
        <v>3.2</v>
      </c>
      <c r="O5" s="800">
        <v>1.5</v>
      </c>
      <c r="P5" s="800">
        <v>2.4</v>
      </c>
      <c r="Q5" s="800">
        <v>3.3</v>
      </c>
      <c r="R5" s="800">
        <v>2.5</v>
      </c>
      <c r="S5" s="800">
        <v>3.4</v>
      </c>
      <c r="T5" s="883" t="s">
        <v>442</v>
      </c>
      <c r="U5" s="798" t="s">
        <v>443</v>
      </c>
      <c r="V5" s="803" t="s">
        <v>81</v>
      </c>
      <c r="W5" s="797" t="s">
        <v>481</v>
      </c>
      <c r="X5" s="797" t="s">
        <v>447</v>
      </c>
      <c r="Y5" s="796" t="s">
        <v>452</v>
      </c>
      <c r="Z5" s="832"/>
      <c r="AA5" s="832"/>
    </row>
    <row r="6" spans="1:27">
      <c r="A6" s="1">
        <v>1999</v>
      </c>
      <c r="B6" s="33"/>
      <c r="C6" s="33"/>
      <c r="D6" s="33">
        <f>AVERAGE(RunXAge!D20:D24)</f>
        <v>376.96064243916169</v>
      </c>
      <c r="E6" s="33"/>
      <c r="F6" s="33">
        <f>AVERAGE(RunXAge!F20:F24)</f>
        <v>6071.0154675662507</v>
      </c>
      <c r="G6" s="33"/>
      <c r="H6" s="33"/>
      <c r="I6" s="802">
        <f>'Ln1.3=ln1.2 (2)'!U11</f>
        <v>43140.410411706463</v>
      </c>
      <c r="J6" s="33">
        <f>AVERAGE(RunXAge!J20:J24)</f>
        <v>214.12222380147813</v>
      </c>
      <c r="K6" s="33"/>
      <c r="L6" s="33"/>
      <c r="M6" s="33">
        <f>AVERAGE(RunXAge!M20:M24)</f>
        <v>31881.177495361248</v>
      </c>
      <c r="N6" s="33">
        <f>AVERAGE(RunXAge!N20:N24)</f>
        <v>795.86332925627755</v>
      </c>
      <c r="O6" s="33"/>
      <c r="P6" s="33">
        <f>AVERAGE(RunXAge!P20:P24)</f>
        <v>203.86540557045015</v>
      </c>
      <c r="Q6" s="33">
        <f>AVERAGE(RunXAge!Q20:Q24)</f>
        <v>447.40178870433431</v>
      </c>
      <c r="R6" s="33"/>
      <c r="S6" s="33"/>
      <c r="T6" s="33">
        <f>SUM(B6:S6)</f>
        <v>83130.816764405667</v>
      </c>
      <c r="U6" s="33">
        <f>Total_Run_Size!D115</f>
        <v>95951</v>
      </c>
      <c r="V6" s="279">
        <f>U6-T6</f>
        <v>12820.183235594333</v>
      </c>
      <c r="W6" s="805">
        <f>(U6-T6)/U6</f>
        <v>0.13361177304660019</v>
      </c>
      <c r="X6" s="804">
        <f>ABS(W6)</f>
        <v>0.13361177304660019</v>
      </c>
      <c r="Y6" s="33">
        <f>(U6-T6)^2</f>
        <v>164357098.19421399</v>
      </c>
      <c r="Z6" s="33"/>
      <c r="AA6" s="33"/>
    </row>
    <row r="7" spans="1:27">
      <c r="A7" s="1">
        <v>2000</v>
      </c>
      <c r="B7" s="33"/>
      <c r="C7" s="33"/>
      <c r="D7" s="33">
        <f>AVERAGE(RunXAge!D21:D25)</f>
        <v>389.37384498631883</v>
      </c>
      <c r="E7" s="33"/>
      <c r="F7" s="33">
        <f>AVERAGE(RunXAge!F21:F25)</f>
        <v>7351.929898499443</v>
      </c>
      <c r="G7" s="33"/>
      <c r="H7" s="33"/>
      <c r="I7" s="802">
        <f>'Ln1.3=ln1.2 (2)'!U12</f>
        <v>73296.421269009894</v>
      </c>
      <c r="J7" s="33">
        <f>AVERAGE(RunXAge!J21:J25)</f>
        <v>264.72994313349602</v>
      </c>
      <c r="K7" s="33"/>
      <c r="L7" s="33"/>
      <c r="M7" s="33">
        <f>AVERAGE(RunXAge!M21:M25)</f>
        <v>30204.934876468567</v>
      </c>
      <c r="N7" s="33">
        <f>AVERAGE(RunXAge!N21:N25)</f>
        <v>965.16985520251603</v>
      </c>
      <c r="O7" s="33"/>
      <c r="P7" s="33">
        <f>AVERAGE(RunXAge!P21:P25)</f>
        <v>253.24764820886213</v>
      </c>
      <c r="Q7" s="33">
        <f>AVERAGE(RunXAge!Q21:Q25)</f>
        <v>372.11557505200807</v>
      </c>
      <c r="R7" s="33"/>
      <c r="S7" s="33"/>
      <c r="T7" s="33">
        <f t="shared" ref="T7:T20" si="0">SUM(B7:S7)</f>
        <v>113097.92291056112</v>
      </c>
      <c r="U7" s="33">
        <f>Total_Run_Size!D116</f>
        <v>70746</v>
      </c>
      <c r="V7" s="279">
        <f t="shared" ref="V7:V20" si="1">U7-T7</f>
        <v>-42351.922910561116</v>
      </c>
      <c r="W7" s="805">
        <f t="shared" ref="W7:W20" si="2">(U7-T7)/U7</f>
        <v>-0.59864759718657046</v>
      </c>
      <c r="X7" s="804">
        <f t="shared" ref="X7:X20" si="3">ABS(W7)</f>
        <v>0.59864759718657046</v>
      </c>
      <c r="Y7" s="33">
        <f t="shared" ref="Y7:Y20" si="4">(U7-T7)^2</f>
        <v>1793685374.2221115</v>
      </c>
      <c r="Z7" s="33"/>
      <c r="AA7" s="33"/>
    </row>
    <row r="8" spans="1:27">
      <c r="A8" s="1">
        <v>2001</v>
      </c>
      <c r="B8" s="33"/>
      <c r="C8" s="33"/>
      <c r="D8" s="33">
        <f>AVERAGE(RunXAge!D22:D26)</f>
        <v>400.84240971190349</v>
      </c>
      <c r="E8" s="33"/>
      <c r="F8" s="33">
        <f>AVERAGE(RunXAge!F22:F26)</f>
        <v>6877.7941896627481</v>
      </c>
      <c r="G8" s="33"/>
      <c r="H8" s="33"/>
      <c r="I8" s="802">
        <f>'Ln1.3=ln1.2 (2)'!U13</f>
        <v>35202.075560708821</v>
      </c>
      <c r="J8" s="33">
        <f>AVERAGE(RunXAge!J22:J26)</f>
        <v>295.99957316002133</v>
      </c>
      <c r="K8" s="33"/>
      <c r="L8" s="33"/>
      <c r="M8" s="33">
        <f>AVERAGE(RunXAge!M22:M26)</f>
        <v>27015.668048423198</v>
      </c>
      <c r="N8" s="33">
        <f>AVERAGE(RunXAge!N22:N26)</f>
        <v>933.58170047778435</v>
      </c>
      <c r="O8" s="33"/>
      <c r="P8" s="33">
        <f>AVERAGE(RunXAge!P22:P26)</f>
        <v>138.23825312819093</v>
      </c>
      <c r="Q8" s="33">
        <f>AVERAGE(RunXAge!Q22:Q26)</f>
        <v>392.34543620406191</v>
      </c>
      <c r="R8" s="33"/>
      <c r="S8" s="33"/>
      <c r="T8" s="33">
        <f t="shared" si="0"/>
        <v>71256.545171476726</v>
      </c>
      <c r="U8" s="33">
        <f>Total_Run_Size!D117</f>
        <v>81155</v>
      </c>
      <c r="V8" s="279">
        <f t="shared" si="1"/>
        <v>9898.454828523274</v>
      </c>
      <c r="W8" s="805">
        <f t="shared" si="2"/>
        <v>0.12196974713231808</v>
      </c>
      <c r="X8" s="804">
        <f t="shared" si="3"/>
        <v>0.12196974713231808</v>
      </c>
      <c r="Y8" s="33">
        <f t="shared" si="4"/>
        <v>97979407.992315724</v>
      </c>
      <c r="Z8" s="33"/>
      <c r="AA8" s="33"/>
    </row>
    <row r="9" spans="1:27">
      <c r="A9" s="1">
        <v>2002</v>
      </c>
      <c r="B9" s="33"/>
      <c r="C9" s="33"/>
      <c r="D9" s="33">
        <f>AVERAGE(RunXAge!D23:D27)</f>
        <v>177.50301322903005</v>
      </c>
      <c r="E9" s="33"/>
      <c r="F9" s="33">
        <f>AVERAGE(RunXAge!F23:F27)</f>
        <v>7433.4022425330622</v>
      </c>
      <c r="G9" s="33"/>
      <c r="H9" s="33"/>
      <c r="I9" s="802">
        <f>'Ln1.3=ln1.2 (2)'!U14</f>
        <v>56944.15661981493</v>
      </c>
      <c r="J9" s="33">
        <f>AVERAGE(RunXAge!J23:J27)</f>
        <v>159.62271893044888</v>
      </c>
      <c r="K9" s="33"/>
      <c r="L9" s="33"/>
      <c r="M9" s="33">
        <f>AVERAGE(RunXAge!M23:M27)</f>
        <v>22951.677458214999</v>
      </c>
      <c r="N9" s="33">
        <f>AVERAGE(RunXAge!N23:N27)</f>
        <v>806.61186971463212</v>
      </c>
      <c r="O9" s="33"/>
      <c r="P9" s="33">
        <f>AVERAGE(RunXAge!P23:P27)</f>
        <v>139.34323533294781</v>
      </c>
      <c r="Q9" s="33">
        <f>AVERAGE(RunXAge!Q23:Q27)</f>
        <v>367.17271762266881</v>
      </c>
      <c r="R9" s="33"/>
      <c r="S9" s="33"/>
      <c r="T9" s="33">
        <f t="shared" si="0"/>
        <v>88979.489875392712</v>
      </c>
      <c r="U9" s="33">
        <f>Total_Run_Size!D118</f>
        <v>72972</v>
      </c>
      <c r="V9" s="279">
        <f t="shared" si="1"/>
        <v>-16007.489875392712</v>
      </c>
      <c r="W9" s="805">
        <f t="shared" si="2"/>
        <v>-0.2193648231567274</v>
      </c>
      <c r="X9" s="804">
        <f t="shared" si="3"/>
        <v>0.2193648231567274</v>
      </c>
      <c r="Y9" s="33">
        <f t="shared" si="4"/>
        <v>256239732.11080018</v>
      </c>
      <c r="Z9" s="33"/>
      <c r="AA9" s="33"/>
    </row>
    <row r="10" spans="1:27">
      <c r="A10" s="1">
        <v>2003</v>
      </c>
      <c r="B10" s="33"/>
      <c r="C10" s="33"/>
      <c r="D10" s="33">
        <f>AVERAGE(RunXAge!D24:D28)</f>
        <v>182.93739745644666</v>
      </c>
      <c r="E10" s="33"/>
      <c r="F10" s="33">
        <f>AVERAGE(RunXAge!F24:F28)</f>
        <v>7332.566805527933</v>
      </c>
      <c r="G10" s="33"/>
      <c r="H10" s="33"/>
      <c r="I10" s="802">
        <f>'Ln1.3=ln1.2 (2)'!U15</f>
        <v>45003.630878677635</v>
      </c>
      <c r="J10" s="33">
        <f>AVERAGE(RunXAge!J24:J28)</f>
        <v>250.10185128780512</v>
      </c>
      <c r="K10" s="33"/>
      <c r="L10" s="33"/>
      <c r="M10" s="33">
        <f>AVERAGE(RunXAge!M24:M28)</f>
        <v>20540.01360134509</v>
      </c>
      <c r="N10" s="33">
        <f>AVERAGE(RunXAge!N24:N28)</f>
        <v>805.39219710557813</v>
      </c>
      <c r="O10" s="33"/>
      <c r="P10" s="33">
        <f>AVERAGE(RunXAge!P24:P28)</f>
        <v>129.54457465468289</v>
      </c>
      <c r="Q10" s="33">
        <f>AVERAGE(RunXAge!Q24:Q28)</f>
        <v>455.74983578145913</v>
      </c>
      <c r="R10" s="33"/>
      <c r="S10" s="33"/>
      <c r="T10" s="33">
        <f t="shared" si="0"/>
        <v>74699.937141836635</v>
      </c>
      <c r="U10" s="33">
        <f>Total_Run_Size!D119</f>
        <v>94505</v>
      </c>
      <c r="V10" s="279">
        <f t="shared" si="1"/>
        <v>19805.062858163365</v>
      </c>
      <c r="W10" s="805">
        <f t="shared" si="2"/>
        <v>0.20956629657862932</v>
      </c>
      <c r="X10" s="804">
        <f t="shared" si="3"/>
        <v>0.20956629657862932</v>
      </c>
      <c r="Y10" s="33">
        <f t="shared" si="4"/>
        <v>392240514.81580204</v>
      </c>
      <c r="Z10" s="33"/>
      <c r="AA10" s="33"/>
    </row>
    <row r="11" spans="1:27">
      <c r="A11" s="1">
        <v>2004</v>
      </c>
      <c r="B11" s="33"/>
      <c r="C11" s="33"/>
      <c r="D11" s="33">
        <f>AVERAGE(RunXAge!D25:D29)</f>
        <v>225.93867347722306</v>
      </c>
      <c r="E11" s="33"/>
      <c r="F11" s="33">
        <f>AVERAGE(RunXAge!F25:F29)</f>
        <v>7297.662035710232</v>
      </c>
      <c r="G11" s="33"/>
      <c r="H11" s="33"/>
      <c r="I11" s="802">
        <f>'Ln1.3=ln1.2 (2)'!U16</f>
        <v>42738.254409248577</v>
      </c>
      <c r="J11" s="33">
        <f>AVERAGE(RunXAge!J25:J29)</f>
        <v>251.26349897528698</v>
      </c>
      <c r="K11" s="33"/>
      <c r="L11" s="33"/>
      <c r="M11" s="33">
        <f>AVERAGE(RunXAge!M25:M29)</f>
        <v>19451.894089762322</v>
      </c>
      <c r="N11" s="33">
        <f>AVERAGE(RunXAge!N25:N29)</f>
        <v>991.00088166742785</v>
      </c>
      <c r="O11" s="33"/>
      <c r="P11" s="33">
        <f>AVERAGE(RunXAge!P25:P29)</f>
        <v>151.95842475393826</v>
      </c>
      <c r="Q11" s="33">
        <f>AVERAGE(RunXAge!Q25:Q29)</f>
        <v>400.10877209108941</v>
      </c>
      <c r="R11" s="33"/>
      <c r="S11" s="33"/>
      <c r="T11" s="33">
        <f t="shared" si="0"/>
        <v>71508.080785686077</v>
      </c>
      <c r="U11" s="33">
        <f>Total_Run_Size!D120</f>
        <v>80559</v>
      </c>
      <c r="V11" s="279">
        <f t="shared" si="1"/>
        <v>9050.9192143139226</v>
      </c>
      <c r="W11" s="805">
        <f t="shared" si="2"/>
        <v>0.11235143453014465</v>
      </c>
      <c r="X11" s="804">
        <f t="shared" si="3"/>
        <v>0.11235143453014465</v>
      </c>
      <c r="Y11" s="33">
        <f t="shared" si="4"/>
        <v>81919138.624036953</v>
      </c>
      <c r="Z11" s="33"/>
      <c r="AA11" s="33"/>
    </row>
    <row r="12" spans="1:27">
      <c r="A12" s="1">
        <v>2005</v>
      </c>
      <c r="B12" s="33"/>
      <c r="C12" s="33"/>
      <c r="D12" s="33">
        <f>AVERAGE(RunXAge!D26:D30)</f>
        <v>282.98965785319893</v>
      </c>
      <c r="E12" s="33"/>
      <c r="F12" s="33">
        <f>AVERAGE(RunXAge!F26:F30)</f>
        <v>6198.4846359467583</v>
      </c>
      <c r="G12" s="33"/>
      <c r="H12" s="33"/>
      <c r="I12" s="802">
        <f>'Ln1.3=ln1.2 (2)'!U17</f>
        <v>38228.602972582463</v>
      </c>
      <c r="J12" s="33">
        <f>AVERAGE(RunXAge!J26:J30)</f>
        <v>241.85386459070378</v>
      </c>
      <c r="K12" s="33"/>
      <c r="L12" s="33"/>
      <c r="M12" s="33">
        <f>AVERAGE(RunXAge!M26:M30)</f>
        <v>19088.879505324865</v>
      </c>
      <c r="N12" s="33">
        <f>AVERAGE(RunXAge!N26:N30)</f>
        <v>1009.3869748806434</v>
      </c>
      <c r="O12" s="33"/>
      <c r="P12" s="33">
        <f>AVERAGE(RunXAge!P26:P30)</f>
        <v>59.854182073026472</v>
      </c>
      <c r="Q12" s="33">
        <f>AVERAGE(RunXAge!Q26:Q30)</f>
        <v>418.25430363571616</v>
      </c>
      <c r="R12" s="33"/>
      <c r="S12" s="33"/>
      <c r="T12" s="33">
        <f t="shared" si="0"/>
        <v>65528.306096887376</v>
      </c>
      <c r="U12" s="33">
        <f>Total_Run_Size!D121</f>
        <v>66341</v>
      </c>
      <c r="V12" s="279">
        <f t="shared" si="1"/>
        <v>812.69390311262396</v>
      </c>
      <c r="W12" s="805">
        <f t="shared" si="2"/>
        <v>1.2250251022936403E-2</v>
      </c>
      <c r="X12" s="804">
        <f t="shared" si="3"/>
        <v>1.2250251022936403E-2</v>
      </c>
      <c r="Y12" s="33">
        <f t="shared" si="4"/>
        <v>660471.380156431</v>
      </c>
      <c r="Z12" s="33"/>
      <c r="AA12" s="33"/>
    </row>
    <row r="13" spans="1:27">
      <c r="A13" s="1">
        <v>2006</v>
      </c>
      <c r="B13" s="33"/>
      <c r="C13" s="33"/>
      <c r="D13" s="33">
        <f>AVERAGE(RunXAge!D27:D31)</f>
        <v>303.83293924034689</v>
      </c>
      <c r="E13" s="33"/>
      <c r="F13" s="33">
        <f>AVERAGE(RunXAge!F27:F31)</f>
        <v>6422.1868594035031</v>
      </c>
      <c r="G13" s="33"/>
      <c r="H13" s="33"/>
      <c r="I13" s="802">
        <f>'Ln1.3=ln1.2 (2)'!U18</f>
        <v>41216.237056109137</v>
      </c>
      <c r="J13" s="33">
        <f>AVERAGE(RunXAge!J27:J31)</f>
        <v>215.511048348028</v>
      </c>
      <c r="K13" s="33"/>
      <c r="L13" s="33"/>
      <c r="M13" s="33">
        <f>AVERAGE(RunXAge!M27:M31)</f>
        <v>19948.228527730178</v>
      </c>
      <c r="N13" s="33">
        <f>AVERAGE(RunXAge!N27:N31)</f>
        <v>1177.4896387568424</v>
      </c>
      <c r="O13" s="33"/>
      <c r="P13" s="33">
        <f>AVERAGE(RunXAge!P27:P31)</f>
        <v>47.211310733015168</v>
      </c>
      <c r="Q13" s="33">
        <f>AVERAGE(RunXAge!Q27:Q31)</f>
        <v>434.53458695910285</v>
      </c>
      <c r="R13" s="33"/>
      <c r="S13" s="33"/>
      <c r="T13" s="33">
        <f t="shared" si="0"/>
        <v>69765.231967280168</v>
      </c>
      <c r="U13" s="33">
        <f>Total_Run_Size!D122</f>
        <v>99877</v>
      </c>
      <c r="V13" s="279">
        <f t="shared" si="1"/>
        <v>30111.768032719832</v>
      </c>
      <c r="W13" s="805">
        <f t="shared" si="2"/>
        <v>0.30148851119596937</v>
      </c>
      <c r="X13" s="804">
        <f t="shared" si="3"/>
        <v>0.30148851119596937</v>
      </c>
      <c r="Y13" s="33">
        <f t="shared" si="4"/>
        <v>906718574.05632794</v>
      </c>
      <c r="Z13" s="33"/>
      <c r="AA13" s="33"/>
    </row>
    <row r="14" spans="1:27">
      <c r="A14" s="1">
        <v>2007</v>
      </c>
      <c r="B14" s="33"/>
      <c r="C14" s="33"/>
      <c r="D14" s="33">
        <f>AVERAGE(RunXAge!D28:D32)</f>
        <v>328.09534878912768</v>
      </c>
      <c r="E14" s="33"/>
      <c r="F14" s="33">
        <f>AVERAGE(RunXAge!F28:F32)</f>
        <v>6611.7587972183901</v>
      </c>
      <c r="G14" s="33"/>
      <c r="H14" s="33"/>
      <c r="I14" s="802">
        <f>'Ln1.3=ln1.2 (2)'!U19</f>
        <v>60073.298732102507</v>
      </c>
      <c r="J14" s="33">
        <f>AVERAGE(RunXAge!J28:J32)</f>
        <v>363.14931761649689</v>
      </c>
      <c r="K14" s="33"/>
      <c r="L14" s="33"/>
      <c r="M14" s="33">
        <f>AVERAGE(RunXAge!M28:M32)</f>
        <v>20206.458893990806</v>
      </c>
      <c r="N14" s="33">
        <f>AVERAGE(RunXAge!N28:N32)</f>
        <v>1734.8016286286352</v>
      </c>
      <c r="O14" s="33"/>
      <c r="P14" s="33">
        <f>AVERAGE(RunXAge!P28:P32)</f>
        <v>113.61002283902656</v>
      </c>
      <c r="Q14" s="33">
        <f>AVERAGE(RunXAge!Q28:Q32)</f>
        <v>518.54015270138348</v>
      </c>
      <c r="R14" s="33"/>
      <c r="S14" s="33"/>
      <c r="T14" s="33">
        <f t="shared" si="0"/>
        <v>89949.712893886375</v>
      </c>
      <c r="U14" s="33">
        <f>Total_Run_Size!D123</f>
        <v>87770</v>
      </c>
      <c r="V14" s="279">
        <f t="shared" si="1"/>
        <v>-2179.7128938863752</v>
      </c>
      <c r="W14" s="805">
        <f t="shared" si="2"/>
        <v>-2.4834372722870857E-2</v>
      </c>
      <c r="X14" s="804">
        <f t="shared" si="3"/>
        <v>2.4834372722870857E-2</v>
      </c>
      <c r="Y14" s="33">
        <f t="shared" si="4"/>
        <v>4751148.2997745164</v>
      </c>
      <c r="Z14" s="33"/>
      <c r="AA14" s="33"/>
    </row>
    <row r="15" spans="1:27">
      <c r="A15" s="1">
        <v>2008</v>
      </c>
      <c r="B15" s="33"/>
      <c r="C15" s="33"/>
      <c r="D15" s="33">
        <f>AVERAGE(RunXAge!D29:D33)</f>
        <v>317.62995440355706</v>
      </c>
      <c r="E15" s="33"/>
      <c r="F15" s="33">
        <f>AVERAGE(RunXAge!F29:F33)</f>
        <v>6321.753834685027</v>
      </c>
      <c r="G15" s="33"/>
      <c r="H15" s="33"/>
      <c r="I15" s="802">
        <f>'Ln1.3=ln1.2 (2)'!U20</f>
        <v>39552.981895739525</v>
      </c>
      <c r="J15" s="33">
        <f>AVERAGE(RunXAge!J29:J33)</f>
        <v>372.99193951282621</v>
      </c>
      <c r="K15" s="33"/>
      <c r="L15" s="33"/>
      <c r="M15" s="33">
        <f>AVERAGE(RunXAge!M29:M33)</f>
        <v>21873.670676203539</v>
      </c>
      <c r="N15" s="33">
        <f>AVERAGE(RunXAge!N29:N33)</f>
        <v>1618.6409371645154</v>
      </c>
      <c r="O15" s="33"/>
      <c r="P15" s="33">
        <f>AVERAGE(RunXAge!P29:P33)</f>
        <v>150.99453931753376</v>
      </c>
      <c r="Q15" s="33">
        <f>AVERAGE(RunXAge!Q29:Q33)</f>
        <v>402.63482452879128</v>
      </c>
      <c r="R15" s="33"/>
      <c r="S15" s="33"/>
      <c r="T15" s="33">
        <f t="shared" si="0"/>
        <v>70611.298601555318</v>
      </c>
      <c r="U15" s="33">
        <f>Total_Run_Size!D124</f>
        <v>53880</v>
      </c>
      <c r="V15" s="279">
        <f t="shared" si="1"/>
        <v>-16731.298601555318</v>
      </c>
      <c r="W15" s="805">
        <f t="shared" si="2"/>
        <v>-0.31052892727459758</v>
      </c>
      <c r="X15" s="804">
        <f t="shared" si="3"/>
        <v>0.31052892727459758</v>
      </c>
      <c r="Y15" s="33">
        <f t="shared" si="4"/>
        <v>279936352.89440691</v>
      </c>
      <c r="Z15" s="33"/>
      <c r="AA15" s="33"/>
    </row>
    <row r="16" spans="1:27">
      <c r="A16" s="1">
        <v>2009</v>
      </c>
      <c r="B16" s="33"/>
      <c r="C16" s="33"/>
      <c r="D16" s="33">
        <f>AVERAGE(RunXAge!D30:D34)</f>
        <v>240.18814405783138</v>
      </c>
      <c r="E16" s="33"/>
      <c r="F16" s="33">
        <f>AVERAGE(RunXAge!F30:F34)</f>
        <v>5921.4441592902322</v>
      </c>
      <c r="G16" s="33"/>
      <c r="H16" s="33"/>
      <c r="I16" s="802">
        <f>'Ln1.3=ln1.2 (2)'!U21</f>
        <v>33905.732333180466</v>
      </c>
      <c r="J16" s="33">
        <f>AVERAGE(RunXAge!J30:J34)</f>
        <v>373.26465780748708</v>
      </c>
      <c r="K16" s="33"/>
      <c r="L16" s="33"/>
      <c r="M16" s="33">
        <f>AVERAGE(RunXAge!M30:M34)</f>
        <v>20439.806409143832</v>
      </c>
      <c r="N16" s="33">
        <f>AVERAGE(RunXAge!N30:N34)</f>
        <v>1442.5950764280565</v>
      </c>
      <c r="O16" s="33"/>
      <c r="P16" s="33">
        <f>AVERAGE(RunXAge!P30:P34)</f>
        <v>132.88911400511765</v>
      </c>
      <c r="Q16" s="33">
        <f>AVERAGE(RunXAge!Q30:Q34)</f>
        <v>334.96217370207933</v>
      </c>
      <c r="R16" s="33"/>
      <c r="S16" s="33"/>
      <c r="T16" s="33">
        <f t="shared" si="0"/>
        <v>62790.882067615101</v>
      </c>
      <c r="U16" s="33">
        <f>Total_Run_Size!D125</f>
        <v>43011</v>
      </c>
      <c r="V16" s="279">
        <f t="shared" si="1"/>
        <v>-19779.882067615101</v>
      </c>
      <c r="W16" s="805">
        <f t="shared" si="2"/>
        <v>-0.45987961376427194</v>
      </c>
      <c r="X16" s="804">
        <f t="shared" si="3"/>
        <v>0.45987961376427194</v>
      </c>
      <c r="Y16" s="33">
        <f t="shared" si="4"/>
        <v>391243734.60876143</v>
      </c>
      <c r="Z16" s="33"/>
      <c r="AA16" s="33"/>
    </row>
    <row r="17" spans="1:29">
      <c r="A17" s="1">
        <v>2010</v>
      </c>
      <c r="B17" s="33"/>
      <c r="C17" s="33"/>
      <c r="D17" s="33">
        <f>AVERAGE(RunXAge!D31:D35)</f>
        <v>204.55474175786762</v>
      </c>
      <c r="E17" s="33"/>
      <c r="F17" s="33">
        <f>AVERAGE(RunXAge!F31:F35)</f>
        <v>5835.9202637670332</v>
      </c>
      <c r="G17" s="33"/>
      <c r="H17" s="33"/>
      <c r="I17" s="802">
        <f>'Ln1.3=ln1.2 (2)'!U22</f>
        <v>38774.357819164332</v>
      </c>
      <c r="J17" s="33">
        <f>AVERAGE(RunXAge!J31:J35)</f>
        <v>403.68776460790571</v>
      </c>
      <c r="K17" s="33"/>
      <c r="L17" s="33"/>
      <c r="M17" s="33">
        <f>AVERAGE(RunXAge!M31:M35)</f>
        <v>17161.869078259937</v>
      </c>
      <c r="N17" s="33">
        <f>AVERAGE(RunXAge!N31:N35)</f>
        <v>1302.0031589437067</v>
      </c>
      <c r="O17" s="33"/>
      <c r="P17" s="33">
        <f>AVERAGE(RunXAge!P31:P35)</f>
        <v>140.02939213876488</v>
      </c>
      <c r="Q17" s="33">
        <f>AVERAGE(RunXAge!Q31:Q35)</f>
        <v>434.40210202895224</v>
      </c>
      <c r="R17" s="33"/>
      <c r="S17" s="33"/>
      <c r="T17" s="33">
        <f t="shared" si="0"/>
        <v>64256.8243206685</v>
      </c>
      <c r="U17" s="33">
        <f>Total_Run_Size!D126</f>
        <v>33184</v>
      </c>
      <c r="V17" s="279">
        <f t="shared" si="1"/>
        <v>-31072.8243206685</v>
      </c>
      <c r="W17" s="805">
        <f t="shared" si="2"/>
        <v>-0.93637971072409898</v>
      </c>
      <c r="X17" s="804">
        <f t="shared" si="3"/>
        <v>0.93637971072409898</v>
      </c>
      <c r="Y17" s="33">
        <f t="shared" si="4"/>
        <v>965520411.2631278</v>
      </c>
      <c r="Z17" s="33"/>
      <c r="AA17" s="33"/>
    </row>
    <row r="18" spans="1:29">
      <c r="A18" s="1">
        <v>2011</v>
      </c>
      <c r="B18" s="33"/>
      <c r="C18" s="33"/>
      <c r="D18" s="33">
        <f>AVERAGE(RunXAge!D32:D36)</f>
        <v>205.88968767543693</v>
      </c>
      <c r="E18" s="33"/>
      <c r="F18" s="33">
        <f>AVERAGE(RunXAge!F32:F36)</f>
        <v>5737.9869197089811</v>
      </c>
      <c r="G18" s="33"/>
      <c r="H18" s="33"/>
      <c r="I18" s="802">
        <f>'Ln1.3=ln1.2 (2)'!U23</f>
        <v>40082.719863910308</v>
      </c>
      <c r="J18" s="33">
        <f>AVERAGE(RunXAge!J32:J36)</f>
        <v>426.20472668051923</v>
      </c>
      <c r="K18" s="33"/>
      <c r="L18" s="33"/>
      <c r="M18" s="33">
        <f>AVERAGE(RunXAge!M32:M36)</f>
        <v>14453.810828130247</v>
      </c>
      <c r="N18" s="33">
        <f>AVERAGE(RunXAge!N32:N36)</f>
        <v>1116.1209595632895</v>
      </c>
      <c r="O18" s="33"/>
      <c r="P18" s="33">
        <f>AVERAGE(RunXAge!P32:P36)</f>
        <v>137.23833547877615</v>
      </c>
      <c r="Q18" s="33">
        <f>AVERAGE(RunXAge!Q32:Q36)</f>
        <v>372.40451621885825</v>
      </c>
      <c r="R18" s="33"/>
      <c r="S18" s="33"/>
      <c r="T18" s="33">
        <f t="shared" si="0"/>
        <v>62532.37583736641</v>
      </c>
      <c r="U18" s="33">
        <f>Total_Run_Size!D127</f>
        <v>53888</v>
      </c>
      <c r="V18" s="279">
        <f t="shared" si="1"/>
        <v>-8644.3758373664095</v>
      </c>
      <c r="W18" s="805">
        <f t="shared" si="2"/>
        <v>-0.16041374401288616</v>
      </c>
      <c r="X18" s="804">
        <f t="shared" si="3"/>
        <v>0.16041374401288616</v>
      </c>
      <c r="Y18" s="33">
        <f t="shared" si="4"/>
        <v>74725233.617644221</v>
      </c>
      <c r="Z18" s="33"/>
      <c r="AA18" s="33"/>
    </row>
    <row r="19" spans="1:29">
      <c r="A19" s="1">
        <v>2012</v>
      </c>
      <c r="B19" s="33"/>
      <c r="C19" s="33"/>
      <c r="D19" s="33">
        <f>AVERAGE(RunXAge!D33:D37)</f>
        <v>133.00666521777492</v>
      </c>
      <c r="E19" s="33"/>
      <c r="F19" s="33">
        <f>AVERAGE(RunXAge!F33:F37)</f>
        <v>4919.8937460364232</v>
      </c>
      <c r="G19" s="33"/>
      <c r="H19" s="33"/>
      <c r="I19" s="802">
        <f>'Ln1.3=ln1.2 (2)'!U24</f>
        <v>40945.932013160855</v>
      </c>
      <c r="J19" s="33">
        <f>AVERAGE(RunXAge!J33:J37)</f>
        <v>282.2359659065001</v>
      </c>
      <c r="K19" s="33"/>
      <c r="L19" s="33"/>
      <c r="M19" s="33">
        <f>AVERAGE(RunXAge!M33:M37)</f>
        <v>12382.454852466408</v>
      </c>
      <c r="N19" s="33">
        <f>AVERAGE(RunXAge!N33:N37)</f>
        <v>640.10936565649115</v>
      </c>
      <c r="O19" s="33"/>
      <c r="P19" s="33">
        <f>AVERAGE(RunXAge!P33:P37)</f>
        <v>54.464016145544484</v>
      </c>
      <c r="Q19" s="33">
        <f>AVERAGE(RunXAge!Q33:Q37)</f>
        <v>264.69265595602002</v>
      </c>
      <c r="R19" s="33"/>
      <c r="S19" s="33"/>
      <c r="T19" s="33">
        <f t="shared" si="0"/>
        <v>59622.789280546014</v>
      </c>
      <c r="U19" s="33">
        <f>Total_Run_Size!D128</f>
        <v>46444</v>
      </c>
      <c r="V19" s="279">
        <f t="shared" si="1"/>
        <v>-13178.789280546014</v>
      </c>
      <c r="W19" s="805">
        <f t="shared" si="2"/>
        <v>-0.28375655155770418</v>
      </c>
      <c r="X19" s="804">
        <f t="shared" si="3"/>
        <v>0.28375655155770418</v>
      </c>
      <c r="Y19" s="33">
        <f t="shared" si="4"/>
        <v>173680486.90103453</v>
      </c>
      <c r="Z19" s="33"/>
      <c r="AA19" s="33"/>
    </row>
    <row r="20" spans="1:29">
      <c r="A20" s="1">
        <v>2013</v>
      </c>
      <c r="B20" s="33"/>
      <c r="C20" s="33"/>
      <c r="D20" s="33">
        <f>AVERAGE(RunXAge!D34:D38)</f>
        <v>112.0978145753952</v>
      </c>
      <c r="E20" s="33"/>
      <c r="F20" s="33">
        <f>AVERAGE(RunXAge!F34:F38)</f>
        <v>4652.2557651398511</v>
      </c>
      <c r="G20" s="33"/>
      <c r="H20" s="33"/>
      <c r="I20" s="802">
        <f>'Ln1.3=ln1.2 (2)'!U25</f>
        <v>31642.002939907114</v>
      </c>
      <c r="J20" s="33">
        <f>AVERAGE(RunXAge!J34:J38)</f>
        <v>195.70545991416924</v>
      </c>
      <c r="K20" s="33"/>
      <c r="L20" s="33"/>
      <c r="M20" s="33">
        <f>AVERAGE(RunXAge!M34:M38)</f>
        <v>8952.3707113635573</v>
      </c>
      <c r="N20" s="33">
        <f>AVERAGE(RunXAge!N34:N38)</f>
        <v>670.85718529394012</v>
      </c>
      <c r="O20" s="33"/>
      <c r="P20" s="33">
        <f>AVERAGE(RunXAge!P34:P38)</f>
        <v>177.77064748775032</v>
      </c>
      <c r="Q20" s="33">
        <f>AVERAGE(RunXAge!Q34:Q38)</f>
        <v>195.15698849547047</v>
      </c>
      <c r="R20" s="33"/>
      <c r="S20" s="33"/>
      <c r="T20" s="33">
        <f t="shared" si="0"/>
        <v>46598.217512177245</v>
      </c>
      <c r="U20" s="33">
        <f>Total_Run_Size!D129</f>
        <v>42900</v>
      </c>
      <c r="V20" s="279">
        <f t="shared" si="1"/>
        <v>-3698.2175121772452</v>
      </c>
      <c r="W20" s="805">
        <f t="shared" si="2"/>
        <v>-8.6205536414387995E-2</v>
      </c>
      <c r="X20" s="804">
        <f t="shared" si="3"/>
        <v>8.6205536414387995E-2</v>
      </c>
      <c r="Y20" s="33">
        <f t="shared" si="4"/>
        <v>13676812.767374452</v>
      </c>
      <c r="Z20" s="33"/>
      <c r="AA20" s="33"/>
    </row>
    <row r="21" spans="1:29">
      <c r="A21" s="890">
        <v>2014</v>
      </c>
      <c r="B21" s="328"/>
      <c r="C21" s="328"/>
      <c r="D21" s="328">
        <f>AVERAGE(RunXAge!D35:D39)</f>
        <v>1001.9252876527132</v>
      </c>
      <c r="E21" s="328"/>
      <c r="F21" s="328">
        <f>AVERAGE(RunXAge!F35:F39)</f>
        <v>5021.8325205576139</v>
      </c>
      <c r="G21" s="328"/>
      <c r="H21" s="328"/>
      <c r="I21" s="802">
        <f>'Ln1.3=ln1.2 (2)'!U28</f>
        <v>47241.539785209119</v>
      </c>
      <c r="J21" s="328">
        <f>AVERAGE(RunXAge!J35:J39)</f>
        <v>188.49636685927871</v>
      </c>
      <c r="K21" s="328"/>
      <c r="L21" s="328"/>
      <c r="M21" s="328">
        <f>AVERAGE(RunXAge!M35:M39)</f>
        <v>6490.392256342473</v>
      </c>
      <c r="N21" s="328">
        <f>AVERAGE(RunXAge!N35:N39)</f>
        <v>852.51963222185827</v>
      </c>
      <c r="O21" s="328"/>
      <c r="P21" s="328">
        <f>AVERAGE(RunXAge!P35:P39)</f>
        <v>173.46222270091107</v>
      </c>
      <c r="Q21" s="328">
        <f>AVERAGE(RunXAge!Q35:Q39)</f>
        <v>190.24522463923938</v>
      </c>
      <c r="R21" s="328"/>
      <c r="S21" s="328"/>
      <c r="T21" s="328">
        <f>SUM(B21:S21)</f>
        <v>61160.413296183207</v>
      </c>
      <c r="U21" s="33">
        <f>Total_Run_Size!D130</f>
        <v>35529</v>
      </c>
      <c r="V21" s="279">
        <f t="shared" ref="V21" si="5">U21-T21</f>
        <v>-25631.413296183207</v>
      </c>
      <c r="W21" s="805">
        <f t="shared" ref="W21" si="6">(U21-T21)/U21</f>
        <v>-0.72142231124386302</v>
      </c>
      <c r="X21" s="804">
        <f t="shared" ref="X21" si="7">ABS(W21)</f>
        <v>0.72142231124386302</v>
      </c>
      <c r="Y21" s="33">
        <f t="shared" ref="Y21" si="8">(U21-T21)^2</f>
        <v>656969347.55975735</v>
      </c>
      <c r="Z21" s="33"/>
    </row>
    <row r="22" spans="1:29">
      <c r="A22" s="890">
        <v>2015</v>
      </c>
      <c r="B22" s="328"/>
      <c r="C22" s="328"/>
      <c r="D22" s="33">
        <f>AVERAGE(RunXAge!D36:D41)</f>
        <v>1061.616927233709</v>
      </c>
      <c r="E22" s="328"/>
      <c r="F22" s="33">
        <f>AVERAGE(RunXAge!F36:F40)</f>
        <v>5885.2650512920618</v>
      </c>
      <c r="G22" s="33"/>
      <c r="H22" s="33"/>
      <c r="I22" s="802">
        <f>'Ln1.3=ln1.2 (2)'!U28</f>
        <v>47241.539785209119</v>
      </c>
      <c r="J22" s="33">
        <f>AVERAGE(RunXAge!J36:J40)</f>
        <v>204.95298440955349</v>
      </c>
      <c r="K22" s="33"/>
      <c r="L22" s="33"/>
      <c r="M22" s="33">
        <f>AVERAGE(RunXAge!M36:M40)</f>
        <v>6344.0879575150238</v>
      </c>
      <c r="N22" s="33">
        <f>AVERAGE(RunXAge!N36:N40)</f>
        <v>899.50577014224928</v>
      </c>
      <c r="O22" s="33"/>
      <c r="P22" s="33">
        <f>AVERAGE(RunXAge!P36:P40)</f>
        <v>167.23524330887167</v>
      </c>
      <c r="Q22" s="33">
        <f>AVERAGE(RunXAge!Q36:Q40)</f>
        <v>61.558637075050356</v>
      </c>
      <c r="R22" s="33"/>
      <c r="S22" s="33"/>
      <c r="T22" s="33">
        <f t="shared" ref="T22" si="9">SUM(B22:S22)</f>
        <v>61865.762356185645</v>
      </c>
      <c r="U22" s="33"/>
      <c r="V22" s="279"/>
      <c r="W22" s="805"/>
      <c r="X22" s="804"/>
      <c r="Y22" s="33"/>
      <c r="Z22" s="33"/>
    </row>
    <row r="23" spans="1:29">
      <c r="A23" s="890"/>
      <c r="B23" s="328"/>
      <c r="C23" s="328"/>
      <c r="D23" s="33"/>
      <c r="E23" s="328"/>
      <c r="F23" s="33"/>
      <c r="G23" s="33"/>
      <c r="H23" s="33"/>
      <c r="I23" s="802"/>
      <c r="J23" s="33"/>
      <c r="K23" s="33"/>
      <c r="L23" s="33"/>
      <c r="M23" s="33"/>
      <c r="N23" s="33"/>
      <c r="O23" s="33"/>
      <c r="P23" s="33"/>
      <c r="Q23" s="33"/>
      <c r="R23" s="33"/>
      <c r="S23" s="33"/>
      <c r="T23" s="33"/>
      <c r="U23" s="33"/>
      <c r="V23" s="279"/>
      <c r="W23" s="805"/>
      <c r="X23" s="804"/>
      <c r="Y23" s="33"/>
      <c r="Z23" s="33"/>
    </row>
    <row r="24" spans="1:29" ht="13.8" thickBot="1">
      <c r="D24" s="35"/>
      <c r="E24" s="35"/>
      <c r="F24" s="35"/>
      <c r="G24" s="35"/>
      <c r="H24" s="35"/>
      <c r="T24" s="35"/>
      <c r="U24" s="35"/>
    </row>
    <row r="25" spans="1:29">
      <c r="A25" s="844" t="s">
        <v>461</v>
      </c>
      <c r="B25" s="247">
        <f>IF(B$22-(RunXAge!B$48*(RunXAge!B$47/SQRT(RunXAge!B$46)))&lt;0,0,B$22-(RunXAge!B$48*(RunXAge!B$47/SQRT(RunXAge!B$46))))</f>
        <v>0</v>
      </c>
      <c r="C25" s="247">
        <f>IF(C$22-(RunXAge!C$48*(RunXAge!C$47/SQRT(RunXAge!C$46)))&lt;0,0,C$22-(RunXAge!C$48*(RunXAge!C$47/SQRT(RunXAge!C$46))))</f>
        <v>0</v>
      </c>
      <c r="D25" s="247">
        <f>IF(D$22-(RunXAge!D$48*(RunXAge!D$47/SQRT(RunXAge!D$46)))&lt;0,0,D$22-(RunXAge!D$48*(RunXAge!D$47/SQRT(RunXAge!D$46))))</f>
        <v>0</v>
      </c>
      <c r="E25" s="247">
        <f>IF(E$22-(RunXAge!E$48*(RunXAge!E$47/SQRT(RunXAge!E$46)))&lt;0,0,E$22-(RunXAge!E$48*(RunXAge!E$47/SQRT(RunXAge!E$46))))</f>
        <v>0</v>
      </c>
      <c r="F25" s="247">
        <f>IF(F$22-(RunXAge!F$48*(RunXAge!F$47/SQRT(RunXAge!F$46)))&lt;0,0,F$22-(RunXAge!F$48*(RunXAge!F$47/SQRT(RunXAge!F$46))))</f>
        <v>5389.8797459298439</v>
      </c>
      <c r="G25" s="247">
        <f>IF(G$22-(RunXAge!G$48*(RunXAge!G$47/SQRT(RunXAge!G$46)))&lt;0,0,G$22-(RunXAge!G$48*(RunXAge!G$47/SQRT(RunXAge!G$46))))</f>
        <v>0</v>
      </c>
      <c r="H25" s="247">
        <f>IF(H$22-(RunXAge!H$48*(RunXAge!H$47/SQRT(RunXAge!H$46)))&lt;0,0,H$22-(RunXAge!H$48*(RunXAge!H$47/SQRT(RunXAge!H$46))))</f>
        <v>0</v>
      </c>
      <c r="I25" s="247">
        <f>IF(I$22-(RunXAge!I$48*(RunXAge!I$47/SQRT(RunXAge!I$46)))&lt;0,0,I$22-(RunXAge!I$48*(RunXAge!I$47/SQRT(RunXAge!I$46))))</f>
        <v>42124.437796208993</v>
      </c>
      <c r="J25" s="247">
        <f>IF(J$22-(RunXAge!J$48*(RunXAge!J$47/SQRT(RunXAge!J$46)))&lt;0,0,J$22-(RunXAge!J$48*(RunXAge!J$47/SQRT(RunXAge!J$46))))</f>
        <v>137.69488779913041</v>
      </c>
      <c r="K25" s="247">
        <f>IF(K$22-(RunXAge!K$48*(RunXAge!K$47/SQRT(RunXAge!K$46)))&lt;0,0,K$22-(RunXAge!K$48*(RunXAge!K$47/SQRT(RunXAge!K$46))))</f>
        <v>0</v>
      </c>
      <c r="L25" s="247">
        <f>IF(L$22-(RunXAge!L$48*(RunXAge!L$47/SQRT(RunXAge!L$46)))&lt;0,0,L$22-(RunXAge!L$48*(RunXAge!L$47/SQRT(RunXAge!L$46))))</f>
        <v>0</v>
      </c>
      <c r="M25" s="247">
        <f>IF(M$22-(RunXAge!M$48*(RunXAge!M$47/SQRT(RunXAge!M$46)))&lt;0,0,M$22-(RunXAge!M$48*(RunXAge!M$47/SQRT(RunXAge!M$46))))</f>
        <v>5173.7960426498712</v>
      </c>
      <c r="N25" s="247">
        <f>IF(N$22-(RunXAge!N$48*(RunXAge!N$47/SQRT(RunXAge!N$46)))&lt;0,0,N$22-(RunXAge!N$48*(RunXAge!N$47/SQRT(RunXAge!N$46))))</f>
        <v>637.38331321531427</v>
      </c>
      <c r="O25" s="247">
        <f>IF(O$22-(RunXAge!O$48*(RunXAge!O$47/SQRT(RunXAge!O$46)))&lt;0,0,O$22-(RunXAge!O$48*(RunXAge!O$47/SQRT(RunXAge!O$46))))</f>
        <v>0</v>
      </c>
      <c r="P25" s="247">
        <f>IF(P$22-(RunXAge!P$48*(RunXAge!P$47/SQRT(RunXAge!P$46)))&lt;0,0,P$22-(RunXAge!P$48*(RunXAge!P$47/SQRT(RunXAge!P$46))))</f>
        <v>0</v>
      </c>
      <c r="Q25" s="247">
        <f>IF(Q$22-(RunXAge!Q$48*(RunXAge!Q$47/SQRT(RunXAge!Q$46)))&lt;0,0,Q$22-(RunXAge!Q$48*(RunXAge!Q$47/SQRT(RunXAge!Q$46))))</f>
        <v>0</v>
      </c>
      <c r="R25" s="247">
        <f>IF(R$22-(RunXAge!R$48*(RunXAge!R$47/SQRT(RunXAge!R$46)))&lt;0,0,R$22-(RunXAge!R$48*(RunXAge!R$47/SQRT(RunXAge!R$46))))</f>
        <v>0</v>
      </c>
      <c r="S25" s="247">
        <f>IF(S$22-(RunXAge!S$48*(RunXAge!S$47/SQRT(RunXAge!S$46)))&lt;0,0,S$22-(RunXAge!S$48*(RunXAge!S$47/SQRT(RunXAge!S$46))))</f>
        <v>0</v>
      </c>
      <c r="U25" s="807" t="s">
        <v>148</v>
      </c>
      <c r="V25" s="808">
        <f>COUNT(V6:V24)</f>
        <v>16</v>
      </c>
      <c r="W25" s="808">
        <f t="shared" ref="W25:X25" si="10">COUNT(W6:W24)</f>
        <v>16</v>
      </c>
      <c r="X25" s="808">
        <f t="shared" si="10"/>
        <v>16</v>
      </c>
      <c r="Y25" s="27"/>
      <c r="Z25" s="23"/>
      <c r="AA25" s="23"/>
      <c r="AB25" s="819" t="s">
        <v>457</v>
      </c>
      <c r="AC25" s="820" t="s">
        <v>458</v>
      </c>
    </row>
    <row r="26" spans="1:29">
      <c r="A26" s="441" t="s">
        <v>460</v>
      </c>
      <c r="B26" s="845">
        <f>IF(B$22+(RunXAge!B$48*(RunXAge!B$47/SQRT(RunXAge!B$46)))&lt;0,0,B$22+(RunXAge!B$48*(RunXAge!B$47/SQRT(RunXAge!B$46))))</f>
        <v>0</v>
      </c>
      <c r="C26" s="845">
        <f>IF(C$22+(RunXAge!C$48*(RunXAge!C$47/SQRT(RunXAge!C$46)))&lt;0,0,C$22+(RunXAge!C$48*(RunXAge!C$47/SQRT(RunXAge!C$46))))</f>
        <v>3.2974216006343013</v>
      </c>
      <c r="D26" s="845">
        <f>IF(D$22+(RunXAge!D$48*(RunXAge!D$47/SQRT(RunXAge!D$46)))&lt;0,0,D$22+(RunXAge!D$48*(RunXAge!D$47/SQRT(RunXAge!D$46))))</f>
        <v>2249.2963226183292</v>
      </c>
      <c r="E26" s="845">
        <f>IF(E$22+(RunXAge!E$48*(RunXAge!E$47/SQRT(RunXAge!E$46)))&lt;0,0,E$22+(RunXAge!E$48*(RunXAge!E$47/SQRT(RunXAge!E$46))))</f>
        <v>0</v>
      </c>
      <c r="F26" s="845">
        <f>IF(F$22+(RunXAge!F$48*(RunXAge!F$47/SQRT(RunXAge!F$46)))&lt;0,0,F$22+(RunXAge!F$48*(RunXAge!F$47/SQRT(RunXAge!F$46))))</f>
        <v>6380.6503566542797</v>
      </c>
      <c r="G26" s="845">
        <f>IF(G$22+(RunXAge!G$48*(RunXAge!G$47/SQRT(RunXAge!G$46)))&lt;0,0,G$22+(RunXAge!G$48*(RunXAge!G$47/SQRT(RunXAge!G$46))))</f>
        <v>28.859094638683207</v>
      </c>
      <c r="H26" s="845">
        <f>IF(H$22+(RunXAge!H$48*(RunXAge!H$47/SQRT(RunXAge!H$46)))&lt;0,0,H$22+(RunXAge!H$48*(RunXAge!H$47/SQRT(RunXAge!H$46))))</f>
        <v>0</v>
      </c>
      <c r="I26" s="845">
        <f>IF(I$22+(RunXAge!I$48*(RunXAge!I$47/SQRT(RunXAge!I$46)))&lt;0,0,I$22+(RunXAge!I$48*(RunXAge!I$47/SQRT(RunXAge!I$46))))</f>
        <v>52358.641774209245</v>
      </c>
      <c r="J26" s="845">
        <f>IF(J$22+(RunXAge!J$48*(RunXAge!J$47/SQRT(RunXAge!J$46)))&lt;0,0,J$22+(RunXAge!J$48*(RunXAge!J$47/SQRT(RunXAge!J$46))))</f>
        <v>272.21108101997658</v>
      </c>
      <c r="K26" s="845">
        <f>IF(K$22+(RunXAge!K$48*(RunXAge!K$47/SQRT(RunXAge!K$46)))&lt;0,0,K$22+(RunXAge!K$48*(RunXAge!K$47/SQRT(RunXAge!K$46))))</f>
        <v>0</v>
      </c>
      <c r="L26" s="845">
        <f>IF(L$22+(RunXAge!L$48*(RunXAge!L$47/SQRT(RunXAge!L$46)))&lt;0,0,L$22+(RunXAge!L$48*(RunXAge!L$47/SQRT(RunXAge!L$46))))</f>
        <v>0</v>
      </c>
      <c r="M26" s="845">
        <f>IF(M$22+(RunXAge!M$48*(RunXAge!M$47/SQRT(RunXAge!M$46)))&lt;0,0,M$22+(RunXAge!M$48*(RunXAge!M$47/SQRT(RunXAge!M$46))))</f>
        <v>7514.3798723801765</v>
      </c>
      <c r="N26" s="845">
        <f>IF(N$22+(RunXAge!N$48*(RunXAge!N$47/SQRT(RunXAge!N$46)))&lt;0,0,N$22+(RunXAge!N$48*(RunXAge!N$47/SQRT(RunXAge!N$46))))</f>
        <v>1161.6282270691843</v>
      </c>
      <c r="O26" s="845">
        <f>IF(O$22+(RunXAge!O$48*(RunXAge!O$47/SQRT(RunXAge!O$46)))&lt;0,0,O$22+(RunXAge!O$48*(RunXAge!O$47/SQRT(RunXAge!O$46))))</f>
        <v>0</v>
      </c>
      <c r="P26" s="845">
        <f>IF(P$22+(RunXAge!P$48*(RunXAge!P$47/SQRT(RunXAge!P$46)))&lt;0,0,P$22+(RunXAge!P$48*(RunXAge!P$47/SQRT(RunXAge!P$46))))</f>
        <v>393.04018126304004</v>
      </c>
      <c r="Q26" s="845">
        <f>IF(Q$22+(RunXAge!Q$48*(RunXAge!Q$47/SQRT(RunXAge!Q$46)))&lt;0,0,Q$22+(RunXAge!Q$48*(RunXAge!Q$47/SQRT(RunXAge!Q$46))))</f>
        <v>260.76689151729937</v>
      </c>
      <c r="R26" s="845">
        <f>IF(R$22+(RunXAge!R$48*(RunXAge!R$47/SQRT(RunXAge!R$46)))&lt;0,0,R$22+(RunXAge!R$48*(RunXAge!R$47/SQRT(RunXAge!R$46))))</f>
        <v>1.7121116814039465</v>
      </c>
      <c r="S26" s="845">
        <f>IF(S$22+(RunXAge!S$48*(RunXAge!S$47/SQRT(RunXAge!S$46)))&lt;0,0,S$22+(RunXAge!S$48*(RunXAge!S$47/SQRT(RunXAge!S$46))))</f>
        <v>0</v>
      </c>
      <c r="U26" s="809" t="s">
        <v>448</v>
      </c>
      <c r="V26" s="842">
        <f>SUM(V6:V20)</f>
        <v>-71145.43122734144</v>
      </c>
      <c r="W26" s="843">
        <f t="shared" ref="W26:X26" si="11">SUM(W6:W20)</f>
        <v>-2.1887728633075176</v>
      </c>
      <c r="X26" s="810">
        <f t="shared" si="11"/>
        <v>3.9712488903207137</v>
      </c>
      <c r="Y26" s="29"/>
      <c r="Z26" s="23"/>
      <c r="AA26" s="23"/>
      <c r="AB26" s="821" t="s">
        <v>149</v>
      </c>
      <c r="AC26" s="822">
        <v>0.2</v>
      </c>
    </row>
    <row r="27" spans="1:29">
      <c r="D27" s="884"/>
      <c r="E27" s="884"/>
      <c r="F27" s="884"/>
      <c r="G27" s="884"/>
      <c r="H27" s="884"/>
      <c r="I27" s="884"/>
      <c r="J27" s="884"/>
      <c r="K27" s="884"/>
      <c r="L27" s="884"/>
      <c r="M27" s="884"/>
      <c r="N27" s="884"/>
      <c r="O27" s="884"/>
      <c r="P27" s="884"/>
      <c r="Q27" s="884"/>
      <c r="R27" s="884"/>
      <c r="S27" s="884"/>
      <c r="U27" s="809" t="s">
        <v>224</v>
      </c>
      <c r="V27" s="842">
        <f>AVERAGE(V6:V20)</f>
        <v>-4743.0287484894297</v>
      </c>
      <c r="W27" s="843">
        <f t="shared" ref="W27:X27" si="12">AVERAGE(W6:W20)</f>
        <v>-0.14591819088716784</v>
      </c>
      <c r="X27" s="878">
        <f t="shared" si="12"/>
        <v>0.26474992602138092</v>
      </c>
      <c r="Y27" s="811" t="s">
        <v>449</v>
      </c>
      <c r="Z27" s="790"/>
      <c r="AA27" s="790"/>
      <c r="AB27" s="823">
        <v>1</v>
      </c>
      <c r="AC27" s="824">
        <v>3.0779999999999998</v>
      </c>
    </row>
    <row r="28" spans="1:29" ht="13.8" thickBot="1">
      <c r="A28" s="439" t="s">
        <v>469</v>
      </c>
      <c r="B28" s="33">
        <f t="shared" ref="B28:C28" si="13">B22-B25</f>
        <v>0</v>
      </c>
      <c r="C28" s="33">
        <f t="shared" si="13"/>
        <v>0</v>
      </c>
      <c r="D28" s="33">
        <f>D22-D25</f>
        <v>1061.616927233709</v>
      </c>
      <c r="E28" s="33">
        <f t="shared" ref="E28:S28" si="14">E22-E25</f>
        <v>0</v>
      </c>
      <c r="F28" s="33">
        <f t="shared" si="14"/>
        <v>495.38530536221788</v>
      </c>
      <c r="G28" s="33">
        <f t="shared" si="14"/>
        <v>0</v>
      </c>
      <c r="H28" s="33">
        <f t="shared" si="14"/>
        <v>0</v>
      </c>
      <c r="I28" s="33">
        <f t="shared" si="14"/>
        <v>5117.1019890001262</v>
      </c>
      <c r="J28" s="33">
        <f t="shared" si="14"/>
        <v>67.258096610423081</v>
      </c>
      <c r="K28" s="33">
        <f t="shared" si="14"/>
        <v>0</v>
      </c>
      <c r="L28" s="33">
        <f t="shared" si="14"/>
        <v>0</v>
      </c>
      <c r="M28" s="33">
        <f t="shared" si="14"/>
        <v>1170.2919148651526</v>
      </c>
      <c r="N28" s="33">
        <f t="shared" si="14"/>
        <v>262.122456926935</v>
      </c>
      <c r="O28" s="33">
        <f t="shared" si="14"/>
        <v>0</v>
      </c>
      <c r="P28" s="33">
        <f t="shared" si="14"/>
        <v>167.23524330887167</v>
      </c>
      <c r="Q28" s="33">
        <f t="shared" si="14"/>
        <v>61.558637075050356</v>
      </c>
      <c r="R28" s="33">
        <f t="shared" si="14"/>
        <v>0</v>
      </c>
      <c r="S28" s="33">
        <f t="shared" si="14"/>
        <v>0</v>
      </c>
      <c r="T28" s="33">
        <f>SUM(B28:S28)</f>
        <v>8402.570570382486</v>
      </c>
      <c r="U28" s="812" t="s">
        <v>251</v>
      </c>
      <c r="V28" s="813">
        <f>STDEV(V6:V20)</f>
        <v>19383.147441072415</v>
      </c>
      <c r="W28" s="814">
        <f t="shared" ref="W28:X28" si="15">STDEV(W6:W20)</f>
        <v>0.33449920086498858</v>
      </c>
      <c r="X28" s="879">
        <f t="shared" si="15"/>
        <v>0.24413841827102378</v>
      </c>
      <c r="Y28" s="31"/>
      <c r="Z28" s="23"/>
      <c r="AA28" s="23"/>
      <c r="AB28" s="825">
        <v>2</v>
      </c>
      <c r="AC28" s="826">
        <v>1.8859999999999999</v>
      </c>
    </row>
    <row r="29" spans="1:29">
      <c r="A29" s="439" t="s">
        <v>470</v>
      </c>
      <c r="B29" s="33">
        <f t="shared" ref="B29:C29" si="16">B26-B22</f>
        <v>0</v>
      </c>
      <c r="C29" s="33">
        <f t="shared" si="16"/>
        <v>3.2974216006343013</v>
      </c>
      <c r="D29" s="33">
        <f>D26-D22</f>
        <v>1187.6793953846202</v>
      </c>
      <c r="E29" s="33">
        <f t="shared" ref="E29:S29" si="17">E26-E22</f>
        <v>0</v>
      </c>
      <c r="F29" s="33">
        <f t="shared" si="17"/>
        <v>495.38530536221788</v>
      </c>
      <c r="G29" s="33">
        <f t="shared" si="17"/>
        <v>28.859094638683207</v>
      </c>
      <c r="H29" s="33">
        <f t="shared" si="17"/>
        <v>0</v>
      </c>
      <c r="I29" s="33">
        <f t="shared" si="17"/>
        <v>5117.1019890001262</v>
      </c>
      <c r="J29" s="33">
        <f t="shared" si="17"/>
        <v>67.258096610423081</v>
      </c>
      <c r="K29" s="33">
        <f t="shared" si="17"/>
        <v>0</v>
      </c>
      <c r="L29" s="33">
        <f t="shared" si="17"/>
        <v>0</v>
      </c>
      <c r="M29" s="33">
        <f t="shared" si="17"/>
        <v>1170.2919148651526</v>
      </c>
      <c r="N29" s="33">
        <f t="shared" si="17"/>
        <v>262.122456926935</v>
      </c>
      <c r="O29" s="33">
        <f t="shared" si="17"/>
        <v>0</v>
      </c>
      <c r="P29" s="33">
        <f t="shared" si="17"/>
        <v>225.80493795416837</v>
      </c>
      <c r="Q29" s="33">
        <f t="shared" si="17"/>
        <v>199.20825444224903</v>
      </c>
      <c r="R29" s="33">
        <f t="shared" si="17"/>
        <v>1.7121116814039465</v>
      </c>
      <c r="S29" s="33">
        <f t="shared" si="17"/>
        <v>0</v>
      </c>
      <c r="T29" s="33">
        <f>SUM(B29:S29)</f>
        <v>8758.720978466612</v>
      </c>
      <c r="AB29" s="825">
        <v>3</v>
      </c>
      <c r="AC29" s="826">
        <v>1.6379999999999999</v>
      </c>
    </row>
    <row r="30" spans="1:29" ht="13.8" thickBot="1">
      <c r="A30" s="439"/>
      <c r="B30" s="33"/>
      <c r="C30" s="33"/>
      <c r="D30" s="33"/>
      <c r="E30" s="33"/>
      <c r="F30" s="33"/>
      <c r="G30" s="33"/>
      <c r="H30" s="33"/>
      <c r="I30" s="33"/>
      <c r="J30" s="33"/>
      <c r="K30" s="33"/>
      <c r="L30" s="33"/>
      <c r="M30" s="33"/>
      <c r="N30" s="33"/>
      <c r="O30" s="33"/>
      <c r="P30" s="33"/>
      <c r="Q30" s="33"/>
      <c r="R30" s="33"/>
      <c r="S30" s="33"/>
      <c r="T30" s="33"/>
      <c r="AB30" s="825">
        <v>4</v>
      </c>
      <c r="AC30" s="826">
        <v>1.5329999999999999</v>
      </c>
    </row>
    <row r="31" spans="1:29" ht="14.4" thickBot="1">
      <c r="A31" s="880" t="s">
        <v>475</v>
      </c>
      <c r="B31" s="684"/>
      <c r="C31" s="684"/>
      <c r="D31" s="684"/>
      <c r="E31" s="684"/>
      <c r="F31" s="881" t="s">
        <v>477</v>
      </c>
      <c r="G31" s="684"/>
      <c r="H31" s="684"/>
      <c r="I31" s="684"/>
      <c r="J31" s="684"/>
      <c r="K31" s="881" t="s">
        <v>478</v>
      </c>
      <c r="L31" s="684"/>
      <c r="M31" s="684"/>
      <c r="N31" s="684"/>
      <c r="O31" s="684"/>
      <c r="P31" s="684"/>
      <c r="Q31" s="26"/>
      <c r="R31" s="26"/>
      <c r="S31" s="27"/>
      <c r="Z31" s="53"/>
      <c r="AA31" s="33"/>
      <c r="AB31" s="825">
        <v>5</v>
      </c>
      <c r="AC31" s="826">
        <v>1.476</v>
      </c>
    </row>
    <row r="32" spans="1:29">
      <c r="A32" s="863" t="s">
        <v>471</v>
      </c>
      <c r="B32" s="866">
        <f>B33-T28</f>
        <v>52757.842725800721</v>
      </c>
      <c r="C32" s="870">
        <f>MROUND(B32,1000)</f>
        <v>53000</v>
      </c>
      <c r="D32" s="23"/>
      <c r="E32" s="23"/>
      <c r="F32" s="873" t="s">
        <v>471</v>
      </c>
      <c r="G32" s="876"/>
      <c r="H32" s="870">
        <f>C32-$H$36</f>
        <v>26000</v>
      </c>
      <c r="I32" s="23"/>
      <c r="J32" s="23"/>
      <c r="K32" s="873" t="s">
        <v>471</v>
      </c>
      <c r="L32" s="876"/>
      <c r="M32" s="885">
        <f>H32*$R$36</f>
        <v>17009.957954236696</v>
      </c>
      <c r="N32" s="870">
        <f>MROUND(M32,1000)</f>
        <v>17000</v>
      </c>
      <c r="O32" s="23"/>
      <c r="P32" s="23"/>
      <c r="Q32" s="23"/>
      <c r="R32" s="23"/>
      <c r="S32" s="29"/>
      <c r="W32" s="833"/>
      <c r="X32" s="834" t="s">
        <v>453</v>
      </c>
      <c r="Y32" s="835">
        <f>SUM(Y6:Y20)</f>
        <v>5597334491.7478886</v>
      </c>
      <c r="Z32" s="53"/>
      <c r="AA32" s="33"/>
      <c r="AB32" s="825">
        <v>6</v>
      </c>
      <c r="AC32" s="826">
        <v>1.44</v>
      </c>
    </row>
    <row r="33" spans="1:29">
      <c r="A33" s="864" t="s">
        <v>472</v>
      </c>
      <c r="B33" s="867">
        <f>T21</f>
        <v>61160.413296183207</v>
      </c>
      <c r="C33" s="871">
        <f t="shared" ref="C33:C34" si="18">MROUND(B33,1000)</f>
        <v>61000</v>
      </c>
      <c r="D33" s="23"/>
      <c r="E33" s="23"/>
      <c r="F33" s="874" t="s">
        <v>472</v>
      </c>
      <c r="G33" s="774"/>
      <c r="H33" s="871">
        <f>C33-$H$36</f>
        <v>34000</v>
      </c>
      <c r="I33" s="23"/>
      <c r="J33" s="23"/>
      <c r="K33" s="874" t="s">
        <v>472</v>
      </c>
      <c r="L33" s="774"/>
      <c r="M33" s="886">
        <f t="shared" ref="M33:M34" si="19">H33*$R$36</f>
        <v>22243.791170924909</v>
      </c>
      <c r="N33" s="871">
        <f t="shared" ref="N33:N34" si="20">MROUND(M33,1000)</f>
        <v>22000</v>
      </c>
      <c r="O33" s="23"/>
      <c r="P33" s="23"/>
      <c r="Q33" s="23"/>
      <c r="R33" s="23"/>
      <c r="S33" s="29"/>
      <c r="W33" s="836"/>
      <c r="X33" s="837" t="s">
        <v>454</v>
      </c>
      <c r="Y33" s="838">
        <f>SQRT(Y32)</f>
        <v>74815.335939551107</v>
      </c>
      <c r="Z33" s="53"/>
      <c r="AB33" s="825">
        <v>7</v>
      </c>
      <c r="AC33" s="826">
        <v>1.415</v>
      </c>
    </row>
    <row r="34" spans="1:29" ht="13.8" thickBot="1">
      <c r="A34" s="865" t="s">
        <v>473</v>
      </c>
      <c r="B34" s="868">
        <f>B33+T29</f>
        <v>69919.134274649812</v>
      </c>
      <c r="C34" s="872">
        <f t="shared" si="18"/>
        <v>70000</v>
      </c>
      <c r="D34" s="23"/>
      <c r="E34" s="23"/>
      <c r="F34" s="875" t="s">
        <v>473</v>
      </c>
      <c r="G34" s="877"/>
      <c r="H34" s="872">
        <f>C34-$H$36</f>
        <v>43000</v>
      </c>
      <c r="I34" s="23"/>
      <c r="J34" s="23"/>
      <c r="K34" s="875" t="s">
        <v>473</v>
      </c>
      <c r="L34" s="877"/>
      <c r="M34" s="887">
        <f t="shared" si="19"/>
        <v>28131.85353969915</v>
      </c>
      <c r="N34" s="872">
        <f t="shared" si="20"/>
        <v>28000</v>
      </c>
      <c r="O34" s="23"/>
      <c r="P34" s="23"/>
      <c r="Q34" s="23"/>
      <c r="R34" s="23"/>
      <c r="S34" s="29"/>
      <c r="W34" s="839"/>
      <c r="X34" s="840" t="s">
        <v>459</v>
      </c>
      <c r="Y34" s="841">
        <f>Y33*Y3</f>
        <v>100327.36549493803</v>
      </c>
      <c r="AB34" s="825">
        <v>8</v>
      </c>
      <c r="AC34" s="826">
        <v>1.397</v>
      </c>
    </row>
    <row r="35" spans="1:29">
      <c r="A35" s="28"/>
      <c r="B35" s="23"/>
      <c r="C35" s="23"/>
      <c r="D35" s="23"/>
      <c r="E35" s="23"/>
      <c r="F35" s="23"/>
      <c r="G35" s="23"/>
      <c r="H35" s="23"/>
      <c r="I35" s="23"/>
      <c r="J35" s="23"/>
      <c r="K35" s="23"/>
      <c r="L35" s="23"/>
      <c r="M35" s="23"/>
      <c r="N35" s="23"/>
      <c r="O35" s="23"/>
      <c r="P35" s="23"/>
      <c r="Q35" s="23"/>
      <c r="R35" s="23"/>
      <c r="S35" s="29"/>
      <c r="AB35" s="825">
        <v>9</v>
      </c>
      <c r="AC35" s="826">
        <v>1.383</v>
      </c>
    </row>
    <row r="36" spans="1:29">
      <c r="A36" s="28"/>
      <c r="B36" s="23"/>
      <c r="C36" s="23"/>
      <c r="D36" s="23"/>
      <c r="E36" s="869" t="s">
        <v>476</v>
      </c>
      <c r="F36" s="774"/>
      <c r="G36" s="774"/>
      <c r="H36" s="882">
        <v>27000</v>
      </c>
      <c r="I36" s="23"/>
      <c r="J36" s="23"/>
      <c r="K36" s="869" t="s">
        <v>479</v>
      </c>
      <c r="L36" s="774"/>
      <c r="M36" s="774"/>
      <c r="N36" s="774"/>
      <c r="O36" s="774"/>
      <c r="P36" s="774"/>
      <c r="Q36" s="774"/>
      <c r="R36" s="774">
        <f>Harvests!S136</f>
        <v>0.65422915208602672</v>
      </c>
      <c r="S36" s="29"/>
      <c r="AB36" s="825">
        <v>10</v>
      </c>
      <c r="AC36" s="826">
        <v>1.3720000000000001</v>
      </c>
    </row>
    <row r="37" spans="1:29" ht="13.8" thickBot="1">
      <c r="A37" s="32"/>
      <c r="B37" s="30"/>
      <c r="C37" s="30"/>
      <c r="D37" s="30"/>
      <c r="E37" s="30"/>
      <c r="F37" s="30"/>
      <c r="G37" s="30"/>
      <c r="H37" s="30"/>
      <c r="I37" s="30"/>
      <c r="J37" s="30"/>
      <c r="K37" s="30"/>
      <c r="L37" s="30"/>
      <c r="M37" s="30"/>
      <c r="N37" s="30"/>
      <c r="O37" s="30"/>
      <c r="P37" s="30"/>
      <c r="Q37" s="30"/>
      <c r="R37" s="30"/>
      <c r="S37" s="31"/>
      <c r="AB37" s="825">
        <v>11</v>
      </c>
      <c r="AC37" s="826">
        <v>1.363</v>
      </c>
    </row>
    <row r="38" spans="1:29">
      <c r="AB38" s="825">
        <v>12</v>
      </c>
      <c r="AC38" s="826">
        <v>1.3560000000000001</v>
      </c>
    </row>
    <row r="39" spans="1:29">
      <c r="A39" s="846" t="s">
        <v>462</v>
      </c>
      <c r="B39" s="846"/>
      <c r="C39" s="846"/>
      <c r="D39" s="846"/>
      <c r="E39" s="846"/>
      <c r="F39" s="846"/>
      <c r="G39" s="846"/>
      <c r="H39" s="846"/>
      <c r="I39" s="846"/>
      <c r="J39" s="846"/>
      <c r="AB39" s="825">
        <v>13</v>
      </c>
      <c r="AC39" s="826">
        <v>1.35</v>
      </c>
    </row>
    <row r="40" spans="1:29">
      <c r="A40" s="846" t="s">
        <v>474</v>
      </c>
      <c r="B40" s="846"/>
      <c r="C40" s="846"/>
      <c r="D40" s="846"/>
      <c r="E40" s="846"/>
      <c r="F40" s="846"/>
      <c r="G40" s="846"/>
      <c r="H40" s="846"/>
      <c r="I40" s="846"/>
      <c r="J40" s="846"/>
      <c r="AB40" s="825">
        <v>14</v>
      </c>
      <c r="AC40" s="826">
        <v>1.345</v>
      </c>
    </row>
    <row r="41" spans="1:29">
      <c r="A41" s="847"/>
      <c r="B41" s="848" t="s">
        <v>78</v>
      </c>
      <c r="C41" s="848" t="s">
        <v>79</v>
      </c>
      <c r="D41" s="847"/>
      <c r="E41" s="848" t="s">
        <v>80</v>
      </c>
      <c r="F41" s="846"/>
      <c r="G41" s="846"/>
      <c r="H41" s="846" t="s">
        <v>463</v>
      </c>
      <c r="I41" s="846" t="s">
        <v>464</v>
      </c>
      <c r="J41" s="846"/>
      <c r="AB41" s="825">
        <v>15</v>
      </c>
      <c r="AC41" s="826">
        <v>1.341</v>
      </c>
    </row>
    <row r="42" spans="1:29">
      <c r="A42" s="849" t="s">
        <v>465</v>
      </c>
      <c r="B42" s="850">
        <v>12169</v>
      </c>
      <c r="C42" s="850">
        <v>7158</v>
      </c>
      <c r="D42" s="851" t="s">
        <v>1</v>
      </c>
      <c r="E42" s="852">
        <v>16703</v>
      </c>
      <c r="F42" s="846"/>
      <c r="G42" s="846"/>
      <c r="H42" s="853">
        <f>B42-C42</f>
        <v>5011</v>
      </c>
      <c r="I42" s="853">
        <f>E42-B42</f>
        <v>4534</v>
      </c>
      <c r="J42" s="846"/>
      <c r="AB42" s="825">
        <v>16</v>
      </c>
      <c r="AC42" s="826">
        <v>1.337</v>
      </c>
    </row>
    <row r="43" spans="1:29">
      <c r="A43" s="849" t="s">
        <v>466</v>
      </c>
      <c r="B43" s="850">
        <v>7217</v>
      </c>
      <c r="C43" s="850">
        <v>5850</v>
      </c>
      <c r="D43" s="851" t="s">
        <v>1</v>
      </c>
      <c r="E43" s="852">
        <v>8584</v>
      </c>
      <c r="F43" s="846"/>
      <c r="G43" s="846"/>
      <c r="H43" s="853">
        <f>B43-C43</f>
        <v>1367</v>
      </c>
      <c r="I43" s="853">
        <f>E43-B43</f>
        <v>1367</v>
      </c>
      <c r="J43" s="846"/>
      <c r="AB43" s="825">
        <v>17</v>
      </c>
      <c r="AC43" s="826">
        <v>1.333</v>
      </c>
    </row>
    <row r="44" spans="1:29">
      <c r="A44" s="849" t="s">
        <v>467</v>
      </c>
      <c r="B44" s="850">
        <v>4211</v>
      </c>
      <c r="C44" s="850">
        <v>3103</v>
      </c>
      <c r="D44" s="851" t="s">
        <v>1</v>
      </c>
      <c r="E44" s="852">
        <v>5319</v>
      </c>
      <c r="F44" s="846"/>
      <c r="G44" s="846"/>
      <c r="H44" s="853">
        <f>B44-C44</f>
        <v>1108</v>
      </c>
      <c r="I44" s="853">
        <f>E44-B44</f>
        <v>1108</v>
      </c>
      <c r="J44" s="846"/>
      <c r="AB44" s="825">
        <v>18</v>
      </c>
      <c r="AC44" s="826">
        <v>1.33</v>
      </c>
    </row>
    <row r="45" spans="1:29">
      <c r="A45" s="854" t="s">
        <v>468</v>
      </c>
      <c r="B45" s="855">
        <v>6143</v>
      </c>
      <c r="C45" s="855">
        <v>4450</v>
      </c>
      <c r="D45" s="856" t="s">
        <v>1</v>
      </c>
      <c r="E45" s="857">
        <v>7835</v>
      </c>
      <c r="F45" s="858"/>
      <c r="G45" s="859"/>
      <c r="H45" s="860">
        <f>B45-C45</f>
        <v>1693</v>
      </c>
      <c r="I45" s="860">
        <f>E45-B45</f>
        <v>1692</v>
      </c>
      <c r="J45" s="846"/>
      <c r="AB45" s="825">
        <v>19</v>
      </c>
      <c r="AC45" s="826">
        <v>1.3280000000000001</v>
      </c>
    </row>
    <row r="46" spans="1:29">
      <c r="A46" s="861" t="s">
        <v>448</v>
      </c>
      <c r="B46" s="853">
        <f>SUM(B42:B45)</f>
        <v>29740</v>
      </c>
      <c r="C46" s="853">
        <f>B46-H46</f>
        <v>24165.708744602591</v>
      </c>
      <c r="D46" s="861"/>
      <c r="E46" s="862">
        <f>B46+I46</f>
        <v>34889.405111272565</v>
      </c>
      <c r="F46" s="846"/>
      <c r="G46" s="846"/>
      <c r="H46" s="853">
        <f>SQRT(SUMSQ(H42:H45))</f>
        <v>5574.2912553974074</v>
      </c>
      <c r="I46" s="853">
        <f>SQRT(SUMSQ(I42:I45))</f>
        <v>5149.4051112725629</v>
      </c>
      <c r="J46" s="846"/>
      <c r="AB46" s="825">
        <v>20</v>
      </c>
      <c r="AC46" s="826">
        <v>1.325</v>
      </c>
    </row>
    <row r="47" spans="1:29">
      <c r="A47" s="846"/>
      <c r="B47" s="846"/>
      <c r="C47" s="846"/>
      <c r="D47" s="846"/>
      <c r="E47" s="846"/>
      <c r="F47" s="846"/>
      <c r="G47" s="846"/>
      <c r="H47" s="846"/>
      <c r="I47" s="846"/>
      <c r="J47" s="846"/>
      <c r="AB47" s="825">
        <v>21</v>
      </c>
      <c r="AC47" s="826">
        <v>1.323</v>
      </c>
    </row>
    <row r="48" spans="1:29">
      <c r="AB48" s="825"/>
      <c r="AC48" s="826"/>
    </row>
    <row r="49" spans="28:29">
      <c r="AB49" s="825">
        <v>22</v>
      </c>
      <c r="AC49" s="826">
        <v>1.321</v>
      </c>
    </row>
    <row r="50" spans="28:29">
      <c r="AB50" s="825">
        <v>23</v>
      </c>
      <c r="AC50" s="826">
        <v>1.319</v>
      </c>
    </row>
    <row r="51" spans="28:29">
      <c r="AB51" s="825">
        <v>24</v>
      </c>
      <c r="AC51" s="826">
        <v>1.3180000000000001</v>
      </c>
    </row>
    <row r="52" spans="28:29">
      <c r="AB52" s="825">
        <v>25</v>
      </c>
      <c r="AC52" s="826">
        <v>1.3160000000000001</v>
      </c>
    </row>
    <row r="53" spans="28:29">
      <c r="AB53" s="825">
        <v>26</v>
      </c>
      <c r="AC53" s="826">
        <v>1.3149999999999999</v>
      </c>
    </row>
    <row r="54" spans="28:29">
      <c r="AB54" s="825">
        <v>27</v>
      </c>
      <c r="AC54" s="826">
        <v>1.3140000000000001</v>
      </c>
    </row>
    <row r="55" spans="28:29">
      <c r="AB55" s="825">
        <v>28</v>
      </c>
      <c r="AC55" s="827">
        <v>1.3129999999999999</v>
      </c>
    </row>
    <row r="56" spans="28:29">
      <c r="AB56" s="825">
        <v>29</v>
      </c>
      <c r="AC56" s="826">
        <v>1.3109999999999999</v>
      </c>
    </row>
    <row r="57" spans="28:29">
      <c r="AB57" s="825">
        <v>30</v>
      </c>
      <c r="AC57" s="826">
        <v>1.31</v>
      </c>
    </row>
    <row r="58" spans="28:29">
      <c r="AB58" s="825">
        <v>35</v>
      </c>
      <c r="AC58" s="826">
        <v>1.306</v>
      </c>
    </row>
    <row r="59" spans="28:29">
      <c r="AB59" s="825">
        <v>40</v>
      </c>
      <c r="AC59" s="826">
        <v>1.3029999999999999</v>
      </c>
    </row>
    <row r="60" spans="28:29">
      <c r="AB60" s="825">
        <v>45</v>
      </c>
      <c r="AC60" s="826">
        <v>1.3009999999999999</v>
      </c>
    </row>
    <row r="61" spans="28:29">
      <c r="AB61" s="825">
        <v>50</v>
      </c>
      <c r="AC61" s="826">
        <v>1.2989999999999999</v>
      </c>
    </row>
    <row r="62" spans="28:29">
      <c r="AB62" s="825">
        <v>55</v>
      </c>
      <c r="AC62" s="826">
        <v>1.2969999999999999</v>
      </c>
    </row>
    <row r="63" spans="28:29">
      <c r="AB63" s="825">
        <v>60</v>
      </c>
      <c r="AC63" s="826">
        <v>1.296</v>
      </c>
    </row>
    <row r="64" spans="28:29">
      <c r="AB64" s="825">
        <v>70</v>
      </c>
      <c r="AC64" s="826">
        <v>1.294</v>
      </c>
    </row>
    <row r="65" spans="28:29">
      <c r="AB65" s="825">
        <v>80</v>
      </c>
      <c r="AC65" s="826">
        <v>1.2929999999999999</v>
      </c>
    </row>
    <row r="66" spans="28:29">
      <c r="AB66" s="825">
        <v>90</v>
      </c>
      <c r="AC66" s="826">
        <v>1.2909999999999999</v>
      </c>
    </row>
    <row r="67" spans="28:29">
      <c r="AB67" s="825">
        <v>100</v>
      </c>
      <c r="AC67" s="826">
        <v>1.29</v>
      </c>
    </row>
    <row r="68" spans="28:29">
      <c r="AB68" s="828">
        <v>120</v>
      </c>
      <c r="AC68" s="829">
        <v>1.2889999999999999</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D111"/>
  <sheetViews>
    <sheetView tabSelected="1" workbookViewId="0">
      <selection activeCell="L21" sqref="L21"/>
    </sheetView>
  </sheetViews>
  <sheetFormatPr defaultRowHeight="13.2"/>
  <cols>
    <col min="1" max="1" width="7.44140625" customWidth="1"/>
    <col min="2" max="2" width="6.33203125" customWidth="1"/>
    <col min="3" max="3" width="12.44140625" customWidth="1"/>
    <col min="4" max="4" width="1.77734375" customWidth="1"/>
    <col min="5" max="5" width="10.77734375" customWidth="1"/>
    <col min="8" max="8" width="12" customWidth="1"/>
    <col min="9" max="9" width="11.77734375" customWidth="1"/>
    <col min="10" max="10" width="9.44140625" customWidth="1"/>
    <col min="12" max="12" width="17.44140625" customWidth="1"/>
    <col min="13" max="15" width="1.77734375" customWidth="1"/>
    <col min="16" max="16" width="21.44140625" customWidth="1"/>
    <col min="17" max="17" width="12.33203125" customWidth="1"/>
    <col min="18" max="18" width="13.33203125" bestFit="1" customWidth="1"/>
    <col min="19" max="19" width="11.109375" customWidth="1"/>
    <col min="20" max="20" width="16.77734375" customWidth="1"/>
    <col min="26" max="26" width="13.33203125" customWidth="1"/>
    <col min="27" max="27" width="13.6640625" customWidth="1"/>
    <col min="28" max="28" width="12.44140625" customWidth="1"/>
  </cols>
  <sheetData>
    <row r="1" spans="1:28">
      <c r="A1" s="297" t="str">
        <f ca="1">CELL("filename",A1)</f>
        <v>C:\Users\rebrenner\Desktop\NCEAS\DATA\PWS&amp;CBR_SALMON\PWS&amp;CR_SALMON_FORECAST_DATA\[2015 Copper River Chinook forecast-FINAL.xlsm]Ricker</v>
      </c>
    </row>
    <row r="3" spans="1:28" ht="15.6">
      <c r="A3" s="280" t="s">
        <v>221</v>
      </c>
    </row>
    <row r="4" spans="1:28">
      <c r="A4" s="2"/>
      <c r="B4" s="2"/>
      <c r="C4" s="2"/>
      <c r="D4" s="2"/>
      <c r="E4" s="2"/>
      <c r="F4" s="2"/>
      <c r="Z4" s="2"/>
    </row>
    <row r="5" spans="1:28" ht="18">
      <c r="A5" s="259" t="s">
        <v>189</v>
      </c>
      <c r="B5" s="259" t="s">
        <v>190</v>
      </c>
      <c r="C5" s="259"/>
      <c r="D5" s="259"/>
      <c r="E5" s="259" t="s">
        <v>0</v>
      </c>
      <c r="F5" s="109"/>
      <c r="G5" s="260"/>
      <c r="H5" s="261" t="s">
        <v>82</v>
      </c>
      <c r="I5" s="261" t="s">
        <v>191</v>
      </c>
      <c r="J5" s="261" t="s">
        <v>82</v>
      </c>
      <c r="K5" s="261" t="s">
        <v>26</v>
      </c>
      <c r="L5" s="261" t="s">
        <v>192</v>
      </c>
      <c r="P5" s="283" t="s">
        <v>212</v>
      </c>
      <c r="Z5" s="259"/>
      <c r="AA5" s="261" t="s">
        <v>191</v>
      </c>
      <c r="AB5" s="261" t="s">
        <v>82</v>
      </c>
    </row>
    <row r="6" spans="1:28">
      <c r="A6" s="262" t="s">
        <v>12</v>
      </c>
      <c r="B6" s="262" t="s">
        <v>193</v>
      </c>
      <c r="C6" s="262" t="s">
        <v>179</v>
      </c>
      <c r="D6" s="262"/>
      <c r="E6" s="262" t="s">
        <v>28</v>
      </c>
      <c r="F6" s="262" t="s">
        <v>194</v>
      </c>
      <c r="G6" s="262" t="s">
        <v>195</v>
      </c>
      <c r="H6" s="262" t="s">
        <v>195</v>
      </c>
      <c r="I6" s="262" t="s">
        <v>28</v>
      </c>
      <c r="J6" s="262" t="s">
        <v>196</v>
      </c>
      <c r="K6" s="262" t="s">
        <v>196</v>
      </c>
      <c r="L6" s="262" t="s">
        <v>197</v>
      </c>
      <c r="Z6" s="262" t="s">
        <v>179</v>
      </c>
      <c r="AA6" s="262" t="s">
        <v>28</v>
      </c>
      <c r="AB6" s="262" t="s">
        <v>196</v>
      </c>
    </row>
    <row r="7" spans="1:28">
      <c r="A7" s="134"/>
      <c r="B7" s="134"/>
      <c r="C7" s="264">
        <v>0</v>
      </c>
      <c r="D7" s="134"/>
      <c r="E7" s="134"/>
      <c r="F7" s="134"/>
      <c r="G7" s="134"/>
      <c r="H7" s="134"/>
      <c r="I7" s="277">
        <f t="shared" ref="I7:I45" si="0">$C7*EXP(a_parameter_even*(1-$C7/b_parameter_even))</f>
        <v>0</v>
      </c>
      <c r="J7" s="134"/>
      <c r="K7" s="134"/>
      <c r="L7" s="134"/>
      <c r="Z7" s="249">
        <v>0</v>
      </c>
      <c r="AA7" s="175">
        <f t="shared" ref="AA7:AA38" si="1">$Z7*EXP(a_parameter_even*(1-$Z7/b_parameter_even))</f>
        <v>0</v>
      </c>
      <c r="AB7" s="33">
        <f>AA7-Z7</f>
        <v>0</v>
      </c>
    </row>
    <row r="8" spans="1:28">
      <c r="A8" s="134"/>
      <c r="B8" s="134"/>
      <c r="C8" s="264">
        <v>1000</v>
      </c>
      <c r="D8" s="134"/>
      <c r="E8" s="134"/>
      <c r="F8" s="134"/>
      <c r="G8" s="134"/>
      <c r="H8" s="134"/>
      <c r="I8" s="175">
        <f t="shared" si="0"/>
        <v>15620.821534492217</v>
      </c>
      <c r="J8" s="279">
        <f t="shared" ref="J8:J32" si="2">I8-C8</f>
        <v>14620.821534492217</v>
      </c>
      <c r="K8" s="134"/>
      <c r="L8" s="134"/>
      <c r="Z8" s="249">
        <v>100</v>
      </c>
      <c r="AA8" s="175">
        <f t="shared" si="1"/>
        <v>1684.3912114755294</v>
      </c>
      <c r="AB8" s="33">
        <f>AA8-Z8</f>
        <v>1584.3912114755294</v>
      </c>
    </row>
    <row r="9" spans="1:28">
      <c r="A9" s="134"/>
      <c r="B9" s="134"/>
      <c r="C9" s="264">
        <v>1500</v>
      </c>
      <c r="D9" s="134"/>
      <c r="E9" s="134"/>
      <c r="F9" s="134"/>
      <c r="G9" s="134"/>
      <c r="H9" s="134"/>
      <c r="I9" s="175">
        <f t="shared" si="0"/>
        <v>22470.189913983126</v>
      </c>
      <c r="J9" s="279">
        <f t="shared" si="2"/>
        <v>20970.189913983126</v>
      </c>
      <c r="K9" s="134"/>
      <c r="L9" s="134"/>
      <c r="Z9" s="249">
        <v>250</v>
      </c>
      <c r="AA9" s="175">
        <f t="shared" si="1"/>
        <v>4158.4018888494847</v>
      </c>
      <c r="AB9" s="33">
        <f>AA9-Z9</f>
        <v>3908.4018888494847</v>
      </c>
    </row>
    <row r="10" spans="1:28" ht="13.8" thickBot="1">
      <c r="A10" s="134"/>
      <c r="B10" s="134"/>
      <c r="C10" s="264">
        <v>2500</v>
      </c>
      <c r="D10" s="134"/>
      <c r="E10" s="134"/>
      <c r="F10" s="134"/>
      <c r="G10" s="134"/>
      <c r="H10" s="134"/>
      <c r="I10" s="175">
        <f t="shared" si="0"/>
        <v>34441.235247670491</v>
      </c>
      <c r="J10" s="279">
        <f t="shared" si="2"/>
        <v>31941.235247670491</v>
      </c>
      <c r="K10" s="134"/>
      <c r="L10" s="134"/>
      <c r="Z10" s="281">
        <v>500</v>
      </c>
      <c r="AA10" s="175">
        <f t="shared" si="1"/>
        <v>8144.4593819590718</v>
      </c>
      <c r="AB10" s="33">
        <f>AA10-Z10</f>
        <v>7644.4593819590718</v>
      </c>
    </row>
    <row r="11" spans="1:28">
      <c r="A11" s="134">
        <v>1980</v>
      </c>
      <c r="B11" s="263" t="str">
        <f t="shared" ref="B11:B41" si="3">RIGHT(A11,2)</f>
        <v>80</v>
      </c>
      <c r="C11" s="265">
        <f>Escapements!M9</f>
        <v>27781.748314976161</v>
      </c>
      <c r="D11" s="134"/>
      <c r="E11" s="266">
        <f>Brood_Tab!U11</f>
        <v>31560.948560059544</v>
      </c>
      <c r="F11" s="267">
        <f t="shared" ref="F11:F32" si="4">E11/C11</f>
        <v>1.1360317645324771</v>
      </c>
      <c r="G11" s="267">
        <f t="shared" ref="G11:G37" si="5">LN(F11)</f>
        <v>0.12754128164437303</v>
      </c>
      <c r="H11" s="278">
        <f t="shared" ref="H11:H45" si="6">a_parameter_even-(minus_a_over_b_even)*$C11</f>
        <v>5.1593817135296582</v>
      </c>
      <c r="I11" s="175">
        <f t="shared" si="0"/>
        <v>46050.023119020501</v>
      </c>
      <c r="J11" s="279">
        <f t="shared" si="2"/>
        <v>18268.27480404434</v>
      </c>
      <c r="P11" s="268" t="s">
        <v>198</v>
      </c>
      <c r="Q11" s="271">
        <f>Q38</f>
        <v>2.8323653543111189</v>
      </c>
      <c r="Z11" s="281">
        <v>1000</v>
      </c>
      <c r="AA11" s="175">
        <f t="shared" si="1"/>
        <v>15620.821534492217</v>
      </c>
      <c r="AB11" s="33">
        <f t="shared" ref="AB11:AB74" si="7">AA11-Z11</f>
        <v>14620.821534492217</v>
      </c>
    </row>
    <row r="12" spans="1:28">
      <c r="A12" s="1">
        <v>1981</v>
      </c>
      <c r="B12" s="263" t="str">
        <f t="shared" si="3"/>
        <v>81</v>
      </c>
      <c r="C12" s="265">
        <f>Escapements!M10</f>
        <v>14244.078590640129</v>
      </c>
      <c r="E12" s="266">
        <f>Brood_Tab!U12</f>
        <v>54616.967915391098</v>
      </c>
      <c r="F12" s="267">
        <f t="shared" si="4"/>
        <v>3.8343629998840529</v>
      </c>
      <c r="G12" s="267">
        <f t="shared" si="5"/>
        <v>1.344003319297651</v>
      </c>
      <c r="H12" s="278">
        <f t="shared" si="6"/>
        <v>4.0254581549015764</v>
      </c>
      <c r="I12" s="175">
        <f t="shared" si="0"/>
        <v>73377.242258950297</v>
      </c>
      <c r="J12" s="279">
        <f t="shared" si="2"/>
        <v>59133.163668310168</v>
      </c>
      <c r="P12" s="269" t="s">
        <v>199</v>
      </c>
      <c r="Q12" s="272">
        <f>Q39</f>
        <v>-8.3760616244735279E-5</v>
      </c>
      <c r="Z12" s="281">
        <v>1500</v>
      </c>
      <c r="AA12" s="175">
        <f t="shared" si="1"/>
        <v>22470.189913983126</v>
      </c>
      <c r="AB12" s="33">
        <f t="shared" si="7"/>
        <v>20970.189913983126</v>
      </c>
    </row>
    <row r="13" spans="1:28">
      <c r="A13" s="134">
        <v>1982</v>
      </c>
      <c r="B13" s="263" t="str">
        <f t="shared" si="3"/>
        <v>82</v>
      </c>
      <c r="C13" s="265">
        <f>Escapements!M11</f>
        <v>6571.6211261023891</v>
      </c>
      <c r="E13" s="266">
        <f>Brood_Tab!U13</f>
        <v>34766.708449348887</v>
      </c>
      <c r="F13" s="267">
        <f t="shared" si="4"/>
        <v>5.2904310492362372</v>
      </c>
      <c r="G13" s="267">
        <f t="shared" si="5"/>
        <v>1.665899726338153</v>
      </c>
      <c r="H13" s="278">
        <f t="shared" si="6"/>
        <v>3.3828083895603762</v>
      </c>
      <c r="I13" s="175">
        <f t="shared" si="0"/>
        <v>64372.264692304976</v>
      </c>
      <c r="J13" s="279">
        <f t="shared" si="2"/>
        <v>57800.643566202591</v>
      </c>
      <c r="P13" s="269" t="s">
        <v>200</v>
      </c>
      <c r="Q13" s="273">
        <f>a_parameter_even/-minus_a_over_b_even</f>
        <v>33815.001384844101</v>
      </c>
      <c r="Z13" s="281">
        <v>2000</v>
      </c>
      <c r="AA13" s="175">
        <f t="shared" si="1"/>
        <v>28731.420141484137</v>
      </c>
      <c r="AB13" s="33">
        <f t="shared" si="7"/>
        <v>26731.420141484137</v>
      </c>
    </row>
    <row r="14" spans="1:28">
      <c r="A14" s="1">
        <v>1983</v>
      </c>
      <c r="B14" s="263" t="str">
        <f t="shared" si="3"/>
        <v>83</v>
      </c>
      <c r="C14" s="265">
        <f>Escapements!M12</f>
        <v>16930.206639779477</v>
      </c>
      <c r="E14" s="266">
        <f>Brood_Tab!U14</f>
        <v>30849.06547229514</v>
      </c>
      <c r="F14" s="267">
        <f t="shared" si="4"/>
        <v>1.8221316566693107</v>
      </c>
      <c r="G14" s="267">
        <f t="shared" si="5"/>
        <v>0.60000705565051204</v>
      </c>
      <c r="H14" s="278">
        <f t="shared" si="6"/>
        <v>4.2504498956097567</v>
      </c>
      <c r="I14" s="175">
        <f t="shared" si="0"/>
        <v>69642.862243479132</v>
      </c>
      <c r="J14" s="279">
        <f t="shared" si="2"/>
        <v>52712.655603699655</v>
      </c>
      <c r="P14" s="269" t="s">
        <v>201</v>
      </c>
      <c r="Q14" s="272">
        <f>Q11+($R$67/2)</f>
        <v>2.9074278984208832</v>
      </c>
      <c r="Z14" s="281">
        <v>2500</v>
      </c>
      <c r="AA14" s="175">
        <f t="shared" si="1"/>
        <v>34441.235247670491</v>
      </c>
      <c r="AB14" s="33">
        <f t="shared" si="7"/>
        <v>31941.235247670491</v>
      </c>
    </row>
    <row r="15" spans="1:28">
      <c r="A15" s="134">
        <v>1984</v>
      </c>
      <c r="B15" s="263" t="str">
        <f t="shared" si="3"/>
        <v>84</v>
      </c>
      <c r="C15" s="265">
        <f>Escapements!M13</f>
        <v>13239.593658838436</v>
      </c>
      <c r="E15" s="266">
        <f>Brood_Tab!U15</f>
        <v>21826.641024549521</v>
      </c>
      <c r="F15" s="267">
        <f t="shared" si="4"/>
        <v>1.648588437605</v>
      </c>
      <c r="G15" s="267">
        <f t="shared" si="5"/>
        <v>0.49991942940945738</v>
      </c>
      <c r="H15" s="278">
        <f t="shared" si="6"/>
        <v>3.9413218780053159</v>
      </c>
      <c r="I15" s="175">
        <f t="shared" si="0"/>
        <v>74189.356036067664</v>
      </c>
      <c r="J15" s="279">
        <f t="shared" si="2"/>
        <v>60949.762377229228</v>
      </c>
      <c r="P15" s="269" t="s">
        <v>202</v>
      </c>
      <c r="Q15" s="274">
        <f>(Q14/Q11)*Q13</f>
        <v>34711.156970548531</v>
      </c>
      <c r="Z15" s="282">
        <v>3000</v>
      </c>
      <c r="AA15" s="175">
        <f t="shared" si="1"/>
        <v>39634.33524560689</v>
      </c>
      <c r="AB15" s="33">
        <f t="shared" si="7"/>
        <v>36634.33524560689</v>
      </c>
    </row>
    <row r="16" spans="1:28">
      <c r="A16" s="1">
        <v>1985</v>
      </c>
      <c r="B16" s="263" t="str">
        <f t="shared" si="3"/>
        <v>85</v>
      </c>
      <c r="C16" s="265">
        <f>Escapements!M14</f>
        <v>9572.1381273123989</v>
      </c>
      <c r="E16" s="266">
        <f>Brood_Tab!U16</f>
        <v>21510.453920260963</v>
      </c>
      <c r="F16" s="267">
        <f t="shared" si="4"/>
        <v>2.2471942667526599</v>
      </c>
      <c r="G16" s="267">
        <f t="shared" si="5"/>
        <v>0.80968244551978108</v>
      </c>
      <c r="H16" s="278">
        <f t="shared" si="6"/>
        <v>3.6341335426345318</v>
      </c>
      <c r="I16" s="175">
        <f t="shared" si="0"/>
        <v>72926.622637672495</v>
      </c>
      <c r="J16" s="279">
        <f t="shared" si="2"/>
        <v>63354.484510360096</v>
      </c>
      <c r="P16" s="269" t="s">
        <v>203</v>
      </c>
      <c r="Q16" s="275">
        <f>b_parameter_even*(0.5-(0.07*a_parameter_even))</f>
        <v>10203.150005933005</v>
      </c>
      <c r="Z16" s="281">
        <v>3500</v>
      </c>
      <c r="AA16" s="175">
        <f t="shared" si="1"/>
        <v>44343.501302748613</v>
      </c>
      <c r="AB16" s="33">
        <f t="shared" si="7"/>
        <v>40843.501302748613</v>
      </c>
    </row>
    <row r="17" spans="1:30" ht="13.8" thickBot="1">
      <c r="A17" s="134">
        <v>1986</v>
      </c>
      <c r="B17" s="263" t="str">
        <f t="shared" si="3"/>
        <v>86</v>
      </c>
      <c r="C17" s="265">
        <f>Escapements!M15</f>
        <v>13821.065847773632</v>
      </c>
      <c r="E17" s="266">
        <f>Brood_Tab!U17</f>
        <v>67560.466389581823</v>
      </c>
      <c r="F17" s="267">
        <f t="shared" si="4"/>
        <v>4.8882240439122722</v>
      </c>
      <c r="G17" s="267">
        <f t="shared" si="5"/>
        <v>1.5868290563164806</v>
      </c>
      <c r="H17" s="278">
        <f t="shared" si="6"/>
        <v>3.990026346879703</v>
      </c>
      <c r="I17" s="175">
        <f t="shared" si="0"/>
        <v>73766.028019164994</v>
      </c>
      <c r="J17" s="279">
        <f t="shared" si="2"/>
        <v>59944.962171391366</v>
      </c>
      <c r="P17" s="270" t="s">
        <v>204</v>
      </c>
      <c r="Q17" s="276">
        <f>0.5*Q11-0.07*Q11^2</f>
        <v>0.85462213213442284</v>
      </c>
      <c r="Z17" s="281">
        <v>4000</v>
      </c>
      <c r="AA17" s="175">
        <f t="shared" si="1"/>
        <v>48599.694770875634</v>
      </c>
      <c r="AB17" s="33">
        <f t="shared" si="7"/>
        <v>44599.694770875634</v>
      </c>
    </row>
    <row r="18" spans="1:30">
      <c r="A18" s="1">
        <v>1987</v>
      </c>
      <c r="B18" s="263" t="str">
        <f t="shared" si="3"/>
        <v>87</v>
      </c>
      <c r="C18" s="265">
        <f>Escapements!M16</f>
        <v>20038.042632236058</v>
      </c>
      <c r="E18" s="266">
        <f>Brood_Tab!U18</f>
        <v>27548.454278320864</v>
      </c>
      <c r="F18" s="267">
        <f t="shared" si="4"/>
        <v>1.3748076488270609</v>
      </c>
      <c r="G18" s="267">
        <f t="shared" si="5"/>
        <v>0.31831382957063187</v>
      </c>
      <c r="H18" s="278">
        <f t="shared" si="6"/>
        <v>4.5107641535254883</v>
      </c>
      <c r="I18" s="175">
        <f t="shared" si="0"/>
        <v>63535.522154662191</v>
      </c>
      <c r="J18" s="279">
        <f t="shared" si="2"/>
        <v>43497.479522426132</v>
      </c>
      <c r="Z18" s="281">
        <v>4500</v>
      </c>
      <c r="AA18" s="175">
        <f t="shared" si="1"/>
        <v>52432.151320523677</v>
      </c>
      <c r="AB18" s="33">
        <f t="shared" si="7"/>
        <v>47932.151320523677</v>
      </c>
    </row>
    <row r="19" spans="1:30">
      <c r="A19" s="134">
        <v>1988</v>
      </c>
      <c r="B19" s="263" t="str">
        <f t="shared" si="3"/>
        <v>88</v>
      </c>
      <c r="C19" s="265">
        <f>Escapements!M17</f>
        <v>23122.039815358257</v>
      </c>
      <c r="E19" s="266">
        <f>Brood_Tab!U19</f>
        <v>72769.690931419915</v>
      </c>
      <c r="F19" s="267">
        <f t="shared" si="4"/>
        <v>3.1472003124518624</v>
      </c>
      <c r="G19" s="267">
        <f t="shared" si="5"/>
        <v>1.1465132679319683</v>
      </c>
      <c r="H19" s="278">
        <f t="shared" si="6"/>
        <v>4.7690816580808315</v>
      </c>
      <c r="I19" s="175">
        <f t="shared" si="0"/>
        <v>56624.135566996498</v>
      </c>
      <c r="J19" s="279">
        <f t="shared" si="2"/>
        <v>33502.09575163824</v>
      </c>
      <c r="Z19" s="281">
        <v>5000</v>
      </c>
      <c r="AA19" s="175">
        <f t="shared" si="1"/>
        <v>55868.47041489918</v>
      </c>
      <c r="AB19" s="33">
        <f t="shared" si="7"/>
        <v>50868.47041489918</v>
      </c>
    </row>
    <row r="20" spans="1:30">
      <c r="A20" s="1">
        <v>1989</v>
      </c>
      <c r="B20" s="263" t="str">
        <f t="shared" si="3"/>
        <v>89</v>
      </c>
      <c r="C20" s="265">
        <f>Escapements!M18</f>
        <v>16821.837731152205</v>
      </c>
      <c r="E20" s="266">
        <f>Brood_Tab!U20</f>
        <v>69641.083395748617</v>
      </c>
      <c r="F20" s="267">
        <f t="shared" si="4"/>
        <v>4.1399212445606306</v>
      </c>
      <c r="G20" s="267">
        <f t="shared" si="5"/>
        <v>1.4206767646032947</v>
      </c>
      <c r="H20" s="278">
        <f t="shared" si="6"/>
        <v>4.2413728490413671</v>
      </c>
      <c r="I20" s="175">
        <f t="shared" si="0"/>
        <v>69828.048277981099</v>
      </c>
      <c r="J20" s="279">
        <f t="shared" si="2"/>
        <v>53006.210546828894</v>
      </c>
      <c r="Z20" s="281">
        <v>5500</v>
      </c>
      <c r="AA20" s="175">
        <f t="shared" si="1"/>
        <v>58934.700347225727</v>
      </c>
      <c r="AB20" s="33">
        <f t="shared" si="7"/>
        <v>53434.700347225727</v>
      </c>
    </row>
    <row r="21" spans="1:30">
      <c r="A21" s="134">
        <v>1990</v>
      </c>
      <c r="B21" s="263" t="str">
        <f t="shared" si="3"/>
        <v>90</v>
      </c>
      <c r="C21" s="265">
        <f>Escapements!M19</f>
        <v>14723.229653929488</v>
      </c>
      <c r="E21" s="266">
        <f>Brood_Tab!U21</f>
        <v>97679.968679626356</v>
      </c>
      <c r="F21" s="267">
        <f t="shared" si="4"/>
        <v>6.6344118087947175</v>
      </c>
      <c r="G21" s="267">
        <f t="shared" si="5"/>
        <v>1.8922700140873614</v>
      </c>
      <c r="H21" s="278">
        <f t="shared" si="6"/>
        <v>4.065592143237013</v>
      </c>
      <c r="I21" s="175">
        <f t="shared" si="0"/>
        <v>72861.841113653907</v>
      </c>
      <c r="J21" s="279">
        <f t="shared" si="2"/>
        <v>58138.611459724416</v>
      </c>
      <c r="Z21" s="281">
        <v>6000</v>
      </c>
      <c r="AA21" s="175">
        <f t="shared" si="1"/>
        <v>61655.419054938589</v>
      </c>
      <c r="AB21" s="33">
        <f t="shared" si="7"/>
        <v>55655.419054938589</v>
      </c>
    </row>
    <row r="22" spans="1:30">
      <c r="A22" s="1">
        <v>1991</v>
      </c>
      <c r="B22" s="263" t="str">
        <f t="shared" si="3"/>
        <v>91</v>
      </c>
      <c r="C22" s="265">
        <f>Escapements!M20</f>
        <v>15167.794866684937</v>
      </c>
      <c r="E22" s="266">
        <f>Brood_Tab!U22</f>
        <v>78719.237027894982</v>
      </c>
      <c r="F22" s="267">
        <f t="shared" si="4"/>
        <v>5.1898933048466134</v>
      </c>
      <c r="G22" s="267">
        <f t="shared" si="5"/>
        <v>1.6467131391334597</v>
      </c>
      <c r="H22" s="278">
        <f t="shared" si="6"/>
        <v>4.1028291994183821</v>
      </c>
      <c r="I22" s="175">
        <f t="shared" si="0"/>
        <v>72318.207531712134</v>
      </c>
      <c r="J22" s="279">
        <f t="shared" si="2"/>
        <v>57150.412665027194</v>
      </c>
      <c r="P22" t="s">
        <v>32</v>
      </c>
      <c r="Z22" s="281">
        <v>6500</v>
      </c>
      <c r="AA22" s="175">
        <f t="shared" si="1"/>
        <v>64053.810914100359</v>
      </c>
      <c r="AB22" s="33">
        <f t="shared" si="7"/>
        <v>57553.810914100359</v>
      </c>
    </row>
    <row r="23" spans="1:30" ht="13.8" thickBot="1">
      <c r="A23" s="134">
        <v>1992</v>
      </c>
      <c r="B23" s="263" t="str">
        <f t="shared" si="3"/>
        <v>92</v>
      </c>
      <c r="C23" s="265">
        <f>Escapements!M21</f>
        <v>11942.753800524621</v>
      </c>
      <c r="E23" s="266">
        <f>Brood_Tab!U23</f>
        <v>92788.327797677266</v>
      </c>
      <c r="F23" s="267">
        <f t="shared" si="4"/>
        <v>7.7694248200612881</v>
      </c>
      <c r="G23" s="267">
        <f t="shared" si="5"/>
        <v>2.0501961359073784</v>
      </c>
      <c r="H23" s="278">
        <f t="shared" si="6"/>
        <v>3.8326977723022155</v>
      </c>
      <c r="I23" s="175">
        <f t="shared" si="0"/>
        <v>74601.279180307072</v>
      </c>
      <c r="J23" s="279">
        <f t="shared" si="2"/>
        <v>62658.525379782455</v>
      </c>
      <c r="Z23" s="281">
        <v>7000</v>
      </c>
      <c r="AA23" s="175">
        <f t="shared" si="1"/>
        <v>66151.739707833287</v>
      </c>
      <c r="AB23" s="33">
        <f t="shared" si="7"/>
        <v>59151.739707833287</v>
      </c>
    </row>
    <row r="24" spans="1:30">
      <c r="A24" s="1">
        <v>1993</v>
      </c>
      <c r="B24" s="263" t="str">
        <f t="shared" si="3"/>
        <v>93</v>
      </c>
      <c r="C24" s="265">
        <f>Escapements!M22</f>
        <v>10534.883543528496</v>
      </c>
      <c r="E24" s="266">
        <f>Brood_Tab!U24</f>
        <v>106430.35627915662</v>
      </c>
      <c r="F24" s="267">
        <f t="shared" si="4"/>
        <v>10.102660920683459</v>
      </c>
      <c r="G24" s="267">
        <f t="shared" si="5"/>
        <v>2.3127988466417944</v>
      </c>
      <c r="H24" s="278">
        <f t="shared" si="6"/>
        <v>3.7147736919835861</v>
      </c>
      <c r="I24" s="175">
        <f t="shared" si="0"/>
        <v>74043.222430367183</v>
      </c>
      <c r="J24" s="279">
        <f t="shared" si="2"/>
        <v>63508.338886838683</v>
      </c>
      <c r="P24" s="22" t="s">
        <v>33</v>
      </c>
      <c r="Q24" s="22"/>
      <c r="Z24" s="281">
        <v>7500</v>
      </c>
      <c r="AA24" s="175">
        <f t="shared" si="1"/>
        <v>67969.817953427904</v>
      </c>
      <c r="AB24" s="33">
        <f t="shared" si="7"/>
        <v>60469.817953427904</v>
      </c>
    </row>
    <row r="25" spans="1:30">
      <c r="A25" s="134">
        <v>1994</v>
      </c>
      <c r="B25" s="263" t="str">
        <f t="shared" si="3"/>
        <v>94</v>
      </c>
      <c r="C25" s="265">
        <f>Escapements!M23</f>
        <v>12783.91549585489</v>
      </c>
      <c r="E25" s="266">
        <f>Brood_Tab!U25</f>
        <v>79051.478919924019</v>
      </c>
      <c r="F25" s="267">
        <f t="shared" si="4"/>
        <v>6.1836671984851588</v>
      </c>
      <c r="G25" s="267">
        <f t="shared" si="5"/>
        <v>1.8219114932918679</v>
      </c>
      <c r="H25" s="278">
        <f t="shared" si="6"/>
        <v>3.903153994264545</v>
      </c>
      <c r="I25" s="175">
        <f t="shared" si="0"/>
        <v>74422.959764005296</v>
      </c>
      <c r="J25" s="279">
        <f t="shared" si="2"/>
        <v>61639.044268150406</v>
      </c>
      <c r="P25" s="19" t="s">
        <v>34</v>
      </c>
      <c r="Q25" s="19">
        <v>0.76493056463240694</v>
      </c>
      <c r="Z25" s="281">
        <v>8000</v>
      </c>
      <c r="AA25" s="175">
        <f t="shared" si="1"/>
        <v>69527.472764077203</v>
      </c>
      <c r="AB25" s="33">
        <f t="shared" si="7"/>
        <v>61527.472764077203</v>
      </c>
      <c r="AD25" s="35">
        <f>Z26-AD26</f>
        <v>2265.699158712363</v>
      </c>
    </row>
    <row r="26" spans="1:30">
      <c r="A26" s="1">
        <v>1995</v>
      </c>
      <c r="B26" s="263" t="str">
        <f t="shared" si="3"/>
        <v>95</v>
      </c>
      <c r="C26" s="265">
        <f>Escapements!M24</f>
        <v>16068.301711637534</v>
      </c>
      <c r="E26" s="266">
        <f>Brood_Tab!U26</f>
        <v>76293.203574343555</v>
      </c>
      <c r="F26" s="267">
        <f t="shared" si="4"/>
        <v>4.7480564494932214</v>
      </c>
      <c r="G26" s="267">
        <f t="shared" si="5"/>
        <v>1.5577353657865238</v>
      </c>
      <c r="H26" s="278">
        <f t="shared" si="6"/>
        <v>4.1782562076842131</v>
      </c>
      <c r="I26" s="175">
        <f t="shared" si="0"/>
        <v>71045.676020765939</v>
      </c>
      <c r="J26" s="279">
        <f t="shared" si="2"/>
        <v>54977.374309128405</v>
      </c>
      <c r="P26" s="19" t="s">
        <v>35</v>
      </c>
      <c r="Q26" s="19">
        <v>0.58511876870885282</v>
      </c>
      <c r="Z26" s="282">
        <v>8500</v>
      </c>
      <c r="AA26" s="327">
        <f t="shared" si="1"/>
        <v>70843.008412876385</v>
      </c>
      <c r="AB26" s="328">
        <f t="shared" si="7"/>
        <v>62343.008412876385</v>
      </c>
      <c r="AD26" s="33">
        <f>AB26-(0.9*AB26)</f>
        <v>6234.300841287637</v>
      </c>
    </row>
    <row r="27" spans="1:30">
      <c r="A27" s="134">
        <v>1996</v>
      </c>
      <c r="B27" s="263" t="str">
        <f t="shared" si="3"/>
        <v>96</v>
      </c>
      <c r="C27" s="265">
        <f>Escapements!M25</f>
        <v>15333.581211050758</v>
      </c>
      <c r="E27" s="266">
        <f>Brood_Tab!U27</f>
        <v>76990.745140068466</v>
      </c>
      <c r="F27" s="267">
        <f t="shared" si="4"/>
        <v>5.0210543825588516</v>
      </c>
      <c r="G27" s="267">
        <f t="shared" si="5"/>
        <v>1.6136399480153936</v>
      </c>
      <c r="H27" s="278">
        <f t="shared" si="6"/>
        <v>4.116715565787425</v>
      </c>
      <c r="I27" s="175">
        <f t="shared" si="0"/>
        <v>72100.459435088123</v>
      </c>
      <c r="J27" s="279">
        <f t="shared" si="2"/>
        <v>56766.878224037369</v>
      </c>
      <c r="P27" s="19" t="s">
        <v>36</v>
      </c>
      <c r="Q27" s="19">
        <v>0.5643747071442955</v>
      </c>
      <c r="Z27" s="326">
        <v>9250</v>
      </c>
      <c r="AA27" s="327">
        <f t="shared" si="1"/>
        <v>72399.776007777109</v>
      </c>
      <c r="AB27" s="328">
        <f t="shared" si="7"/>
        <v>63149.776007777109</v>
      </c>
      <c r="AD27" s="35">
        <f>Z26+AD26</f>
        <v>14734.300841287637</v>
      </c>
    </row>
    <row r="28" spans="1:30">
      <c r="A28" s="1">
        <v>1997</v>
      </c>
      <c r="B28" s="263" t="str">
        <f t="shared" si="3"/>
        <v>97</v>
      </c>
      <c r="C28" s="265">
        <f>Escapements!M26</f>
        <v>22650.051129357271</v>
      </c>
      <c r="E28" s="266">
        <f>Brood_Tab!U28</f>
        <v>84461.237888165342</v>
      </c>
      <c r="F28" s="267">
        <f t="shared" si="4"/>
        <v>3.7289645575542707</v>
      </c>
      <c r="G28" s="267">
        <f t="shared" si="5"/>
        <v>1.3161305966072061</v>
      </c>
      <c r="H28" s="278">
        <f t="shared" si="6"/>
        <v>4.7295475948808461</v>
      </c>
      <c r="I28" s="175">
        <f t="shared" si="0"/>
        <v>57705.080681011095</v>
      </c>
      <c r="J28" s="279">
        <f t="shared" si="2"/>
        <v>35055.029551653824</v>
      </c>
      <c r="P28" s="19" t="s">
        <v>37</v>
      </c>
      <c r="Q28" s="19">
        <v>0.45573722190894411</v>
      </c>
      <c r="Z28" s="326">
        <v>9500</v>
      </c>
      <c r="AA28" s="327">
        <f t="shared" si="1"/>
        <v>72815.678686881351</v>
      </c>
      <c r="AB28" s="328">
        <f t="shared" si="7"/>
        <v>63315.678686881351</v>
      </c>
    </row>
    <row r="29" spans="1:30" ht="13.8" thickBot="1">
      <c r="A29" s="134">
        <v>1998</v>
      </c>
      <c r="B29" s="263" t="str">
        <f t="shared" si="3"/>
        <v>98</v>
      </c>
      <c r="C29" s="265">
        <f>Escapements!M27</f>
        <v>18134.783078621651</v>
      </c>
      <c r="E29" s="266">
        <f>Brood_Tab!U29</f>
        <v>96482.08221429617</v>
      </c>
      <c r="F29" s="267">
        <f t="shared" si="4"/>
        <v>5.3202777114017383</v>
      </c>
      <c r="G29" s="267">
        <f t="shared" si="5"/>
        <v>1.6715255033824119</v>
      </c>
      <c r="H29" s="278">
        <f t="shared" si="6"/>
        <v>4.3513459604410656</v>
      </c>
      <c r="I29" s="175">
        <f t="shared" si="0"/>
        <v>67438.532904231819</v>
      </c>
      <c r="J29" s="279">
        <f t="shared" si="2"/>
        <v>49303.749825610168</v>
      </c>
      <c r="P29" s="20" t="s">
        <v>38</v>
      </c>
      <c r="Q29" s="20">
        <v>22</v>
      </c>
      <c r="Z29" s="326">
        <v>10000</v>
      </c>
      <c r="AA29" s="327">
        <f t="shared" si="1"/>
        <v>73504.327707371529</v>
      </c>
      <c r="AB29" s="328">
        <f t="shared" si="7"/>
        <v>63504.327707371529</v>
      </c>
    </row>
    <row r="30" spans="1:30">
      <c r="A30" s="1">
        <v>1999</v>
      </c>
      <c r="B30" s="263" t="str">
        <f t="shared" si="3"/>
        <v>99</v>
      </c>
      <c r="C30" s="265">
        <f>Escapements!N28</f>
        <v>16157</v>
      </c>
      <c r="E30" s="266">
        <f>Brood_Tab!U30</f>
        <v>76599.877524403302</v>
      </c>
      <c r="F30" s="267">
        <f t="shared" si="4"/>
        <v>4.740971561824801</v>
      </c>
      <c r="G30" s="267">
        <f t="shared" si="5"/>
        <v>1.5562420855524448</v>
      </c>
      <c r="H30" s="278">
        <f t="shared" si="6"/>
        <v>4.1856856309773072</v>
      </c>
      <c r="I30" s="175">
        <f t="shared" si="0"/>
        <v>70909.07836203737</v>
      </c>
      <c r="J30" s="279">
        <f t="shared" si="2"/>
        <v>54752.07836203737</v>
      </c>
      <c r="Z30" s="282">
        <v>10500</v>
      </c>
      <c r="AA30" s="376">
        <f t="shared" si="1"/>
        <v>74013.990852279807</v>
      </c>
      <c r="AB30" s="377">
        <f t="shared" si="7"/>
        <v>63513.990852279807</v>
      </c>
    </row>
    <row r="31" spans="1:30" ht="13.8" thickBot="1">
      <c r="A31" s="134">
        <v>2000</v>
      </c>
      <c r="B31" s="263" t="str">
        <f t="shared" si="3"/>
        <v>00</v>
      </c>
      <c r="C31" s="265">
        <f>Escapements!N29</f>
        <v>24492</v>
      </c>
      <c r="E31" s="266">
        <f>Brood_Tab!U31</f>
        <v>63817.578886621472</v>
      </c>
      <c r="F31" s="267">
        <f t="shared" si="4"/>
        <v>2.6056499627070666</v>
      </c>
      <c r="G31" s="267">
        <f t="shared" si="5"/>
        <v>0.95768214992157086</v>
      </c>
      <c r="H31" s="278">
        <f t="shared" si="6"/>
        <v>4.8838303673771755</v>
      </c>
      <c r="I31" s="175">
        <f t="shared" si="0"/>
        <v>53476.744377191346</v>
      </c>
      <c r="J31" s="279">
        <f t="shared" si="2"/>
        <v>28984.744377191346</v>
      </c>
      <c r="P31" t="s">
        <v>39</v>
      </c>
      <c r="Z31" s="326">
        <v>11000</v>
      </c>
      <c r="AA31" s="327">
        <f t="shared" si="1"/>
        <v>74358.19200053114</v>
      </c>
      <c r="AB31" s="328">
        <f t="shared" si="7"/>
        <v>63358.19200053114</v>
      </c>
    </row>
    <row r="32" spans="1:30">
      <c r="A32" s="1">
        <v>2001</v>
      </c>
      <c r="B32" s="263" t="str">
        <f t="shared" si="3"/>
        <v>01</v>
      </c>
      <c r="C32" s="265">
        <f>Escapements!N30</f>
        <v>28208</v>
      </c>
      <c r="E32" s="266">
        <f>Brood_Tab!U32</f>
        <v>98778.105168012771</v>
      </c>
      <c r="F32" s="267">
        <f t="shared" si="4"/>
        <v>3.5017762750997155</v>
      </c>
      <c r="G32" s="267">
        <f t="shared" si="5"/>
        <v>1.253270346928506</v>
      </c>
      <c r="H32" s="278">
        <f t="shared" si="6"/>
        <v>5.1950848173426118</v>
      </c>
      <c r="I32" s="175">
        <f t="shared" si="0"/>
        <v>45116.657171546634</v>
      </c>
      <c r="J32" s="279">
        <f t="shared" si="2"/>
        <v>16908.657171546634</v>
      </c>
      <c r="P32" s="21"/>
      <c r="Q32" s="21" t="s">
        <v>43</v>
      </c>
      <c r="R32" s="21" t="s">
        <v>44</v>
      </c>
      <c r="S32" s="21" t="s">
        <v>45</v>
      </c>
      <c r="T32" s="21" t="s">
        <v>46</v>
      </c>
      <c r="U32" s="21" t="s">
        <v>47</v>
      </c>
      <c r="Z32" s="326">
        <v>11500</v>
      </c>
      <c r="AA32" s="327">
        <f t="shared" si="1"/>
        <v>74549.646757226103</v>
      </c>
      <c r="AB32" s="328">
        <f t="shared" si="7"/>
        <v>63049.646757226103</v>
      </c>
    </row>
    <row r="33" spans="1:30">
      <c r="A33" s="1">
        <v>2002</v>
      </c>
      <c r="B33" s="263" t="str">
        <f t="shared" si="3"/>
        <v>02</v>
      </c>
      <c r="C33" s="265">
        <f>Escapements!N31</f>
        <v>21469</v>
      </c>
      <c r="E33" s="266">
        <f>Brood_Tab!U33</f>
        <v>86651.522790541218</v>
      </c>
      <c r="F33" s="267">
        <f t="shared" ref="F33:F40" si="8">E33/C33</f>
        <v>4.0361229116652479</v>
      </c>
      <c r="G33" s="267">
        <f t="shared" si="5"/>
        <v>1.3952845558594795</v>
      </c>
      <c r="H33" s="278">
        <f t="shared" si="6"/>
        <v>4.630622024469341</v>
      </c>
      <c r="I33" s="175">
        <f t="shared" si="0"/>
        <v>60383.670857023368</v>
      </c>
      <c r="J33" s="279">
        <f t="shared" ref="J33:J40" si="9">I33-C33</f>
        <v>38914.670857023368</v>
      </c>
      <c r="P33" s="19" t="s">
        <v>40</v>
      </c>
      <c r="Q33" s="19">
        <v>1</v>
      </c>
      <c r="R33" s="19">
        <v>5.8584029210172464</v>
      </c>
      <c r="S33" s="19">
        <v>5.8584029210172464</v>
      </c>
      <c r="T33" s="19">
        <v>28.206567305438778</v>
      </c>
      <c r="U33" s="19">
        <v>3.3768990193324442E-5</v>
      </c>
      <c r="Z33" s="326">
        <v>12000</v>
      </c>
      <c r="AA33" s="327">
        <f t="shared" si="1"/>
        <v>74600.30600629015</v>
      </c>
      <c r="AB33" s="328">
        <f t="shared" si="7"/>
        <v>62600.30600629015</v>
      </c>
    </row>
    <row r="34" spans="1:30">
      <c r="A34" s="134">
        <v>2003</v>
      </c>
      <c r="B34" s="263" t="str">
        <f t="shared" si="3"/>
        <v>03</v>
      </c>
      <c r="C34" s="265">
        <f>Escapements!N32</f>
        <v>34016</v>
      </c>
      <c r="E34" s="266">
        <f>Brood_Tab!U34</f>
        <v>48143.1684449776</v>
      </c>
      <c r="F34" s="267">
        <f t="shared" si="8"/>
        <v>1.4153095144925212</v>
      </c>
      <c r="G34" s="267">
        <f t="shared" si="5"/>
        <v>0.34734824533275704</v>
      </c>
      <c r="H34" s="278">
        <f t="shared" si="6"/>
        <v>5.6815664764920335</v>
      </c>
      <c r="I34" s="175">
        <f t="shared" si="0"/>
        <v>33448.108379571815</v>
      </c>
      <c r="J34" s="279">
        <f t="shared" si="9"/>
        <v>-567.89162042818498</v>
      </c>
      <c r="P34" s="19" t="s">
        <v>41</v>
      </c>
      <c r="Q34" s="19">
        <v>20</v>
      </c>
      <c r="R34" s="19">
        <v>4.1539283086656429</v>
      </c>
      <c r="S34" s="19">
        <v>0.20769641543328216</v>
      </c>
      <c r="T34" s="19"/>
      <c r="U34" s="19"/>
      <c r="Z34" s="326">
        <v>12500</v>
      </c>
      <c r="AA34" s="327">
        <f t="shared" si="1"/>
        <v>74521.397250191876</v>
      </c>
      <c r="AB34" s="328">
        <f t="shared" si="7"/>
        <v>62021.397250191876</v>
      </c>
    </row>
    <row r="35" spans="1:30" ht="13.8" thickBot="1">
      <c r="A35" s="1">
        <v>2004</v>
      </c>
      <c r="B35" s="263" t="str">
        <f t="shared" si="3"/>
        <v>04</v>
      </c>
      <c r="C35" s="265">
        <f>Escapements!N33</f>
        <v>30638</v>
      </c>
      <c r="E35" s="266">
        <f>Brood_Tab!U35</f>
        <v>38721.768008069106</v>
      </c>
      <c r="F35" s="267">
        <f t="shared" si="8"/>
        <v>1.2638477710055849</v>
      </c>
      <c r="G35" s="267">
        <f t="shared" si="5"/>
        <v>0.23416085414084467</v>
      </c>
      <c r="H35" s="278">
        <f t="shared" si="6"/>
        <v>5.3986231148173189</v>
      </c>
      <c r="I35" s="175">
        <f t="shared" si="0"/>
        <v>39978.773965059627</v>
      </c>
      <c r="J35" s="279">
        <f t="shared" si="9"/>
        <v>9340.7739650596268</v>
      </c>
      <c r="P35" s="20" t="s">
        <v>0</v>
      </c>
      <c r="Q35" s="20">
        <v>21</v>
      </c>
      <c r="R35" s="20">
        <v>10.012331229682889</v>
      </c>
      <c r="S35" s="20"/>
      <c r="T35" s="20"/>
      <c r="U35" s="20"/>
      <c r="Z35" s="326">
        <v>13000</v>
      </c>
      <c r="AA35" s="327">
        <f t="shared" si="1"/>
        <v>74323.46384499289</v>
      </c>
      <c r="AB35" s="328">
        <f t="shared" si="7"/>
        <v>61323.46384499289</v>
      </c>
    </row>
    <row r="36" spans="1:30" ht="13.8" thickBot="1">
      <c r="A36" s="134">
        <v>2005</v>
      </c>
      <c r="B36" s="263" t="str">
        <f t="shared" si="3"/>
        <v>05</v>
      </c>
      <c r="C36" s="265">
        <f>Escapements!N34</f>
        <v>21506</v>
      </c>
      <c r="E36" s="266">
        <f>Brood_Tab!U36</f>
        <v>32648.042906772465</v>
      </c>
      <c r="F36" s="267">
        <f t="shared" si="8"/>
        <v>1.5180899705557735</v>
      </c>
      <c r="G36" s="267">
        <f t="shared" si="5"/>
        <v>0.41745294635791785</v>
      </c>
      <c r="H36" s="278">
        <f t="shared" si="6"/>
        <v>4.6337211672703962</v>
      </c>
      <c r="I36" s="175">
        <f t="shared" si="0"/>
        <v>60300.567038964407</v>
      </c>
      <c r="J36" s="279">
        <f t="shared" si="9"/>
        <v>38794.567038964407</v>
      </c>
      <c r="Z36" s="326">
        <v>13500</v>
      </c>
      <c r="AA36" s="327">
        <f t="shared" si="1"/>
        <v>74016.402233831919</v>
      </c>
      <c r="AB36" s="328">
        <f t="shared" si="7"/>
        <v>60516.402233831919</v>
      </c>
    </row>
    <row r="37" spans="1:30">
      <c r="A37" s="1">
        <v>2006</v>
      </c>
      <c r="B37" s="263" t="str">
        <f t="shared" si="3"/>
        <v>06</v>
      </c>
      <c r="C37" s="265">
        <f>Escapements!N35</f>
        <v>58436</v>
      </c>
      <c r="E37" s="266">
        <f>Brood_Tab!U37</f>
        <v>53243.201443703925</v>
      </c>
      <c r="F37" s="267">
        <f t="shared" si="8"/>
        <v>0.91113699506646462</v>
      </c>
      <c r="G37" s="267">
        <f t="shared" si="5"/>
        <v>-9.3062014250255745E-2</v>
      </c>
      <c r="H37" s="278">
        <f t="shared" si="6"/>
        <v>7.7270007251884696</v>
      </c>
      <c r="I37" s="175">
        <f t="shared" si="0"/>
        <v>7431.0125028813145</v>
      </c>
      <c r="J37" s="279">
        <f t="shared" si="9"/>
        <v>-51004.987497118687</v>
      </c>
      <c r="P37" s="21"/>
      <c r="Q37" s="21" t="s">
        <v>48</v>
      </c>
      <c r="R37" s="21" t="s">
        <v>37</v>
      </c>
      <c r="S37" s="21" t="s">
        <v>49</v>
      </c>
      <c r="T37" s="21" t="s">
        <v>50</v>
      </c>
      <c r="U37" s="21" t="s">
        <v>51</v>
      </c>
      <c r="V37" s="21" t="s">
        <v>52</v>
      </c>
      <c r="W37" s="21" t="s">
        <v>205</v>
      </c>
      <c r="X37" s="21" t="s">
        <v>206</v>
      </c>
      <c r="Z37" s="326">
        <v>14000</v>
      </c>
      <c r="AA37" s="327">
        <f t="shared" si="1"/>
        <v>73609.497277029906</v>
      </c>
      <c r="AB37" s="328">
        <f t="shared" si="7"/>
        <v>59609.497277029906</v>
      </c>
      <c r="AD37" s="35"/>
    </row>
    <row r="38" spans="1:30">
      <c r="A38" s="1">
        <v>2007</v>
      </c>
      <c r="B38" s="263" t="str">
        <f t="shared" si="3"/>
        <v>07</v>
      </c>
      <c r="C38" s="265">
        <f>Escapements!N36</f>
        <v>34537</v>
      </c>
      <c r="E38" s="266">
        <f>Brood_Tab!U38</f>
        <v>47436.500551039637</v>
      </c>
      <c r="F38" s="267">
        <f t="shared" si="8"/>
        <v>1.3734980036204545</v>
      </c>
      <c r="G38" s="267">
        <f>LN(F38)</f>
        <v>0.31736077305410421</v>
      </c>
      <c r="H38" s="278">
        <f t="shared" si="6"/>
        <v>5.7252057575555408</v>
      </c>
      <c r="I38" s="175">
        <f t="shared" si="0"/>
        <v>32510.274056485334</v>
      </c>
      <c r="J38" s="279">
        <f t="shared" si="9"/>
        <v>-2026.7259435146661</v>
      </c>
      <c r="P38" s="19" t="s">
        <v>42</v>
      </c>
      <c r="Q38" s="19">
        <v>2.8323653543111189</v>
      </c>
      <c r="R38" s="19">
        <v>0.17804851399882021</v>
      </c>
      <c r="S38" s="19">
        <v>15.907829224173625</v>
      </c>
      <c r="T38" s="19">
        <v>8.104062310757436E-13</v>
      </c>
      <c r="U38" s="19">
        <v>2.4609626633325825</v>
      </c>
      <c r="V38" s="19">
        <v>3.2037680452896553</v>
      </c>
      <c r="W38" s="19">
        <v>2.4609626633325825</v>
      </c>
      <c r="X38" s="19">
        <v>3.2037680452896553</v>
      </c>
      <c r="Z38" s="282">
        <v>14708</v>
      </c>
      <c r="AA38" s="327">
        <f t="shared" si="1"/>
        <v>72879.382058265124</v>
      </c>
      <c r="AB38" s="328">
        <f t="shared" si="7"/>
        <v>58171.382058265124</v>
      </c>
    </row>
    <row r="39" spans="1:30" ht="13.8" thickBot="1">
      <c r="A39" s="134">
        <v>2008</v>
      </c>
      <c r="B39" s="263" t="str">
        <f t="shared" si="3"/>
        <v>08</v>
      </c>
      <c r="C39" s="265">
        <f>Escapements!N37</f>
        <v>32464</v>
      </c>
      <c r="E39" s="266">
        <f>Brood_Tab!U39</f>
        <v>39868.086548742831</v>
      </c>
      <c r="F39" s="267">
        <f t="shared" si="8"/>
        <v>1.2280706797912404</v>
      </c>
      <c r="G39" s="267">
        <f t="shared" ref="G39:G43" si="10">LN(F39)</f>
        <v>0.20544438490187741</v>
      </c>
      <c r="H39" s="278">
        <f t="shared" si="6"/>
        <v>5.5515700000802051</v>
      </c>
      <c r="I39" s="175">
        <f t="shared" si="0"/>
        <v>36353.572931515402</v>
      </c>
      <c r="J39" s="279">
        <f t="shared" si="9"/>
        <v>3889.5729315154022</v>
      </c>
      <c r="P39" s="20" t="s">
        <v>53</v>
      </c>
      <c r="Q39" s="20">
        <v>-8.3760616244735279E-5</v>
      </c>
      <c r="R39" s="20">
        <v>1.5771200234557219E-5</v>
      </c>
      <c r="S39" s="20">
        <v>-5.3109855305243281</v>
      </c>
      <c r="T39" s="20">
        <v>3.3768990193324436E-5</v>
      </c>
      <c r="U39" s="20">
        <v>-1.1665876335937331E-4</v>
      </c>
      <c r="V39" s="20">
        <v>-5.0862469130097245E-5</v>
      </c>
      <c r="W39" s="20">
        <v>-1.1665876335937331E-4</v>
      </c>
      <c r="X39" s="20">
        <v>-5.0862469130097245E-5</v>
      </c>
      <c r="Z39" s="326">
        <v>15000</v>
      </c>
      <c r="AA39" s="327">
        <f t="shared" ref="AA39:AA70" si="11">$Z39*EXP(a_parameter_even*(1-$Z39/b_parameter_even))</f>
        <v>72530.438254200999</v>
      </c>
      <c r="AB39" s="328">
        <f t="shared" si="7"/>
        <v>57530.438254200999</v>
      </c>
      <c r="AD39" s="35"/>
    </row>
    <row r="40" spans="1:30">
      <c r="A40" s="1">
        <v>2009</v>
      </c>
      <c r="B40" s="263" t="str">
        <f t="shared" si="3"/>
        <v>09</v>
      </c>
      <c r="C40" s="265">
        <f>Escapements!N38</f>
        <v>27778</v>
      </c>
      <c r="E40" s="266">
        <f>Brood_Tab!U40</f>
        <v>0</v>
      </c>
      <c r="F40" s="267">
        <f t="shared" si="8"/>
        <v>0</v>
      </c>
      <c r="G40" s="267" t="e">
        <f t="shared" si="10"/>
        <v>#NUM!</v>
      </c>
      <c r="H40" s="278">
        <f t="shared" si="6"/>
        <v>5.1590677523573749</v>
      </c>
      <c r="I40" s="175">
        <f t="shared" si="0"/>
        <v>46058.268285548475</v>
      </c>
      <c r="J40" s="279">
        <f t="shared" si="9"/>
        <v>18280.268285548475</v>
      </c>
      <c r="Z40" s="326">
        <v>15500</v>
      </c>
      <c r="AA40" s="327">
        <f t="shared" si="11"/>
        <v>71874.089157285169</v>
      </c>
      <c r="AB40" s="328">
        <f t="shared" si="7"/>
        <v>56374.089157285169</v>
      </c>
    </row>
    <row r="41" spans="1:30">
      <c r="A41" s="1">
        <v>2010</v>
      </c>
      <c r="B41" s="442" t="str">
        <f t="shared" si="3"/>
        <v>10</v>
      </c>
      <c r="C41" s="265">
        <f>Escapements!N39</f>
        <v>16771</v>
      </c>
      <c r="E41" s="266">
        <f>Brood_Tab!U41</f>
        <v>0</v>
      </c>
      <c r="F41" s="267">
        <f t="shared" ref="F41:F42" si="12">E41/C41</f>
        <v>0</v>
      </c>
      <c r="G41" s="267" t="e">
        <f t="shared" si="10"/>
        <v>#NUM!</v>
      </c>
      <c r="H41" s="278">
        <f t="shared" si="6"/>
        <v>4.2371146493515743</v>
      </c>
      <c r="I41" s="175">
        <f t="shared" si="0"/>
        <v>69914.094265944819</v>
      </c>
      <c r="J41" s="279">
        <f t="shared" ref="J41:J42" si="13">I41-C41</f>
        <v>53143.094265944819</v>
      </c>
      <c r="Z41" s="326">
        <v>16000</v>
      </c>
      <c r="AA41" s="327">
        <f t="shared" si="11"/>
        <v>71149.565424190543</v>
      </c>
      <c r="AB41" s="328">
        <f t="shared" si="7"/>
        <v>55149.565424190543</v>
      </c>
    </row>
    <row r="42" spans="1:30">
      <c r="A42" s="1">
        <v>2011</v>
      </c>
      <c r="B42" s="263" t="str">
        <f t="shared" ref="B42:B44" si="14">RIGHT(A42,2)</f>
        <v>11</v>
      </c>
      <c r="C42" s="265">
        <f>Escapements!N40</f>
        <v>27994</v>
      </c>
      <c r="E42" s="266">
        <f>Brood_Tab!U42</f>
        <v>0</v>
      </c>
      <c r="F42" s="267">
        <f t="shared" si="12"/>
        <v>0</v>
      </c>
      <c r="G42" s="267" t="e">
        <f t="shared" si="10"/>
        <v>#NUM!</v>
      </c>
      <c r="H42" s="278">
        <f t="shared" si="6"/>
        <v>5.1771600454662376</v>
      </c>
      <c r="I42" s="175">
        <f t="shared" si="0"/>
        <v>45584.1862975802</v>
      </c>
      <c r="J42" s="279">
        <f t="shared" si="13"/>
        <v>17590.1862975802</v>
      </c>
      <c r="Z42" s="326">
        <v>16500</v>
      </c>
      <c r="AA42" s="327">
        <f t="shared" si="11"/>
        <v>70363.563634986684</v>
      </c>
      <c r="AB42" s="328">
        <f t="shared" si="7"/>
        <v>53863.563634986684</v>
      </c>
    </row>
    <row r="43" spans="1:30">
      <c r="A43" s="1">
        <v>2012</v>
      </c>
      <c r="B43" s="442" t="str">
        <f t="shared" si="14"/>
        <v>12</v>
      </c>
      <c r="C43" s="265">
        <f>Escapements!N41</f>
        <v>29595</v>
      </c>
      <c r="E43" s="266">
        <f>Brood_Tab!U43</f>
        <v>0</v>
      </c>
      <c r="F43" s="267">
        <f t="shared" ref="F43" si="15">E43/C43</f>
        <v>0</v>
      </c>
      <c r="G43" s="267" t="e">
        <f t="shared" si="10"/>
        <v>#NUM!</v>
      </c>
      <c r="H43" s="278">
        <f t="shared" si="6"/>
        <v>5.3112607920740595</v>
      </c>
      <c r="I43" s="175">
        <f t="shared" si="0"/>
        <v>42143.28436429063</v>
      </c>
      <c r="J43" s="279">
        <f t="shared" ref="J43" si="16">I43-C43</f>
        <v>12548.28436429063</v>
      </c>
      <c r="P43" t="s">
        <v>207</v>
      </c>
      <c r="Z43" s="326">
        <v>17000</v>
      </c>
      <c r="AA43" s="327">
        <f t="shared" si="11"/>
        <v>69522.34573125279</v>
      </c>
      <c r="AB43" s="328">
        <f t="shared" si="7"/>
        <v>52522.34573125279</v>
      </c>
    </row>
    <row r="44" spans="1:30" ht="13.8" thickBot="1">
      <c r="A44" s="1">
        <v>2013</v>
      </c>
      <c r="B44" s="442" t="str">
        <f t="shared" si="14"/>
        <v>13</v>
      </c>
      <c r="C44" s="265">
        <f>Escapements!N42</f>
        <v>29012</v>
      </c>
      <c r="E44" s="266">
        <f>Brood_Tab!U44</f>
        <v>0</v>
      </c>
      <c r="F44" s="267">
        <f t="shared" ref="F44:F45" si="17">E44/C44</f>
        <v>0</v>
      </c>
      <c r="H44" s="278">
        <f t="shared" si="6"/>
        <v>5.2624283528033793</v>
      </c>
      <c r="I44" s="175">
        <f t="shared" si="0"/>
        <v>43380.580771913497</v>
      </c>
      <c r="J44" s="279">
        <f t="shared" ref="J44:J45" si="18">I44-C44</f>
        <v>14368.580771913497</v>
      </c>
      <c r="Z44" s="326">
        <v>17500</v>
      </c>
      <c r="AA44" s="327">
        <f t="shared" si="11"/>
        <v>68631.763404425816</v>
      </c>
      <c r="AB44" s="328">
        <f t="shared" si="7"/>
        <v>51131.763404425816</v>
      </c>
    </row>
    <row r="45" spans="1:30">
      <c r="A45" s="1">
        <v>2014</v>
      </c>
      <c r="B45" s="263" t="str">
        <f t="shared" ref="B45" si="19">RIGHT(A45,2)</f>
        <v>14</v>
      </c>
      <c r="C45" s="265">
        <f>Escapements!N43</f>
        <v>19432.8</v>
      </c>
      <c r="E45" s="266">
        <f>Brood_Tab!U46</f>
        <v>0</v>
      </c>
      <c r="F45" s="267">
        <f t="shared" si="17"/>
        <v>0</v>
      </c>
      <c r="G45" s="267" t="e">
        <f t="shared" ref="G45" si="20">LN(F45)</f>
        <v>#NUM!</v>
      </c>
      <c r="H45" s="278">
        <f t="shared" si="6"/>
        <v>4.46006865767181</v>
      </c>
      <c r="I45" s="175">
        <f t="shared" si="0"/>
        <v>64820.662029156352</v>
      </c>
      <c r="J45" s="279">
        <f t="shared" si="18"/>
        <v>45387.862029156357</v>
      </c>
      <c r="P45" s="21" t="s">
        <v>208</v>
      </c>
      <c r="Q45" s="21" t="s">
        <v>209</v>
      </c>
      <c r="R45" s="21" t="s">
        <v>210</v>
      </c>
      <c r="S45" s="21" t="s">
        <v>211</v>
      </c>
      <c r="Z45" s="326">
        <v>18000</v>
      </c>
      <c r="AA45" s="327">
        <f t="shared" si="11"/>
        <v>67697.281214728297</v>
      </c>
      <c r="AB45" s="328">
        <f t="shared" si="7"/>
        <v>49697.281214728297</v>
      </c>
    </row>
    <row r="46" spans="1:30">
      <c r="P46" s="19">
        <v>1</v>
      </c>
      <c r="Q46" s="19">
        <v>1.4459349435345314</v>
      </c>
      <c r="R46" s="19">
        <v>-0.37350230701385501</v>
      </c>
      <c r="S46" s="19">
        <v>-0.96397695311582265</v>
      </c>
      <c r="Z46" s="326">
        <v>18500</v>
      </c>
      <c r="AA46" s="327">
        <f t="shared" si="11"/>
        <v>66723.998503780123</v>
      </c>
      <c r="AB46" s="328">
        <f t="shared" si="7"/>
        <v>48223.998503780123</v>
      </c>
    </row>
    <row r="47" spans="1:30">
      <c r="P47" s="19">
        <v>2</v>
      </c>
      <c r="Q47" s="19">
        <v>1.7915376593715207</v>
      </c>
      <c r="R47" s="19">
        <v>0.15538112209564203</v>
      </c>
      <c r="S47" s="19">
        <v>0.40102515523128596</v>
      </c>
      <c r="Z47" s="326">
        <v>19000</v>
      </c>
      <c r="AA47" s="327">
        <f t="shared" si="11"/>
        <v>65716.670160957467</v>
      </c>
      <c r="AB47" s="328">
        <f t="shared" si="7"/>
        <v>46716.670160957467</v>
      </c>
    </row>
    <row r="48" spans="1:30">
      <c r="P48" s="19">
        <v>3</v>
      </c>
      <c r="Q48" s="19">
        <v>2.4128320113347517</v>
      </c>
      <c r="R48" s="19">
        <v>-1.8095676256558946E-2</v>
      </c>
      <c r="S48" s="19">
        <v>-4.6703365775250624E-2</v>
      </c>
      <c r="Z48" s="326">
        <v>19500</v>
      </c>
      <c r="AA48" s="327">
        <f t="shared" si="11"/>
        <v>64679.726300663664</v>
      </c>
      <c r="AB48" s="328">
        <f t="shared" si="7"/>
        <v>45179.726300663664</v>
      </c>
    </row>
    <row r="49" spans="16:28">
      <c r="P49" s="19">
        <v>4</v>
      </c>
      <c r="Q49" s="19">
        <v>1.5306314487119232</v>
      </c>
      <c r="R49" s="19">
        <v>-0.26141111169976772</v>
      </c>
      <c r="S49" s="19">
        <v>-0.67467933192073803</v>
      </c>
      <c r="Z49" s="326">
        <v>20000</v>
      </c>
      <c r="AA49" s="327">
        <f t="shared" si="11"/>
        <v>63617.290904916801</v>
      </c>
      <c r="AB49" s="328">
        <f t="shared" si="7"/>
        <v>43617.290904916801</v>
      </c>
    </row>
    <row r="50" spans="16:28">
      <c r="P50" s="19">
        <v>5</v>
      </c>
      <c r="Q50" s="19">
        <v>2.1725357436330537</v>
      </c>
      <c r="R50" s="19">
        <v>-0.59274577990259614</v>
      </c>
      <c r="S50" s="19">
        <v>-1.529825278593449</v>
      </c>
      <c r="Z50" s="326">
        <v>20500</v>
      </c>
      <c r="AA50" s="327">
        <f t="shared" si="11"/>
        <v>62533.199483027325</v>
      </c>
      <c r="AB50" s="328">
        <f t="shared" si="7"/>
        <v>42033.199483027325</v>
      </c>
    </row>
    <row r="51" spans="16:28">
      <c r="P51" s="19">
        <v>6</v>
      </c>
      <c r="Q51" s="19">
        <v>2.2233138921642337</v>
      </c>
      <c r="R51" s="19">
        <v>-0.61549041822191408</v>
      </c>
      <c r="S51" s="19">
        <v>-1.5885272109110027</v>
      </c>
      <c r="Z51" s="326">
        <v>21000</v>
      </c>
      <c r="AA51" s="327">
        <f t="shared" si="11"/>
        <v>61431.015797632885</v>
      </c>
      <c r="AB51" s="328">
        <f t="shared" si="7"/>
        <v>40431.015797632885</v>
      </c>
    </row>
    <row r="52" spans="16:28">
      <c r="P52" s="19">
        <v>7</v>
      </c>
      <c r="Q52" s="19">
        <v>1.8412855445357521</v>
      </c>
      <c r="R52" s="19">
        <v>0.15241076661956665</v>
      </c>
      <c r="S52" s="19">
        <v>0.39335892622084018</v>
      </c>
      <c r="Z52" s="326">
        <v>21425</v>
      </c>
      <c r="AA52" s="327">
        <f t="shared" si="11"/>
        <v>60482.412225180538</v>
      </c>
      <c r="AB52" s="328">
        <f t="shared" si="7"/>
        <v>39057.412225180538</v>
      </c>
    </row>
    <row r="53" spans="16:28">
      <c r="P53" s="19">
        <v>8</v>
      </c>
      <c r="Q53" s="19">
        <v>1.693495978944255</v>
      </c>
      <c r="R53" s="19">
        <v>-1.0188014002740458</v>
      </c>
      <c r="S53" s="19">
        <v>-2.6294377604202519</v>
      </c>
      <c r="Z53" s="326">
        <v>22000</v>
      </c>
      <c r="AA53" s="327">
        <f t="shared" si="11"/>
        <v>59185.362146985361</v>
      </c>
      <c r="AB53" s="328">
        <f t="shared" si="7"/>
        <v>37185.362146985361</v>
      </c>
    </row>
    <row r="54" spans="16:28">
      <c r="P54" s="19">
        <v>9</v>
      </c>
      <c r="Q54" s="19">
        <v>1.3945234175729952</v>
      </c>
      <c r="R54" s="19">
        <v>0.16138223744180635</v>
      </c>
      <c r="S54" s="19">
        <v>0.41651351173687912</v>
      </c>
      <c r="Z54" s="281">
        <v>22500</v>
      </c>
      <c r="AA54" s="175">
        <f t="shared" si="11"/>
        <v>58047.799358727949</v>
      </c>
      <c r="AB54" s="33">
        <f t="shared" si="7"/>
        <v>35547.799358727949</v>
      </c>
    </row>
    <row r="55" spans="16:28">
      <c r="P55" s="19">
        <v>10</v>
      </c>
      <c r="Q55" s="19">
        <v>1.7502439871229463</v>
      </c>
      <c r="R55" s="19">
        <v>-1.7045339070130172E-2</v>
      </c>
      <c r="S55" s="19">
        <v>-4.3992536894934514E-2</v>
      </c>
      <c r="Z55" s="281">
        <v>23000</v>
      </c>
      <c r="AA55" s="175">
        <f t="shared" si="11"/>
        <v>56903.986296388503</v>
      </c>
      <c r="AB55" s="33">
        <f t="shared" si="7"/>
        <v>33903.986296388503</v>
      </c>
    </row>
    <row r="56" spans="16:28">
      <c r="P56" s="19">
        <v>11</v>
      </c>
      <c r="Q56" s="19">
        <v>1.9347476059293427</v>
      </c>
      <c r="R56" s="19">
        <v>0.28630558417229701</v>
      </c>
      <c r="S56" s="19">
        <v>0.73892979911424939</v>
      </c>
      <c r="Z56" s="281">
        <v>23500</v>
      </c>
      <c r="AA56" s="175">
        <f t="shared" si="11"/>
        <v>55756.349359398511</v>
      </c>
      <c r="AB56" s="33">
        <f t="shared" si="7"/>
        <v>32256.349359398511</v>
      </c>
    </row>
    <row r="57" spans="16:28">
      <c r="P57" s="19">
        <v>12</v>
      </c>
      <c r="Q57" s="19">
        <v>1.8963257922900274</v>
      </c>
      <c r="R57" s="19">
        <v>6.5418629761510916E-2</v>
      </c>
      <c r="S57" s="19">
        <v>0.16883979084009806</v>
      </c>
      <c r="Z57" s="281">
        <v>24000</v>
      </c>
      <c r="AA57" s="175">
        <f t="shared" si="11"/>
        <v>54607.126422118701</v>
      </c>
      <c r="AB57" s="33">
        <f t="shared" si="7"/>
        <v>30607.126422118701</v>
      </c>
    </row>
    <row r="58" spans="16:28">
      <c r="P58" s="19">
        <v>13</v>
      </c>
      <c r="Q58" s="19">
        <v>2.1258732899860617</v>
      </c>
      <c r="R58" s="19">
        <v>0.22676634393580475</v>
      </c>
      <c r="S58" s="19">
        <v>0.58526420102766041</v>
      </c>
      <c r="Z58" s="281">
        <v>24500</v>
      </c>
      <c r="AA58" s="175">
        <f t="shared" si="11"/>
        <v>53458.378216867008</v>
      </c>
      <c r="AB58" s="33">
        <f t="shared" si="7"/>
        <v>28958.378216867008</v>
      </c>
    </row>
    <row r="59" spans="16:28">
      <c r="P59" s="19">
        <v>14</v>
      </c>
      <c r="Q59" s="19">
        <v>2.2684597291673709</v>
      </c>
      <c r="R59" s="19">
        <v>0.54818365415924486</v>
      </c>
      <c r="S59" s="19">
        <v>1.4148143097405941</v>
      </c>
      <c r="Z59" s="281">
        <v>25000</v>
      </c>
      <c r="AA59" s="175">
        <f t="shared" si="11"/>
        <v>52311.999100336281</v>
      </c>
      <c r="AB59" s="33">
        <f t="shared" si="7"/>
        <v>27311.999100336281</v>
      </c>
    </row>
    <row r="60" spans="16:28">
      <c r="P60" s="19">
        <v>15</v>
      </c>
      <c r="Q60" s="19">
        <v>2.176928133732642</v>
      </c>
      <c r="R60" s="19">
        <v>0.13214742330424567</v>
      </c>
      <c r="S60" s="19">
        <v>0.34106100039218284</v>
      </c>
      <c r="Z60" s="281">
        <v>25500</v>
      </c>
      <c r="AA60" s="175">
        <f t="shared" si="11"/>
        <v>51169.727234833219</v>
      </c>
      <c r="AB60" s="33">
        <f t="shared" si="7"/>
        <v>25669.727234833219</v>
      </c>
    </row>
    <row r="61" spans="16:28">
      <c r="P61" s="19">
        <v>16</v>
      </c>
      <c r="Q61" s="19">
        <v>1.9459986769980873</v>
      </c>
      <c r="R61" s="19">
        <v>0.14216596142393678</v>
      </c>
      <c r="S61" s="19">
        <v>0.36691797548962529</v>
      </c>
      <c r="Z61" s="281">
        <v>26000</v>
      </c>
      <c r="AA61" s="175">
        <f t="shared" si="11"/>
        <v>50033.15421422942</v>
      </c>
      <c r="AB61" s="33">
        <f t="shared" si="7"/>
        <v>24033.15421422942</v>
      </c>
    </row>
    <row r="62" spans="16:28">
      <c r="P62" s="19">
        <v>17</v>
      </c>
      <c r="Q62" s="19">
        <v>1.9071748069254977</v>
      </c>
      <c r="R62" s="19">
        <v>0.10241339307692887</v>
      </c>
      <c r="S62" s="19">
        <v>0.26432005576042888</v>
      </c>
      <c r="Z62" s="281">
        <v>26500</v>
      </c>
      <c r="AA62" s="175">
        <f t="shared" si="11"/>
        <v>48903.734163047688</v>
      </c>
      <c r="AB62" s="33">
        <f t="shared" si="7"/>
        <v>22403.734163047688</v>
      </c>
    </row>
    <row r="63" spans="16:28">
      <c r="P63" s="19">
        <v>18</v>
      </c>
      <c r="Q63" s="19">
        <v>1.4596395022343573</v>
      </c>
      <c r="R63" s="19">
        <v>0.29955670720109717</v>
      </c>
      <c r="S63" s="19">
        <v>0.7731297945702128</v>
      </c>
      <c r="Z63" s="281">
        <v>27000</v>
      </c>
      <c r="AA63" s="175">
        <f t="shared" si="11"/>
        <v>47782.792335709535</v>
      </c>
      <c r="AB63" s="33">
        <f t="shared" si="7"/>
        <v>20782.792335709535</v>
      </c>
    </row>
    <row r="64" spans="16:28">
      <c r="P64" s="19">
        <v>19</v>
      </c>
      <c r="Q64" s="19">
        <v>1.7579554845626542</v>
      </c>
      <c r="R64" s="19">
        <v>0.43699281808622481</v>
      </c>
      <c r="S64" s="19">
        <v>1.1278404373995734</v>
      </c>
      <c r="Z64" s="281">
        <v>27500</v>
      </c>
      <c r="AA64" s="175">
        <f t="shared" si="11"/>
        <v>46671.533241638754</v>
      </c>
      <c r="AB64" s="33">
        <f t="shared" si="7"/>
        <v>19171.533241638754</v>
      </c>
    </row>
    <row r="65" spans="16:28" ht="13.8" thickBot="1">
      <c r="P65" s="20">
        <v>20</v>
      </c>
      <c r="Q65" s="20">
        <v>1.2898449945582051</v>
      </c>
      <c r="R65" s="20">
        <v>0.18796739116055972</v>
      </c>
      <c r="S65" s="20">
        <v>0.48512748010781342</v>
      </c>
      <c r="Z65" s="281">
        <v>28000</v>
      </c>
      <c r="AA65" s="175">
        <f t="shared" si="11"/>
        <v>45571.048320649417</v>
      </c>
      <c r="AB65" s="33">
        <f t="shared" si="7"/>
        <v>17571.048320649417</v>
      </c>
    </row>
    <row r="66" spans="16:28">
      <c r="Z66" s="281">
        <v>28500</v>
      </c>
      <c r="AA66" s="175">
        <f t="shared" si="11"/>
        <v>44482.323191840347</v>
      </c>
      <c r="AB66" s="33">
        <f t="shared" si="7"/>
        <v>15982.323191840347</v>
      </c>
    </row>
    <row r="67" spans="16:28">
      <c r="R67" s="235">
        <f>VAR(R46:R65)</f>
        <v>0.15012508821952841</v>
      </c>
      <c r="Z67" s="281">
        <v>29000</v>
      </c>
      <c r="AA67" s="175">
        <f t="shared" si="11"/>
        <v>43406.244498069449</v>
      </c>
      <c r="AB67" s="33">
        <f t="shared" si="7"/>
        <v>14406.244498069449</v>
      </c>
    </row>
    <row r="68" spans="16:28">
      <c r="Z68" s="281">
        <v>29500</v>
      </c>
      <c r="AA68" s="175">
        <f t="shared" si="11"/>
        <v>42343.606366988533</v>
      </c>
      <c r="AB68" s="33">
        <f t="shared" si="7"/>
        <v>12843.606366988533</v>
      </c>
    </row>
    <row r="69" spans="16:28">
      <c r="Z69" s="281">
        <v>30000</v>
      </c>
      <c r="AA69" s="175">
        <f t="shared" si="11"/>
        <v>41295.11650857803</v>
      </c>
      <c r="AB69" s="33">
        <f t="shared" si="7"/>
        <v>11295.11650857803</v>
      </c>
    </row>
    <row r="70" spans="16:28">
      <c r="Z70" s="281">
        <v>30500</v>
      </c>
      <c r="AA70" s="175">
        <f t="shared" si="11"/>
        <v>40261.401968130827</v>
      </c>
      <c r="AB70" s="33">
        <f t="shared" si="7"/>
        <v>9761.4019681308273</v>
      </c>
    </row>
    <row r="71" spans="16:28">
      <c r="Z71" s="281">
        <v>31000</v>
      </c>
      <c r="AA71" s="175">
        <f t="shared" ref="AA71:AA97" si="21">$Z71*EXP(a_parameter_even*(1-$Z71/b_parameter_even))</f>
        <v>39243.014552691275</v>
      </c>
      <c r="AB71" s="33">
        <f t="shared" si="7"/>
        <v>8243.0145526912747</v>
      </c>
    </row>
    <row r="72" spans="16:28">
      <c r="Z72" s="281">
        <v>31500</v>
      </c>
      <c r="AA72" s="175">
        <f t="shared" si="21"/>
        <v>38240.435948058126</v>
      </c>
      <c r="AB72" s="33">
        <f t="shared" si="7"/>
        <v>6740.4359480581261</v>
      </c>
    </row>
    <row r="73" spans="16:28">
      <c r="Z73" s="281">
        <v>32000</v>
      </c>
      <c r="AA73" s="175">
        <f t="shared" si="21"/>
        <v>37254.082542605953</v>
      </c>
      <c r="AB73" s="33">
        <f t="shared" si="7"/>
        <v>5254.0825426059528</v>
      </c>
    </row>
    <row r="74" spans="16:28">
      <c r="Z74" s="281">
        <v>32500</v>
      </c>
      <c r="AA74" s="175">
        <f t="shared" si="21"/>
        <v>36284.309973366842</v>
      </c>
      <c r="AB74" s="33">
        <f t="shared" si="7"/>
        <v>3784.3099733668423</v>
      </c>
    </row>
    <row r="75" spans="16:28">
      <c r="Z75" s="281">
        <v>33000</v>
      </c>
      <c r="AA75" s="175">
        <f t="shared" si="21"/>
        <v>35331.417409040681</v>
      </c>
      <c r="AB75" s="33">
        <f t="shared" ref="AB75:AB97" si="22">AA75-Z75</f>
        <v>2331.4174090406814</v>
      </c>
    </row>
    <row r="76" spans="16:28">
      <c r="Z76" s="281">
        <v>33500</v>
      </c>
      <c r="AA76" s="175">
        <f t="shared" si="21"/>
        <v>34395.651583866187</v>
      </c>
      <c r="AB76" s="33">
        <f t="shared" si="22"/>
        <v>895.65158386618714</v>
      </c>
    </row>
    <row r="77" spans="16:28">
      <c r="Z77" s="281">
        <v>34000</v>
      </c>
      <c r="AA77" s="175">
        <f t="shared" si="21"/>
        <v>33477.210595584846</v>
      </c>
      <c r="AB77" s="33">
        <f t="shared" si="22"/>
        <v>-522.78940441515442</v>
      </c>
    </row>
    <row r="78" spans="16:28">
      <c r="Z78" s="281">
        <v>34500</v>
      </c>
      <c r="AA78" s="175">
        <f t="shared" si="21"/>
        <v>32576.247480063077</v>
      </c>
      <c r="AB78" s="33">
        <f t="shared" si="22"/>
        <v>-1923.7525199369229</v>
      </c>
    </row>
    <row r="79" spans="16:28">
      <c r="Z79" s="281">
        <v>35000</v>
      </c>
      <c r="AA79" s="175">
        <f t="shared" si="21"/>
        <v>31692.873574504687</v>
      </c>
      <c r="AB79" s="33">
        <f t="shared" si="22"/>
        <v>-3307.126425495313</v>
      </c>
    </row>
    <row r="80" spans="16:28">
      <c r="Z80" s="281">
        <v>35500</v>
      </c>
      <c r="AA80" s="175">
        <f t="shared" si="21"/>
        <v>30827.161680581987</v>
      </c>
      <c r="AB80" s="33">
        <f t="shared" si="22"/>
        <v>-4672.8383194180133</v>
      </c>
    </row>
    <row r="81" spans="26:28">
      <c r="Z81" s="281">
        <v>36000</v>
      </c>
      <c r="AA81" s="175">
        <f t="shared" si="21"/>
        <v>29979.149038240776</v>
      </c>
      <c r="AB81" s="33">
        <f t="shared" si="22"/>
        <v>-6020.8509617592244</v>
      </c>
    </row>
    <row r="82" spans="26:28">
      <c r="Z82" s="281">
        <v>36500</v>
      </c>
      <c r="AA82" s="175">
        <f t="shared" si="21"/>
        <v>29148.840120388511</v>
      </c>
      <c r="AB82" s="33">
        <f t="shared" si="22"/>
        <v>-7351.1598796114886</v>
      </c>
    </row>
    <row r="83" spans="26:28">
      <c r="Z83" s="281">
        <v>37000</v>
      </c>
      <c r="AA83" s="175">
        <f t="shared" si="21"/>
        <v>28336.209258155995</v>
      </c>
      <c r="AB83" s="33">
        <f t="shared" si="22"/>
        <v>-8663.7907418440045</v>
      </c>
    </row>
    <row r="84" spans="26:28">
      <c r="Z84" s="281">
        <v>37500</v>
      </c>
      <c r="AA84" s="175">
        <f t="shared" si="21"/>
        <v>27541.203105929464</v>
      </c>
      <c r="AB84" s="33">
        <f t="shared" si="22"/>
        <v>-9958.7968940705359</v>
      </c>
    </row>
    <row r="85" spans="26:28">
      <c r="Z85" s="281">
        <v>38000</v>
      </c>
      <c r="AA85" s="175">
        <f t="shared" si="21"/>
        <v>26763.742954880359</v>
      </c>
      <c r="AB85" s="33">
        <f t="shared" si="22"/>
        <v>-11236.257045119641</v>
      </c>
    </row>
    <row r="86" spans="26:28">
      <c r="Z86" s="281">
        <v>38500</v>
      </c>
      <c r="AA86" s="175">
        <f t="shared" si="21"/>
        <v>26003.72690327392</v>
      </c>
      <c r="AB86" s="33">
        <f t="shared" si="22"/>
        <v>-12496.27309672608</v>
      </c>
    </row>
    <row r="87" spans="26:28">
      <c r="Z87" s="281">
        <v>39000</v>
      </c>
      <c r="AA87" s="175">
        <f t="shared" si="21"/>
        <v>25261.031891413008</v>
      </c>
      <c r="AB87" s="33">
        <f t="shared" si="22"/>
        <v>-13738.968108586992</v>
      </c>
    </row>
    <row r="88" spans="26:28">
      <c r="Z88" s="281">
        <v>39500</v>
      </c>
      <c r="AA88" s="175">
        <f t="shared" si="21"/>
        <v>24535.515608670543</v>
      </c>
      <c r="AB88" s="33">
        <f t="shared" si="22"/>
        <v>-14964.484391329457</v>
      </c>
    </row>
    <row r="89" spans="26:28">
      <c r="Z89" s="281">
        <v>40000</v>
      </c>
      <c r="AA89" s="175">
        <f t="shared" si="21"/>
        <v>23827.018279679502</v>
      </c>
      <c r="AB89" s="33">
        <f t="shared" si="22"/>
        <v>-16172.981720320498</v>
      </c>
    </row>
    <row r="90" spans="26:28">
      <c r="Z90" s="281">
        <v>40500</v>
      </c>
      <c r="AA90" s="175">
        <f t="shared" si="21"/>
        <v>23135.364336385461</v>
      </c>
      <c r="AB90" s="33">
        <f t="shared" si="22"/>
        <v>-17364.635663614539</v>
      </c>
    </row>
    <row r="91" spans="26:28">
      <c r="Z91" s="281">
        <v>41000</v>
      </c>
      <c r="AA91" s="175">
        <f t="shared" si="21"/>
        <v>22460.363982319559</v>
      </c>
      <c r="AB91" s="33">
        <f t="shared" si="22"/>
        <v>-18539.636017680441</v>
      </c>
    </row>
    <row r="92" spans="26:28">
      <c r="Z92" s="281">
        <v>41500</v>
      </c>
      <c r="AA92" s="175">
        <f t="shared" si="21"/>
        <v>21801.814655120179</v>
      </c>
      <c r="AB92" s="33">
        <f t="shared" si="22"/>
        <v>-19698.185344879821</v>
      </c>
    </row>
    <row r="93" spans="26:28">
      <c r="Z93" s="281">
        <v>42000</v>
      </c>
      <c r="AA93" s="175">
        <f t="shared" si="21"/>
        <v>21159.502393018774</v>
      </c>
      <c r="AB93" s="33">
        <f t="shared" si="22"/>
        <v>-20840.497606981226</v>
      </c>
    </row>
    <row r="94" spans="26:28">
      <c r="Z94" s="281">
        <v>42500</v>
      </c>
      <c r="AA94" s="175">
        <f t="shared" si="21"/>
        <v>20533.203110707189</v>
      </c>
      <c r="AB94" s="33">
        <f t="shared" si="22"/>
        <v>-21966.796889292811</v>
      </c>
    </row>
    <row r="95" spans="26:28">
      <c r="Z95" s="281">
        <v>43000</v>
      </c>
      <c r="AA95" s="175">
        <f t="shared" si="21"/>
        <v>19922.683789721388</v>
      </c>
      <c r="AB95" s="33">
        <f t="shared" si="22"/>
        <v>-23077.316210278612</v>
      </c>
    </row>
    <row r="96" spans="26:28">
      <c r="Z96" s="281">
        <v>43500</v>
      </c>
      <c r="AA96" s="175">
        <f t="shared" si="21"/>
        <v>19327.703588207307</v>
      </c>
      <c r="AB96" s="33">
        <f t="shared" si="22"/>
        <v>-24172.296411792693</v>
      </c>
    </row>
    <row r="97" spans="26:28">
      <c r="Z97" s="281">
        <v>44000</v>
      </c>
      <c r="AA97" s="175">
        <f t="shared" si="21"/>
        <v>18748.014874679749</v>
      </c>
      <c r="AB97" s="33">
        <f t="shared" si="22"/>
        <v>-25251.985125320251</v>
      </c>
    </row>
    <row r="100" spans="26:28">
      <c r="Z100" s="281"/>
      <c r="AA100" s="175"/>
      <c r="AB100" s="33"/>
    </row>
    <row r="101" spans="26:28">
      <c r="Z101" s="281"/>
      <c r="AA101" s="175"/>
      <c r="AB101" s="33"/>
    </row>
    <row r="102" spans="26:28">
      <c r="Z102" s="281"/>
      <c r="AA102" s="175"/>
      <c r="AB102" s="33"/>
    </row>
    <row r="103" spans="26:28">
      <c r="Z103" s="281"/>
      <c r="AA103" s="175"/>
      <c r="AB103" s="33"/>
    </row>
    <row r="104" spans="26:28">
      <c r="Z104" s="281"/>
      <c r="AA104" s="175"/>
      <c r="AB104" s="33"/>
    </row>
    <row r="105" spans="26:28">
      <c r="Z105" s="281"/>
      <c r="AA105" s="175"/>
      <c r="AB105" s="33"/>
    </row>
    <row r="106" spans="26:28">
      <c r="Z106" s="281"/>
      <c r="AA106" s="175"/>
      <c r="AB106" s="33"/>
    </row>
    <row r="107" spans="26:28">
      <c r="Z107" s="281"/>
      <c r="AA107" s="175"/>
      <c r="AB107" s="33"/>
    </row>
    <row r="108" spans="26:28">
      <c r="Z108" s="281"/>
      <c r="AA108" s="175"/>
      <c r="AB108" s="33"/>
    </row>
    <row r="109" spans="26:28">
      <c r="Z109" s="281"/>
      <c r="AA109" s="175"/>
      <c r="AB109" s="33"/>
    </row>
    <row r="110" spans="26:28">
      <c r="Z110" s="281"/>
      <c r="AA110" s="175"/>
      <c r="AB110" s="33"/>
    </row>
    <row r="111" spans="26:28">
      <c r="Z111" s="281"/>
      <c r="AA111" s="175"/>
      <c r="AB111" s="33"/>
    </row>
  </sheetData>
  <phoneticPr fontId="52" type="noConversion"/>
  <pageMargins left="0.75" right="0.75" top="1" bottom="1" header="0.5" footer="0.5"/>
  <headerFooter alignWithMargins="0"/>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A47"/>
  <sheetViews>
    <sheetView zoomScale="75" zoomScaleNormal="75" workbookViewId="0">
      <pane ySplit="6" topLeftCell="A13" activePane="bottomLeft" state="frozen"/>
      <selection pane="bottomLeft" activeCell="Q42" sqref="Q42"/>
    </sheetView>
  </sheetViews>
  <sheetFormatPr defaultRowHeight="13.2"/>
  <cols>
    <col min="1" max="1" width="15.6640625" customWidth="1"/>
    <col min="3" max="3" width="2" customWidth="1"/>
    <col min="7" max="8" width="10.33203125" bestFit="1" customWidth="1"/>
    <col min="9" max="11" width="9.44140625" bestFit="1" customWidth="1"/>
    <col min="12" max="13" width="10.33203125" bestFit="1" customWidth="1"/>
    <col min="14" max="15" width="9.44140625" bestFit="1" customWidth="1"/>
    <col min="16" max="17" width="10.33203125" bestFit="1" customWidth="1"/>
    <col min="18" max="19" width="9.44140625" bestFit="1" customWidth="1"/>
    <col min="20" max="20" width="10.33203125" bestFit="1" customWidth="1"/>
    <col min="21" max="22" width="9.44140625" bestFit="1" customWidth="1"/>
    <col min="23" max="23" width="10.33203125" bestFit="1" customWidth="1"/>
    <col min="24" max="24" width="9.44140625" bestFit="1" customWidth="1"/>
    <col min="26" max="26" width="10.33203125" bestFit="1" customWidth="1"/>
    <col min="27" max="27" width="9.6640625" bestFit="1" customWidth="1"/>
  </cols>
  <sheetData>
    <row r="1" spans="1:27" ht="31.8">
      <c r="A1" s="5" t="s">
        <v>420</v>
      </c>
      <c r="B1" s="6"/>
      <c r="C1" s="6"/>
      <c r="D1" s="6"/>
      <c r="E1" s="6"/>
      <c r="F1" s="6"/>
      <c r="G1" s="6"/>
      <c r="H1" s="6"/>
      <c r="I1" s="6"/>
      <c r="J1" s="6"/>
      <c r="K1" s="6"/>
      <c r="L1" s="6"/>
      <c r="M1" s="25" t="str">
        <f ca="1">CELL("filename",M1)</f>
        <v>C:\Users\rebrenner\Desktop\NCEAS\DATA\PWS&amp;CBR_SALMON\PWS&amp;CR_SALMON_FORECAST_DATA\[2015 Copper River Chinook forecast-FINAL.xlsm]UCRPercentage</v>
      </c>
      <c r="N1" s="6"/>
      <c r="O1" s="6"/>
      <c r="P1" s="6"/>
      <c r="Q1" s="6"/>
      <c r="R1" s="6"/>
      <c r="S1" s="6"/>
      <c r="T1" s="6"/>
      <c r="U1" s="6"/>
      <c r="V1" s="6"/>
      <c r="W1" s="6"/>
      <c r="X1" s="6"/>
      <c r="Y1" s="6"/>
      <c r="Z1" s="6"/>
      <c r="AA1" s="285">
        <f ca="1">NOW()</f>
        <v>42068.604636574077</v>
      </c>
    </row>
    <row r="2" spans="1:27" ht="30.6">
      <c r="A2" s="258" t="s">
        <v>25</v>
      </c>
      <c r="B2" s="6"/>
      <c r="C2" s="6"/>
      <c r="D2" s="6"/>
      <c r="E2" s="6"/>
      <c r="F2" s="6"/>
      <c r="G2" s="6"/>
      <c r="H2" s="6"/>
      <c r="I2" s="6"/>
      <c r="J2" s="6"/>
      <c r="K2" s="6"/>
      <c r="L2" s="6"/>
      <c r="M2" s="6"/>
      <c r="N2" s="6"/>
      <c r="O2" s="6"/>
      <c r="P2" s="6"/>
      <c r="Q2" s="6"/>
      <c r="R2" s="6"/>
      <c r="S2" s="6"/>
      <c r="T2" s="6"/>
      <c r="U2" s="6"/>
      <c r="V2" s="6"/>
      <c r="W2" s="6"/>
      <c r="X2" s="6"/>
      <c r="Y2" s="6"/>
      <c r="Z2" s="6"/>
      <c r="AA2" s="6"/>
    </row>
    <row r="3" spans="1:27">
      <c r="A3" s="6"/>
      <c r="B3" s="6"/>
      <c r="C3" s="6"/>
      <c r="D3" s="6"/>
      <c r="E3" s="6"/>
      <c r="F3" s="6"/>
      <c r="G3" s="6"/>
      <c r="H3" s="7"/>
      <c r="I3" s="6"/>
      <c r="J3" s="7"/>
      <c r="K3" s="7"/>
      <c r="L3" s="6"/>
      <c r="M3" s="6"/>
      <c r="N3" s="7"/>
      <c r="O3" s="7"/>
      <c r="P3" s="7"/>
      <c r="Q3" s="7"/>
      <c r="R3" s="7"/>
      <c r="S3" s="7"/>
      <c r="T3" s="7"/>
      <c r="U3" s="6"/>
      <c r="V3" s="6"/>
      <c r="W3" s="6"/>
      <c r="X3" s="6"/>
      <c r="Y3" s="6"/>
      <c r="Z3" s="7"/>
      <c r="AA3" s="7"/>
    </row>
    <row r="4" spans="1:27">
      <c r="A4" s="6"/>
      <c r="B4" s="6"/>
      <c r="C4" s="6"/>
      <c r="D4" s="6"/>
      <c r="E4" s="6"/>
      <c r="F4" s="6"/>
      <c r="G4" s="6"/>
      <c r="H4" s="6"/>
      <c r="I4" s="6"/>
      <c r="J4" s="6"/>
      <c r="K4" s="6"/>
      <c r="L4" s="6"/>
      <c r="M4" s="6"/>
      <c r="N4" s="6"/>
      <c r="O4" s="6"/>
      <c r="P4" s="6"/>
      <c r="Q4" s="6"/>
      <c r="R4" s="6"/>
      <c r="S4" s="6"/>
      <c r="T4" s="6"/>
      <c r="U4" s="6"/>
      <c r="V4" s="6"/>
      <c r="W4" s="6"/>
      <c r="X4" s="6"/>
      <c r="Y4" s="6"/>
      <c r="Z4" s="6"/>
      <c r="AA4" s="6"/>
    </row>
    <row r="5" spans="1:27" ht="15.6">
      <c r="A5" s="245"/>
      <c r="B5" s="287" t="s">
        <v>2</v>
      </c>
      <c r="C5" s="287"/>
      <c r="D5" s="287"/>
      <c r="E5" s="288" t="s">
        <v>3</v>
      </c>
      <c r="F5" s="288" t="s">
        <v>4</v>
      </c>
      <c r="G5" s="293" t="s">
        <v>5</v>
      </c>
      <c r="H5" s="294" t="s">
        <v>6</v>
      </c>
      <c r="I5" s="295"/>
      <c r="J5" s="294" t="s">
        <v>7</v>
      </c>
      <c r="K5" s="289"/>
      <c r="L5" s="295"/>
      <c r="M5" s="294" t="s">
        <v>8</v>
      </c>
      <c r="N5" s="289"/>
      <c r="O5" s="289"/>
      <c r="P5" s="295"/>
      <c r="Q5" s="294" t="s">
        <v>9</v>
      </c>
      <c r="R5" s="290"/>
      <c r="S5" s="289"/>
      <c r="T5" s="295"/>
      <c r="U5" s="294" t="s">
        <v>10</v>
      </c>
      <c r="V5" s="289"/>
      <c r="W5" s="295"/>
      <c r="X5" s="294" t="s">
        <v>11</v>
      </c>
      <c r="Y5" s="289"/>
      <c r="Z5" s="295"/>
      <c r="AA5" s="245"/>
    </row>
    <row r="6" spans="1:27" ht="18.600000000000001">
      <c r="A6" s="747" t="s">
        <v>433</v>
      </c>
      <c r="B6" s="291" t="s">
        <v>13</v>
      </c>
      <c r="C6" s="291"/>
      <c r="D6" s="291"/>
      <c r="E6" s="292" t="s">
        <v>24</v>
      </c>
      <c r="F6" s="292" t="s">
        <v>14</v>
      </c>
      <c r="G6" s="299">
        <v>0.1</v>
      </c>
      <c r="H6" s="300">
        <v>0.2</v>
      </c>
      <c r="I6" s="301">
        <v>1.1000000000000001</v>
      </c>
      <c r="J6" s="300">
        <v>0.3</v>
      </c>
      <c r="K6" s="296">
        <v>1.2</v>
      </c>
      <c r="L6" s="301">
        <v>2.1</v>
      </c>
      <c r="M6" s="300">
        <v>0.4</v>
      </c>
      <c r="N6" s="296">
        <v>1.3</v>
      </c>
      <c r="O6" s="296">
        <v>2.2000000000000002</v>
      </c>
      <c r="P6" s="302" t="s">
        <v>15</v>
      </c>
      <c r="Q6" s="300">
        <v>0.5</v>
      </c>
      <c r="R6" s="296">
        <v>1.4</v>
      </c>
      <c r="S6" s="296">
        <v>2.2999999999999998</v>
      </c>
      <c r="T6" s="301">
        <v>3.2</v>
      </c>
      <c r="U6" s="300">
        <v>1.5</v>
      </c>
      <c r="V6" s="296">
        <v>2.4</v>
      </c>
      <c r="W6" s="301">
        <v>3.3</v>
      </c>
      <c r="X6" s="740">
        <v>1.6</v>
      </c>
      <c r="Y6" s="300">
        <v>2.5</v>
      </c>
      <c r="Z6" s="301">
        <v>3.4</v>
      </c>
      <c r="AA6" s="296" t="s">
        <v>0</v>
      </c>
    </row>
    <row r="7" spans="1:27" ht="15.6">
      <c r="A7" s="239">
        <v>1980</v>
      </c>
      <c r="B7" s="237">
        <v>29361</v>
      </c>
      <c r="C7" s="13" t="s">
        <v>1</v>
      </c>
      <c r="D7" s="238">
        <v>29383</v>
      </c>
      <c r="E7" s="298"/>
      <c r="F7" s="239" t="s">
        <v>16</v>
      </c>
      <c r="G7" s="700"/>
      <c r="H7" s="700"/>
      <c r="I7" s="700"/>
      <c r="J7" s="700"/>
      <c r="K7" s="700"/>
      <c r="L7" s="700"/>
      <c r="M7" s="700"/>
      <c r="N7" s="700"/>
      <c r="O7" s="700"/>
      <c r="P7" s="700"/>
      <c r="Q7" s="700"/>
      <c r="R7" s="700"/>
      <c r="S7" s="700"/>
      <c r="T7" s="700"/>
      <c r="U7" s="700"/>
      <c r="V7" s="700"/>
      <c r="W7" s="700"/>
      <c r="X7" s="700"/>
      <c r="Y7" s="700"/>
      <c r="Z7" s="700"/>
      <c r="AA7" s="303">
        <f t="shared" ref="AA7:AA39" si="0">SUM(G7:Z7)</f>
        <v>0</v>
      </c>
    </row>
    <row r="8" spans="1:27" ht="15.6">
      <c r="A8" s="239">
        <v>1981</v>
      </c>
      <c r="B8" s="237">
        <v>29724</v>
      </c>
      <c r="C8" s="13" t="s">
        <v>1</v>
      </c>
      <c r="D8" s="238">
        <v>29748</v>
      </c>
      <c r="E8" s="298"/>
      <c r="F8" s="239" t="s">
        <v>16</v>
      </c>
      <c r="G8" s="700"/>
      <c r="H8" s="700"/>
      <c r="I8" s="700"/>
      <c r="J8" s="700"/>
      <c r="K8" s="700"/>
      <c r="L8" s="700"/>
      <c r="M8" s="700"/>
      <c r="N8" s="700"/>
      <c r="O8" s="700"/>
      <c r="P8" s="700"/>
      <c r="Q8" s="700"/>
      <c r="R8" s="700"/>
      <c r="S8" s="700"/>
      <c r="T8" s="700"/>
      <c r="U8" s="700"/>
      <c r="V8" s="700"/>
      <c r="W8" s="700"/>
      <c r="X8" s="700"/>
      <c r="Y8" s="700"/>
      <c r="Z8" s="700"/>
      <c r="AA8" s="303">
        <f t="shared" si="0"/>
        <v>0</v>
      </c>
    </row>
    <row r="9" spans="1:27" ht="15.6">
      <c r="A9" s="239">
        <v>1982</v>
      </c>
      <c r="B9" s="237">
        <v>30092</v>
      </c>
      <c r="C9" s="13" t="s">
        <v>1</v>
      </c>
      <c r="D9" s="238">
        <v>30125</v>
      </c>
      <c r="E9" s="298"/>
      <c r="F9" s="239" t="s">
        <v>16</v>
      </c>
      <c r="G9" s="700"/>
      <c r="H9" s="700"/>
      <c r="I9" s="700"/>
      <c r="J9" s="700"/>
      <c r="K9" s="700"/>
      <c r="L9" s="700"/>
      <c r="M9" s="700"/>
      <c r="N9" s="700"/>
      <c r="O9" s="700"/>
      <c r="P9" s="700"/>
      <c r="Q9" s="700"/>
      <c r="R9" s="700"/>
      <c r="S9" s="700"/>
      <c r="T9" s="700"/>
      <c r="U9" s="700"/>
      <c r="V9" s="700"/>
      <c r="W9" s="700"/>
      <c r="X9" s="700"/>
      <c r="Y9" s="700"/>
      <c r="Z9" s="700"/>
      <c r="AA9" s="303">
        <f t="shared" si="0"/>
        <v>0</v>
      </c>
    </row>
    <row r="10" spans="1:27" ht="15.6">
      <c r="A10" s="239">
        <v>1983</v>
      </c>
      <c r="B10" s="237">
        <v>30452</v>
      </c>
      <c r="C10" s="13" t="s">
        <v>1</v>
      </c>
      <c r="D10" s="238">
        <v>30482</v>
      </c>
      <c r="E10" s="298"/>
      <c r="F10" s="239" t="s">
        <v>17</v>
      </c>
      <c r="G10" s="700"/>
      <c r="H10" s="700"/>
      <c r="I10" s="700"/>
      <c r="J10" s="700"/>
      <c r="K10" s="700"/>
      <c r="L10" s="700"/>
      <c r="M10" s="700"/>
      <c r="N10" s="700"/>
      <c r="O10" s="700"/>
      <c r="P10" s="700"/>
      <c r="Q10" s="700"/>
      <c r="R10" s="700"/>
      <c r="S10" s="700"/>
      <c r="T10" s="700"/>
      <c r="U10" s="700"/>
      <c r="V10" s="700"/>
      <c r="W10" s="700"/>
      <c r="X10" s="700"/>
      <c r="Y10" s="700"/>
      <c r="Z10" s="700"/>
      <c r="AA10" s="303">
        <f t="shared" si="0"/>
        <v>0</v>
      </c>
    </row>
    <row r="11" spans="1:27" ht="15.6">
      <c r="A11" s="239">
        <v>1984</v>
      </c>
      <c r="B11" s="237">
        <v>30816</v>
      </c>
      <c r="C11" s="13" t="s">
        <v>1</v>
      </c>
      <c r="D11" s="238">
        <v>30844</v>
      </c>
      <c r="E11" s="298"/>
      <c r="F11" s="239" t="s">
        <v>17</v>
      </c>
      <c r="G11" s="700"/>
      <c r="H11" s="700"/>
      <c r="I11" s="700"/>
      <c r="J11" s="700"/>
      <c r="K11" s="700"/>
      <c r="L11" s="700"/>
      <c r="M11" s="700"/>
      <c r="N11" s="700"/>
      <c r="O11" s="700"/>
      <c r="P11" s="700"/>
      <c r="Q11" s="700"/>
      <c r="R11" s="700"/>
      <c r="S11" s="700"/>
      <c r="T11" s="700"/>
      <c r="U11" s="700"/>
      <c r="V11" s="700"/>
      <c r="W11" s="700"/>
      <c r="X11" s="700"/>
      <c r="Y11" s="700"/>
      <c r="Z11" s="700"/>
      <c r="AA11" s="303">
        <f t="shared" si="0"/>
        <v>0</v>
      </c>
    </row>
    <row r="12" spans="1:27" ht="15.6">
      <c r="A12" s="239">
        <v>1985</v>
      </c>
      <c r="B12" s="237">
        <v>31181</v>
      </c>
      <c r="C12" s="13" t="s">
        <v>1</v>
      </c>
      <c r="D12" s="238">
        <v>31212</v>
      </c>
      <c r="E12" s="298"/>
      <c r="F12" s="239" t="s">
        <v>17</v>
      </c>
      <c r="G12" s="700"/>
      <c r="H12" s="700"/>
      <c r="I12" s="700"/>
      <c r="J12" s="700"/>
      <c r="K12" s="700"/>
      <c r="L12" s="700"/>
      <c r="M12" s="700"/>
      <c r="N12" s="700"/>
      <c r="O12" s="700"/>
      <c r="P12" s="700"/>
      <c r="Q12" s="700"/>
      <c r="R12" s="700"/>
      <c r="S12" s="700"/>
      <c r="T12" s="700"/>
      <c r="U12" s="700"/>
      <c r="V12" s="700"/>
      <c r="W12" s="700"/>
      <c r="X12" s="700"/>
      <c r="Y12" s="700"/>
      <c r="Z12" s="700"/>
      <c r="AA12" s="303">
        <f t="shared" si="0"/>
        <v>0</v>
      </c>
    </row>
    <row r="13" spans="1:27" ht="15.6">
      <c r="A13" s="239">
        <v>1986</v>
      </c>
      <c r="B13" s="237">
        <v>31544</v>
      </c>
      <c r="C13" s="13" t="s">
        <v>1</v>
      </c>
      <c r="D13" s="238">
        <v>31573</v>
      </c>
      <c r="E13" s="298"/>
      <c r="F13" s="239" t="s">
        <v>17</v>
      </c>
      <c r="G13" s="700"/>
      <c r="H13" s="700"/>
      <c r="I13" s="700"/>
      <c r="J13" s="700"/>
      <c r="K13" s="700"/>
      <c r="L13" s="700"/>
      <c r="M13" s="700"/>
      <c r="N13" s="700"/>
      <c r="O13" s="700"/>
      <c r="P13" s="700"/>
      <c r="Q13" s="700"/>
      <c r="R13" s="700"/>
      <c r="S13" s="700"/>
      <c r="T13" s="700"/>
      <c r="U13" s="700"/>
      <c r="V13" s="700"/>
      <c r="W13" s="700"/>
      <c r="X13" s="700"/>
      <c r="Y13" s="700"/>
      <c r="Z13" s="700"/>
      <c r="AA13" s="303">
        <f t="shared" si="0"/>
        <v>0</v>
      </c>
    </row>
    <row r="14" spans="1:27" ht="15.6">
      <c r="A14" s="239">
        <v>1987</v>
      </c>
      <c r="B14" s="237">
        <v>31911</v>
      </c>
      <c r="C14" s="13" t="s">
        <v>1</v>
      </c>
      <c r="D14" s="238">
        <v>31937</v>
      </c>
      <c r="E14" s="298"/>
      <c r="F14" s="239" t="s">
        <v>17</v>
      </c>
      <c r="G14" s="700"/>
      <c r="H14" s="700"/>
      <c r="I14" s="700"/>
      <c r="J14" s="700"/>
      <c r="K14" s="700"/>
      <c r="L14" s="700"/>
      <c r="M14" s="700"/>
      <c r="N14" s="700"/>
      <c r="O14" s="700"/>
      <c r="P14" s="700"/>
      <c r="Q14" s="700"/>
      <c r="R14" s="700"/>
      <c r="S14" s="700"/>
      <c r="T14" s="700"/>
      <c r="U14" s="700"/>
      <c r="V14" s="700"/>
      <c r="W14" s="700"/>
      <c r="X14" s="700"/>
      <c r="Y14" s="700"/>
      <c r="Z14" s="700"/>
      <c r="AA14" s="303">
        <f t="shared" si="0"/>
        <v>0</v>
      </c>
    </row>
    <row r="15" spans="1:27" ht="15.6">
      <c r="A15" s="239">
        <v>1988</v>
      </c>
      <c r="B15" s="237">
        <v>32280</v>
      </c>
      <c r="C15" s="13" t="s">
        <v>1</v>
      </c>
      <c r="D15" s="238">
        <v>32305</v>
      </c>
      <c r="E15" s="298"/>
      <c r="F15" s="239" t="s">
        <v>17</v>
      </c>
      <c r="G15" s="700"/>
      <c r="H15" s="700"/>
      <c r="I15" s="700"/>
      <c r="J15" s="700"/>
      <c r="K15" s="700"/>
      <c r="L15" s="700"/>
      <c r="M15" s="700"/>
      <c r="N15" s="700"/>
      <c r="O15" s="700"/>
      <c r="P15" s="700"/>
      <c r="Q15" s="700"/>
      <c r="R15" s="700"/>
      <c r="S15" s="700"/>
      <c r="T15" s="700"/>
      <c r="U15" s="700"/>
      <c r="V15" s="700"/>
      <c r="W15" s="700"/>
      <c r="X15" s="700"/>
      <c r="Y15" s="700"/>
      <c r="Z15" s="700"/>
      <c r="AA15" s="303">
        <f t="shared" si="0"/>
        <v>0</v>
      </c>
    </row>
    <row r="16" spans="1:27" ht="15.6">
      <c r="A16" s="239">
        <v>1989</v>
      </c>
      <c r="B16" s="237">
        <v>32644</v>
      </c>
      <c r="C16" s="13" t="s">
        <v>1</v>
      </c>
      <c r="D16" s="238">
        <v>32669</v>
      </c>
      <c r="E16" s="298"/>
      <c r="F16" s="239" t="s">
        <v>17</v>
      </c>
      <c r="G16" s="700"/>
      <c r="H16" s="700"/>
      <c r="I16" s="700"/>
      <c r="J16" s="700"/>
      <c r="K16" s="700"/>
      <c r="L16" s="700"/>
      <c r="M16" s="700"/>
      <c r="N16" s="700"/>
      <c r="O16" s="700"/>
      <c r="P16" s="700"/>
      <c r="Q16" s="700"/>
      <c r="R16" s="700"/>
      <c r="S16" s="700"/>
      <c r="T16" s="700"/>
      <c r="U16" s="700"/>
      <c r="V16" s="700"/>
      <c r="W16" s="700"/>
      <c r="X16" s="700"/>
      <c r="Y16" s="700"/>
      <c r="Z16" s="700"/>
      <c r="AA16" s="303">
        <f t="shared" si="0"/>
        <v>0</v>
      </c>
    </row>
    <row r="17" spans="1:27" ht="15.6">
      <c r="A17" s="239">
        <v>1990</v>
      </c>
      <c r="B17" s="237">
        <v>33008</v>
      </c>
      <c r="C17" s="13" t="s">
        <v>1</v>
      </c>
      <c r="D17" s="238">
        <v>33043</v>
      </c>
      <c r="E17" s="298"/>
      <c r="F17" s="239" t="s">
        <v>17</v>
      </c>
      <c r="G17" s="700"/>
      <c r="H17" s="700"/>
      <c r="I17" s="700"/>
      <c r="J17" s="700"/>
      <c r="K17" s="700"/>
      <c r="L17" s="700"/>
      <c r="M17" s="700"/>
      <c r="N17" s="700"/>
      <c r="O17" s="700"/>
      <c r="P17" s="700"/>
      <c r="Q17" s="700"/>
      <c r="R17" s="700"/>
      <c r="S17" s="700"/>
      <c r="T17" s="700"/>
      <c r="U17" s="700"/>
      <c r="V17" s="700"/>
      <c r="W17" s="700"/>
      <c r="X17" s="700"/>
      <c r="Y17" s="700"/>
      <c r="Z17" s="700"/>
      <c r="AA17" s="303">
        <f t="shared" si="0"/>
        <v>0</v>
      </c>
    </row>
    <row r="18" spans="1:27" ht="15.6">
      <c r="A18" s="239">
        <v>1991</v>
      </c>
      <c r="B18" s="237">
        <v>33375</v>
      </c>
      <c r="C18" s="13" t="s">
        <v>1</v>
      </c>
      <c r="D18" s="238">
        <v>33411</v>
      </c>
      <c r="E18" s="298"/>
      <c r="F18" s="239" t="s">
        <v>17</v>
      </c>
      <c r="G18" s="700"/>
      <c r="H18" s="700"/>
      <c r="I18" s="700"/>
      <c r="J18" s="700"/>
      <c r="K18" s="700"/>
      <c r="L18" s="700"/>
      <c r="M18" s="700"/>
      <c r="N18" s="700"/>
      <c r="O18" s="700"/>
      <c r="P18" s="700"/>
      <c r="Q18" s="700"/>
      <c r="R18" s="700"/>
      <c r="S18" s="700"/>
      <c r="T18" s="700"/>
      <c r="U18" s="700"/>
      <c r="V18" s="700"/>
      <c r="W18" s="700"/>
      <c r="X18" s="700"/>
      <c r="Y18" s="700"/>
      <c r="Z18" s="700"/>
      <c r="AA18" s="303">
        <f t="shared" si="0"/>
        <v>0</v>
      </c>
    </row>
    <row r="19" spans="1:27" ht="15.6">
      <c r="A19" s="239">
        <v>1992</v>
      </c>
      <c r="B19" s="237">
        <v>33739</v>
      </c>
      <c r="C19" s="13" t="s">
        <v>1</v>
      </c>
      <c r="D19" s="238">
        <v>33768</v>
      </c>
      <c r="E19" s="298"/>
      <c r="F19" s="239" t="s">
        <v>17</v>
      </c>
      <c r="G19" s="701"/>
      <c r="H19" s="701"/>
      <c r="I19" s="701">
        <v>3.3333300000000001</v>
      </c>
      <c r="J19" s="701"/>
      <c r="K19" s="701">
        <v>10</v>
      </c>
      <c r="L19" s="701"/>
      <c r="M19" s="701"/>
      <c r="N19" s="701">
        <v>20</v>
      </c>
      <c r="O19" s="701">
        <v>1.11111</v>
      </c>
      <c r="P19" s="701"/>
      <c r="Q19" s="701"/>
      <c r="R19" s="701">
        <v>64.44444</v>
      </c>
      <c r="S19" s="701">
        <v>1.11111</v>
      </c>
      <c r="T19" s="701"/>
      <c r="U19" s="701"/>
      <c r="V19" s="701"/>
      <c r="W19" s="701"/>
      <c r="X19" s="701"/>
      <c r="Y19" s="701"/>
      <c r="Z19" s="701"/>
      <c r="AA19" s="303">
        <f t="shared" si="0"/>
        <v>99.999989999999997</v>
      </c>
    </row>
    <row r="20" spans="1:27" ht="15.6">
      <c r="A20" s="239">
        <v>1993</v>
      </c>
      <c r="B20" s="237">
        <v>34107</v>
      </c>
      <c r="C20" s="13" t="s">
        <v>1</v>
      </c>
      <c r="D20" s="238">
        <v>34136</v>
      </c>
      <c r="E20" s="298"/>
      <c r="F20" s="239" t="s">
        <v>17</v>
      </c>
      <c r="G20" s="701"/>
      <c r="H20" s="701"/>
      <c r="I20" s="701"/>
      <c r="J20" s="701"/>
      <c r="K20" s="701">
        <v>9.2592599999999994</v>
      </c>
      <c r="L20" s="701"/>
      <c r="M20" s="701"/>
      <c r="N20" s="701">
        <v>53.703699999999998</v>
      </c>
      <c r="O20" s="701"/>
      <c r="P20" s="701"/>
      <c r="Q20" s="701"/>
      <c r="R20" s="701">
        <v>27.77778</v>
      </c>
      <c r="S20" s="701">
        <v>3.7037</v>
      </c>
      <c r="T20" s="701"/>
      <c r="U20" s="701"/>
      <c r="V20" s="701">
        <v>5.5555599999999998</v>
      </c>
      <c r="W20" s="701"/>
      <c r="X20" s="701"/>
      <c r="Y20" s="701"/>
      <c r="Z20" s="701"/>
      <c r="AA20" s="303">
        <f t="shared" si="0"/>
        <v>99.999999999999986</v>
      </c>
    </row>
    <row r="21" spans="1:27" ht="15.6">
      <c r="A21" s="239">
        <v>1994</v>
      </c>
      <c r="B21" s="237">
        <v>34470</v>
      </c>
      <c r="C21" s="13" t="s">
        <v>1</v>
      </c>
      <c r="D21" s="238">
        <v>34489</v>
      </c>
      <c r="E21" s="298"/>
      <c r="F21" s="239" t="s">
        <v>17</v>
      </c>
      <c r="G21" s="701"/>
      <c r="H21" s="701"/>
      <c r="I21" s="701"/>
      <c r="J21" s="701"/>
      <c r="K21" s="701">
        <v>6.4516099999999996</v>
      </c>
      <c r="L21" s="701"/>
      <c r="M21" s="701"/>
      <c r="N21" s="701">
        <v>51.612900000000003</v>
      </c>
      <c r="O21" s="701"/>
      <c r="P21" s="701"/>
      <c r="Q21" s="701"/>
      <c r="R21" s="701">
        <v>40.322580000000002</v>
      </c>
      <c r="S21" s="701"/>
      <c r="T21" s="701"/>
      <c r="U21" s="701"/>
      <c r="V21" s="701">
        <v>1.6129899999999999</v>
      </c>
      <c r="W21" s="701"/>
      <c r="X21" s="701"/>
      <c r="Y21" s="701"/>
      <c r="Z21" s="701"/>
      <c r="AA21" s="303">
        <f t="shared" si="0"/>
        <v>100.00008</v>
      </c>
    </row>
    <row r="22" spans="1:27" ht="15.6">
      <c r="A22" s="239">
        <v>1995</v>
      </c>
      <c r="B22" s="237">
        <v>34834</v>
      </c>
      <c r="C22" s="13" t="s">
        <v>1</v>
      </c>
      <c r="D22" s="238">
        <v>34853</v>
      </c>
      <c r="E22" s="298"/>
      <c r="F22" s="239" t="s">
        <v>17</v>
      </c>
      <c r="G22" s="701"/>
      <c r="H22" s="701"/>
      <c r="I22" s="701"/>
      <c r="J22" s="701"/>
      <c r="K22" s="701">
        <v>10.76923</v>
      </c>
      <c r="L22" s="701"/>
      <c r="M22" s="701"/>
      <c r="N22" s="701">
        <v>66.923079999999999</v>
      </c>
      <c r="O22" s="701"/>
      <c r="P22" s="701"/>
      <c r="Q22" s="701"/>
      <c r="R22" s="701">
        <v>20.76923</v>
      </c>
      <c r="S22" s="701">
        <v>0.76922999999999997</v>
      </c>
      <c r="T22" s="701"/>
      <c r="U22" s="701"/>
      <c r="V22" s="701">
        <v>0.76922999999999997</v>
      </c>
      <c r="W22" s="701"/>
      <c r="X22" s="701"/>
      <c r="Y22" s="701"/>
      <c r="Z22" s="701"/>
      <c r="AA22" s="303">
        <f t="shared" si="0"/>
        <v>99.999999999999972</v>
      </c>
    </row>
    <row r="23" spans="1:27" ht="15.6">
      <c r="A23" s="239">
        <v>1996</v>
      </c>
      <c r="B23" s="237">
        <v>35202</v>
      </c>
      <c r="C23" s="13" t="s">
        <v>1</v>
      </c>
      <c r="D23" s="238">
        <v>35224</v>
      </c>
      <c r="E23" s="298"/>
      <c r="F23" s="239" t="s">
        <v>17</v>
      </c>
      <c r="G23" s="701"/>
      <c r="H23" s="701"/>
      <c r="I23" s="701">
        <v>3.44828</v>
      </c>
      <c r="J23" s="701"/>
      <c r="K23" s="701">
        <v>6.8965500000000004</v>
      </c>
      <c r="L23" s="701"/>
      <c r="M23" s="701"/>
      <c r="N23" s="701">
        <v>51.724139999999998</v>
      </c>
      <c r="O23" s="701">
        <v>1.72414</v>
      </c>
      <c r="P23" s="701"/>
      <c r="Q23" s="701"/>
      <c r="R23" s="701">
        <v>32.758620000000001</v>
      </c>
      <c r="S23" s="701">
        <v>3.44828</v>
      </c>
      <c r="T23" s="701"/>
      <c r="U23" s="701"/>
      <c r="V23" s="701"/>
      <c r="W23" s="701"/>
      <c r="X23" s="701"/>
      <c r="Y23" s="701"/>
      <c r="Z23" s="701"/>
      <c r="AA23" s="303">
        <f t="shared" si="0"/>
        <v>100.00000999999999</v>
      </c>
    </row>
    <row r="24" spans="1:27" ht="15.6">
      <c r="A24" s="239">
        <v>1997</v>
      </c>
      <c r="B24" s="237">
        <v>35566</v>
      </c>
      <c r="C24" s="13" t="s">
        <v>1</v>
      </c>
      <c r="D24" s="238">
        <v>35585</v>
      </c>
      <c r="E24" s="298"/>
      <c r="F24" s="239" t="s">
        <v>17</v>
      </c>
      <c r="G24" s="701"/>
      <c r="H24" s="701"/>
      <c r="I24" s="701"/>
      <c r="J24" s="703">
        <v>0.69930000000000003</v>
      </c>
      <c r="K24" s="701">
        <v>5.5944099999999999</v>
      </c>
      <c r="L24" s="701"/>
      <c r="M24" s="701"/>
      <c r="N24" s="701">
        <v>65.734269999999995</v>
      </c>
      <c r="O24" s="701"/>
      <c r="P24" s="701"/>
      <c r="Q24" s="701"/>
      <c r="R24" s="701">
        <v>25.17483</v>
      </c>
      <c r="S24" s="701">
        <v>2.0979000000000001</v>
      </c>
      <c r="T24" s="701"/>
      <c r="U24" s="701"/>
      <c r="V24" s="701">
        <v>0.69930000000000003</v>
      </c>
      <c r="W24" s="703"/>
      <c r="X24" s="701"/>
      <c r="Y24" s="701"/>
      <c r="Z24" s="701"/>
      <c r="AA24" s="303">
        <f t="shared" si="0"/>
        <v>100.00000999999999</v>
      </c>
    </row>
    <row r="25" spans="1:27" ht="15.6">
      <c r="A25" s="239">
        <v>1998</v>
      </c>
      <c r="B25" s="237">
        <v>35930</v>
      </c>
      <c r="C25" s="13" t="s">
        <v>1</v>
      </c>
      <c r="D25" s="238">
        <v>35948</v>
      </c>
      <c r="E25" s="298">
        <v>114</v>
      </c>
      <c r="F25" s="239" t="s">
        <v>17</v>
      </c>
      <c r="G25" s="702"/>
      <c r="H25" s="702"/>
      <c r="I25" s="702"/>
      <c r="J25" s="702"/>
      <c r="K25" s="702">
        <v>4.3859649122807012</v>
      </c>
      <c r="L25" s="702"/>
      <c r="M25" s="702"/>
      <c r="N25" s="702">
        <v>66.666666666666657</v>
      </c>
      <c r="O25" s="702"/>
      <c r="P25" s="702"/>
      <c r="Q25" s="702"/>
      <c r="R25" s="702">
        <v>28.947368421052634</v>
      </c>
      <c r="S25" s="702"/>
      <c r="T25" s="702"/>
      <c r="U25" s="702"/>
      <c r="V25" s="702"/>
      <c r="W25" s="702"/>
      <c r="X25" s="702"/>
      <c r="Y25" s="702"/>
      <c r="Z25" s="702"/>
      <c r="AA25" s="303">
        <f t="shared" si="0"/>
        <v>99.999999999999986</v>
      </c>
    </row>
    <row r="26" spans="1:27" ht="15.6">
      <c r="A26" s="239">
        <v>1999</v>
      </c>
      <c r="B26" s="237">
        <v>36294</v>
      </c>
      <c r="C26" s="13" t="s">
        <v>1</v>
      </c>
      <c r="D26" s="238">
        <v>36312</v>
      </c>
      <c r="E26" s="298">
        <v>375</v>
      </c>
      <c r="F26" s="239" t="s">
        <v>17</v>
      </c>
      <c r="G26" s="702"/>
      <c r="H26" s="702"/>
      <c r="I26" s="702">
        <v>0.26666666666666666</v>
      </c>
      <c r="J26" s="702"/>
      <c r="K26" s="893">
        <v>13.600000000000001</v>
      </c>
      <c r="L26" s="702"/>
      <c r="M26" s="702"/>
      <c r="N26" s="702">
        <v>70.13333333333334</v>
      </c>
      <c r="O26" s="702"/>
      <c r="P26" s="702"/>
      <c r="Q26" s="702"/>
      <c r="R26" s="702">
        <v>15.2</v>
      </c>
      <c r="S26" s="702">
        <v>0.53333333333333333</v>
      </c>
      <c r="T26" s="702"/>
      <c r="U26" s="702">
        <v>0.26666666666666666</v>
      </c>
      <c r="V26" s="702"/>
      <c r="W26" s="702"/>
      <c r="X26" s="702"/>
      <c r="Y26" s="702"/>
      <c r="Z26" s="702"/>
      <c r="AA26" s="303">
        <f t="shared" si="0"/>
        <v>100.00000000000001</v>
      </c>
    </row>
    <row r="27" spans="1:27" ht="15.6">
      <c r="A27" s="239">
        <v>2000</v>
      </c>
      <c r="B27" s="237">
        <v>36661</v>
      </c>
      <c r="C27" s="13" t="s">
        <v>1</v>
      </c>
      <c r="D27" s="238">
        <v>36683</v>
      </c>
      <c r="E27" s="298">
        <v>324</v>
      </c>
      <c r="F27" s="239" t="s">
        <v>17</v>
      </c>
      <c r="G27" s="702"/>
      <c r="H27" s="702"/>
      <c r="I27" s="702">
        <v>0.61728395061728392</v>
      </c>
      <c r="J27" s="702"/>
      <c r="K27" s="702">
        <v>7.4074074074074066</v>
      </c>
      <c r="L27" s="702"/>
      <c r="M27" s="702"/>
      <c r="N27" s="702">
        <v>67.901234567901241</v>
      </c>
      <c r="O27" s="702">
        <v>0.30864197530864196</v>
      </c>
      <c r="P27" s="702"/>
      <c r="Q27" s="702"/>
      <c r="R27" s="702">
        <v>22.530864197530864</v>
      </c>
      <c r="S27" s="702">
        <v>0.61728395061728392</v>
      </c>
      <c r="T27" s="702"/>
      <c r="U27" s="702"/>
      <c r="V27" s="702">
        <v>0.61728395061728392</v>
      </c>
      <c r="W27" s="702"/>
      <c r="X27" s="702"/>
      <c r="Y27" s="702"/>
      <c r="Z27" s="702"/>
      <c r="AA27" s="303">
        <f t="shared" si="0"/>
        <v>99.999999999999986</v>
      </c>
    </row>
    <row r="28" spans="1:27" ht="15.6">
      <c r="A28" s="239">
        <v>2001</v>
      </c>
      <c r="B28" s="237">
        <v>37028</v>
      </c>
      <c r="C28" s="13" t="s">
        <v>1</v>
      </c>
      <c r="D28" s="238">
        <v>37048</v>
      </c>
      <c r="E28" s="298">
        <v>867</v>
      </c>
      <c r="F28" s="239" t="s">
        <v>17</v>
      </c>
      <c r="G28" s="702"/>
      <c r="H28" s="702"/>
      <c r="I28" s="702">
        <v>0.46136101499423299</v>
      </c>
      <c r="J28" s="702"/>
      <c r="K28" s="702">
        <v>9.2272202998846602</v>
      </c>
      <c r="L28" s="702"/>
      <c r="M28" s="702"/>
      <c r="N28" s="702">
        <v>73.702422145328711</v>
      </c>
      <c r="O28" s="702"/>
      <c r="P28" s="702"/>
      <c r="Q28" s="702"/>
      <c r="R28" s="702">
        <v>15.340253748558247</v>
      </c>
      <c r="S28" s="702">
        <v>0.92272202998846597</v>
      </c>
      <c r="T28" s="702"/>
      <c r="U28" s="702">
        <v>0.11534025374855825</v>
      </c>
      <c r="V28" s="702">
        <v>0.23068050749711649</v>
      </c>
      <c r="W28" s="702"/>
      <c r="X28" s="702"/>
      <c r="Y28" s="702"/>
      <c r="Z28" s="702"/>
      <c r="AA28" s="303">
        <f t="shared" si="0"/>
        <v>99.999999999999972</v>
      </c>
    </row>
    <row r="29" spans="1:27" ht="15.6">
      <c r="A29" s="239">
        <v>2002</v>
      </c>
      <c r="B29" s="237">
        <v>37392</v>
      </c>
      <c r="C29" s="13" t="s">
        <v>1</v>
      </c>
      <c r="D29" s="238">
        <v>37422</v>
      </c>
      <c r="E29" s="298">
        <v>564</v>
      </c>
      <c r="F29" s="239" t="s">
        <v>17</v>
      </c>
      <c r="G29" s="702"/>
      <c r="H29" s="702"/>
      <c r="I29" s="702">
        <v>0.1773049645390071</v>
      </c>
      <c r="J29" s="702"/>
      <c r="K29" s="702">
        <v>4.6099290780141837</v>
      </c>
      <c r="L29" s="702"/>
      <c r="M29" s="702"/>
      <c r="N29" s="702">
        <v>74.822695035460995</v>
      </c>
      <c r="O29" s="702">
        <v>0.70921985815602839</v>
      </c>
      <c r="P29" s="702"/>
      <c r="Q29" s="702"/>
      <c r="R29" s="702">
        <v>13.652482269503546</v>
      </c>
      <c r="S29" s="702">
        <v>3.7234042553191489</v>
      </c>
      <c r="T29" s="702"/>
      <c r="U29" s="702"/>
      <c r="V29" s="702">
        <v>2.3049645390070919</v>
      </c>
      <c r="W29" s="702"/>
      <c r="X29" s="702"/>
      <c r="Y29" s="702"/>
      <c r="Z29" s="702"/>
      <c r="AA29" s="303">
        <f t="shared" si="0"/>
        <v>100.00000000000001</v>
      </c>
    </row>
    <row r="30" spans="1:27" ht="15.6">
      <c r="A30" s="239">
        <v>2003</v>
      </c>
      <c r="B30" s="237">
        <v>37755</v>
      </c>
      <c r="C30" s="13" t="s">
        <v>1</v>
      </c>
      <c r="D30" s="238">
        <v>37775</v>
      </c>
      <c r="E30" s="298">
        <v>453</v>
      </c>
      <c r="F30" s="239" t="s">
        <v>17</v>
      </c>
      <c r="G30" s="702"/>
      <c r="H30" s="702"/>
      <c r="I30" s="702">
        <v>0.44150110375275936</v>
      </c>
      <c r="J30" s="702"/>
      <c r="K30" s="702">
        <v>6.8432671081677707</v>
      </c>
      <c r="L30" s="702"/>
      <c r="M30" s="702"/>
      <c r="N30" s="702">
        <v>67.991169977924955</v>
      </c>
      <c r="O30" s="702">
        <v>0.44150110375275936</v>
      </c>
      <c r="P30" s="702"/>
      <c r="Q30" s="702"/>
      <c r="R30" s="702">
        <v>21.85430463576159</v>
      </c>
      <c r="S30" s="702">
        <v>1.545253863134658</v>
      </c>
      <c r="T30" s="702"/>
      <c r="U30" s="702">
        <v>0.22075055187637968</v>
      </c>
      <c r="V30" s="702">
        <v>0.66225165562913912</v>
      </c>
      <c r="W30" s="702"/>
      <c r="X30" s="702"/>
      <c r="Y30" s="702"/>
      <c r="Z30" s="702"/>
      <c r="AA30" s="303">
        <f t="shared" si="0"/>
        <v>100.00000000000001</v>
      </c>
    </row>
    <row r="31" spans="1:27" ht="15.6">
      <c r="A31" s="239">
        <v>2004</v>
      </c>
      <c r="B31" s="237">
        <v>38124</v>
      </c>
      <c r="C31" s="13" t="s">
        <v>1</v>
      </c>
      <c r="D31" s="238">
        <v>38143</v>
      </c>
      <c r="E31" s="298">
        <v>352</v>
      </c>
      <c r="F31" s="239" t="s">
        <v>17</v>
      </c>
      <c r="G31" s="702"/>
      <c r="H31" s="702"/>
      <c r="I31" s="702">
        <v>0.28409090909090912</v>
      </c>
      <c r="J31" s="702">
        <v>0.28409090909090912</v>
      </c>
      <c r="K31" s="702">
        <v>6.25</v>
      </c>
      <c r="L31" s="702"/>
      <c r="M31" s="702"/>
      <c r="N31" s="702">
        <v>67.61363636363636</v>
      </c>
      <c r="O31" s="702">
        <v>0.28409090909090912</v>
      </c>
      <c r="P31" s="702"/>
      <c r="Q31" s="702"/>
      <c r="R31" s="702">
        <v>23.295454545454543</v>
      </c>
      <c r="S31" s="702">
        <v>1.9886363636363635</v>
      </c>
      <c r="T31" s="702"/>
      <c r="U31" s="702"/>
      <c r="V31" s="702"/>
      <c r="W31" s="702"/>
      <c r="X31" s="702"/>
      <c r="Y31" s="702"/>
      <c r="Z31" s="702"/>
      <c r="AA31" s="303">
        <f t="shared" si="0"/>
        <v>99.999999999999986</v>
      </c>
    </row>
    <row r="32" spans="1:27" ht="15.6">
      <c r="A32" s="239">
        <v>2005</v>
      </c>
      <c r="B32" s="237">
        <v>38488</v>
      </c>
      <c r="C32" s="13" t="s">
        <v>1</v>
      </c>
      <c r="D32" s="238">
        <v>38514</v>
      </c>
      <c r="E32" s="298">
        <v>256</v>
      </c>
      <c r="F32" s="239" t="s">
        <v>17</v>
      </c>
      <c r="G32" s="702"/>
      <c r="H32" s="702"/>
      <c r="I32" s="702">
        <v>0.78125</v>
      </c>
      <c r="J32" s="702"/>
      <c r="K32" s="702">
        <v>11.328125</v>
      </c>
      <c r="L32" s="702"/>
      <c r="M32" s="702"/>
      <c r="N32" s="702">
        <v>56.25</v>
      </c>
      <c r="O32" s="702"/>
      <c r="P32" s="702"/>
      <c r="Q32" s="702"/>
      <c r="R32" s="702">
        <v>27.34375</v>
      </c>
      <c r="S32" s="702">
        <v>3.125</v>
      </c>
      <c r="T32" s="702"/>
      <c r="U32" s="702"/>
      <c r="V32" s="702">
        <v>0.78125</v>
      </c>
      <c r="W32" s="702"/>
      <c r="X32" s="702">
        <v>0.390625</v>
      </c>
      <c r="Y32" s="702"/>
      <c r="Z32" s="702"/>
      <c r="AA32" s="303">
        <f t="shared" si="0"/>
        <v>100</v>
      </c>
    </row>
    <row r="33" spans="1:27" ht="15.6">
      <c r="A33" s="239">
        <v>2006</v>
      </c>
      <c r="B33" s="237"/>
      <c r="C33" s="13"/>
      <c r="D33" s="238"/>
      <c r="E33" s="298">
        <v>244</v>
      </c>
      <c r="F33" s="239" t="s">
        <v>17</v>
      </c>
      <c r="G33" s="702"/>
      <c r="H33" s="702"/>
      <c r="I33" s="702">
        <v>0.4098360655737705</v>
      </c>
      <c r="J33" s="702"/>
      <c r="K33" s="702">
        <v>6.557377049180328</v>
      </c>
      <c r="L33" s="702"/>
      <c r="M33" s="704"/>
      <c r="N33" s="702">
        <v>71.721311475409834</v>
      </c>
      <c r="O33" s="702">
        <v>0.81967213114754101</v>
      </c>
      <c r="P33" s="702"/>
      <c r="Q33" s="704"/>
      <c r="R33" s="702">
        <v>14.344262295081966</v>
      </c>
      <c r="S33" s="702">
        <v>4.918032786885246</v>
      </c>
      <c r="T33" s="702"/>
      <c r="U33" s="702">
        <v>0.4098360655737705</v>
      </c>
      <c r="V33" s="702">
        <v>0.81967213114754101</v>
      </c>
      <c r="W33" s="702"/>
      <c r="X33" s="702"/>
      <c r="Y33" s="702"/>
      <c r="Z33" s="702"/>
      <c r="AA33" s="303">
        <f t="shared" si="0"/>
        <v>100</v>
      </c>
    </row>
    <row r="34" spans="1:27" ht="15.6">
      <c r="A34" s="239">
        <v>2007</v>
      </c>
      <c r="B34" s="237"/>
      <c r="C34" s="13"/>
      <c r="D34" s="238"/>
      <c r="E34" s="298">
        <v>431</v>
      </c>
      <c r="F34" s="239" t="s">
        <v>17</v>
      </c>
      <c r="G34" s="702"/>
      <c r="H34" s="702"/>
      <c r="I34" s="702">
        <v>0.23201856148491878</v>
      </c>
      <c r="J34" s="702"/>
      <c r="K34" s="702">
        <v>3.0162412993039442</v>
      </c>
      <c r="L34" s="702"/>
      <c r="M34" s="702"/>
      <c r="N34" s="702">
        <v>68.213457076566129</v>
      </c>
      <c r="O34" s="702">
        <v>0.46403712296983757</v>
      </c>
      <c r="P34" s="702"/>
      <c r="Q34" s="702"/>
      <c r="R34" s="702">
        <v>25.986078886310903</v>
      </c>
      <c r="S34" s="702">
        <v>1.160092807424594</v>
      </c>
      <c r="T34" s="702"/>
      <c r="U34" s="704">
        <v>0.46403712296983757</v>
      </c>
      <c r="V34" s="702">
        <v>0.46403712296983757</v>
      </c>
      <c r="W34" s="702"/>
      <c r="X34" s="702"/>
      <c r="Y34" s="702"/>
      <c r="Z34" s="702"/>
      <c r="AA34" s="303">
        <f t="shared" si="0"/>
        <v>100.00000000000001</v>
      </c>
    </row>
    <row r="35" spans="1:27" ht="15.6">
      <c r="A35" s="239">
        <v>2008</v>
      </c>
      <c r="B35" s="237">
        <v>39583</v>
      </c>
      <c r="C35" s="13" t="s">
        <v>1</v>
      </c>
      <c r="D35" s="238">
        <v>39609</v>
      </c>
      <c r="E35" s="298">
        <v>297</v>
      </c>
      <c r="F35" s="239" t="s">
        <v>17</v>
      </c>
      <c r="G35" s="702"/>
      <c r="H35" s="702"/>
      <c r="I35" s="702"/>
      <c r="J35" s="702"/>
      <c r="K35" s="702">
        <v>6.0606060606060606</v>
      </c>
      <c r="L35" s="702"/>
      <c r="M35" s="702"/>
      <c r="N35" s="702">
        <v>60.606060606060609</v>
      </c>
      <c r="O35" s="702">
        <v>0.33670033670033667</v>
      </c>
      <c r="P35" s="702"/>
      <c r="Q35" s="702"/>
      <c r="R35" s="702">
        <v>32.323232323232325</v>
      </c>
      <c r="S35" s="702">
        <v>0.67340067340067333</v>
      </c>
      <c r="T35" s="702"/>
      <c r="U35" s="700"/>
      <c r="V35" s="702"/>
      <c r="W35" s="702"/>
      <c r="X35" s="702"/>
      <c r="Y35" s="702"/>
      <c r="Z35" s="702"/>
      <c r="AA35" s="303">
        <f t="shared" si="0"/>
        <v>100.00000000000001</v>
      </c>
    </row>
    <row r="36" spans="1:27" ht="15.6">
      <c r="A36" s="239">
        <v>2009</v>
      </c>
      <c r="B36" s="237">
        <v>39947</v>
      </c>
      <c r="C36" s="13" t="s">
        <v>1</v>
      </c>
      <c r="D36" s="238">
        <v>39973</v>
      </c>
      <c r="E36" s="298">
        <v>193</v>
      </c>
      <c r="F36" s="239" t="s">
        <v>17</v>
      </c>
      <c r="G36" s="702"/>
      <c r="H36" s="702"/>
      <c r="I36" s="702">
        <v>0.5181347150259068</v>
      </c>
      <c r="J36" s="702"/>
      <c r="K36" s="704">
        <v>7.7720207253886011</v>
      </c>
      <c r="L36" s="704"/>
      <c r="M36" s="704"/>
      <c r="N36" s="704">
        <v>67.875647668393782</v>
      </c>
      <c r="O36" s="704">
        <v>0.5181347150259068</v>
      </c>
      <c r="P36" s="704"/>
      <c r="Q36" s="704"/>
      <c r="R36" s="704">
        <v>21.243523316062177</v>
      </c>
      <c r="S36" s="704">
        <v>0.5181347150259068</v>
      </c>
      <c r="T36" s="702"/>
      <c r="U36" s="700"/>
      <c r="V36" s="702">
        <v>1.5544041450777202</v>
      </c>
      <c r="W36" s="702"/>
      <c r="X36" s="702"/>
      <c r="Y36" s="702"/>
      <c r="Z36" s="702"/>
      <c r="AA36" s="303">
        <f t="shared" si="0"/>
        <v>100.00000000000001</v>
      </c>
    </row>
    <row r="37" spans="1:27" ht="15.6">
      <c r="A37" s="239">
        <v>2010</v>
      </c>
      <c r="B37" s="237">
        <v>40311</v>
      </c>
      <c r="C37" s="13"/>
      <c r="D37" s="238">
        <v>40339</v>
      </c>
      <c r="E37" s="298">
        <v>173</v>
      </c>
      <c r="F37" s="239" t="s">
        <v>17</v>
      </c>
      <c r="G37" s="702"/>
      <c r="H37" s="702"/>
      <c r="I37" s="702">
        <v>0.57803468208092479</v>
      </c>
      <c r="J37" s="702"/>
      <c r="K37" s="702">
        <v>12.138728323699421</v>
      </c>
      <c r="L37" s="702"/>
      <c r="M37" s="702"/>
      <c r="N37" s="702">
        <v>64.739884393063591</v>
      </c>
      <c r="O37" s="702">
        <v>0.57803468208092479</v>
      </c>
      <c r="P37" s="702"/>
      <c r="Q37" s="702"/>
      <c r="R37" s="702">
        <v>21.387283236994222</v>
      </c>
      <c r="S37" s="702">
        <v>0.57803468208092479</v>
      </c>
      <c r="T37" s="702"/>
      <c r="U37" s="700"/>
      <c r="V37" s="702"/>
      <c r="W37" s="702"/>
      <c r="X37" s="702"/>
      <c r="Y37" s="702"/>
      <c r="Z37" s="702"/>
      <c r="AA37" s="303">
        <f t="shared" si="0"/>
        <v>100.00000000000001</v>
      </c>
    </row>
    <row r="38" spans="1:27" ht="15.6">
      <c r="A38" s="239">
        <v>2011</v>
      </c>
      <c r="B38" s="237">
        <v>40679</v>
      </c>
      <c r="C38" s="13" t="s">
        <v>1</v>
      </c>
      <c r="D38" s="238">
        <v>40698</v>
      </c>
      <c r="E38" s="298">
        <v>130</v>
      </c>
      <c r="F38" s="239" t="s">
        <v>17</v>
      </c>
      <c r="G38" s="702"/>
      <c r="H38" s="702"/>
      <c r="I38" s="702"/>
      <c r="J38" s="702"/>
      <c r="K38" s="702">
        <v>6.9230769230769234</v>
      </c>
      <c r="L38" s="702"/>
      <c r="M38" s="702"/>
      <c r="N38" s="702">
        <v>76.923076923076934</v>
      </c>
      <c r="O38" s="702"/>
      <c r="P38" s="702"/>
      <c r="Q38" s="702"/>
      <c r="R38" s="702">
        <v>13.076923076923078</v>
      </c>
      <c r="S38" s="702">
        <v>3.0769230769230771</v>
      </c>
      <c r="T38" s="702"/>
      <c r="U38" s="700"/>
      <c r="V38" s="702"/>
      <c r="W38" s="702"/>
      <c r="X38" s="702"/>
      <c r="Y38" s="702"/>
      <c r="Z38" s="702"/>
      <c r="AA38" s="303">
        <f t="shared" si="0"/>
        <v>100.00000000000001</v>
      </c>
    </row>
    <row r="39" spans="1:27" ht="15.6">
      <c r="A39" s="239">
        <v>2012</v>
      </c>
      <c r="B39" s="237">
        <v>41046</v>
      </c>
      <c r="C39" s="13"/>
      <c r="D39" s="238">
        <v>41062</v>
      </c>
      <c r="E39" s="298">
        <v>41</v>
      </c>
      <c r="F39" s="239" t="s">
        <v>17</v>
      </c>
      <c r="G39" s="702"/>
      <c r="H39" s="702"/>
      <c r="I39" s="702"/>
      <c r="J39" s="702"/>
      <c r="K39" s="702">
        <v>7.3170731707317067</v>
      </c>
      <c r="L39" s="702"/>
      <c r="M39" s="702"/>
      <c r="N39" s="702">
        <v>78.048780487804876</v>
      </c>
      <c r="O39" s="702"/>
      <c r="P39" s="702"/>
      <c r="Q39" s="702"/>
      <c r="R39" s="702">
        <v>9.7560975609756095</v>
      </c>
      <c r="S39" s="702">
        <v>2.4390243902439024</v>
      </c>
      <c r="T39" s="702"/>
      <c r="U39" s="700">
        <v>2.4390243902439024</v>
      </c>
      <c r="V39" s="702"/>
      <c r="W39" s="702"/>
      <c r="X39" s="702"/>
      <c r="Y39" s="702"/>
      <c r="Z39" s="702"/>
      <c r="AA39" s="303">
        <f t="shared" si="0"/>
        <v>99.999999999999986</v>
      </c>
    </row>
    <row r="40" spans="1:27" ht="15.6">
      <c r="A40" s="239">
        <v>2013</v>
      </c>
      <c r="B40" s="237">
        <v>41410</v>
      </c>
      <c r="C40" s="13"/>
      <c r="D40" s="238">
        <v>41440</v>
      </c>
      <c r="E40" s="298">
        <v>160</v>
      </c>
      <c r="F40" s="239" t="s">
        <v>17</v>
      </c>
      <c r="G40" s="702"/>
      <c r="H40" s="702"/>
      <c r="I40" s="892">
        <v>13.125</v>
      </c>
      <c r="J40" s="702"/>
      <c r="K40" s="702">
        <v>11.875</v>
      </c>
      <c r="L40" s="702"/>
      <c r="M40" s="702"/>
      <c r="N40" s="702">
        <v>61.250000000000007</v>
      </c>
      <c r="O40" s="702"/>
      <c r="P40" s="702"/>
      <c r="Q40" s="702"/>
      <c r="R40" s="702">
        <v>10</v>
      </c>
      <c r="S40" s="702">
        <v>3.75</v>
      </c>
      <c r="T40" s="702"/>
      <c r="U40" s="700"/>
      <c r="V40" s="702"/>
      <c r="W40" s="702"/>
      <c r="X40" s="702"/>
      <c r="Y40" s="702"/>
      <c r="Z40" s="702"/>
      <c r="AA40" s="303">
        <f>SUM(G40:Z40)</f>
        <v>100</v>
      </c>
    </row>
    <row r="41" spans="1:27" ht="15.6">
      <c r="A41" s="239">
        <v>2014</v>
      </c>
      <c r="B41" s="237">
        <v>41789</v>
      </c>
      <c r="C41" s="13" t="s">
        <v>1</v>
      </c>
      <c r="D41" s="238">
        <v>41859</v>
      </c>
      <c r="E41" s="298">
        <v>209</v>
      </c>
      <c r="F41" s="239" t="s">
        <v>17</v>
      </c>
      <c r="G41" s="702"/>
      <c r="H41" s="702"/>
      <c r="I41" s="702">
        <v>1.9138755980861244</v>
      </c>
      <c r="J41" s="702"/>
      <c r="K41">
        <v>22.488038277511961</v>
      </c>
      <c r="L41" s="702"/>
      <c r="M41" s="702"/>
      <c r="N41" s="702">
        <v>45.933014354066984</v>
      </c>
      <c r="O41" s="702">
        <v>0.9569377990430622</v>
      </c>
      <c r="P41" s="702"/>
      <c r="Q41" s="702"/>
      <c r="R41" s="702">
        <v>26.315789473684209</v>
      </c>
      <c r="S41" s="702">
        <v>1.9138755980861244</v>
      </c>
      <c r="T41" s="702"/>
      <c r="U41" s="700"/>
      <c r="V41" s="702">
        <v>0.4784688995215311</v>
      </c>
      <c r="W41" s="702"/>
      <c r="X41" s="702"/>
      <c r="Y41" s="702"/>
      <c r="Z41" s="702"/>
      <c r="AA41" s="303">
        <f>SUM(G41:Z41)</f>
        <v>99.999999999999986</v>
      </c>
    </row>
    <row r="42" spans="1:27" ht="15.6">
      <c r="A42" s="239"/>
      <c r="B42" s="237"/>
      <c r="C42" s="13"/>
      <c r="D42" s="238"/>
      <c r="E42" s="298"/>
      <c r="F42" s="239"/>
      <c r="G42" s="702"/>
      <c r="H42" s="702"/>
      <c r="I42" s="702"/>
      <c r="J42" s="702"/>
      <c r="K42" s="702"/>
      <c r="L42" s="702"/>
      <c r="M42" s="702"/>
      <c r="N42" s="702"/>
      <c r="O42" s="702"/>
      <c r="P42" s="702"/>
      <c r="Q42" s="702"/>
      <c r="R42" s="702"/>
      <c r="S42" s="702"/>
      <c r="T42" s="702"/>
      <c r="U42" s="700"/>
      <c r="V42" s="702"/>
      <c r="W42" s="702"/>
      <c r="X42" s="702"/>
      <c r="Y42" s="702"/>
      <c r="Z42" s="702"/>
      <c r="AA42" s="303"/>
    </row>
    <row r="43" spans="1:27" ht="15.6">
      <c r="A43" s="286"/>
      <c r="B43" s="237"/>
      <c r="C43" s="13"/>
      <c r="D43" s="238"/>
      <c r="E43" s="239"/>
      <c r="F43" s="239"/>
      <c r="G43" s="236"/>
      <c r="H43" s="215"/>
      <c r="I43" s="215"/>
      <c r="J43" s="215"/>
      <c r="K43" s="215"/>
      <c r="L43" s="215"/>
      <c r="M43" s="215"/>
      <c r="N43" s="215"/>
      <c r="O43" s="215"/>
      <c r="P43" s="215"/>
      <c r="Q43" s="215"/>
      <c r="R43" s="215"/>
      <c r="S43" s="215"/>
      <c r="T43" s="215"/>
      <c r="U43" s="215"/>
      <c r="V43" s="215"/>
      <c r="W43" s="215"/>
      <c r="X43" s="215"/>
      <c r="Y43" s="215"/>
      <c r="Z43" s="215"/>
      <c r="AA43" s="215"/>
    </row>
    <row r="44" spans="1:27" ht="17.399999999999999">
      <c r="A44" s="695" t="str">
        <f>"Last 10 years "&amp;FcastYR-10&amp;"-"&amp;FcastYR-1</f>
        <v>Last 10 years 2005-2014</v>
      </c>
      <c r="B44" s="218"/>
      <c r="C44" s="216"/>
      <c r="D44" s="218"/>
      <c r="E44" s="217"/>
      <c r="F44" s="217"/>
      <c r="G44" s="741"/>
      <c r="H44" s="741" t="e">
        <f>AVERAGE(H32:H41)</f>
        <v>#DIV/0!</v>
      </c>
      <c r="I44" s="741">
        <f>AVERAGE(I32:I41)</f>
        <v>2.5083070888930918</v>
      </c>
      <c r="J44" s="741">
        <f>AVERAGE(J31:J40)</f>
        <v>0.28409090909090912</v>
      </c>
      <c r="K44" s="741">
        <f t="shared" ref="K44:V44" si="1">AVERAGE(K31:K40)</f>
        <v>7.9238248551986983</v>
      </c>
      <c r="L44" s="741" t="e">
        <f>AVERAGE(L32:L41)</f>
        <v>#DIV/0!</v>
      </c>
      <c r="M44" s="741"/>
      <c r="N44" s="741">
        <f t="shared" si="1"/>
        <v>67.324185499401196</v>
      </c>
      <c r="O44" s="741">
        <f t="shared" si="1"/>
        <v>0.50011164950257603</v>
      </c>
      <c r="P44" s="741"/>
      <c r="Q44" s="741"/>
      <c r="R44" s="741">
        <f t="shared" si="1"/>
        <v>19.87566052410348</v>
      </c>
      <c r="S44" s="741">
        <f t="shared" si="1"/>
        <v>2.2227279495620684</v>
      </c>
      <c r="T44" s="741"/>
      <c r="U44" s="741">
        <f t="shared" si="1"/>
        <v>1.1042991929291701</v>
      </c>
      <c r="V44" s="741">
        <f t="shared" si="1"/>
        <v>0.90484084979877477</v>
      </c>
      <c r="W44" s="741"/>
      <c r="X44" s="741"/>
      <c r="Y44" s="741"/>
      <c r="Z44" s="741"/>
      <c r="AA44" s="741">
        <f>AVERAGE(AA31:AA40)</f>
        <v>100</v>
      </c>
    </row>
    <row r="45" spans="1:27" ht="18">
      <c r="A45" s="304" t="s">
        <v>18</v>
      </c>
      <c r="B45" s="696" t="str">
        <f>"1980-"&amp; FcastYR-1</f>
        <v>1980-2014</v>
      </c>
      <c r="C45" s="219"/>
      <c r="D45" s="219"/>
      <c r="E45" s="220"/>
      <c r="F45" s="220"/>
      <c r="G45" s="741" t="e">
        <f>AVERAGE(G7:G43)</f>
        <v>#DIV/0!</v>
      </c>
      <c r="H45" s="741" t="e">
        <f>AVERAGE(H7:H43)</f>
        <v>#DIV/0!</v>
      </c>
      <c r="I45" s="741">
        <f>AVERAGE(I7:I43)</f>
        <v>1.7725312154608337</v>
      </c>
      <c r="J45" s="741">
        <f>AVERAGE(J7:J43)</f>
        <v>0.4916954545454546</v>
      </c>
      <c r="K45" s="741">
        <f t="shared" ref="K45:AA45" si="2">AVERAGE(K7:K43)</f>
        <v>8.5552667667501616</v>
      </c>
      <c r="L45" s="741" t="e">
        <f>AVERAGE(L7:L43)</f>
        <v>#DIV/0!</v>
      </c>
      <c r="M45" s="741" t="e">
        <f>AVERAGE(M7:M43)</f>
        <v>#DIV/0!</v>
      </c>
      <c r="N45" s="741">
        <f>AVERAGE(N7:N43)</f>
        <v>63.047412220638911</v>
      </c>
      <c r="O45" s="741">
        <f t="shared" si="2"/>
        <v>0.68768505277299552</v>
      </c>
      <c r="P45" s="741" t="e">
        <f t="shared" si="2"/>
        <v>#DIV/0!</v>
      </c>
      <c r="Q45" s="741" t="e">
        <f>AVERAGE(Q7:Q43)</f>
        <v>#DIV/0!</v>
      </c>
      <c r="R45" s="741">
        <f>AVERAGE(R7:R43)</f>
        <v>24.080223825527217</v>
      </c>
      <c r="S45" s="741">
        <f>AVERAGE(S7:S43)</f>
        <v>2.0292082155285573</v>
      </c>
      <c r="T45" s="741" t="e">
        <f>AVERAGE(T7:T43)</f>
        <v>#DIV/0!</v>
      </c>
      <c r="U45" s="741">
        <f t="shared" si="2"/>
        <v>0.65260917517985251</v>
      </c>
      <c r="V45" s="741">
        <f t="shared" si="2"/>
        <v>1.2730840731897892</v>
      </c>
      <c r="W45" s="741" t="e">
        <f t="shared" si="2"/>
        <v>#DIV/0!</v>
      </c>
      <c r="X45" s="741">
        <f t="shared" si="2"/>
        <v>0.390625</v>
      </c>
      <c r="Y45" s="741"/>
      <c r="Z45" s="741" t="e">
        <f t="shared" si="2"/>
        <v>#DIV/0!</v>
      </c>
      <c r="AA45" s="741">
        <f t="shared" si="2"/>
        <v>65.714288285714289</v>
      </c>
    </row>
    <row r="46" spans="1:27" ht="15.6">
      <c r="A46" s="4"/>
      <c r="B46" s="14"/>
      <c r="C46" s="15"/>
      <c r="D46" s="14"/>
      <c r="E46" s="4"/>
      <c r="F46" s="4"/>
      <c r="G46" s="16"/>
      <c r="H46" s="16"/>
      <c r="I46" s="16"/>
      <c r="J46" s="16"/>
      <c r="K46" s="16"/>
      <c r="L46" s="16"/>
      <c r="M46" s="4"/>
      <c r="N46" s="16"/>
      <c r="O46" s="16"/>
      <c r="P46" s="16"/>
      <c r="Q46" s="16"/>
      <c r="R46" s="4"/>
      <c r="S46" s="16"/>
      <c r="T46" s="16"/>
      <c r="U46" s="16"/>
      <c r="V46" s="16"/>
      <c r="W46" s="16"/>
      <c r="X46" s="16"/>
      <c r="Y46" s="16"/>
      <c r="Z46" s="16"/>
      <c r="AA46" s="16"/>
    </row>
    <row r="47" spans="1:27" ht="18.600000000000001">
      <c r="A47" s="305" t="s">
        <v>19</v>
      </c>
      <c r="B47" s="306" t="s">
        <v>20</v>
      </c>
      <c r="C47" s="15"/>
      <c r="D47" s="14"/>
      <c r="E47" s="4"/>
      <c r="F47" s="4"/>
      <c r="G47" s="16"/>
      <c r="H47" s="16"/>
      <c r="I47" s="16"/>
      <c r="J47" s="16"/>
      <c r="K47" s="4"/>
      <c r="L47" s="4"/>
      <c r="M47" s="4"/>
      <c r="N47" s="4"/>
      <c r="O47" s="4"/>
      <c r="P47" s="4"/>
      <c r="Q47" s="4"/>
      <c r="R47" s="4"/>
      <c r="S47" s="4"/>
      <c r="T47" s="4"/>
      <c r="U47" s="16"/>
      <c r="V47" s="16"/>
      <c r="W47" s="16"/>
      <c r="X47" s="16"/>
      <c r="Y47" s="16"/>
      <c r="Z47" s="16"/>
      <c r="AA47" s="16"/>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W41"/>
  <sheetViews>
    <sheetView zoomScale="75" zoomScaleNormal="75" workbookViewId="0">
      <selection activeCell="A30" sqref="A30:XFD30"/>
    </sheetView>
  </sheetViews>
  <sheetFormatPr defaultRowHeight="13.2"/>
  <cols>
    <col min="2" max="2" width="14.109375" customWidth="1"/>
    <col min="10" max="10" width="12.44140625" customWidth="1"/>
    <col min="23" max="23" width="11.109375" customWidth="1"/>
  </cols>
  <sheetData>
    <row r="1" spans="1:23">
      <c r="A1" s="25" t="str">
        <f ca="1">CELL("filename",A1)</f>
        <v>C:\Users\rebrenner\Desktop\NCEAS\DATA\PWS&amp;CBR_SALMON\PWS&amp;CR_SALMON_FORECAST_DATA\[2015 Copper River Chinook forecast-FINAL.xlsm]UCRNumber</v>
      </c>
    </row>
    <row r="2" spans="1:23">
      <c r="A2" s="439"/>
    </row>
    <row r="5" spans="1:23" ht="15.6">
      <c r="A5" s="334"/>
      <c r="B5" s="334"/>
      <c r="C5" s="293" t="s">
        <v>5</v>
      </c>
      <c r="D5" s="294" t="s">
        <v>6</v>
      </c>
      <c r="E5" s="295"/>
      <c r="F5" s="294" t="s">
        <v>7</v>
      </c>
      <c r="G5" s="289"/>
      <c r="H5" s="295"/>
      <c r="I5" s="294" t="s">
        <v>8</v>
      </c>
      <c r="J5" s="289"/>
      <c r="K5" s="289"/>
      <c r="L5" s="295"/>
      <c r="M5" s="294" t="s">
        <v>9</v>
      </c>
      <c r="N5" s="290"/>
      <c r="O5" s="289"/>
      <c r="P5" s="295"/>
      <c r="Q5" s="294" t="s">
        <v>10</v>
      </c>
      <c r="R5" s="289"/>
      <c r="S5" s="295"/>
      <c r="T5" s="294" t="s">
        <v>11</v>
      </c>
      <c r="U5" s="289"/>
      <c r="V5" s="295"/>
      <c r="W5" s="245"/>
    </row>
    <row r="6" spans="1:23" ht="31.2">
      <c r="A6" s="747" t="s">
        <v>433</v>
      </c>
      <c r="B6" s="766" t="s">
        <v>434</v>
      </c>
      <c r="C6" s="299">
        <v>0.1</v>
      </c>
      <c r="D6" s="300">
        <v>0.2</v>
      </c>
      <c r="E6" s="301">
        <v>1.1000000000000001</v>
      </c>
      <c r="F6" s="300">
        <v>0.3</v>
      </c>
      <c r="G6" s="296">
        <v>1.2</v>
      </c>
      <c r="H6" s="301">
        <v>2.1</v>
      </c>
      <c r="I6" s="300">
        <v>0.4</v>
      </c>
      <c r="J6" s="296">
        <v>1.3</v>
      </c>
      <c r="K6" s="296">
        <v>2.2000000000000002</v>
      </c>
      <c r="L6" s="302" t="s">
        <v>15</v>
      </c>
      <c r="M6" s="300">
        <v>0.5</v>
      </c>
      <c r="N6" s="296">
        <v>1.4</v>
      </c>
      <c r="O6" s="296">
        <v>2.2999999999999998</v>
      </c>
      <c r="P6" s="301">
        <v>3.2</v>
      </c>
      <c r="Q6" s="300">
        <v>1.5</v>
      </c>
      <c r="R6" s="296">
        <v>2.4</v>
      </c>
      <c r="S6" s="301">
        <v>3.3</v>
      </c>
      <c r="T6" s="740">
        <v>1.6</v>
      </c>
      <c r="U6" s="300">
        <v>2.5</v>
      </c>
      <c r="V6" s="301">
        <v>3.4</v>
      </c>
      <c r="W6" s="296" t="s">
        <v>0</v>
      </c>
    </row>
    <row r="7" spans="1:23" ht="15.6">
      <c r="A7" s="239">
        <v>1980</v>
      </c>
      <c r="B7" s="767">
        <f>Escapements!J9</f>
        <v>34684.748314976161</v>
      </c>
      <c r="C7" s="748">
        <f>IF(ISERR((UCRPercentage!G7/100)*$B7), 0, (UCRPercentage!G7/100)*$B7)</f>
        <v>0</v>
      </c>
      <c r="D7" s="748">
        <f>IF(ISERR((UCRPercentage!H7/100)*$B7), 0, (UCRPercentage!H7/100)*$B7)</f>
        <v>0</v>
      </c>
      <c r="E7" s="748">
        <f>IF(ISERR((UCRPercentage!I7/100)*$B7), 0, (UCRPercentage!I7/100)*$B7)</f>
        <v>0</v>
      </c>
      <c r="F7" s="748">
        <f>IF(ISERR((UCRPercentage!J7/100)*$B7), 0, (UCRPercentage!J7/100)*$B7)</f>
        <v>0</v>
      </c>
      <c r="G7" s="748">
        <f>IF(ISERR((UCRPercentage!K7/100)*$B7), 0, (UCRPercentage!K7/100)*$B7)</f>
        <v>0</v>
      </c>
      <c r="H7" s="748">
        <f>IF(ISERR((UCRPercentage!L7/100)*$B7), 0, (UCRPercentage!L7/100)*$B7)</f>
        <v>0</v>
      </c>
      <c r="I7" s="748">
        <f>IF(ISERR((UCRPercentage!M7/100)*$B7), 0, (UCRPercentage!M7/100)*$B7)</f>
        <v>0</v>
      </c>
      <c r="J7" s="748">
        <f>IF(ISERR((UCRPercentage!N7/100)*$B7), 0, (UCRPercentage!N7/100)*$B7)</f>
        <v>0</v>
      </c>
      <c r="K7" s="748">
        <f>IF(ISERR((UCRPercentage!O7/100)*$B7), 0, (UCRPercentage!O7/100)*$B7)</f>
        <v>0</v>
      </c>
      <c r="L7" s="748">
        <f>IF(ISERR((UCRPercentage!P7/100)*$B7), 0, (UCRPercentage!P7/100)*$B7)</f>
        <v>0</v>
      </c>
      <c r="M7" s="748">
        <f>IF(ISERR((UCRPercentage!Q7/100)*$B7), 0, (UCRPercentage!Q7/100)*$B7)</f>
        <v>0</v>
      </c>
      <c r="N7" s="748">
        <f>IF(ISERR((UCRPercentage!R7/100)*$B7), 0, (UCRPercentage!R7/100)*$B7)</f>
        <v>0</v>
      </c>
      <c r="O7" s="748">
        <f>IF(ISERR((UCRPercentage!S7/100)*$B7), 0, (UCRPercentage!S7/100)*$B7)</f>
        <v>0</v>
      </c>
      <c r="P7" s="748">
        <f>IF(ISERR((UCRPercentage!T7/100)*$B7), 0, (UCRPercentage!T7/100)*$B7)</f>
        <v>0</v>
      </c>
      <c r="Q7" s="748">
        <f>IF(ISERR((UCRPercentage!U7/100)*$B7), 0, (UCRPercentage!U7/100)*$B7)</f>
        <v>0</v>
      </c>
      <c r="R7" s="748">
        <f>IF(ISERR((UCRPercentage!V7/100)*$B7), 0, (UCRPercentage!V7/100)*$B7)</f>
        <v>0</v>
      </c>
      <c r="S7" s="748">
        <f>IF(ISERR((UCRPercentage!W7/100)*$B7), 0, (UCRPercentage!W7/100)*$B7)</f>
        <v>0</v>
      </c>
      <c r="T7" s="748">
        <f>IF(ISERR((UCRPercentage!X7/100)*$B7), 0, (UCRPercentage!X7/100)*$B7)</f>
        <v>0</v>
      </c>
      <c r="U7" s="748">
        <f>IF(ISERR((UCRPercentage!Y7/100)*$B7), 0, (UCRPercentage!Y7/100)*$B7)</f>
        <v>0</v>
      </c>
      <c r="V7" s="748">
        <f>IF(ISERR((UCRPercentage!Z7/100)*$B7), 0, (UCRPercentage!Z7/100)*$B7)</f>
        <v>0</v>
      </c>
      <c r="W7" s="749">
        <f>SUM(C7:V7)</f>
        <v>0</v>
      </c>
    </row>
    <row r="8" spans="1:23" ht="15.6">
      <c r="A8" s="239">
        <v>1981</v>
      </c>
      <c r="B8" s="768">
        <f>Escapements!J10</f>
        <v>19781.078590640129</v>
      </c>
      <c r="C8" s="748">
        <f>IF(ISERR((UCRPercentage!G8/100)*$B8), 0, (UCRPercentage!G8/100)*$B8)</f>
        <v>0</v>
      </c>
      <c r="D8" s="748">
        <f>IF(ISERR((UCRPercentage!H8/100)*$B8), 0, (UCRPercentage!H8/100)*$B8)</f>
        <v>0</v>
      </c>
      <c r="E8" s="748">
        <f>IF(ISERR((UCRPercentage!I8/100)*$B8), 0, (UCRPercentage!I8/100)*$B8)</f>
        <v>0</v>
      </c>
      <c r="F8" s="748">
        <f>IF(ISERR((UCRPercentage!J8/100)*$B8), 0, (UCRPercentage!J8/100)*$B8)</f>
        <v>0</v>
      </c>
      <c r="G8" s="748">
        <f>IF(ISERR((UCRPercentage!K8/100)*$B8), 0, (UCRPercentage!K8/100)*$B8)</f>
        <v>0</v>
      </c>
      <c r="H8" s="748">
        <f>IF(ISERR((UCRPercentage!L8/100)*$B8), 0, (UCRPercentage!L8/100)*$B8)</f>
        <v>0</v>
      </c>
      <c r="I8" s="748">
        <f>IF(ISERR((UCRPercentage!M8/100)*$B8), 0, (UCRPercentage!M8/100)*$B8)</f>
        <v>0</v>
      </c>
      <c r="J8" s="748">
        <f>IF(ISERR((UCRPercentage!N8/100)*$B8), 0, (UCRPercentage!N8/100)*$B8)</f>
        <v>0</v>
      </c>
      <c r="K8" s="748">
        <f>IF(ISERR((UCRPercentage!O8/100)*$B8), 0, (UCRPercentage!O8/100)*$B8)</f>
        <v>0</v>
      </c>
      <c r="L8" s="748">
        <f>IF(ISERR((UCRPercentage!P8/100)*$B8), 0, (UCRPercentage!P8/100)*$B8)</f>
        <v>0</v>
      </c>
      <c r="M8" s="748">
        <f>IF(ISERR((UCRPercentage!Q8/100)*$B8), 0, (UCRPercentage!Q8/100)*$B8)</f>
        <v>0</v>
      </c>
      <c r="N8" s="748">
        <f>IF(ISERR((UCRPercentage!R8/100)*$B8), 0, (UCRPercentage!R8/100)*$B8)</f>
        <v>0</v>
      </c>
      <c r="O8" s="748">
        <f>IF(ISERR((UCRPercentage!S8/100)*$B8), 0, (UCRPercentage!S8/100)*$B8)</f>
        <v>0</v>
      </c>
      <c r="P8" s="748">
        <f>IF(ISERR((UCRPercentage!T8/100)*$B8), 0, (UCRPercentage!T8/100)*$B8)</f>
        <v>0</v>
      </c>
      <c r="Q8" s="748">
        <f>IF(ISERR((UCRPercentage!U8/100)*$B8), 0, (UCRPercentage!U8/100)*$B8)</f>
        <v>0</v>
      </c>
      <c r="R8" s="748">
        <f>IF(ISERR((UCRPercentage!V8/100)*$B8), 0, (UCRPercentage!V8/100)*$B8)</f>
        <v>0</v>
      </c>
      <c r="S8" s="748">
        <f>IF(ISERR((UCRPercentage!W8/100)*$B8), 0, (UCRPercentage!W8/100)*$B8)</f>
        <v>0</v>
      </c>
      <c r="T8" s="748">
        <f>IF(ISERR((UCRPercentage!X8/100)*$B8), 0, (UCRPercentage!X8/100)*$B8)</f>
        <v>0</v>
      </c>
      <c r="U8" s="748">
        <f>IF(ISERR((UCRPercentage!Y8/100)*$B8), 0, (UCRPercentage!Y8/100)*$B8)</f>
        <v>0</v>
      </c>
      <c r="V8" s="748">
        <f>IF(ISERR((UCRPercentage!Z8/100)*$B8), 0, (UCRPercentage!Z8/100)*$B8)</f>
        <v>0</v>
      </c>
      <c r="W8" s="749">
        <f t="shared" ref="W8:W40" si="0">SUM(C8:V8)</f>
        <v>0</v>
      </c>
    </row>
    <row r="9" spans="1:23" ht="15.6">
      <c r="A9" s="239">
        <v>1982</v>
      </c>
      <c r="B9" s="768">
        <f>Escapements!J11</f>
        <v>13037.621126102389</v>
      </c>
      <c r="C9" s="748">
        <f>IF(ISERR((UCRPercentage!G9/100)*$B9), 0, (UCRPercentage!G9/100)*$B9)</f>
        <v>0</v>
      </c>
      <c r="D9" s="748">
        <f>IF(ISERR((UCRPercentage!H9/100)*$B9), 0, (UCRPercentage!H9/100)*$B9)</f>
        <v>0</v>
      </c>
      <c r="E9" s="748">
        <f>IF(ISERR((UCRPercentage!I9/100)*$B9), 0, (UCRPercentage!I9/100)*$B9)</f>
        <v>0</v>
      </c>
      <c r="F9" s="748">
        <f>IF(ISERR((UCRPercentage!J9/100)*$B9), 0, (UCRPercentage!J9/100)*$B9)</f>
        <v>0</v>
      </c>
      <c r="G9" s="748">
        <f>IF(ISERR((UCRPercentage!K9/100)*$B9), 0, (UCRPercentage!K9/100)*$B9)</f>
        <v>0</v>
      </c>
      <c r="H9" s="748">
        <f>IF(ISERR((UCRPercentage!L9/100)*$B9), 0, (UCRPercentage!L9/100)*$B9)</f>
        <v>0</v>
      </c>
      <c r="I9" s="748">
        <f>IF(ISERR((UCRPercentage!M9/100)*$B9), 0, (UCRPercentage!M9/100)*$B9)</f>
        <v>0</v>
      </c>
      <c r="J9" s="748">
        <f>IF(ISERR((UCRPercentage!N9/100)*$B9), 0, (UCRPercentage!N9/100)*$B9)</f>
        <v>0</v>
      </c>
      <c r="K9" s="748">
        <f>IF(ISERR((UCRPercentage!O9/100)*$B9), 0, (UCRPercentage!O9/100)*$B9)</f>
        <v>0</v>
      </c>
      <c r="L9" s="748">
        <f>IF(ISERR((UCRPercentage!P9/100)*$B9), 0, (UCRPercentage!P9/100)*$B9)</f>
        <v>0</v>
      </c>
      <c r="M9" s="748">
        <f>IF(ISERR((UCRPercentage!Q9/100)*$B9), 0, (UCRPercentage!Q9/100)*$B9)</f>
        <v>0</v>
      </c>
      <c r="N9" s="748">
        <f>IF(ISERR((UCRPercentage!R9/100)*$B9), 0, (UCRPercentage!R9/100)*$B9)</f>
        <v>0</v>
      </c>
      <c r="O9" s="748">
        <f>IF(ISERR((UCRPercentage!S9/100)*$B9), 0, (UCRPercentage!S9/100)*$B9)</f>
        <v>0</v>
      </c>
      <c r="P9" s="748">
        <f>IF(ISERR((UCRPercentage!T9/100)*$B9), 0, (UCRPercentage!T9/100)*$B9)</f>
        <v>0</v>
      </c>
      <c r="Q9" s="748">
        <f>IF(ISERR((UCRPercentage!U9/100)*$B9), 0, (UCRPercentage!U9/100)*$B9)</f>
        <v>0</v>
      </c>
      <c r="R9" s="748">
        <f>IF(ISERR((UCRPercentage!V9/100)*$B9), 0, (UCRPercentage!V9/100)*$B9)</f>
        <v>0</v>
      </c>
      <c r="S9" s="748">
        <f>IF(ISERR((UCRPercentage!W9/100)*$B9), 0, (UCRPercentage!W9/100)*$B9)</f>
        <v>0</v>
      </c>
      <c r="T9" s="748">
        <f>IF(ISERR((UCRPercentage!X9/100)*$B9), 0, (UCRPercentage!X9/100)*$B9)</f>
        <v>0</v>
      </c>
      <c r="U9" s="748">
        <f>IF(ISERR((UCRPercentage!Y9/100)*$B9), 0, (UCRPercentage!Y9/100)*$B9)</f>
        <v>0</v>
      </c>
      <c r="V9" s="748">
        <f>IF(ISERR((UCRPercentage!Z9/100)*$B9), 0, (UCRPercentage!Z9/100)*$B9)</f>
        <v>0</v>
      </c>
      <c r="W9" s="749">
        <f t="shared" si="0"/>
        <v>0</v>
      </c>
    </row>
    <row r="10" spans="1:23" ht="15.6">
      <c r="A10" s="239">
        <v>1983</v>
      </c>
      <c r="B10" s="768">
        <f>Escapements!J12</f>
        <v>29714.206639779477</v>
      </c>
      <c r="C10" s="748">
        <f>IF(ISERR((UCRPercentage!G10/100)*$B10), 0, (UCRPercentage!G10/100)*$B10)</f>
        <v>0</v>
      </c>
      <c r="D10" s="748">
        <f>IF(ISERR((UCRPercentage!H10/100)*$B10), 0, (UCRPercentage!H10/100)*$B10)</f>
        <v>0</v>
      </c>
      <c r="E10" s="748">
        <f>IF(ISERR((UCRPercentage!I10/100)*$B10), 0, (UCRPercentage!I10/100)*$B10)</f>
        <v>0</v>
      </c>
      <c r="F10" s="748">
        <f>IF(ISERR((UCRPercentage!J10/100)*$B10), 0, (UCRPercentage!J10/100)*$B10)</f>
        <v>0</v>
      </c>
      <c r="G10" s="748">
        <f>IF(ISERR((UCRPercentage!K10/100)*$B10), 0, (UCRPercentage!K10/100)*$B10)</f>
        <v>0</v>
      </c>
      <c r="H10" s="748">
        <f>IF(ISERR((UCRPercentage!L10/100)*$B10), 0, (UCRPercentage!L10/100)*$B10)</f>
        <v>0</v>
      </c>
      <c r="I10" s="748">
        <f>IF(ISERR((UCRPercentage!M10/100)*$B10), 0, (UCRPercentage!M10/100)*$B10)</f>
        <v>0</v>
      </c>
      <c r="J10" s="748">
        <f>IF(ISERR((UCRPercentage!N10/100)*$B10), 0, (UCRPercentage!N10/100)*$B10)</f>
        <v>0</v>
      </c>
      <c r="K10" s="748">
        <f>IF(ISERR((UCRPercentage!O10/100)*$B10), 0, (UCRPercentage!O10/100)*$B10)</f>
        <v>0</v>
      </c>
      <c r="L10" s="748">
        <f>IF(ISERR((UCRPercentage!P10/100)*$B10), 0, (UCRPercentage!P10/100)*$B10)</f>
        <v>0</v>
      </c>
      <c r="M10" s="748">
        <f>IF(ISERR((UCRPercentage!Q10/100)*$B10), 0, (UCRPercentage!Q10/100)*$B10)</f>
        <v>0</v>
      </c>
      <c r="N10" s="748">
        <f>IF(ISERR((UCRPercentage!R10/100)*$B10), 0, (UCRPercentage!R10/100)*$B10)</f>
        <v>0</v>
      </c>
      <c r="O10" s="748">
        <f>IF(ISERR((UCRPercentage!S10/100)*$B10), 0, (UCRPercentage!S10/100)*$B10)</f>
        <v>0</v>
      </c>
      <c r="P10" s="748">
        <f>IF(ISERR((UCRPercentage!T10/100)*$B10), 0, (UCRPercentage!T10/100)*$B10)</f>
        <v>0</v>
      </c>
      <c r="Q10" s="748">
        <f>IF(ISERR((UCRPercentage!U10/100)*$B10), 0, (UCRPercentage!U10/100)*$B10)</f>
        <v>0</v>
      </c>
      <c r="R10" s="748">
        <f>IF(ISERR((UCRPercentage!V10/100)*$B10), 0, (UCRPercentage!V10/100)*$B10)</f>
        <v>0</v>
      </c>
      <c r="S10" s="748">
        <f>IF(ISERR((UCRPercentage!W10/100)*$B10), 0, (UCRPercentage!W10/100)*$B10)</f>
        <v>0</v>
      </c>
      <c r="T10" s="748">
        <f>IF(ISERR((UCRPercentage!X10/100)*$B10), 0, (UCRPercentage!X10/100)*$B10)</f>
        <v>0</v>
      </c>
      <c r="U10" s="748">
        <f>IF(ISERR((UCRPercentage!Y10/100)*$B10), 0, (UCRPercentage!Y10/100)*$B10)</f>
        <v>0</v>
      </c>
      <c r="V10" s="748">
        <f>IF(ISERR((UCRPercentage!Z10/100)*$B10), 0, (UCRPercentage!Z10/100)*$B10)</f>
        <v>0</v>
      </c>
      <c r="W10" s="749">
        <f t="shared" si="0"/>
        <v>0</v>
      </c>
    </row>
    <row r="11" spans="1:23" ht="15.6">
      <c r="A11" s="239">
        <v>1984</v>
      </c>
      <c r="B11" s="768">
        <f>Escapements!J13</f>
        <v>18295.593658838436</v>
      </c>
      <c r="C11" s="748">
        <f>IF(ISERR((UCRPercentage!G11/100)*$B11), 0, (UCRPercentage!G11/100)*$B11)</f>
        <v>0</v>
      </c>
      <c r="D11" s="748">
        <f>IF(ISERR((UCRPercentage!H11/100)*$B11), 0, (UCRPercentage!H11/100)*$B11)</f>
        <v>0</v>
      </c>
      <c r="E11" s="748">
        <f>IF(ISERR((UCRPercentage!I11/100)*$B11), 0, (UCRPercentage!I11/100)*$B11)</f>
        <v>0</v>
      </c>
      <c r="F11" s="748">
        <f>IF(ISERR((UCRPercentage!J11/100)*$B11), 0, (UCRPercentage!J11/100)*$B11)</f>
        <v>0</v>
      </c>
      <c r="G11" s="748">
        <f>IF(ISERR((UCRPercentage!K11/100)*$B11), 0, (UCRPercentage!K11/100)*$B11)</f>
        <v>0</v>
      </c>
      <c r="H11" s="748">
        <f>IF(ISERR((UCRPercentage!L11/100)*$B11), 0, (UCRPercentage!L11/100)*$B11)</f>
        <v>0</v>
      </c>
      <c r="I11" s="748">
        <f>IF(ISERR((UCRPercentage!M11/100)*$B11), 0, (UCRPercentage!M11/100)*$B11)</f>
        <v>0</v>
      </c>
      <c r="J11" s="748">
        <f>IF(ISERR((UCRPercentage!N11/100)*$B11), 0, (UCRPercentage!N11/100)*$B11)</f>
        <v>0</v>
      </c>
      <c r="K11" s="748">
        <f>IF(ISERR((UCRPercentage!O11/100)*$B11), 0, (UCRPercentage!O11/100)*$B11)</f>
        <v>0</v>
      </c>
      <c r="L11" s="748">
        <f>IF(ISERR((UCRPercentage!P11/100)*$B11), 0, (UCRPercentage!P11/100)*$B11)</f>
        <v>0</v>
      </c>
      <c r="M11" s="748">
        <f>IF(ISERR((UCRPercentage!Q11/100)*$B11), 0, (UCRPercentage!Q11/100)*$B11)</f>
        <v>0</v>
      </c>
      <c r="N11" s="748">
        <f>IF(ISERR((UCRPercentage!R11/100)*$B11), 0, (UCRPercentage!R11/100)*$B11)</f>
        <v>0</v>
      </c>
      <c r="O11" s="748">
        <f>IF(ISERR((UCRPercentage!S11/100)*$B11), 0, (UCRPercentage!S11/100)*$B11)</f>
        <v>0</v>
      </c>
      <c r="P11" s="748">
        <f>IF(ISERR((UCRPercentage!T11/100)*$B11), 0, (UCRPercentage!T11/100)*$B11)</f>
        <v>0</v>
      </c>
      <c r="Q11" s="748">
        <f>IF(ISERR((UCRPercentage!U11/100)*$B11), 0, (UCRPercentage!U11/100)*$B11)</f>
        <v>0</v>
      </c>
      <c r="R11" s="748">
        <f>IF(ISERR((UCRPercentage!V11/100)*$B11), 0, (UCRPercentage!V11/100)*$B11)</f>
        <v>0</v>
      </c>
      <c r="S11" s="748">
        <f>IF(ISERR((UCRPercentage!W11/100)*$B11), 0, (UCRPercentage!W11/100)*$B11)</f>
        <v>0</v>
      </c>
      <c r="T11" s="748">
        <f>IF(ISERR((UCRPercentage!X11/100)*$B11), 0, (UCRPercentage!X11/100)*$B11)</f>
        <v>0</v>
      </c>
      <c r="U11" s="748">
        <f>IF(ISERR((UCRPercentage!Y11/100)*$B11), 0, (UCRPercentage!Y11/100)*$B11)</f>
        <v>0</v>
      </c>
      <c r="V11" s="748">
        <f>IF(ISERR((UCRPercentage!Z11/100)*$B11), 0, (UCRPercentage!Z11/100)*$B11)</f>
        <v>0</v>
      </c>
      <c r="W11" s="749">
        <f t="shared" si="0"/>
        <v>0</v>
      </c>
    </row>
    <row r="12" spans="1:23" ht="15.6">
      <c r="A12" s="239">
        <v>1985</v>
      </c>
      <c r="B12" s="768">
        <f>Escapements!J14</f>
        <v>14798.138127312399</v>
      </c>
      <c r="C12" s="748">
        <f>IF(ISERR((UCRPercentage!G12/100)*$B12), 0, (UCRPercentage!G12/100)*$B12)</f>
        <v>0</v>
      </c>
      <c r="D12" s="748">
        <f>IF(ISERR((UCRPercentage!H12/100)*$B12), 0, (UCRPercentage!H12/100)*$B12)</f>
        <v>0</v>
      </c>
      <c r="E12" s="748">
        <f>IF(ISERR((UCRPercentage!I12/100)*$B12), 0, (UCRPercentage!I12/100)*$B12)</f>
        <v>0</v>
      </c>
      <c r="F12" s="748">
        <f>IF(ISERR((UCRPercentage!J12/100)*$B12), 0, (UCRPercentage!J12/100)*$B12)</f>
        <v>0</v>
      </c>
      <c r="G12" s="748">
        <f>IF(ISERR((UCRPercentage!K12/100)*$B12), 0, (UCRPercentage!K12/100)*$B12)</f>
        <v>0</v>
      </c>
      <c r="H12" s="748">
        <f>IF(ISERR((UCRPercentage!L12/100)*$B12), 0, (UCRPercentage!L12/100)*$B12)</f>
        <v>0</v>
      </c>
      <c r="I12" s="748">
        <f>IF(ISERR((UCRPercentage!M12/100)*$B12), 0, (UCRPercentage!M12/100)*$B12)</f>
        <v>0</v>
      </c>
      <c r="J12" s="748">
        <f>IF(ISERR((UCRPercentage!N12/100)*$B12), 0, (UCRPercentage!N12/100)*$B12)</f>
        <v>0</v>
      </c>
      <c r="K12" s="748">
        <f>IF(ISERR((UCRPercentage!O12/100)*$B12), 0, (UCRPercentage!O12/100)*$B12)</f>
        <v>0</v>
      </c>
      <c r="L12" s="748">
        <f>IF(ISERR((UCRPercentage!P12/100)*$B12), 0, (UCRPercentage!P12/100)*$B12)</f>
        <v>0</v>
      </c>
      <c r="M12" s="748">
        <f>IF(ISERR((UCRPercentage!Q12/100)*$B12), 0, (UCRPercentage!Q12/100)*$B12)</f>
        <v>0</v>
      </c>
      <c r="N12" s="748">
        <f>IF(ISERR((UCRPercentage!R12/100)*$B12), 0, (UCRPercentage!R12/100)*$B12)</f>
        <v>0</v>
      </c>
      <c r="O12" s="748">
        <f>IF(ISERR((UCRPercentage!S12/100)*$B12), 0, (UCRPercentage!S12/100)*$B12)</f>
        <v>0</v>
      </c>
      <c r="P12" s="748">
        <f>IF(ISERR((UCRPercentage!T12/100)*$B12), 0, (UCRPercentage!T12/100)*$B12)</f>
        <v>0</v>
      </c>
      <c r="Q12" s="748">
        <f>IF(ISERR((UCRPercentage!U12/100)*$B12), 0, (UCRPercentage!U12/100)*$B12)</f>
        <v>0</v>
      </c>
      <c r="R12" s="748">
        <f>IF(ISERR((UCRPercentage!V12/100)*$B12), 0, (UCRPercentage!V12/100)*$B12)</f>
        <v>0</v>
      </c>
      <c r="S12" s="748">
        <f>IF(ISERR((UCRPercentage!W12/100)*$B12), 0, (UCRPercentage!W12/100)*$B12)</f>
        <v>0</v>
      </c>
      <c r="T12" s="748">
        <f>IF(ISERR((UCRPercentage!X12/100)*$B12), 0, (UCRPercentage!X12/100)*$B12)</f>
        <v>0</v>
      </c>
      <c r="U12" s="748">
        <f>IF(ISERR((UCRPercentage!Y12/100)*$B12), 0, (UCRPercentage!Y12/100)*$B12)</f>
        <v>0</v>
      </c>
      <c r="V12" s="748">
        <f>IF(ISERR((UCRPercentage!Z12/100)*$B12), 0, (UCRPercentage!Z12/100)*$B12)</f>
        <v>0</v>
      </c>
      <c r="W12" s="749">
        <f t="shared" si="0"/>
        <v>0</v>
      </c>
    </row>
    <row r="13" spans="1:23" ht="15.6">
      <c r="A13" s="239">
        <v>1986</v>
      </c>
      <c r="B13" s="768">
        <f>Escapements!J15</f>
        <v>20537.065847773632</v>
      </c>
      <c r="C13" s="748">
        <f>IF(ISERR((UCRPercentage!G13/100)*$B13), 0, (UCRPercentage!G13/100)*$B13)</f>
        <v>0</v>
      </c>
      <c r="D13" s="748">
        <f>IF(ISERR((UCRPercentage!H13/100)*$B13), 0, (UCRPercentage!H13/100)*$B13)</f>
        <v>0</v>
      </c>
      <c r="E13" s="748">
        <f>IF(ISERR((UCRPercentage!I13/100)*$B13), 0, (UCRPercentage!I13/100)*$B13)</f>
        <v>0</v>
      </c>
      <c r="F13" s="748">
        <f>IF(ISERR((UCRPercentage!J13/100)*$B13), 0, (UCRPercentage!J13/100)*$B13)</f>
        <v>0</v>
      </c>
      <c r="G13" s="748">
        <f>IF(ISERR((UCRPercentage!K13/100)*$B13), 0, (UCRPercentage!K13/100)*$B13)</f>
        <v>0</v>
      </c>
      <c r="H13" s="748">
        <f>IF(ISERR((UCRPercentage!L13/100)*$B13), 0, (UCRPercentage!L13/100)*$B13)</f>
        <v>0</v>
      </c>
      <c r="I13" s="748">
        <f>IF(ISERR((UCRPercentage!M13/100)*$B13), 0, (UCRPercentage!M13/100)*$B13)</f>
        <v>0</v>
      </c>
      <c r="J13" s="748">
        <f>IF(ISERR((UCRPercentage!N13/100)*$B13), 0, (UCRPercentage!N13/100)*$B13)</f>
        <v>0</v>
      </c>
      <c r="K13" s="748">
        <f>IF(ISERR((UCRPercentage!O13/100)*$B13), 0, (UCRPercentage!O13/100)*$B13)</f>
        <v>0</v>
      </c>
      <c r="L13" s="748">
        <f>IF(ISERR((UCRPercentage!P13/100)*$B13), 0, (UCRPercentage!P13/100)*$B13)</f>
        <v>0</v>
      </c>
      <c r="M13" s="748">
        <f>IF(ISERR((UCRPercentage!Q13/100)*$B13), 0, (UCRPercentage!Q13/100)*$B13)</f>
        <v>0</v>
      </c>
      <c r="N13" s="748">
        <f>IF(ISERR((UCRPercentage!R13/100)*$B13), 0, (UCRPercentage!R13/100)*$B13)</f>
        <v>0</v>
      </c>
      <c r="O13" s="748">
        <f>IF(ISERR((UCRPercentage!S13/100)*$B13), 0, (UCRPercentage!S13/100)*$B13)</f>
        <v>0</v>
      </c>
      <c r="P13" s="748">
        <f>IF(ISERR((UCRPercentage!T13/100)*$B13), 0, (UCRPercentage!T13/100)*$B13)</f>
        <v>0</v>
      </c>
      <c r="Q13" s="748">
        <f>IF(ISERR((UCRPercentage!U13/100)*$B13), 0, (UCRPercentage!U13/100)*$B13)</f>
        <v>0</v>
      </c>
      <c r="R13" s="748">
        <f>IF(ISERR((UCRPercentage!V13/100)*$B13), 0, (UCRPercentage!V13/100)*$B13)</f>
        <v>0</v>
      </c>
      <c r="S13" s="748">
        <f>IF(ISERR((UCRPercentage!W13/100)*$B13), 0, (UCRPercentage!W13/100)*$B13)</f>
        <v>0</v>
      </c>
      <c r="T13" s="748">
        <f>IF(ISERR((UCRPercentage!X13/100)*$B13), 0, (UCRPercentage!X13/100)*$B13)</f>
        <v>0</v>
      </c>
      <c r="U13" s="748">
        <f>IF(ISERR((UCRPercentage!Y13/100)*$B13), 0, (UCRPercentage!Y13/100)*$B13)</f>
        <v>0</v>
      </c>
      <c r="V13" s="748">
        <f>IF(ISERR((UCRPercentage!Z13/100)*$B13), 0, (UCRPercentage!Z13/100)*$B13)</f>
        <v>0</v>
      </c>
      <c r="W13" s="749">
        <f t="shared" si="0"/>
        <v>0</v>
      </c>
    </row>
    <row r="14" spans="1:23" ht="15.6">
      <c r="A14" s="239">
        <v>1987</v>
      </c>
      <c r="B14" s="768">
        <f>Escapements!J16</f>
        <v>26120.042632236058</v>
      </c>
      <c r="C14" s="748">
        <f>IF(ISERR((UCRPercentage!G14/100)*$B14), 0, (UCRPercentage!G14/100)*$B14)</f>
        <v>0</v>
      </c>
      <c r="D14" s="748">
        <f>IF(ISERR((UCRPercentage!H14/100)*$B14), 0, (UCRPercentage!H14/100)*$B14)</f>
        <v>0</v>
      </c>
      <c r="E14" s="748">
        <f>IF(ISERR((UCRPercentage!I14/100)*$B14), 0, (UCRPercentage!I14/100)*$B14)</f>
        <v>0</v>
      </c>
      <c r="F14" s="748">
        <f>IF(ISERR((UCRPercentage!J14/100)*$B14), 0, (UCRPercentage!J14/100)*$B14)</f>
        <v>0</v>
      </c>
      <c r="G14" s="748">
        <f>IF(ISERR((UCRPercentage!K14/100)*$B14), 0, (UCRPercentage!K14/100)*$B14)</f>
        <v>0</v>
      </c>
      <c r="H14" s="748">
        <f>IF(ISERR((UCRPercentage!L14/100)*$B14), 0, (UCRPercentage!L14/100)*$B14)</f>
        <v>0</v>
      </c>
      <c r="I14" s="748">
        <f>IF(ISERR((UCRPercentage!M14/100)*$B14), 0, (UCRPercentage!M14/100)*$B14)</f>
        <v>0</v>
      </c>
      <c r="J14" s="748">
        <f>IF(ISERR((UCRPercentage!N14/100)*$B14), 0, (UCRPercentage!N14/100)*$B14)</f>
        <v>0</v>
      </c>
      <c r="K14" s="748">
        <f>IF(ISERR((UCRPercentage!O14/100)*$B14), 0, (UCRPercentage!O14/100)*$B14)</f>
        <v>0</v>
      </c>
      <c r="L14" s="748">
        <f>IF(ISERR((UCRPercentage!P14/100)*$B14), 0, (UCRPercentage!P14/100)*$B14)</f>
        <v>0</v>
      </c>
      <c r="M14" s="748">
        <f>IF(ISERR((UCRPercentage!Q14/100)*$B14), 0, (UCRPercentage!Q14/100)*$B14)</f>
        <v>0</v>
      </c>
      <c r="N14" s="748">
        <f>IF(ISERR((UCRPercentage!R14/100)*$B14), 0, (UCRPercentage!R14/100)*$B14)</f>
        <v>0</v>
      </c>
      <c r="O14" s="748">
        <f>IF(ISERR((UCRPercentage!S14/100)*$B14), 0, (UCRPercentage!S14/100)*$B14)</f>
        <v>0</v>
      </c>
      <c r="P14" s="748">
        <f>IF(ISERR((UCRPercentage!T14/100)*$B14), 0, (UCRPercentage!T14/100)*$B14)</f>
        <v>0</v>
      </c>
      <c r="Q14" s="748">
        <f>IF(ISERR((UCRPercentage!U14/100)*$B14), 0, (UCRPercentage!U14/100)*$B14)</f>
        <v>0</v>
      </c>
      <c r="R14" s="748">
        <f>IF(ISERR((UCRPercentage!V14/100)*$B14), 0, (UCRPercentage!V14/100)*$B14)</f>
        <v>0</v>
      </c>
      <c r="S14" s="748">
        <f>IF(ISERR((UCRPercentage!W14/100)*$B14), 0, (UCRPercentage!W14/100)*$B14)</f>
        <v>0</v>
      </c>
      <c r="T14" s="748">
        <f>IF(ISERR((UCRPercentage!X14/100)*$B14), 0, (UCRPercentage!X14/100)*$B14)</f>
        <v>0</v>
      </c>
      <c r="U14" s="748">
        <f>IF(ISERR((UCRPercentage!Y14/100)*$B14), 0, (UCRPercentage!Y14/100)*$B14)</f>
        <v>0</v>
      </c>
      <c r="V14" s="748">
        <f>IF(ISERR((UCRPercentage!Z14/100)*$B14), 0, (UCRPercentage!Z14/100)*$B14)</f>
        <v>0</v>
      </c>
      <c r="W14" s="749">
        <f t="shared" si="0"/>
        <v>0</v>
      </c>
    </row>
    <row r="15" spans="1:23" ht="15.6">
      <c r="A15" s="239">
        <v>1988</v>
      </c>
      <c r="B15" s="768">
        <f>Escapements!J17</f>
        <v>28670.039815358257</v>
      </c>
      <c r="C15" s="748">
        <f>IF(ISERR((UCRPercentage!G15/100)*$B15), 0, (UCRPercentage!G15/100)*$B15)</f>
        <v>0</v>
      </c>
      <c r="D15" s="748">
        <f>IF(ISERR((UCRPercentage!H15/100)*$B15), 0, (UCRPercentage!H15/100)*$B15)</f>
        <v>0</v>
      </c>
      <c r="E15" s="748">
        <f>IF(ISERR((UCRPercentage!I15/100)*$B15), 0, (UCRPercentage!I15/100)*$B15)</f>
        <v>0</v>
      </c>
      <c r="F15" s="748">
        <f>IF(ISERR((UCRPercentage!J15/100)*$B15), 0, (UCRPercentage!J15/100)*$B15)</f>
        <v>0</v>
      </c>
      <c r="G15" s="748">
        <f>IF(ISERR((UCRPercentage!K15/100)*$B15), 0, (UCRPercentage!K15/100)*$B15)</f>
        <v>0</v>
      </c>
      <c r="H15" s="748">
        <f>IF(ISERR((UCRPercentage!L15/100)*$B15), 0, (UCRPercentage!L15/100)*$B15)</f>
        <v>0</v>
      </c>
      <c r="I15" s="748">
        <f>IF(ISERR((UCRPercentage!M15/100)*$B15), 0, (UCRPercentage!M15/100)*$B15)</f>
        <v>0</v>
      </c>
      <c r="J15" s="748">
        <f>IF(ISERR((UCRPercentage!N15/100)*$B15), 0, (UCRPercentage!N15/100)*$B15)</f>
        <v>0</v>
      </c>
      <c r="K15" s="748">
        <f>IF(ISERR((UCRPercentage!O15/100)*$B15), 0, (UCRPercentage!O15/100)*$B15)</f>
        <v>0</v>
      </c>
      <c r="L15" s="748">
        <f>IF(ISERR((UCRPercentage!P15/100)*$B15), 0, (UCRPercentage!P15/100)*$B15)</f>
        <v>0</v>
      </c>
      <c r="M15" s="748">
        <f>IF(ISERR((UCRPercentage!Q15/100)*$B15), 0, (UCRPercentage!Q15/100)*$B15)</f>
        <v>0</v>
      </c>
      <c r="N15" s="748">
        <f>IF(ISERR((UCRPercentage!R15/100)*$B15), 0, (UCRPercentage!R15/100)*$B15)</f>
        <v>0</v>
      </c>
      <c r="O15" s="748">
        <f>IF(ISERR((UCRPercentage!S15/100)*$B15), 0, (UCRPercentage!S15/100)*$B15)</f>
        <v>0</v>
      </c>
      <c r="P15" s="748">
        <f>IF(ISERR((UCRPercentage!T15/100)*$B15), 0, (UCRPercentage!T15/100)*$B15)</f>
        <v>0</v>
      </c>
      <c r="Q15" s="748">
        <f>IF(ISERR((UCRPercentage!U15/100)*$B15), 0, (UCRPercentage!U15/100)*$B15)</f>
        <v>0</v>
      </c>
      <c r="R15" s="748">
        <f>IF(ISERR((UCRPercentage!V15/100)*$B15), 0, (UCRPercentage!V15/100)*$B15)</f>
        <v>0</v>
      </c>
      <c r="S15" s="748">
        <f>IF(ISERR((UCRPercentage!W15/100)*$B15), 0, (UCRPercentage!W15/100)*$B15)</f>
        <v>0</v>
      </c>
      <c r="T15" s="748">
        <f>IF(ISERR((UCRPercentage!X15/100)*$B15), 0, (UCRPercentage!X15/100)*$B15)</f>
        <v>0</v>
      </c>
      <c r="U15" s="748">
        <f>IF(ISERR((UCRPercentage!Y15/100)*$B15), 0, (UCRPercentage!Y15/100)*$B15)</f>
        <v>0</v>
      </c>
      <c r="V15" s="748">
        <f>IF(ISERR((UCRPercentage!Z15/100)*$B15), 0, (UCRPercentage!Z15/100)*$B15)</f>
        <v>0</v>
      </c>
      <c r="W15" s="749">
        <f t="shared" si="0"/>
        <v>0</v>
      </c>
    </row>
    <row r="16" spans="1:23" ht="15.6">
      <c r="A16" s="239">
        <v>1989</v>
      </c>
      <c r="B16" s="768">
        <f>Escapements!J18</f>
        <v>22215.837731152205</v>
      </c>
      <c r="C16" s="748">
        <f>IF(ISERR((UCRPercentage!G16/100)*$B16), 0, (UCRPercentage!G16/100)*$B16)</f>
        <v>0</v>
      </c>
      <c r="D16" s="748">
        <f>IF(ISERR((UCRPercentage!H16/100)*$B16), 0, (UCRPercentage!H16/100)*$B16)</f>
        <v>0</v>
      </c>
      <c r="E16" s="748">
        <f>IF(ISERR((UCRPercentage!I16/100)*$B16), 0, (UCRPercentage!I16/100)*$B16)</f>
        <v>0</v>
      </c>
      <c r="F16" s="748">
        <f>IF(ISERR((UCRPercentage!J16/100)*$B16), 0, (UCRPercentage!J16/100)*$B16)</f>
        <v>0</v>
      </c>
      <c r="G16" s="748">
        <f>IF(ISERR((UCRPercentage!K16/100)*$B16), 0, (UCRPercentage!K16/100)*$B16)</f>
        <v>0</v>
      </c>
      <c r="H16" s="748">
        <f>IF(ISERR((UCRPercentage!L16/100)*$B16), 0, (UCRPercentage!L16/100)*$B16)</f>
        <v>0</v>
      </c>
      <c r="I16" s="748">
        <f>IF(ISERR((UCRPercentage!M16/100)*$B16), 0, (UCRPercentage!M16/100)*$B16)</f>
        <v>0</v>
      </c>
      <c r="J16" s="748">
        <f>IF(ISERR((UCRPercentage!N16/100)*$B16), 0, (UCRPercentage!N16/100)*$B16)</f>
        <v>0</v>
      </c>
      <c r="K16" s="748">
        <f>IF(ISERR((UCRPercentage!O16/100)*$B16), 0, (UCRPercentage!O16/100)*$B16)</f>
        <v>0</v>
      </c>
      <c r="L16" s="748">
        <f>IF(ISERR((UCRPercentage!P16/100)*$B16), 0, (UCRPercentage!P16/100)*$B16)</f>
        <v>0</v>
      </c>
      <c r="M16" s="748">
        <f>IF(ISERR((UCRPercentage!Q16/100)*$B16), 0, (UCRPercentage!Q16/100)*$B16)</f>
        <v>0</v>
      </c>
      <c r="N16" s="748">
        <f>IF(ISERR((UCRPercentage!R16/100)*$B16), 0, (UCRPercentage!R16/100)*$B16)</f>
        <v>0</v>
      </c>
      <c r="O16" s="748">
        <f>IF(ISERR((UCRPercentage!S16/100)*$B16), 0, (UCRPercentage!S16/100)*$B16)</f>
        <v>0</v>
      </c>
      <c r="P16" s="748">
        <f>IF(ISERR((UCRPercentage!T16/100)*$B16), 0, (UCRPercentage!T16/100)*$B16)</f>
        <v>0</v>
      </c>
      <c r="Q16" s="748">
        <f>IF(ISERR((UCRPercentage!U16/100)*$B16), 0, (UCRPercentage!U16/100)*$B16)</f>
        <v>0</v>
      </c>
      <c r="R16" s="748">
        <f>IF(ISERR((UCRPercentage!V16/100)*$B16), 0, (UCRPercentage!V16/100)*$B16)</f>
        <v>0</v>
      </c>
      <c r="S16" s="748">
        <f>IF(ISERR((UCRPercentage!W16/100)*$B16), 0, (UCRPercentage!W16/100)*$B16)</f>
        <v>0</v>
      </c>
      <c r="T16" s="748">
        <f>IF(ISERR((UCRPercentage!X16/100)*$B16), 0, (UCRPercentage!X16/100)*$B16)</f>
        <v>0</v>
      </c>
      <c r="U16" s="748">
        <f>IF(ISERR((UCRPercentage!Y16/100)*$B16), 0, (UCRPercentage!Y16/100)*$B16)</f>
        <v>0</v>
      </c>
      <c r="V16" s="748">
        <f>IF(ISERR((UCRPercentage!Z16/100)*$B16), 0, (UCRPercentage!Z16/100)*$B16)</f>
        <v>0</v>
      </c>
      <c r="W16" s="749">
        <f t="shared" si="0"/>
        <v>0</v>
      </c>
    </row>
    <row r="17" spans="1:23" ht="15.6">
      <c r="A17" s="239">
        <v>1990</v>
      </c>
      <c r="B17" s="768">
        <f>Escapements!J19</f>
        <v>20380.229653929488</v>
      </c>
      <c r="C17" s="748">
        <f>IF(ISERR((UCRPercentage!G17/100)*$B17), 0, (UCRPercentage!G17/100)*$B17)</f>
        <v>0</v>
      </c>
      <c r="D17" s="748">
        <f>IF(ISERR((UCRPercentage!H17/100)*$B17), 0, (UCRPercentage!H17/100)*$B17)</f>
        <v>0</v>
      </c>
      <c r="E17" s="748">
        <f>IF(ISERR((UCRPercentage!I17/100)*$B17), 0, (UCRPercentage!I17/100)*$B17)</f>
        <v>0</v>
      </c>
      <c r="F17" s="748">
        <f>IF(ISERR((UCRPercentage!J17/100)*$B17), 0, (UCRPercentage!J17/100)*$B17)</f>
        <v>0</v>
      </c>
      <c r="G17" s="748">
        <f>IF(ISERR((UCRPercentage!K17/100)*$B17), 0, (UCRPercentage!K17/100)*$B17)</f>
        <v>0</v>
      </c>
      <c r="H17" s="748">
        <f>IF(ISERR((UCRPercentage!L17/100)*$B17), 0, (UCRPercentage!L17/100)*$B17)</f>
        <v>0</v>
      </c>
      <c r="I17" s="748">
        <f>IF(ISERR((UCRPercentage!M17/100)*$B17), 0, (UCRPercentage!M17/100)*$B17)</f>
        <v>0</v>
      </c>
      <c r="J17" s="748">
        <f>IF(ISERR((UCRPercentage!N17/100)*$B17), 0, (UCRPercentage!N17/100)*$B17)</f>
        <v>0</v>
      </c>
      <c r="K17" s="748">
        <f>IF(ISERR((UCRPercentage!O17/100)*$B17), 0, (UCRPercentage!O17/100)*$B17)</f>
        <v>0</v>
      </c>
      <c r="L17" s="748">
        <f>IF(ISERR((UCRPercentage!P17/100)*$B17), 0, (UCRPercentage!P17/100)*$B17)</f>
        <v>0</v>
      </c>
      <c r="M17" s="748">
        <f>IF(ISERR((UCRPercentage!Q17/100)*$B17), 0, (UCRPercentage!Q17/100)*$B17)</f>
        <v>0</v>
      </c>
      <c r="N17" s="748">
        <f>IF(ISERR((UCRPercentage!R17/100)*$B17), 0, (UCRPercentage!R17/100)*$B17)</f>
        <v>0</v>
      </c>
      <c r="O17" s="748">
        <f>IF(ISERR((UCRPercentage!S17/100)*$B17), 0, (UCRPercentage!S17/100)*$B17)</f>
        <v>0</v>
      </c>
      <c r="P17" s="748">
        <f>IF(ISERR((UCRPercentage!T17/100)*$B17), 0, (UCRPercentage!T17/100)*$B17)</f>
        <v>0</v>
      </c>
      <c r="Q17" s="748">
        <f>IF(ISERR((UCRPercentage!U17/100)*$B17), 0, (UCRPercentage!U17/100)*$B17)</f>
        <v>0</v>
      </c>
      <c r="R17" s="748">
        <f>IF(ISERR((UCRPercentage!V17/100)*$B17), 0, (UCRPercentage!V17/100)*$B17)</f>
        <v>0</v>
      </c>
      <c r="S17" s="748">
        <f>IF(ISERR((UCRPercentage!W17/100)*$B17), 0, (UCRPercentage!W17/100)*$B17)</f>
        <v>0</v>
      </c>
      <c r="T17" s="748">
        <f>IF(ISERR((UCRPercentage!X17/100)*$B17), 0, (UCRPercentage!X17/100)*$B17)</f>
        <v>0</v>
      </c>
      <c r="U17" s="748">
        <f>IF(ISERR((UCRPercentage!Y17/100)*$B17), 0, (UCRPercentage!Y17/100)*$B17)</f>
        <v>0</v>
      </c>
      <c r="V17" s="748">
        <f>IF(ISERR((UCRPercentage!Z17/100)*$B17), 0, (UCRPercentage!Z17/100)*$B17)</f>
        <v>0</v>
      </c>
      <c r="W17" s="749">
        <f t="shared" si="0"/>
        <v>0</v>
      </c>
    </row>
    <row r="18" spans="1:23" ht="15.6">
      <c r="A18" s="239">
        <v>1991</v>
      </c>
      <c r="B18" s="768">
        <f>Escapements!J20</f>
        <v>25435.794866684937</v>
      </c>
      <c r="C18" s="748">
        <f>IF(ISERR((UCRPercentage!G18/100)*$B18), 0, (UCRPercentage!G18/100)*$B18)</f>
        <v>0</v>
      </c>
      <c r="D18" s="748">
        <f>IF(ISERR((UCRPercentage!H18/100)*$B18), 0, (UCRPercentage!H18/100)*$B18)</f>
        <v>0</v>
      </c>
      <c r="E18" s="748">
        <f>IF(ISERR((UCRPercentage!I18/100)*$B18), 0, (UCRPercentage!I18/100)*$B18)</f>
        <v>0</v>
      </c>
      <c r="F18" s="748">
        <f>IF(ISERR((UCRPercentage!J18/100)*$B18), 0, (UCRPercentage!J18/100)*$B18)</f>
        <v>0</v>
      </c>
      <c r="G18" s="748">
        <f>IF(ISERR((UCRPercentage!K18/100)*$B18), 0, (UCRPercentage!K18/100)*$B18)</f>
        <v>0</v>
      </c>
      <c r="H18" s="748">
        <f>IF(ISERR((UCRPercentage!L18/100)*$B18), 0, (UCRPercentage!L18/100)*$B18)</f>
        <v>0</v>
      </c>
      <c r="I18" s="748">
        <f>IF(ISERR((UCRPercentage!M18/100)*$B18), 0, (UCRPercentage!M18/100)*$B18)</f>
        <v>0</v>
      </c>
      <c r="J18" s="748">
        <f>IF(ISERR((UCRPercentage!N18/100)*$B18), 0, (UCRPercentage!N18/100)*$B18)</f>
        <v>0</v>
      </c>
      <c r="K18" s="748">
        <f>IF(ISERR((UCRPercentage!O18/100)*$B18), 0, (UCRPercentage!O18/100)*$B18)</f>
        <v>0</v>
      </c>
      <c r="L18" s="748">
        <f>IF(ISERR((UCRPercentage!P18/100)*$B18), 0, (UCRPercentage!P18/100)*$B18)</f>
        <v>0</v>
      </c>
      <c r="M18" s="748">
        <f>IF(ISERR((UCRPercentage!Q18/100)*$B18), 0, (UCRPercentage!Q18/100)*$B18)</f>
        <v>0</v>
      </c>
      <c r="N18" s="748">
        <f>IF(ISERR((UCRPercentage!R18/100)*$B18), 0, (UCRPercentage!R18/100)*$B18)</f>
        <v>0</v>
      </c>
      <c r="O18" s="748">
        <f>IF(ISERR((UCRPercentage!S18/100)*$B18), 0, (UCRPercentage!S18/100)*$B18)</f>
        <v>0</v>
      </c>
      <c r="P18" s="748">
        <f>IF(ISERR((UCRPercentage!T18/100)*$B18), 0, (UCRPercentage!T18/100)*$B18)</f>
        <v>0</v>
      </c>
      <c r="Q18" s="748">
        <f>IF(ISERR((UCRPercentage!U18/100)*$B18), 0, (UCRPercentage!U18/100)*$B18)</f>
        <v>0</v>
      </c>
      <c r="R18" s="748">
        <f>IF(ISERR((UCRPercentage!V18/100)*$B18), 0, (UCRPercentage!V18/100)*$B18)</f>
        <v>0</v>
      </c>
      <c r="S18" s="748">
        <f>IF(ISERR((UCRPercentage!W18/100)*$B18), 0, (UCRPercentage!W18/100)*$B18)</f>
        <v>0</v>
      </c>
      <c r="T18" s="748">
        <f>IF(ISERR((UCRPercentage!X18/100)*$B18), 0, (UCRPercentage!X18/100)*$B18)</f>
        <v>0</v>
      </c>
      <c r="U18" s="748">
        <f>IF(ISERR((UCRPercentage!Y18/100)*$B18), 0, (UCRPercentage!Y18/100)*$B18)</f>
        <v>0</v>
      </c>
      <c r="V18" s="748">
        <f>IF(ISERR((UCRPercentage!Z18/100)*$B18), 0, (UCRPercentage!Z18/100)*$B18)</f>
        <v>0</v>
      </c>
      <c r="W18" s="749">
        <f t="shared" si="0"/>
        <v>0</v>
      </c>
    </row>
    <row r="19" spans="1:23" ht="15.6">
      <c r="A19" s="239">
        <v>1992</v>
      </c>
      <c r="B19" s="768">
        <f>Escapements!J21</f>
        <v>21208.753800524621</v>
      </c>
      <c r="C19" s="748">
        <f>IF(ISERR((UCRPercentage!G19/100)*$B19), 0, (UCRPercentage!G19/100)*$B19)</f>
        <v>0</v>
      </c>
      <c r="D19" s="748">
        <f>IF(ISERR((UCRPercentage!H19/100)*$B19), 0, (UCRPercentage!H19/100)*$B19)</f>
        <v>0</v>
      </c>
      <c r="E19" s="748">
        <f>IF(ISERR((UCRPercentage!I19/100)*$B19), 0, (UCRPercentage!I19/100)*$B19)</f>
        <v>706.95775305902737</v>
      </c>
      <c r="F19" s="748">
        <f>IF(ISERR((UCRPercentage!J19/100)*$B19), 0, (UCRPercentage!J19/100)*$B19)</f>
        <v>0</v>
      </c>
      <c r="G19" s="748">
        <f>IF(ISERR((UCRPercentage!K19/100)*$B19), 0, (UCRPercentage!K19/100)*$B19)</f>
        <v>2120.8753800524623</v>
      </c>
      <c r="H19" s="748">
        <f>IF(ISERR((UCRPercentage!L19/100)*$B19), 0, (UCRPercentage!L19/100)*$B19)</f>
        <v>0</v>
      </c>
      <c r="I19" s="748">
        <f>IF(ISERR((UCRPercentage!M19/100)*$B19), 0, (UCRPercentage!M19/100)*$B19)</f>
        <v>0</v>
      </c>
      <c r="J19" s="748">
        <f>IF(ISERR((UCRPercentage!N19/100)*$B19), 0, (UCRPercentage!N19/100)*$B19)</f>
        <v>4241.7507601049247</v>
      </c>
      <c r="K19" s="748">
        <f>IF(ISERR((UCRPercentage!O19/100)*$B19), 0, (UCRPercentage!O19/100)*$B19)</f>
        <v>235.65258435300913</v>
      </c>
      <c r="L19" s="748">
        <f>IF(ISERR((UCRPercentage!P19/100)*$B19), 0, (UCRPercentage!P19/100)*$B19)</f>
        <v>0</v>
      </c>
      <c r="M19" s="748">
        <f>IF(ISERR((UCRPercentage!Q19/100)*$B19), 0, (UCRPercentage!Q19/100)*$B19)</f>
        <v>0</v>
      </c>
      <c r="N19" s="748">
        <f>IF(ISERR((UCRPercentage!R19/100)*$B19), 0, (UCRPercentage!R19/100)*$B19)</f>
        <v>13667.862617726809</v>
      </c>
      <c r="O19" s="748">
        <f>IF(ISERR((UCRPercentage!S19/100)*$B19), 0, (UCRPercentage!S19/100)*$B19)</f>
        <v>235.65258435300913</v>
      </c>
      <c r="P19" s="748">
        <f>IF(ISERR((UCRPercentage!T19/100)*$B19), 0, (UCRPercentage!T19/100)*$B19)</f>
        <v>0</v>
      </c>
      <c r="Q19" s="748">
        <f>IF(ISERR((UCRPercentage!U19/100)*$B19), 0, (UCRPercentage!U19/100)*$B19)</f>
        <v>0</v>
      </c>
      <c r="R19" s="748">
        <f>IF(ISERR((UCRPercentage!V19/100)*$B19), 0, (UCRPercentage!V19/100)*$B19)</f>
        <v>0</v>
      </c>
      <c r="S19" s="748">
        <f>IF(ISERR((UCRPercentage!W19/100)*$B19), 0, (UCRPercentage!W19/100)*$B19)</f>
        <v>0</v>
      </c>
      <c r="T19" s="748">
        <f>IF(ISERR((UCRPercentage!X19/100)*$B19), 0, (UCRPercentage!X19/100)*$B19)</f>
        <v>0</v>
      </c>
      <c r="U19" s="748">
        <f>IF(ISERR((UCRPercentage!Y19/100)*$B19), 0, (UCRPercentage!Y19/100)*$B19)</f>
        <v>0</v>
      </c>
      <c r="V19" s="748">
        <f>IF(ISERR((UCRPercentage!Z19/100)*$B19), 0, (UCRPercentage!Z19/100)*$B19)</f>
        <v>0</v>
      </c>
      <c r="W19" s="749">
        <f t="shared" si="0"/>
        <v>21208.751679649242</v>
      </c>
    </row>
    <row r="20" spans="1:23" ht="15.6">
      <c r="A20" s="239">
        <v>1993</v>
      </c>
      <c r="B20" s="768">
        <f>Escapements!J22</f>
        <v>23031.883543528496</v>
      </c>
      <c r="C20" s="748">
        <f>IF(ISERR((UCRPercentage!G20/100)*$B20), 0, (UCRPercentage!G20/100)*$B20)</f>
        <v>0</v>
      </c>
      <c r="D20" s="748">
        <f>IF(ISERR((UCRPercentage!H20/100)*$B20), 0, (UCRPercentage!H20/100)*$B20)</f>
        <v>0</v>
      </c>
      <c r="E20" s="748">
        <f>IF(ISERR((UCRPercentage!I20/100)*$B20), 0, (UCRPercentage!I20/100)*$B20)</f>
        <v>0</v>
      </c>
      <c r="F20" s="748">
        <f>IF(ISERR((UCRPercentage!J20/100)*$B20), 0, (UCRPercentage!J20/100)*$B20)</f>
        <v>0</v>
      </c>
      <c r="G20" s="748">
        <f>IF(ISERR((UCRPercentage!K20/100)*$B20), 0, (UCRPercentage!K20/100)*$B20)</f>
        <v>2132.5819801925168</v>
      </c>
      <c r="H20" s="748">
        <f>IF(ISERR((UCRPercentage!L20/100)*$B20), 0, (UCRPercentage!L20/100)*$B20)</f>
        <v>0</v>
      </c>
      <c r="I20" s="748">
        <f>IF(ISERR((UCRPercentage!M20/100)*$B20), 0, (UCRPercentage!M20/100)*$B20)</f>
        <v>0</v>
      </c>
      <c r="J20" s="748">
        <f>IF(ISERR((UCRPercentage!N20/100)*$B20), 0, (UCRPercentage!N20/100)*$B20)</f>
        <v>12368.973642565912</v>
      </c>
      <c r="K20" s="748">
        <f>IF(ISERR((UCRPercentage!O20/100)*$B20), 0, (UCRPercentage!O20/100)*$B20)</f>
        <v>0</v>
      </c>
      <c r="L20" s="748">
        <f>IF(ISERR((UCRPercentage!P20/100)*$B20), 0, (UCRPercentage!P20/100)*$B20)</f>
        <v>0</v>
      </c>
      <c r="M20" s="748">
        <f>IF(ISERR((UCRPercentage!Q20/100)*$B20), 0, (UCRPercentage!Q20/100)*$B20)</f>
        <v>0</v>
      </c>
      <c r="N20" s="748">
        <f>IF(ISERR((UCRPercentage!R20/100)*$B20), 0, (UCRPercentage!R20/100)*$B20)</f>
        <v>6397.7459405775508</v>
      </c>
      <c r="O20" s="748">
        <f>IF(ISERR((UCRPercentage!S20/100)*$B20), 0, (UCRPercentage!S20/100)*$B20)</f>
        <v>853.03187080166492</v>
      </c>
      <c r="P20" s="748">
        <f>IF(ISERR((UCRPercentage!T20/100)*$B20), 0, (UCRPercentage!T20/100)*$B20)</f>
        <v>0</v>
      </c>
      <c r="Q20" s="748">
        <f>IF(ISERR((UCRPercentage!U20/100)*$B20), 0, (UCRPercentage!U20/100)*$B20)</f>
        <v>0</v>
      </c>
      <c r="R20" s="748">
        <f>IF(ISERR((UCRPercentage!V20/100)*$B20), 0, (UCRPercentage!V20/100)*$B20)</f>
        <v>1279.5501093908517</v>
      </c>
      <c r="S20" s="748">
        <f>IF(ISERR((UCRPercentage!W20/100)*$B20), 0, (UCRPercentage!W20/100)*$B20)</f>
        <v>0</v>
      </c>
      <c r="T20" s="748">
        <f>IF(ISERR((UCRPercentage!X20/100)*$B20), 0, (UCRPercentage!X20/100)*$B20)</f>
        <v>0</v>
      </c>
      <c r="U20" s="748">
        <f>IF(ISERR((UCRPercentage!Y20/100)*$B20), 0, (UCRPercentage!Y20/100)*$B20)</f>
        <v>0</v>
      </c>
      <c r="V20" s="748">
        <f>IF(ISERR((UCRPercentage!Z20/100)*$B20), 0, (UCRPercentage!Z20/100)*$B20)</f>
        <v>0</v>
      </c>
      <c r="W20" s="749">
        <f t="shared" si="0"/>
        <v>23031.883543528496</v>
      </c>
    </row>
    <row r="21" spans="1:23" ht="15.6">
      <c r="A21" s="239">
        <v>1994</v>
      </c>
      <c r="B21" s="768">
        <f>Escapements!J23</f>
        <v>24946.91549585489</v>
      </c>
      <c r="C21" s="748">
        <f>IF(ISERR((UCRPercentage!G21/100)*$B21), 0, (UCRPercentage!G21/100)*$B21)</f>
        <v>0</v>
      </c>
      <c r="D21" s="748">
        <f>IF(ISERR((UCRPercentage!H21/100)*$B21), 0, (UCRPercentage!H21/100)*$B21)</f>
        <v>0</v>
      </c>
      <c r="E21" s="748">
        <f>IF(ISERR((UCRPercentage!I21/100)*$B21), 0, (UCRPercentage!I21/100)*$B21)</f>
        <v>0</v>
      </c>
      <c r="F21" s="748">
        <f>IF(ISERR((UCRPercentage!J21/100)*$B21), 0, (UCRPercentage!J21/100)*$B21)</f>
        <v>0</v>
      </c>
      <c r="G21" s="748">
        <f>IF(ISERR((UCRPercentage!K21/100)*$B21), 0, (UCRPercentage!K21/100)*$B21)</f>
        <v>1609.4776948221236</v>
      </c>
      <c r="H21" s="748">
        <f>IF(ISERR((UCRPercentage!L21/100)*$B21), 0, (UCRPercentage!L21/100)*$B21)</f>
        <v>0</v>
      </c>
      <c r="I21" s="748">
        <f>IF(ISERR((UCRPercentage!M21/100)*$B21), 0, (UCRPercentage!M21/100)*$B21)</f>
        <v>0</v>
      </c>
      <c r="J21" s="748">
        <f>IF(ISERR((UCRPercentage!N21/100)*$B21), 0, (UCRPercentage!N21/100)*$B21)</f>
        <v>12875.82654796009</v>
      </c>
      <c r="K21" s="748">
        <f>IF(ISERR((UCRPercentage!O21/100)*$B21), 0, (UCRPercentage!O21/100)*$B21)</f>
        <v>0</v>
      </c>
      <c r="L21" s="748">
        <f>IF(ISERR((UCRPercentage!P21/100)*$B21), 0, (UCRPercentage!P21/100)*$B21)</f>
        <v>0</v>
      </c>
      <c r="M21" s="748">
        <f>IF(ISERR((UCRPercentage!Q21/100)*$B21), 0, (UCRPercentage!Q21/100)*$B21)</f>
        <v>0</v>
      </c>
      <c r="N21" s="748">
        <f>IF(ISERR((UCRPercentage!R21/100)*$B21), 0, (UCRPercentage!R21/100)*$B21)</f>
        <v>10059.239958348486</v>
      </c>
      <c r="O21" s="748">
        <f>IF(ISERR((UCRPercentage!S21/100)*$B21), 0, (UCRPercentage!S21/100)*$B21)</f>
        <v>0</v>
      </c>
      <c r="P21" s="748">
        <f>IF(ISERR((UCRPercentage!T21/100)*$B21), 0, (UCRPercentage!T21/100)*$B21)</f>
        <v>0</v>
      </c>
      <c r="Q21" s="748">
        <f>IF(ISERR((UCRPercentage!U21/100)*$B21), 0, (UCRPercentage!U21/100)*$B21)</f>
        <v>0</v>
      </c>
      <c r="R21" s="748">
        <f>IF(ISERR((UCRPercentage!V21/100)*$B21), 0, (UCRPercentage!V21/100)*$B21)</f>
        <v>402.39125225658978</v>
      </c>
      <c r="S21" s="748">
        <f>IF(ISERR((UCRPercentage!W21/100)*$B21), 0, (UCRPercentage!W21/100)*$B21)</f>
        <v>0</v>
      </c>
      <c r="T21" s="748">
        <f>IF(ISERR((UCRPercentage!X21/100)*$B21), 0, (UCRPercentage!X21/100)*$B21)</f>
        <v>0</v>
      </c>
      <c r="U21" s="748">
        <f>IF(ISERR((UCRPercentage!Y21/100)*$B21), 0, (UCRPercentage!Y21/100)*$B21)</f>
        <v>0</v>
      </c>
      <c r="V21" s="748">
        <f>IF(ISERR((UCRPercentage!Z21/100)*$B21), 0, (UCRPercentage!Z21/100)*$B21)</f>
        <v>0</v>
      </c>
      <c r="W21" s="749">
        <f t="shared" si="0"/>
        <v>24946.935453387294</v>
      </c>
    </row>
    <row r="22" spans="1:23" ht="15.6">
      <c r="A22" s="239">
        <v>1995</v>
      </c>
      <c r="B22" s="768">
        <f>Escapements!J24</f>
        <v>29376.301711637534</v>
      </c>
      <c r="C22" s="748">
        <f>IF(ISERR((UCRPercentage!G22/100)*$B22), 0, (UCRPercentage!G22/100)*$B22)</f>
        <v>0</v>
      </c>
      <c r="D22" s="748">
        <f>IF(ISERR((UCRPercentage!H22/100)*$B22), 0, (UCRPercentage!H22/100)*$B22)</f>
        <v>0</v>
      </c>
      <c r="E22" s="748">
        <f>IF(ISERR((UCRPercentage!I22/100)*$B22), 0, (UCRPercentage!I22/100)*$B22)</f>
        <v>0</v>
      </c>
      <c r="F22" s="748">
        <f>IF(ISERR((UCRPercentage!J22/100)*$B22), 0, (UCRPercentage!J22/100)*$B22)</f>
        <v>0</v>
      </c>
      <c r="G22" s="748">
        <f>IF(ISERR((UCRPercentage!K22/100)*$B22), 0, (UCRPercentage!K22/100)*$B22)</f>
        <v>3163.601496820183</v>
      </c>
      <c r="H22" s="748">
        <f>IF(ISERR((UCRPercentage!L22/100)*$B22), 0, (UCRPercentage!L22/100)*$B22)</f>
        <v>0</v>
      </c>
      <c r="I22" s="748">
        <f>IF(ISERR((UCRPercentage!M22/100)*$B22), 0, (UCRPercentage!M22/100)*$B22)</f>
        <v>0</v>
      </c>
      <c r="J22" s="748">
        <f>IF(ISERR((UCRPercentage!N22/100)*$B22), 0, (UCRPercentage!N22/100)*$B22)</f>
        <v>19659.525895520557</v>
      </c>
      <c r="K22" s="748">
        <f>IF(ISERR((UCRPercentage!O22/100)*$B22), 0, (UCRPercentage!O22/100)*$B22)</f>
        <v>0</v>
      </c>
      <c r="L22" s="748">
        <f>IF(ISERR((UCRPercentage!P22/100)*$B22), 0, (UCRPercentage!P22/100)*$B22)</f>
        <v>0</v>
      </c>
      <c r="M22" s="748">
        <f>IF(ISERR((UCRPercentage!Q22/100)*$B22), 0, (UCRPercentage!Q22/100)*$B22)</f>
        <v>0</v>
      </c>
      <c r="N22" s="748">
        <f>IF(ISERR((UCRPercentage!R22/100)*$B22), 0, (UCRPercentage!R22/100)*$B22)</f>
        <v>6101.2316679839359</v>
      </c>
      <c r="O22" s="748">
        <f>IF(ISERR((UCRPercentage!S22/100)*$B22), 0, (UCRPercentage!S22/100)*$B22)</f>
        <v>225.9713256564294</v>
      </c>
      <c r="P22" s="748">
        <f>IF(ISERR((UCRPercentage!T22/100)*$B22), 0, (UCRPercentage!T22/100)*$B22)</f>
        <v>0</v>
      </c>
      <c r="Q22" s="748">
        <f>IF(ISERR((UCRPercentage!U22/100)*$B22), 0, (UCRPercentage!U22/100)*$B22)</f>
        <v>0</v>
      </c>
      <c r="R22" s="748">
        <f>IF(ISERR((UCRPercentage!V22/100)*$B22), 0, (UCRPercentage!V22/100)*$B22)</f>
        <v>225.9713256564294</v>
      </c>
      <c r="S22" s="748">
        <f>IF(ISERR((UCRPercentage!W22/100)*$B22), 0, (UCRPercentage!W22/100)*$B22)</f>
        <v>0</v>
      </c>
      <c r="T22" s="748">
        <f>IF(ISERR((UCRPercentage!X22/100)*$B22), 0, (UCRPercentage!X22/100)*$B22)</f>
        <v>0</v>
      </c>
      <c r="U22" s="748">
        <f>IF(ISERR((UCRPercentage!Y22/100)*$B22), 0, (UCRPercentage!Y22/100)*$B22)</f>
        <v>0</v>
      </c>
      <c r="V22" s="748">
        <f>IF(ISERR((UCRPercentage!Z22/100)*$B22), 0, (UCRPercentage!Z22/100)*$B22)</f>
        <v>0</v>
      </c>
      <c r="W22" s="749">
        <f t="shared" si="0"/>
        <v>29376.30171163753</v>
      </c>
    </row>
    <row r="23" spans="1:23" ht="15.6">
      <c r="A23" s="239">
        <v>1996</v>
      </c>
      <c r="B23" s="768">
        <f>Escapements!J25</f>
        <v>29515.581211050758</v>
      </c>
      <c r="C23" s="748">
        <f>IF(ISERR((UCRPercentage!G23/100)*$B23), 0, (UCRPercentage!G23/100)*$B23)</f>
        <v>0</v>
      </c>
      <c r="D23" s="748">
        <f>IF(ISERR((UCRPercentage!H23/100)*$B23), 0, (UCRPercentage!H23/100)*$B23)</f>
        <v>0</v>
      </c>
      <c r="E23" s="748">
        <f>IF(ISERR((UCRPercentage!I23/100)*$B23), 0, (UCRPercentage!I23/100)*$B23)</f>
        <v>1017.7798837844211</v>
      </c>
      <c r="F23" s="748">
        <f>IF(ISERR((UCRPercentage!J23/100)*$B23), 0, (UCRPercentage!J23/100)*$B23)</f>
        <v>0</v>
      </c>
      <c r="G23" s="748">
        <f>IF(ISERR((UCRPercentage!K23/100)*$B23), 0, (UCRPercentage!K23/100)*$B23)</f>
        <v>2035.5568160107209</v>
      </c>
      <c r="H23" s="748">
        <f>IF(ISERR((UCRPercentage!L23/100)*$B23), 0, (UCRPercentage!L23/100)*$B23)</f>
        <v>0</v>
      </c>
      <c r="I23" s="748">
        <f>IF(ISERR((UCRPercentage!M23/100)*$B23), 0, (UCRPercentage!M23/100)*$B23)</f>
        <v>0</v>
      </c>
      <c r="J23" s="748">
        <f>IF(ISERR((UCRPercentage!N23/100)*$B23), 0, (UCRPercentage!N23/100)*$B23)</f>
        <v>15266.680547417589</v>
      </c>
      <c r="K23" s="748">
        <f>IF(ISERR((UCRPercentage!O23/100)*$B23), 0, (UCRPercentage!O23/100)*$B23)</f>
        <v>508.88994189221057</v>
      </c>
      <c r="L23" s="748">
        <f>IF(ISERR((UCRPercentage!P23/100)*$B23), 0, (UCRPercentage!P23/100)*$B23)</f>
        <v>0</v>
      </c>
      <c r="M23" s="748">
        <f>IF(ISERR((UCRPercentage!Q23/100)*$B23), 0, (UCRPercentage!Q23/100)*$B23)</f>
        <v>0</v>
      </c>
      <c r="N23" s="748">
        <f>IF(ISERR((UCRPercentage!R23/100)*$B23), 0, (UCRPercentage!R23/100)*$B23)</f>
        <v>9668.8970897195159</v>
      </c>
      <c r="O23" s="748">
        <f>IF(ISERR((UCRPercentage!S23/100)*$B23), 0, (UCRPercentage!S23/100)*$B23)</f>
        <v>1017.7798837844211</v>
      </c>
      <c r="P23" s="748">
        <f>IF(ISERR((UCRPercentage!T23/100)*$B23), 0, (UCRPercentage!T23/100)*$B23)</f>
        <v>0</v>
      </c>
      <c r="Q23" s="748">
        <f>IF(ISERR((UCRPercentage!U23/100)*$B23), 0, (UCRPercentage!U23/100)*$B23)</f>
        <v>0</v>
      </c>
      <c r="R23" s="748">
        <f>IF(ISERR((UCRPercentage!V23/100)*$B23), 0, (UCRPercentage!V23/100)*$B23)</f>
        <v>0</v>
      </c>
      <c r="S23" s="748">
        <f>IF(ISERR((UCRPercentage!W23/100)*$B23), 0, (UCRPercentage!W23/100)*$B23)</f>
        <v>0</v>
      </c>
      <c r="T23" s="748">
        <f>IF(ISERR((UCRPercentage!X23/100)*$B23), 0, (UCRPercentage!X23/100)*$B23)</f>
        <v>0</v>
      </c>
      <c r="U23" s="748">
        <f>IF(ISERR((UCRPercentage!Y23/100)*$B23), 0, (UCRPercentage!Y23/100)*$B23)</f>
        <v>0</v>
      </c>
      <c r="V23" s="748">
        <f>IF(ISERR((UCRPercentage!Z23/100)*$B23), 0, (UCRPercentage!Z23/100)*$B23)</f>
        <v>0</v>
      </c>
      <c r="W23" s="749">
        <f t="shared" si="0"/>
        <v>29515.584162608877</v>
      </c>
    </row>
    <row r="24" spans="1:23" ht="15.6">
      <c r="A24" s="239">
        <v>1997</v>
      </c>
      <c r="B24" s="768">
        <f>Escapements!J26</f>
        <v>39026.051129357271</v>
      </c>
      <c r="C24" s="748">
        <f>IF(ISERR((UCRPercentage!G24/100)*$B24), 0, (UCRPercentage!G24/100)*$B24)</f>
        <v>0</v>
      </c>
      <c r="D24" s="748">
        <f>IF(ISERR((UCRPercentage!H24/100)*$B24), 0, (UCRPercentage!H24/100)*$B24)</f>
        <v>0</v>
      </c>
      <c r="E24" s="748">
        <f>IF(ISERR((UCRPercentage!I24/100)*$B24), 0, (UCRPercentage!I24/100)*$B24)</f>
        <v>0</v>
      </c>
      <c r="F24" s="748">
        <f>IF(ISERR((UCRPercentage!J24/100)*$B24), 0, (UCRPercentage!J24/100)*$B24)</f>
        <v>272.9091755475954</v>
      </c>
      <c r="G24" s="748">
        <f>IF(ISERR((UCRPercentage!K24/100)*$B24), 0, (UCRPercentage!K24/100)*$B24)</f>
        <v>2183.2773069858758</v>
      </c>
      <c r="H24" s="748">
        <f>IF(ISERR((UCRPercentage!L24/100)*$B24), 0, (UCRPercentage!L24/100)*$B24)</f>
        <v>0</v>
      </c>
      <c r="I24" s="748">
        <f>IF(ISERR((UCRPercentage!M24/100)*$B24), 0, (UCRPercentage!M24/100)*$B24)</f>
        <v>0</v>
      </c>
      <c r="J24" s="748">
        <f>IF(ISERR((UCRPercentage!N24/100)*$B24), 0, (UCRPercentage!N24/100)*$B24)</f>
        <v>25653.489819709757</v>
      </c>
      <c r="K24" s="748">
        <f>IF(ISERR((UCRPercentage!O24/100)*$B24), 0, (UCRPercentage!O24/100)*$B24)</f>
        <v>0</v>
      </c>
      <c r="L24" s="748">
        <f>IF(ISERR((UCRPercentage!P24/100)*$B24), 0, (UCRPercentage!P24/100)*$B24)</f>
        <v>0</v>
      </c>
      <c r="M24" s="748">
        <f>IF(ISERR((UCRPercentage!Q24/100)*$B24), 0, (UCRPercentage!Q24/100)*$B24)</f>
        <v>0</v>
      </c>
      <c r="N24" s="748">
        <f>IF(ISERR((UCRPercentage!R24/100)*$B24), 0, (UCRPercentage!R24/100)*$B24)</f>
        <v>9824.7420275287714</v>
      </c>
      <c r="O24" s="748">
        <f>IF(ISERR((UCRPercentage!S24/100)*$B24), 0, (UCRPercentage!S24/100)*$B24)</f>
        <v>818.72752664278619</v>
      </c>
      <c r="P24" s="748">
        <f>IF(ISERR((UCRPercentage!T24/100)*$B24), 0, (UCRPercentage!T24/100)*$B24)</f>
        <v>0</v>
      </c>
      <c r="Q24" s="748">
        <f>IF(ISERR((UCRPercentage!U24/100)*$B24), 0, (UCRPercentage!U24/100)*$B24)</f>
        <v>0</v>
      </c>
      <c r="R24" s="748">
        <f>IF(ISERR((UCRPercentage!V24/100)*$B24), 0, (UCRPercentage!V24/100)*$B24)</f>
        <v>272.9091755475954</v>
      </c>
      <c r="S24" s="748">
        <f>IF(ISERR((UCRPercentage!W24/100)*$B24), 0, (UCRPercentage!W24/100)*$B24)</f>
        <v>0</v>
      </c>
      <c r="T24" s="748">
        <f>IF(ISERR((UCRPercentage!X24/100)*$B24), 0, (UCRPercentage!X24/100)*$B24)</f>
        <v>0</v>
      </c>
      <c r="U24" s="748">
        <f>IF(ISERR((UCRPercentage!Y24/100)*$B24), 0, (UCRPercentage!Y24/100)*$B24)</f>
        <v>0</v>
      </c>
      <c r="V24" s="748">
        <f>IF(ISERR((UCRPercentage!Z24/100)*$B24), 0, (UCRPercentage!Z24/100)*$B24)</f>
        <v>0</v>
      </c>
      <c r="W24" s="749">
        <f t="shared" si="0"/>
        <v>39026.055031962387</v>
      </c>
    </row>
    <row r="25" spans="1:23" ht="15.6">
      <c r="A25" s="239">
        <v>1998</v>
      </c>
      <c r="B25" s="769">
        <f>Escapements!J27</f>
        <v>34944.783078621651</v>
      </c>
      <c r="C25" s="748">
        <f>IF(ISERR((UCRPercentage!G25/100)*$B25), 0, (UCRPercentage!G25/100)*$B25)</f>
        <v>0</v>
      </c>
      <c r="D25" s="748">
        <f>IF(ISERR((UCRPercentage!H25/100)*$B25), 0, (UCRPercentage!H25/100)*$B25)</f>
        <v>0</v>
      </c>
      <c r="E25" s="748">
        <f>IF(ISERR((UCRPercentage!I25/100)*$B25), 0, (UCRPercentage!I25/100)*$B25)</f>
        <v>0</v>
      </c>
      <c r="F25" s="748">
        <f>IF(ISERR((UCRPercentage!J25/100)*$B25), 0, (UCRPercentage!J25/100)*$B25)</f>
        <v>0</v>
      </c>
      <c r="G25" s="748">
        <f>IF(ISERR((UCRPercentage!K25/100)*$B25), 0, (UCRPercentage!K25/100)*$B25)</f>
        <v>1532.6659245009496</v>
      </c>
      <c r="H25" s="748">
        <f>IF(ISERR((UCRPercentage!L25/100)*$B25), 0, (UCRPercentage!L25/100)*$B25)</f>
        <v>0</v>
      </c>
      <c r="I25" s="748">
        <f>IF(ISERR((UCRPercentage!M25/100)*$B25), 0, (UCRPercentage!M25/100)*$B25)</f>
        <v>0</v>
      </c>
      <c r="J25" s="748">
        <f>IF(ISERR((UCRPercentage!N25/100)*$B25), 0, (UCRPercentage!N25/100)*$B25)</f>
        <v>23296.522052414428</v>
      </c>
      <c r="K25" s="748">
        <f>IF(ISERR((UCRPercentage!O25/100)*$B25), 0, (UCRPercentage!O25/100)*$B25)</f>
        <v>0</v>
      </c>
      <c r="L25" s="748">
        <f>IF(ISERR((UCRPercentage!P25/100)*$B25), 0, (UCRPercentage!P25/100)*$B25)</f>
        <v>0</v>
      </c>
      <c r="M25" s="748">
        <f>IF(ISERR((UCRPercentage!Q25/100)*$B25), 0, (UCRPercentage!Q25/100)*$B25)</f>
        <v>0</v>
      </c>
      <c r="N25" s="748">
        <f>IF(ISERR((UCRPercentage!R25/100)*$B25), 0, (UCRPercentage!R25/100)*$B25)</f>
        <v>10115.595101706267</v>
      </c>
      <c r="O25" s="748">
        <f>IF(ISERR((UCRPercentage!S25/100)*$B25), 0, (UCRPercentage!S25/100)*$B25)</f>
        <v>0</v>
      </c>
      <c r="P25" s="748">
        <f>IF(ISERR((UCRPercentage!T25/100)*$B25), 0, (UCRPercentage!T25/100)*$B25)</f>
        <v>0</v>
      </c>
      <c r="Q25" s="748">
        <f>IF(ISERR((UCRPercentage!U25/100)*$B25), 0, (UCRPercentage!U25/100)*$B25)</f>
        <v>0</v>
      </c>
      <c r="R25" s="748">
        <f>IF(ISERR((UCRPercentage!V25/100)*$B25), 0, (UCRPercentage!V25/100)*$B25)</f>
        <v>0</v>
      </c>
      <c r="S25" s="748">
        <f>IF(ISERR((UCRPercentage!W25/100)*$B25), 0, (UCRPercentage!W25/100)*$B25)</f>
        <v>0</v>
      </c>
      <c r="T25" s="748">
        <f>IF(ISERR((UCRPercentage!X25/100)*$B25), 0, (UCRPercentage!X25/100)*$B25)</f>
        <v>0</v>
      </c>
      <c r="U25" s="748">
        <f>IF(ISERR((UCRPercentage!Y25/100)*$B25), 0, (UCRPercentage!Y25/100)*$B25)</f>
        <v>0</v>
      </c>
      <c r="V25" s="748">
        <f>IF(ISERR((UCRPercentage!Z25/100)*$B25), 0, (UCRPercentage!Z25/100)*$B25)</f>
        <v>0</v>
      </c>
      <c r="W25" s="749">
        <f t="shared" si="0"/>
        <v>34944.783078621644</v>
      </c>
    </row>
    <row r="26" spans="1:23" ht="15.6">
      <c r="A26" s="239">
        <v>1999</v>
      </c>
      <c r="B26" s="767">
        <f>Escapements!K28</f>
        <v>32090</v>
      </c>
      <c r="C26" s="748">
        <f>IF(ISERR((UCRPercentage!G26/100)*$B26), 0, (UCRPercentage!G26/100)*$B26)</f>
        <v>0</v>
      </c>
      <c r="D26" s="748">
        <f>IF(ISERR((UCRPercentage!H26/100)*$B26), 0, (UCRPercentage!H26/100)*$B26)</f>
        <v>0</v>
      </c>
      <c r="E26" s="748">
        <f>IF(ISERR((UCRPercentage!I26/100)*$B26), 0, (UCRPercentage!I26/100)*$B26)</f>
        <v>85.573333333333323</v>
      </c>
      <c r="F26" s="748">
        <f>IF(ISERR((UCRPercentage!J26/100)*$B26), 0, (UCRPercentage!J26/100)*$B26)</f>
        <v>0</v>
      </c>
      <c r="G26" s="748">
        <f>IF(ISERR((UCRPercentage!K26/100)*$B26), 0, (UCRPercentage!K26/100)*$B26)</f>
        <v>4364.2400000000007</v>
      </c>
      <c r="H26" s="748">
        <f>IF(ISERR((UCRPercentage!L26/100)*$B26), 0, (UCRPercentage!L26/100)*$B26)</f>
        <v>0</v>
      </c>
      <c r="I26" s="748">
        <f>IF(ISERR((UCRPercentage!M26/100)*$B26), 0, (UCRPercentage!M26/100)*$B26)</f>
        <v>0</v>
      </c>
      <c r="J26" s="748">
        <f>IF(ISERR((UCRPercentage!N26/100)*$B26), 0, (UCRPercentage!N26/100)*$B26)</f>
        <v>22505.786666666667</v>
      </c>
      <c r="K26" s="748">
        <f>IF(ISERR((UCRPercentage!O26/100)*$B26), 0, (UCRPercentage!O26/100)*$B26)</f>
        <v>0</v>
      </c>
      <c r="L26" s="748">
        <f>IF(ISERR((UCRPercentage!P26/100)*$B26), 0, (UCRPercentage!P26/100)*$B26)</f>
        <v>0</v>
      </c>
      <c r="M26" s="748">
        <f>IF(ISERR((UCRPercentage!Q26/100)*$B26), 0, (UCRPercentage!Q26/100)*$B26)</f>
        <v>0</v>
      </c>
      <c r="N26" s="748">
        <f>IF(ISERR((UCRPercentage!R26/100)*$B26), 0, (UCRPercentage!R26/100)*$B26)</f>
        <v>4877.68</v>
      </c>
      <c r="O26" s="748">
        <f>IF(ISERR((UCRPercentage!S26/100)*$B26), 0, (UCRPercentage!S26/100)*$B26)</f>
        <v>171.14666666666665</v>
      </c>
      <c r="P26" s="748">
        <f>IF(ISERR((UCRPercentage!T26/100)*$B26), 0, (UCRPercentage!T26/100)*$B26)</f>
        <v>0</v>
      </c>
      <c r="Q26" s="748">
        <f>IF(ISERR((UCRPercentage!U26/100)*$B26), 0, (UCRPercentage!U26/100)*$B26)</f>
        <v>85.573333333333323</v>
      </c>
      <c r="R26" s="748">
        <f>IF(ISERR((UCRPercentage!V26/100)*$B26), 0, (UCRPercentage!V26/100)*$B26)</f>
        <v>0</v>
      </c>
      <c r="S26" s="748">
        <f>IF(ISERR((UCRPercentage!W26/100)*$B26), 0, (UCRPercentage!W26/100)*$B26)</f>
        <v>0</v>
      </c>
      <c r="T26" s="748">
        <f>IF(ISERR((UCRPercentage!X26/100)*$B26), 0, (UCRPercentage!X26/100)*$B26)</f>
        <v>0</v>
      </c>
      <c r="U26" s="748">
        <f>IF(ISERR((UCRPercentage!Y26/100)*$B26), 0, (UCRPercentage!Y26/100)*$B26)</f>
        <v>0</v>
      </c>
      <c r="V26" s="748">
        <f>IF(ISERR((UCRPercentage!Z26/100)*$B26), 0, (UCRPercentage!Z26/100)*$B26)</f>
        <v>0</v>
      </c>
      <c r="W26" s="749">
        <f t="shared" si="0"/>
        <v>32090.000000000004</v>
      </c>
    </row>
    <row r="27" spans="1:23" ht="15.6">
      <c r="A27" s="239">
        <v>2000</v>
      </c>
      <c r="B27" s="768">
        <f>Escapements!K29</f>
        <v>38047</v>
      </c>
      <c r="C27" s="748">
        <f>IF(ISERR((UCRPercentage!G27/100)*$B27), 0, (UCRPercentage!G27/100)*$B27)</f>
        <v>0</v>
      </c>
      <c r="D27" s="748">
        <f>IF(ISERR((UCRPercentage!H27/100)*$B27), 0, (UCRPercentage!H27/100)*$B27)</f>
        <v>0</v>
      </c>
      <c r="E27" s="748">
        <f>IF(ISERR((UCRPercentage!I27/100)*$B27), 0, (UCRPercentage!I27/100)*$B27)</f>
        <v>234.85802469135803</v>
      </c>
      <c r="F27" s="748">
        <f>IF(ISERR((UCRPercentage!J27/100)*$B27), 0, (UCRPercentage!J27/100)*$B27)</f>
        <v>0</v>
      </c>
      <c r="G27" s="748">
        <f>IF(ISERR((UCRPercentage!K27/100)*$B27), 0, (UCRPercentage!K27/100)*$B27)</f>
        <v>2818.2962962962961</v>
      </c>
      <c r="H27" s="748">
        <f>IF(ISERR((UCRPercentage!L27/100)*$B27), 0, (UCRPercentage!L27/100)*$B27)</f>
        <v>0</v>
      </c>
      <c r="I27" s="748">
        <f>IF(ISERR((UCRPercentage!M27/100)*$B27), 0, (UCRPercentage!M27/100)*$B27)</f>
        <v>0</v>
      </c>
      <c r="J27" s="748">
        <f>IF(ISERR((UCRPercentage!N27/100)*$B27), 0, (UCRPercentage!N27/100)*$B27)</f>
        <v>25834.382716049382</v>
      </c>
      <c r="K27" s="748">
        <f>IF(ISERR((UCRPercentage!O27/100)*$B27), 0, (UCRPercentage!O27/100)*$B27)</f>
        <v>117.42901234567901</v>
      </c>
      <c r="L27" s="748">
        <f>IF(ISERR((UCRPercentage!P27/100)*$B27), 0, (UCRPercentage!P27/100)*$B27)</f>
        <v>0</v>
      </c>
      <c r="M27" s="748">
        <f>IF(ISERR((UCRPercentage!Q27/100)*$B27), 0, (UCRPercentage!Q27/100)*$B27)</f>
        <v>0</v>
      </c>
      <c r="N27" s="748">
        <f>IF(ISERR((UCRPercentage!R27/100)*$B27), 0, (UCRPercentage!R27/100)*$B27)</f>
        <v>8572.3179012345681</v>
      </c>
      <c r="O27" s="748">
        <f>IF(ISERR((UCRPercentage!S27/100)*$B27), 0, (UCRPercentage!S27/100)*$B27)</f>
        <v>234.85802469135803</v>
      </c>
      <c r="P27" s="748">
        <f>IF(ISERR((UCRPercentage!T27/100)*$B27), 0, (UCRPercentage!T27/100)*$B27)</f>
        <v>0</v>
      </c>
      <c r="Q27" s="748">
        <f>IF(ISERR((UCRPercentage!U27/100)*$B27), 0, (UCRPercentage!U27/100)*$B27)</f>
        <v>0</v>
      </c>
      <c r="R27" s="748">
        <f>IF(ISERR((UCRPercentage!V27/100)*$B27), 0, (UCRPercentage!V27/100)*$B27)</f>
        <v>234.85802469135803</v>
      </c>
      <c r="S27" s="748">
        <f>IF(ISERR((UCRPercentage!W27/100)*$B27), 0, (UCRPercentage!W27/100)*$B27)</f>
        <v>0</v>
      </c>
      <c r="T27" s="748">
        <f>IF(ISERR((UCRPercentage!X27/100)*$B27), 0, (UCRPercentage!X27/100)*$B27)</f>
        <v>0</v>
      </c>
      <c r="U27" s="748">
        <f>IF(ISERR((UCRPercentage!Y27/100)*$B27), 0, (UCRPercentage!Y27/100)*$B27)</f>
        <v>0</v>
      </c>
      <c r="V27" s="748">
        <f>IF(ISERR((UCRPercentage!Z27/100)*$B27), 0, (UCRPercentage!Z27/100)*$B27)</f>
        <v>0</v>
      </c>
      <c r="W27" s="749">
        <f t="shared" si="0"/>
        <v>38046.999999999993</v>
      </c>
    </row>
    <row r="28" spans="1:23" ht="15.6">
      <c r="A28" s="239">
        <v>2001</v>
      </c>
      <c r="B28" s="768">
        <f>Escapements!K30</f>
        <v>39778</v>
      </c>
      <c r="C28" s="748">
        <f>IF(ISERR((UCRPercentage!G28/100)*$B28), 0, (UCRPercentage!G28/100)*$B28)</f>
        <v>0</v>
      </c>
      <c r="D28" s="748">
        <f>IF(ISERR((UCRPercentage!H28/100)*$B28), 0, (UCRPercentage!H28/100)*$B28)</f>
        <v>0</v>
      </c>
      <c r="E28" s="748">
        <f>IF(ISERR((UCRPercentage!I28/100)*$B28), 0, (UCRPercentage!I28/100)*$B28)</f>
        <v>183.52018454440599</v>
      </c>
      <c r="F28" s="748">
        <f>IF(ISERR((UCRPercentage!J28/100)*$B28), 0, (UCRPercentage!J28/100)*$B28)</f>
        <v>0</v>
      </c>
      <c r="G28" s="748">
        <f>IF(ISERR((UCRPercentage!K28/100)*$B28), 0, (UCRPercentage!K28/100)*$B28)</f>
        <v>3670.4036908881199</v>
      </c>
      <c r="H28" s="748">
        <f>IF(ISERR((UCRPercentage!L28/100)*$B28), 0, (UCRPercentage!L28/100)*$B28)</f>
        <v>0</v>
      </c>
      <c r="I28" s="748">
        <f>IF(ISERR((UCRPercentage!M28/100)*$B28), 0, (UCRPercentage!M28/100)*$B28)</f>
        <v>0</v>
      </c>
      <c r="J28" s="748">
        <f>IF(ISERR((UCRPercentage!N28/100)*$B28), 0, (UCRPercentage!N28/100)*$B28)</f>
        <v>29317.349480968856</v>
      </c>
      <c r="K28" s="748">
        <f>IF(ISERR((UCRPercentage!O28/100)*$B28), 0, (UCRPercentage!O28/100)*$B28)</f>
        <v>0</v>
      </c>
      <c r="L28" s="748">
        <f>IF(ISERR((UCRPercentage!P28/100)*$B28), 0, (UCRPercentage!P28/100)*$B28)</f>
        <v>0</v>
      </c>
      <c r="M28" s="748">
        <f>IF(ISERR((UCRPercentage!Q28/100)*$B28), 0, (UCRPercentage!Q28/100)*$B28)</f>
        <v>0</v>
      </c>
      <c r="N28" s="748">
        <f>IF(ISERR((UCRPercentage!R28/100)*$B28), 0, (UCRPercentage!R28/100)*$B28)</f>
        <v>6102.0461361014995</v>
      </c>
      <c r="O28" s="748">
        <f>IF(ISERR((UCRPercentage!S28/100)*$B28), 0, (UCRPercentage!S28/100)*$B28)</f>
        <v>367.04036908881199</v>
      </c>
      <c r="P28" s="748">
        <f>IF(ISERR((UCRPercentage!T28/100)*$B28), 0, (UCRPercentage!T28/100)*$B28)</f>
        <v>0</v>
      </c>
      <c r="Q28" s="748">
        <f>IF(ISERR((UCRPercentage!U28/100)*$B28), 0, (UCRPercentage!U28/100)*$B28)</f>
        <v>45.880046136101498</v>
      </c>
      <c r="R28" s="748">
        <f>IF(ISERR((UCRPercentage!V28/100)*$B28), 0, (UCRPercentage!V28/100)*$B28)</f>
        <v>91.760092272202996</v>
      </c>
      <c r="S28" s="748">
        <f>IF(ISERR((UCRPercentage!W28/100)*$B28), 0, (UCRPercentage!W28/100)*$B28)</f>
        <v>0</v>
      </c>
      <c r="T28" s="748">
        <f>IF(ISERR((UCRPercentage!X28/100)*$B28), 0, (UCRPercentage!X28/100)*$B28)</f>
        <v>0</v>
      </c>
      <c r="U28" s="748">
        <f>IF(ISERR((UCRPercentage!Y28/100)*$B28), 0, (UCRPercentage!Y28/100)*$B28)</f>
        <v>0</v>
      </c>
      <c r="V28" s="748">
        <f>IF(ISERR((UCRPercentage!Z28/100)*$B28), 0, (UCRPercentage!Z28/100)*$B28)</f>
        <v>0</v>
      </c>
      <c r="W28" s="749">
        <f t="shared" si="0"/>
        <v>39778</v>
      </c>
    </row>
    <row r="29" spans="1:23" ht="15.6">
      <c r="A29" s="239">
        <v>2002</v>
      </c>
      <c r="B29" s="768">
        <f>Escapements!K31</f>
        <v>32873</v>
      </c>
      <c r="C29" s="748">
        <f>IF(ISERR((UCRPercentage!G29/100)*$B29), 0, (UCRPercentage!G29/100)*$B29)</f>
        <v>0</v>
      </c>
      <c r="D29" s="748">
        <f>IF(ISERR((UCRPercentage!H29/100)*$B29), 0, (UCRPercentage!H29/100)*$B29)</f>
        <v>0</v>
      </c>
      <c r="E29" s="748">
        <f>IF(ISERR((UCRPercentage!I29/100)*$B29), 0, (UCRPercentage!I29/100)*$B29)</f>
        <v>58.285460992907801</v>
      </c>
      <c r="F29" s="748">
        <f>IF(ISERR((UCRPercentage!J29/100)*$B29), 0, (UCRPercentage!J29/100)*$B29)</f>
        <v>0</v>
      </c>
      <c r="G29" s="748">
        <f>IF(ISERR((UCRPercentage!K29/100)*$B29), 0, (UCRPercentage!K29/100)*$B29)</f>
        <v>1515.4219858156025</v>
      </c>
      <c r="H29" s="748">
        <f>IF(ISERR((UCRPercentage!L29/100)*$B29), 0, (UCRPercentage!L29/100)*$B29)</f>
        <v>0</v>
      </c>
      <c r="I29" s="748">
        <f>IF(ISERR((UCRPercentage!M29/100)*$B29), 0, (UCRPercentage!M29/100)*$B29)</f>
        <v>0</v>
      </c>
      <c r="J29" s="748">
        <f>IF(ISERR((UCRPercentage!N29/100)*$B29), 0, (UCRPercentage!N29/100)*$B29)</f>
        <v>24596.464539007095</v>
      </c>
      <c r="K29" s="748">
        <f>IF(ISERR((UCRPercentage!O29/100)*$B29), 0, (UCRPercentage!O29/100)*$B29)</f>
        <v>233.1418439716312</v>
      </c>
      <c r="L29" s="748">
        <f>IF(ISERR((UCRPercentage!P29/100)*$B29), 0, (UCRPercentage!P29/100)*$B29)</f>
        <v>0</v>
      </c>
      <c r="M29" s="748">
        <f>IF(ISERR((UCRPercentage!Q29/100)*$B29), 0, (UCRPercentage!Q29/100)*$B29)</f>
        <v>0</v>
      </c>
      <c r="N29" s="748">
        <f>IF(ISERR((UCRPercentage!R29/100)*$B29), 0, (UCRPercentage!R29/100)*$B29)</f>
        <v>4487.9804964539007</v>
      </c>
      <c r="O29" s="748">
        <f>IF(ISERR((UCRPercentage!S29/100)*$B29), 0, (UCRPercentage!S29/100)*$B29)</f>
        <v>1223.9946808510638</v>
      </c>
      <c r="P29" s="748">
        <f>IF(ISERR((UCRPercentage!T29/100)*$B29), 0, (UCRPercentage!T29/100)*$B29)</f>
        <v>0</v>
      </c>
      <c r="Q29" s="748">
        <f>IF(ISERR((UCRPercentage!U29/100)*$B29), 0, (UCRPercentage!U29/100)*$B29)</f>
        <v>0</v>
      </c>
      <c r="R29" s="748">
        <f>IF(ISERR((UCRPercentage!V29/100)*$B29), 0, (UCRPercentage!V29/100)*$B29)</f>
        <v>757.71099290780126</v>
      </c>
      <c r="S29" s="748">
        <f>IF(ISERR((UCRPercentage!W29/100)*$B29), 0, (UCRPercentage!W29/100)*$B29)</f>
        <v>0</v>
      </c>
      <c r="T29" s="748">
        <f>IF(ISERR((UCRPercentage!X29/100)*$B29), 0, (UCRPercentage!X29/100)*$B29)</f>
        <v>0</v>
      </c>
      <c r="U29" s="748">
        <f>IF(ISERR((UCRPercentage!Y29/100)*$B29), 0, (UCRPercentage!Y29/100)*$B29)</f>
        <v>0</v>
      </c>
      <c r="V29" s="748">
        <f>IF(ISERR((UCRPercentage!Z29/100)*$B29), 0, (UCRPercentage!Z29/100)*$B29)</f>
        <v>0</v>
      </c>
      <c r="W29" s="749">
        <f t="shared" si="0"/>
        <v>32873.000000000007</v>
      </c>
    </row>
    <row r="30" spans="1:23" ht="15.6">
      <c r="A30" s="239">
        <v>2003</v>
      </c>
      <c r="B30" s="768">
        <f>Escapements!K32</f>
        <v>44764</v>
      </c>
      <c r="C30" s="748">
        <f>IF(ISERR((UCRPercentage!G30/100)*$B30), 0, (UCRPercentage!G30/100)*$B30)</f>
        <v>0</v>
      </c>
      <c r="D30" s="748">
        <f>IF(ISERR((UCRPercentage!H30/100)*$B30), 0, (UCRPercentage!H30/100)*$B30)</f>
        <v>0</v>
      </c>
      <c r="E30" s="748">
        <f>IF(ISERR((UCRPercentage!I30/100)*$B30), 0, (UCRPercentage!I30/100)*$B30)</f>
        <v>197.6335540838852</v>
      </c>
      <c r="F30" s="748">
        <f>IF(ISERR((UCRPercentage!J30/100)*$B30), 0, (UCRPercentage!J30/100)*$B30)</f>
        <v>0</v>
      </c>
      <c r="G30" s="748">
        <f>IF(ISERR((UCRPercentage!K30/100)*$B30), 0, (UCRPercentage!K30/100)*$B30)</f>
        <v>3063.320088300221</v>
      </c>
      <c r="H30" s="748">
        <f>IF(ISERR((UCRPercentage!L30/100)*$B30), 0, (UCRPercentage!L30/100)*$B30)</f>
        <v>0</v>
      </c>
      <c r="I30" s="748">
        <f>IF(ISERR((UCRPercentage!M30/100)*$B30), 0, (UCRPercentage!M30/100)*$B30)</f>
        <v>0</v>
      </c>
      <c r="J30" s="748">
        <f>IF(ISERR((UCRPercentage!N30/100)*$B30), 0, (UCRPercentage!N30/100)*$B30)</f>
        <v>30435.567328918329</v>
      </c>
      <c r="K30" s="748">
        <f>IF(ISERR((UCRPercentage!O30/100)*$B30), 0, (UCRPercentage!O30/100)*$B30)</f>
        <v>197.6335540838852</v>
      </c>
      <c r="L30" s="748">
        <f>IF(ISERR((UCRPercentage!P30/100)*$B30), 0, (UCRPercentage!P30/100)*$B30)</f>
        <v>0</v>
      </c>
      <c r="M30" s="748">
        <f>IF(ISERR((UCRPercentage!Q30/100)*$B30), 0, (UCRPercentage!Q30/100)*$B30)</f>
        <v>0</v>
      </c>
      <c r="N30" s="748">
        <f>IF(ISERR((UCRPercentage!R30/100)*$B30), 0, (UCRPercentage!R30/100)*$B30)</f>
        <v>9782.8609271523183</v>
      </c>
      <c r="O30" s="748">
        <f>IF(ISERR((UCRPercentage!S30/100)*$B30), 0, (UCRPercentage!S30/100)*$B30)</f>
        <v>691.71743929359832</v>
      </c>
      <c r="P30" s="748">
        <f>IF(ISERR((UCRPercentage!T30/100)*$B30), 0, (UCRPercentage!T30/100)*$B30)</f>
        <v>0</v>
      </c>
      <c r="Q30" s="748">
        <f>IF(ISERR((UCRPercentage!U30/100)*$B30), 0, (UCRPercentage!U30/100)*$B30)</f>
        <v>98.816777041942601</v>
      </c>
      <c r="R30" s="748">
        <f>IF(ISERR((UCRPercentage!V30/100)*$B30), 0, (UCRPercentage!V30/100)*$B30)</f>
        <v>296.45033112582786</v>
      </c>
      <c r="S30" s="748">
        <f>IF(ISERR((UCRPercentage!W30/100)*$B30), 0, (UCRPercentage!W30/100)*$B30)</f>
        <v>0</v>
      </c>
      <c r="T30" s="748">
        <f>IF(ISERR((UCRPercentage!X30/100)*$B30), 0, (UCRPercentage!X30/100)*$B30)</f>
        <v>0</v>
      </c>
      <c r="U30" s="748">
        <f>IF(ISERR((UCRPercentage!Y30/100)*$B30), 0, (UCRPercentage!Y30/100)*$B30)</f>
        <v>0</v>
      </c>
      <c r="V30" s="748">
        <f>IF(ISERR((UCRPercentage!Z30/100)*$B30), 0, (UCRPercentage!Z30/100)*$B30)</f>
        <v>0</v>
      </c>
      <c r="W30" s="749">
        <f t="shared" si="0"/>
        <v>44764.000000000015</v>
      </c>
    </row>
    <row r="31" spans="1:23" ht="15.6">
      <c r="A31" s="239">
        <v>2004</v>
      </c>
      <c r="B31" s="768">
        <f>Escapements!K33</f>
        <v>40564</v>
      </c>
      <c r="C31" s="748">
        <f>IF(ISERR((UCRPercentage!G31/100)*$B31), 0, (UCRPercentage!G31/100)*$B31)</f>
        <v>0</v>
      </c>
      <c r="D31" s="748">
        <f>IF(ISERR((UCRPercentage!H31/100)*$B31), 0, (UCRPercentage!H31/100)*$B31)</f>
        <v>0</v>
      </c>
      <c r="E31" s="748">
        <f>IF(ISERR((UCRPercentage!I31/100)*$B31), 0, (UCRPercentage!I31/100)*$B31)</f>
        <v>115.23863636363636</v>
      </c>
      <c r="F31" s="748">
        <f>IF(ISERR((UCRPercentage!J31/100)*$B31), 0, (UCRPercentage!J31/100)*$B31)</f>
        <v>115.23863636363636</v>
      </c>
      <c r="G31" s="748">
        <f>IF(ISERR((UCRPercentage!K31/100)*$B31), 0, (UCRPercentage!K31/100)*$B31)</f>
        <v>2535.25</v>
      </c>
      <c r="H31" s="748">
        <f>IF(ISERR((UCRPercentage!L31/100)*$B31), 0, (UCRPercentage!L31/100)*$B31)</f>
        <v>0</v>
      </c>
      <c r="I31" s="748">
        <f>IF(ISERR((UCRPercentage!M31/100)*$B31), 0, (UCRPercentage!M31/100)*$B31)</f>
        <v>0</v>
      </c>
      <c r="J31" s="748">
        <f>IF(ISERR((UCRPercentage!N31/100)*$B31), 0, (UCRPercentage!N31/100)*$B31)</f>
        <v>27426.795454545456</v>
      </c>
      <c r="K31" s="748">
        <f>IF(ISERR((UCRPercentage!O31/100)*$B31), 0, (UCRPercentage!O31/100)*$B31)</f>
        <v>115.23863636363636</v>
      </c>
      <c r="L31" s="748">
        <f>IF(ISERR((UCRPercentage!P31/100)*$B31), 0, (UCRPercentage!P31/100)*$B31)</f>
        <v>0</v>
      </c>
      <c r="M31" s="748">
        <f>IF(ISERR((UCRPercentage!Q31/100)*$B31), 0, (UCRPercentage!Q31/100)*$B31)</f>
        <v>0</v>
      </c>
      <c r="N31" s="748">
        <f>IF(ISERR((UCRPercentage!R31/100)*$B31), 0, (UCRPercentage!R31/100)*$B31)</f>
        <v>9449.568181818182</v>
      </c>
      <c r="O31" s="748">
        <f>IF(ISERR((UCRPercentage!S31/100)*$B31), 0, (UCRPercentage!S31/100)*$B31)</f>
        <v>806.6704545454545</v>
      </c>
      <c r="P31" s="748">
        <f>IF(ISERR((UCRPercentage!T31/100)*$B31), 0, (UCRPercentage!T31/100)*$B31)</f>
        <v>0</v>
      </c>
      <c r="Q31" s="748">
        <f>IF(ISERR((UCRPercentage!U31/100)*$B31), 0, (UCRPercentage!U31/100)*$B31)</f>
        <v>0</v>
      </c>
      <c r="R31" s="748">
        <f>IF(ISERR((UCRPercentage!V31/100)*$B31), 0, (UCRPercentage!V31/100)*$B31)</f>
        <v>0</v>
      </c>
      <c r="S31" s="748">
        <f>IF(ISERR((UCRPercentage!W31/100)*$B31), 0, (UCRPercentage!W31/100)*$B31)</f>
        <v>0</v>
      </c>
      <c r="T31" s="748">
        <f>IF(ISERR((UCRPercentage!X31/100)*$B31), 0, (UCRPercentage!X31/100)*$B31)</f>
        <v>0</v>
      </c>
      <c r="U31" s="748">
        <f>IF(ISERR((UCRPercentage!Y31/100)*$B31), 0, (UCRPercentage!Y31/100)*$B31)</f>
        <v>0</v>
      </c>
      <c r="V31" s="748">
        <f>IF(ISERR((UCRPercentage!Z31/100)*$B31), 0, (UCRPercentage!Z31/100)*$B31)</f>
        <v>0</v>
      </c>
      <c r="W31" s="749">
        <f t="shared" si="0"/>
        <v>40564</v>
      </c>
    </row>
    <row r="32" spans="1:23" ht="15.6">
      <c r="A32" s="239">
        <v>2005</v>
      </c>
      <c r="B32" s="768">
        <f>Escapements!K34</f>
        <v>30333</v>
      </c>
      <c r="C32" s="748">
        <f>IF(ISERR((UCRPercentage!G32/100)*$B32), 0, (UCRPercentage!G32/100)*$B32)</f>
        <v>0</v>
      </c>
      <c r="D32" s="748">
        <f>IF(ISERR((UCRPercentage!H32/100)*$B32), 0, (UCRPercentage!H32/100)*$B32)</f>
        <v>0</v>
      </c>
      <c r="E32" s="748">
        <f>IF(ISERR((UCRPercentage!I32/100)*$B32), 0, (UCRPercentage!I32/100)*$B32)</f>
        <v>236.9765625</v>
      </c>
      <c r="F32" s="748">
        <f>IF(ISERR((UCRPercentage!J32/100)*$B32), 0, (UCRPercentage!J32/100)*$B32)</f>
        <v>0</v>
      </c>
      <c r="G32" s="748">
        <f>IF(ISERR((UCRPercentage!K32/100)*$B32), 0, (UCRPercentage!K32/100)*$B32)</f>
        <v>3436.16015625</v>
      </c>
      <c r="H32" s="748">
        <f>IF(ISERR((UCRPercentage!L32/100)*$B32), 0, (UCRPercentage!L32/100)*$B32)</f>
        <v>0</v>
      </c>
      <c r="I32" s="748">
        <f>IF(ISERR((UCRPercentage!M32/100)*$B32), 0, (UCRPercentage!M32/100)*$B32)</f>
        <v>0</v>
      </c>
      <c r="J32" s="748">
        <f>IF(ISERR((UCRPercentage!N32/100)*$B32), 0, (UCRPercentage!N32/100)*$B32)</f>
        <v>17062.3125</v>
      </c>
      <c r="K32" s="748">
        <f>IF(ISERR((UCRPercentage!O32/100)*$B32), 0, (UCRPercentage!O32/100)*$B32)</f>
        <v>0</v>
      </c>
      <c r="L32" s="748">
        <f>IF(ISERR((UCRPercentage!P32/100)*$B32), 0, (UCRPercentage!P32/100)*$B32)</f>
        <v>0</v>
      </c>
      <c r="M32" s="748">
        <f>IF(ISERR((UCRPercentage!Q32/100)*$B32), 0, (UCRPercentage!Q32/100)*$B32)</f>
        <v>0</v>
      </c>
      <c r="N32" s="748">
        <f>IF(ISERR((UCRPercentage!R32/100)*$B32), 0, (UCRPercentage!R32/100)*$B32)</f>
        <v>8294.1796875</v>
      </c>
      <c r="O32" s="748">
        <f>IF(ISERR((UCRPercentage!S32/100)*$B32), 0, (UCRPercentage!S32/100)*$B32)</f>
        <v>947.90625</v>
      </c>
      <c r="P32" s="748">
        <f>IF(ISERR((UCRPercentage!T32/100)*$B32), 0, (UCRPercentage!T32/100)*$B32)</f>
        <v>0</v>
      </c>
      <c r="Q32" s="748">
        <f>IF(ISERR((UCRPercentage!U32/100)*$B32), 0, (UCRPercentage!U32/100)*$B32)</f>
        <v>0</v>
      </c>
      <c r="R32" s="748">
        <f>IF(ISERR((UCRPercentage!V32/100)*$B32), 0, (UCRPercentage!V32/100)*$B32)</f>
        <v>236.9765625</v>
      </c>
      <c r="S32" s="748">
        <f>IF(ISERR((UCRPercentage!W32/100)*$B32), 0, (UCRPercentage!W32/100)*$B32)</f>
        <v>0</v>
      </c>
      <c r="T32" s="748">
        <f>IF(ISERR((UCRPercentage!X32/100)*$B32), 0, (UCRPercentage!X32/100)*$B32)</f>
        <v>118.48828125</v>
      </c>
      <c r="U32" s="748">
        <f>IF(ISERR((UCRPercentage!Y32/100)*$B32), 0, (UCRPercentage!Y32/100)*$B32)</f>
        <v>0</v>
      </c>
      <c r="V32" s="748">
        <f>IF(ISERR((UCRPercentage!Z32/100)*$B32), 0, (UCRPercentage!Z32/100)*$B32)</f>
        <v>0</v>
      </c>
      <c r="W32" s="749">
        <f t="shared" si="0"/>
        <v>30333</v>
      </c>
    </row>
    <row r="33" spans="1:23" ht="15.6">
      <c r="A33" s="239">
        <v>2006</v>
      </c>
      <c r="B33" s="768">
        <f>Escapements!K35</f>
        <v>67789</v>
      </c>
      <c r="C33" s="748">
        <f>IF(ISERR((UCRPercentage!G33/100)*$B33), 0, (UCRPercentage!G33/100)*$B33)</f>
        <v>0</v>
      </c>
      <c r="D33" s="748">
        <f>IF(ISERR((UCRPercentage!H33/100)*$B33), 0, (UCRPercentage!H33/100)*$B33)</f>
        <v>0</v>
      </c>
      <c r="E33" s="748">
        <f>IF(ISERR((UCRPercentage!I33/100)*$B33), 0, (UCRPercentage!I33/100)*$B33)</f>
        <v>277.82377049180332</v>
      </c>
      <c r="F33" s="748">
        <f>IF(ISERR((UCRPercentage!J33/100)*$B33), 0, (UCRPercentage!J33/100)*$B33)</f>
        <v>0</v>
      </c>
      <c r="G33" s="748">
        <f>IF(ISERR((UCRPercentage!K33/100)*$B33), 0, (UCRPercentage!K33/100)*$B33)</f>
        <v>4445.1803278688531</v>
      </c>
      <c r="H33" s="748">
        <f>IF(ISERR((UCRPercentage!L33/100)*$B33), 0, (UCRPercentage!L33/100)*$B33)</f>
        <v>0</v>
      </c>
      <c r="I33" s="748">
        <f>IF(ISERR((UCRPercentage!M33/100)*$B33), 0, (UCRPercentage!M33/100)*$B33)</f>
        <v>0</v>
      </c>
      <c r="J33" s="748">
        <f>IF(ISERR((UCRPercentage!N33/100)*$B33), 0, (UCRPercentage!N33/100)*$B33)</f>
        <v>48619.15983606557</v>
      </c>
      <c r="K33" s="748">
        <f>IF(ISERR((UCRPercentage!O33/100)*$B33), 0, (UCRPercentage!O33/100)*$B33)</f>
        <v>555.64754098360663</v>
      </c>
      <c r="L33" s="748">
        <f>IF(ISERR((UCRPercentage!P33/100)*$B33), 0, (UCRPercentage!P33/100)*$B33)</f>
        <v>0</v>
      </c>
      <c r="M33" s="748">
        <f>IF(ISERR((UCRPercentage!Q33/100)*$B33), 0, (UCRPercentage!Q33/100)*$B33)</f>
        <v>0</v>
      </c>
      <c r="N33" s="748">
        <f>IF(ISERR((UCRPercentage!R33/100)*$B33), 0, (UCRPercentage!R33/100)*$B33)</f>
        <v>9723.8319672131147</v>
      </c>
      <c r="O33" s="748">
        <f>IF(ISERR((UCRPercentage!S33/100)*$B33), 0, (UCRPercentage!S33/100)*$B33)</f>
        <v>3333.8852459016393</v>
      </c>
      <c r="P33" s="748">
        <f>IF(ISERR((UCRPercentage!T33/100)*$B33), 0, (UCRPercentage!T33/100)*$B33)</f>
        <v>0</v>
      </c>
      <c r="Q33" s="748">
        <f>IF(ISERR((UCRPercentage!U33/100)*$B33), 0, (UCRPercentage!U33/100)*$B33)</f>
        <v>277.82377049180332</v>
      </c>
      <c r="R33" s="748">
        <f>IF(ISERR((UCRPercentage!V33/100)*$B33), 0, (UCRPercentage!V33/100)*$B33)</f>
        <v>555.64754098360663</v>
      </c>
      <c r="S33" s="748">
        <f>IF(ISERR((UCRPercentage!W33/100)*$B33), 0, (UCRPercentage!W33/100)*$B33)</f>
        <v>0</v>
      </c>
      <c r="T33" s="748">
        <f>IF(ISERR((UCRPercentage!X33/100)*$B33), 0, (UCRPercentage!X33/100)*$B33)</f>
        <v>0</v>
      </c>
      <c r="U33" s="748">
        <f>IF(ISERR((UCRPercentage!Y33/100)*$B33), 0, (UCRPercentage!Y33/100)*$B33)</f>
        <v>0</v>
      </c>
      <c r="V33" s="748">
        <f>IF(ISERR((UCRPercentage!Z33/100)*$B33), 0, (UCRPercentage!Z33/100)*$B33)</f>
        <v>0</v>
      </c>
      <c r="W33" s="749">
        <f t="shared" si="0"/>
        <v>67788.999999999985</v>
      </c>
    </row>
    <row r="34" spans="1:23" ht="15.6">
      <c r="A34" s="239">
        <v>2007</v>
      </c>
      <c r="B34" s="768">
        <f>Escapements!K36</f>
        <v>46349</v>
      </c>
      <c r="C34" s="748">
        <f>IF(ISERR((UCRPercentage!G34/100)*$B34), 0, (UCRPercentage!G34/100)*$B34)</f>
        <v>0</v>
      </c>
      <c r="D34" s="748">
        <f>IF(ISERR((UCRPercentage!H34/100)*$B34), 0, (UCRPercentage!H34/100)*$B34)</f>
        <v>0</v>
      </c>
      <c r="E34" s="748">
        <f>IF(ISERR((UCRPercentage!I34/100)*$B34), 0, (UCRPercentage!I34/100)*$B34)</f>
        <v>107.53828306264501</v>
      </c>
      <c r="F34" s="748">
        <f>IF(ISERR((UCRPercentage!J34/100)*$B34), 0, (UCRPercentage!J34/100)*$B34)</f>
        <v>0</v>
      </c>
      <c r="G34" s="748">
        <f>IF(ISERR((UCRPercentage!K34/100)*$B34), 0, (UCRPercentage!K34/100)*$B34)</f>
        <v>1397.997679814385</v>
      </c>
      <c r="H34" s="748">
        <f>IF(ISERR((UCRPercentage!L34/100)*$B34), 0, (UCRPercentage!L34/100)*$B34)</f>
        <v>0</v>
      </c>
      <c r="I34" s="748">
        <f>IF(ISERR((UCRPercentage!M34/100)*$B34), 0, (UCRPercentage!M34/100)*$B34)</f>
        <v>0</v>
      </c>
      <c r="J34" s="748">
        <f>IF(ISERR((UCRPercentage!N34/100)*$B34), 0, (UCRPercentage!N34/100)*$B34)</f>
        <v>31616.255220417635</v>
      </c>
      <c r="K34" s="748">
        <f>IF(ISERR((UCRPercentage!O34/100)*$B34), 0, (UCRPercentage!O34/100)*$B34)</f>
        <v>215.07656612529001</v>
      </c>
      <c r="L34" s="748">
        <f>IF(ISERR((UCRPercentage!P34/100)*$B34), 0, (UCRPercentage!P34/100)*$B34)</f>
        <v>0</v>
      </c>
      <c r="M34" s="748">
        <f>IF(ISERR((UCRPercentage!Q34/100)*$B34), 0, (UCRPercentage!Q34/100)*$B34)</f>
        <v>0</v>
      </c>
      <c r="N34" s="748">
        <f>IF(ISERR((UCRPercentage!R34/100)*$B34), 0, (UCRPercentage!R34/100)*$B34)</f>
        <v>12044.28770301624</v>
      </c>
      <c r="O34" s="748">
        <f>IF(ISERR((UCRPercentage!S34/100)*$B34), 0, (UCRPercentage!S34/100)*$B34)</f>
        <v>537.69141531322498</v>
      </c>
      <c r="P34" s="748">
        <f>IF(ISERR((UCRPercentage!T34/100)*$B34), 0, (UCRPercentage!T34/100)*$B34)</f>
        <v>0</v>
      </c>
      <c r="Q34" s="748">
        <f>IF(ISERR((UCRPercentage!U34/100)*$B34), 0, (UCRPercentage!U34/100)*$B34)</f>
        <v>215.07656612529001</v>
      </c>
      <c r="R34" s="748">
        <f>IF(ISERR((UCRPercentage!V34/100)*$B34), 0, (UCRPercentage!V34/100)*$B34)</f>
        <v>215.07656612529001</v>
      </c>
      <c r="S34" s="748">
        <f>IF(ISERR((UCRPercentage!W34/100)*$B34), 0, (UCRPercentage!W34/100)*$B34)</f>
        <v>0</v>
      </c>
      <c r="T34" s="748">
        <f>IF(ISERR((UCRPercentage!X34/100)*$B34), 0, (UCRPercentage!X34/100)*$B34)</f>
        <v>0</v>
      </c>
      <c r="U34" s="748">
        <f>IF(ISERR((UCRPercentage!Y34/100)*$B34), 0, (UCRPercentage!Y34/100)*$B34)</f>
        <v>0</v>
      </c>
      <c r="V34" s="748">
        <f>IF(ISERR((UCRPercentage!Z34/100)*$B34), 0, (UCRPercentage!Z34/100)*$B34)</f>
        <v>0</v>
      </c>
      <c r="W34" s="749">
        <f t="shared" si="0"/>
        <v>46348.999999999993</v>
      </c>
    </row>
    <row r="35" spans="1:23" ht="15.6">
      <c r="A35" s="239">
        <v>2008</v>
      </c>
      <c r="B35" s="768">
        <f>Escapements!K37</f>
        <v>41343</v>
      </c>
      <c r="C35" s="748">
        <f>IF(ISERR((UCRPercentage!G35/100)*$B35), 0, (UCRPercentage!G35/100)*$B35)</f>
        <v>0</v>
      </c>
      <c r="D35" s="748">
        <f>IF(ISERR((UCRPercentage!H35/100)*$B35), 0, (UCRPercentage!H35/100)*$B35)</f>
        <v>0</v>
      </c>
      <c r="E35" s="748">
        <f>IF(ISERR((UCRPercentage!I35/100)*$B35), 0, (UCRPercentage!I35/100)*$B35)</f>
        <v>0</v>
      </c>
      <c r="F35" s="748">
        <f>IF(ISERR((UCRPercentage!J35/100)*$B35), 0, (UCRPercentage!J35/100)*$B35)</f>
        <v>0</v>
      </c>
      <c r="G35" s="748">
        <f>IF(ISERR((UCRPercentage!K35/100)*$B35), 0, (UCRPercentage!K35/100)*$B35)</f>
        <v>2505.6363636363635</v>
      </c>
      <c r="H35" s="748">
        <f>IF(ISERR((UCRPercentage!L35/100)*$B35), 0, (UCRPercentage!L35/100)*$B35)</f>
        <v>0</v>
      </c>
      <c r="I35" s="748">
        <f>IF(ISERR((UCRPercentage!M35/100)*$B35), 0, (UCRPercentage!M35/100)*$B35)</f>
        <v>0</v>
      </c>
      <c r="J35" s="748">
        <f>IF(ISERR((UCRPercentage!N35/100)*$B35), 0, (UCRPercentage!N35/100)*$B35)</f>
        <v>25056.363636363636</v>
      </c>
      <c r="K35" s="748">
        <f>IF(ISERR((UCRPercentage!O35/100)*$B35), 0, (UCRPercentage!O35/100)*$B35)</f>
        <v>139.20202020202021</v>
      </c>
      <c r="L35" s="748">
        <f>IF(ISERR((UCRPercentage!P35/100)*$B35), 0, (UCRPercentage!P35/100)*$B35)</f>
        <v>0</v>
      </c>
      <c r="M35" s="748">
        <f>IF(ISERR((UCRPercentage!Q35/100)*$B35), 0, (UCRPercentage!Q35/100)*$B35)</f>
        <v>0</v>
      </c>
      <c r="N35" s="748">
        <f>IF(ISERR((UCRPercentage!R35/100)*$B35), 0, (UCRPercentage!R35/100)*$B35)</f>
        <v>13363.39393939394</v>
      </c>
      <c r="O35" s="748">
        <f>IF(ISERR((UCRPercentage!S35/100)*$B35), 0, (UCRPercentage!S35/100)*$B35)</f>
        <v>278.40404040404042</v>
      </c>
      <c r="P35" s="748">
        <f>IF(ISERR((UCRPercentage!T35/100)*$B35), 0, (UCRPercentage!T35/100)*$B35)</f>
        <v>0</v>
      </c>
      <c r="Q35" s="748">
        <f>IF(ISERR((UCRPercentage!U35/100)*$B35), 0, (UCRPercentage!U35/100)*$B35)</f>
        <v>0</v>
      </c>
      <c r="R35" s="748">
        <f>IF(ISERR((UCRPercentage!V35/100)*$B35), 0, (UCRPercentage!V35/100)*$B35)</f>
        <v>0</v>
      </c>
      <c r="S35" s="748">
        <f>IF(ISERR((UCRPercentage!W35/100)*$B35), 0, (UCRPercentage!W35/100)*$B35)</f>
        <v>0</v>
      </c>
      <c r="T35" s="748">
        <f>IF(ISERR((UCRPercentage!X35/100)*$B35), 0, (UCRPercentage!X35/100)*$B35)</f>
        <v>0</v>
      </c>
      <c r="U35" s="748">
        <f>IF(ISERR((UCRPercentage!Y35/100)*$B35), 0, (UCRPercentage!Y35/100)*$B35)</f>
        <v>0</v>
      </c>
      <c r="V35" s="748">
        <f>IF(ISERR((UCRPercentage!Z35/100)*$B35), 0, (UCRPercentage!Z35/100)*$B35)</f>
        <v>0</v>
      </c>
      <c r="W35" s="749">
        <f t="shared" si="0"/>
        <v>41343</v>
      </c>
    </row>
    <row r="36" spans="1:23" ht="15.6">
      <c r="A36" s="239">
        <v>2009</v>
      </c>
      <c r="B36" s="768">
        <f>Escapements!K38</f>
        <v>32401</v>
      </c>
      <c r="C36" s="748">
        <f>IF(ISERR((UCRPercentage!G36/100)*$B36), 0, (UCRPercentage!G36/100)*$B36)</f>
        <v>0</v>
      </c>
      <c r="D36" s="748">
        <f>IF(ISERR((UCRPercentage!H36/100)*$B36), 0, (UCRPercentage!H36/100)*$B36)</f>
        <v>0</v>
      </c>
      <c r="E36" s="748">
        <f>IF(ISERR((UCRPercentage!I36/100)*$B36), 0, (UCRPercentage!I36/100)*$B36)</f>
        <v>167.88082901554407</v>
      </c>
      <c r="F36" s="748">
        <f>IF(ISERR((UCRPercentage!J36/100)*$B36), 0, (UCRPercentage!J36/100)*$B36)</f>
        <v>0</v>
      </c>
      <c r="G36" s="748">
        <f>IF(ISERR((UCRPercentage!K36/100)*$B36), 0, (UCRPercentage!K36/100)*$B36)</f>
        <v>2518.2124352331607</v>
      </c>
      <c r="H36" s="748">
        <f>IF(ISERR((UCRPercentage!L36/100)*$B36), 0, (UCRPercentage!L36/100)*$B36)</f>
        <v>0</v>
      </c>
      <c r="I36" s="748">
        <f>IF(ISERR((UCRPercentage!M36/100)*$B36), 0, (UCRPercentage!M36/100)*$B36)</f>
        <v>0</v>
      </c>
      <c r="J36" s="748">
        <f>IF(ISERR((UCRPercentage!N36/100)*$B36), 0, (UCRPercentage!N36/100)*$B36)</f>
        <v>21992.388601036269</v>
      </c>
      <c r="K36" s="748">
        <f>IF(ISERR((UCRPercentage!O36/100)*$B36), 0, (UCRPercentage!O36/100)*$B36)</f>
        <v>167.88082901554407</v>
      </c>
      <c r="L36" s="748">
        <f>IF(ISERR((UCRPercentage!P36/100)*$B36), 0, (UCRPercentage!P36/100)*$B36)</f>
        <v>0</v>
      </c>
      <c r="M36" s="748">
        <f>IF(ISERR((UCRPercentage!Q36/100)*$B36), 0, (UCRPercentage!Q36/100)*$B36)</f>
        <v>0</v>
      </c>
      <c r="N36" s="748">
        <f>IF(ISERR((UCRPercentage!R36/100)*$B36), 0, (UCRPercentage!R36/100)*$B36)</f>
        <v>6883.1139896373061</v>
      </c>
      <c r="O36" s="748">
        <f>IF(ISERR((UCRPercentage!S36/100)*$B36), 0, (UCRPercentage!S36/100)*$B36)</f>
        <v>167.88082901554407</v>
      </c>
      <c r="P36" s="748">
        <f>IF(ISERR((UCRPercentage!T36/100)*$B36), 0, (UCRPercentage!T36/100)*$B36)</f>
        <v>0</v>
      </c>
      <c r="Q36" s="748">
        <f>IF(ISERR((UCRPercentage!U36/100)*$B36), 0, (UCRPercentage!U36/100)*$B36)</f>
        <v>0</v>
      </c>
      <c r="R36" s="748">
        <f>IF(ISERR((UCRPercentage!V36/100)*$B36), 0, (UCRPercentage!V36/100)*$B36)</f>
        <v>503.64248704663214</v>
      </c>
      <c r="S36" s="748">
        <f>IF(ISERR((UCRPercentage!W36/100)*$B36), 0, (UCRPercentage!W36/100)*$B36)</f>
        <v>0</v>
      </c>
      <c r="T36" s="748">
        <f>IF(ISERR((UCRPercentage!X36/100)*$B36), 0, (UCRPercentage!X36/100)*$B36)</f>
        <v>0</v>
      </c>
      <c r="U36" s="748">
        <f>IF(ISERR((UCRPercentage!Y36/100)*$B36), 0, (UCRPercentage!Y36/100)*$B36)</f>
        <v>0</v>
      </c>
      <c r="V36" s="748">
        <f>IF(ISERR((UCRPercentage!Z36/100)*$B36), 0, (UCRPercentage!Z36/100)*$B36)</f>
        <v>0</v>
      </c>
      <c r="W36" s="749">
        <f t="shared" si="0"/>
        <v>32401</v>
      </c>
    </row>
    <row r="37" spans="1:23" ht="15.6">
      <c r="A37" s="239">
        <v>2010</v>
      </c>
      <c r="B37" s="768">
        <f>Escapements!K39</f>
        <v>22323</v>
      </c>
      <c r="C37" s="748">
        <f>IF(ISERR((UCRPercentage!G37/100)*$B37), 0, (UCRPercentage!G37/100)*$B37)</f>
        <v>0</v>
      </c>
      <c r="D37" s="748">
        <f>IF(ISERR((UCRPercentage!H37/100)*$B37), 0, (UCRPercentage!H37/100)*$B37)</f>
        <v>0</v>
      </c>
      <c r="E37" s="748">
        <f>IF(ISERR((UCRPercentage!I37/100)*$B37), 0, (UCRPercentage!I37/100)*$B37)</f>
        <v>129.03468208092485</v>
      </c>
      <c r="F37" s="748">
        <f>IF(ISERR((UCRPercentage!J37/100)*$B37), 0, (UCRPercentage!J37/100)*$B37)</f>
        <v>0</v>
      </c>
      <c r="G37" s="748">
        <f>IF(ISERR((UCRPercentage!K37/100)*$B37), 0, (UCRPercentage!K37/100)*$B37)</f>
        <v>2709.7283236994217</v>
      </c>
      <c r="H37" s="748">
        <f>IF(ISERR((UCRPercentage!L37/100)*$B37), 0, (UCRPercentage!L37/100)*$B37)</f>
        <v>0</v>
      </c>
      <c r="I37" s="748">
        <f>IF(ISERR((UCRPercentage!M37/100)*$B37), 0, (UCRPercentage!M37/100)*$B37)</f>
        <v>0</v>
      </c>
      <c r="J37" s="748">
        <f>IF(ISERR((UCRPercentage!N37/100)*$B37), 0, (UCRPercentage!N37/100)*$B37)</f>
        <v>14451.884393063587</v>
      </c>
      <c r="K37" s="748">
        <f>IF(ISERR((UCRPercentage!O37/100)*$B37), 0, (UCRPercentage!O37/100)*$B37)</f>
        <v>129.03468208092485</v>
      </c>
      <c r="L37" s="748">
        <f>IF(ISERR((UCRPercentage!P37/100)*$B37), 0, (UCRPercentage!P37/100)*$B37)</f>
        <v>0</v>
      </c>
      <c r="M37" s="748">
        <f>IF(ISERR((UCRPercentage!Q37/100)*$B37), 0, (UCRPercentage!Q37/100)*$B37)</f>
        <v>0</v>
      </c>
      <c r="N37" s="748">
        <f>IF(ISERR((UCRPercentage!R37/100)*$B37), 0, (UCRPercentage!R37/100)*$B37)</f>
        <v>4774.2832369942207</v>
      </c>
      <c r="O37" s="748">
        <f>IF(ISERR((UCRPercentage!S37/100)*$B37), 0, (UCRPercentage!S37/100)*$B37)</f>
        <v>129.03468208092485</v>
      </c>
      <c r="P37" s="748">
        <f>IF(ISERR((UCRPercentage!T37/100)*$B37), 0, (UCRPercentage!T37/100)*$B37)</f>
        <v>0</v>
      </c>
      <c r="Q37" s="748">
        <f>IF(ISERR((UCRPercentage!U37/100)*$B37), 0, (UCRPercentage!U37/100)*$B37)</f>
        <v>0</v>
      </c>
      <c r="R37" s="748">
        <f>IF(ISERR((UCRPercentage!V37/100)*$B37), 0, (UCRPercentage!V37/100)*$B37)</f>
        <v>0</v>
      </c>
      <c r="S37" s="748">
        <f>IF(ISERR((UCRPercentage!W37/100)*$B37), 0, (UCRPercentage!W37/100)*$B37)</f>
        <v>0</v>
      </c>
      <c r="T37" s="748">
        <f>IF(ISERR((UCRPercentage!X37/100)*$B37), 0, (UCRPercentage!X37/100)*$B37)</f>
        <v>0</v>
      </c>
      <c r="U37" s="748">
        <f>IF(ISERR((UCRPercentage!Y37/100)*$B37), 0, (UCRPercentage!Y37/100)*$B37)</f>
        <v>0</v>
      </c>
      <c r="V37" s="748">
        <f>IF(ISERR((UCRPercentage!Z37/100)*$B37), 0, (UCRPercentage!Z37/100)*$B37)</f>
        <v>0</v>
      </c>
      <c r="W37" s="749">
        <f t="shared" si="0"/>
        <v>22323.000000000004</v>
      </c>
    </row>
    <row r="38" spans="1:23" ht="15.6">
      <c r="A38" s="239">
        <v>2011</v>
      </c>
      <c r="B38" s="768">
        <f>Escapements!K40</f>
        <v>33889</v>
      </c>
      <c r="C38" s="748">
        <f>IF(ISERR((UCRPercentage!G38/100)*$B38), 0, (UCRPercentage!G38/100)*$B38)</f>
        <v>0</v>
      </c>
      <c r="D38" s="748">
        <f>IF(ISERR((UCRPercentage!H38/100)*$B38), 0, (UCRPercentage!H38/100)*$B38)</f>
        <v>0</v>
      </c>
      <c r="E38" s="748">
        <f>IF(ISERR((UCRPercentage!I38/100)*$B38), 0, (UCRPercentage!I38/100)*$B38)</f>
        <v>0</v>
      </c>
      <c r="F38" s="748">
        <f>IF(ISERR((UCRPercentage!J38/100)*$B38), 0, (UCRPercentage!J38/100)*$B38)</f>
        <v>0</v>
      </c>
      <c r="G38" s="748">
        <f>IF(ISERR((UCRPercentage!K38/100)*$B38), 0, (UCRPercentage!K38/100)*$B38)</f>
        <v>2346.1615384615384</v>
      </c>
      <c r="H38" s="748">
        <f>IF(ISERR((UCRPercentage!L38/100)*$B38), 0, (UCRPercentage!L38/100)*$B38)</f>
        <v>0</v>
      </c>
      <c r="I38" s="748">
        <f>IF(ISERR((UCRPercentage!M38/100)*$B38), 0, (UCRPercentage!M38/100)*$B38)</f>
        <v>0</v>
      </c>
      <c r="J38" s="748">
        <f>IF(ISERR((UCRPercentage!N38/100)*$B38), 0, (UCRPercentage!N38/100)*$B38)</f>
        <v>26068.461538461543</v>
      </c>
      <c r="K38" s="748">
        <f>IF(ISERR((UCRPercentage!O38/100)*$B38), 0, (UCRPercentage!O38/100)*$B38)</f>
        <v>0</v>
      </c>
      <c r="L38" s="748">
        <f>IF(ISERR((UCRPercentage!P38/100)*$B38), 0, (UCRPercentage!P38/100)*$B38)</f>
        <v>0</v>
      </c>
      <c r="M38" s="748">
        <f>IF(ISERR((UCRPercentage!Q38/100)*$B38), 0, (UCRPercentage!Q38/100)*$B38)</f>
        <v>0</v>
      </c>
      <c r="N38" s="748">
        <f>IF(ISERR((UCRPercentage!R38/100)*$B38), 0, (UCRPercentage!R38/100)*$B38)</f>
        <v>4431.6384615384613</v>
      </c>
      <c r="O38" s="748">
        <f>IF(ISERR((UCRPercentage!S38/100)*$B38), 0, (UCRPercentage!S38/100)*$B38)</f>
        <v>1042.7384615384617</v>
      </c>
      <c r="P38" s="748">
        <f>IF(ISERR((UCRPercentage!T38/100)*$B38), 0, (UCRPercentage!T38/100)*$B38)</f>
        <v>0</v>
      </c>
      <c r="Q38" s="748">
        <f>IF(ISERR((UCRPercentage!U38/100)*$B38), 0, (UCRPercentage!U38/100)*$B38)</f>
        <v>0</v>
      </c>
      <c r="R38" s="748">
        <f>IF(ISERR((UCRPercentage!V38/100)*$B38), 0, (UCRPercentage!V38/100)*$B38)</f>
        <v>0</v>
      </c>
      <c r="S38" s="748">
        <f>IF(ISERR((UCRPercentage!W38/100)*$B38), 0, (UCRPercentage!W38/100)*$B38)</f>
        <v>0</v>
      </c>
      <c r="T38" s="748">
        <f>IF(ISERR((UCRPercentage!X38/100)*$B38), 0, (UCRPercentage!X38/100)*$B38)</f>
        <v>0</v>
      </c>
      <c r="U38" s="748">
        <f>IF(ISERR((UCRPercentage!Y38/100)*$B38), 0, (UCRPercentage!Y38/100)*$B38)</f>
        <v>0</v>
      </c>
      <c r="V38" s="748">
        <f>IF(ISERR((UCRPercentage!Z38/100)*$B38), 0, (UCRPercentage!Z38/100)*$B38)</f>
        <v>0</v>
      </c>
      <c r="W38" s="749">
        <f t="shared" si="0"/>
        <v>33889</v>
      </c>
    </row>
    <row r="39" spans="1:23" ht="15.6">
      <c r="A39" s="239">
        <v>2012</v>
      </c>
      <c r="B39" s="768">
        <f>Escapements!K41</f>
        <v>33582</v>
      </c>
      <c r="C39" s="748">
        <f>IF(ISERR((UCRPercentage!G39/100)*$B39), 0, (UCRPercentage!G39/100)*$B39)</f>
        <v>0</v>
      </c>
      <c r="D39" s="748">
        <f>IF(ISERR((UCRPercentage!H39/100)*$B39), 0, (UCRPercentage!H39/100)*$B39)</f>
        <v>0</v>
      </c>
      <c r="E39" s="748">
        <f>IF(ISERR((UCRPercentage!I39/100)*$B39), 0, (UCRPercentage!I39/100)*$B39)</f>
        <v>0</v>
      </c>
      <c r="F39" s="748">
        <f>IF(ISERR((UCRPercentage!J39/100)*$B39), 0, (UCRPercentage!J39/100)*$B39)</f>
        <v>0</v>
      </c>
      <c r="G39" s="748">
        <f>IF(ISERR((UCRPercentage!K39/100)*$B39), 0, (UCRPercentage!K39/100)*$B39)</f>
        <v>2457.2195121951218</v>
      </c>
      <c r="H39" s="748">
        <f>IF(ISERR((UCRPercentage!L39/100)*$B39), 0, (UCRPercentage!L39/100)*$B39)</f>
        <v>0</v>
      </c>
      <c r="I39" s="748">
        <f>IF(ISERR((UCRPercentage!M39/100)*$B39), 0, (UCRPercentage!M39/100)*$B39)</f>
        <v>0</v>
      </c>
      <c r="J39" s="748">
        <f>IF(ISERR((UCRPercentage!N39/100)*$B39), 0, (UCRPercentage!N39/100)*$B39)</f>
        <v>26210.341463414636</v>
      </c>
      <c r="K39" s="748">
        <f>IF(ISERR((UCRPercentage!O39/100)*$B39), 0, (UCRPercentage!O39/100)*$B39)</f>
        <v>0</v>
      </c>
      <c r="L39" s="748">
        <f>IF(ISERR((UCRPercentage!P39/100)*$B39), 0, (UCRPercentage!P39/100)*$B39)</f>
        <v>0</v>
      </c>
      <c r="M39" s="748">
        <f>IF(ISERR((UCRPercentage!Q39/100)*$B39), 0, (UCRPercentage!Q39/100)*$B39)</f>
        <v>0</v>
      </c>
      <c r="N39" s="748">
        <f>IF(ISERR((UCRPercentage!R39/100)*$B39), 0, (UCRPercentage!R39/100)*$B39)</f>
        <v>3276.2926829268295</v>
      </c>
      <c r="O39" s="748">
        <f>IF(ISERR((UCRPercentage!S39/100)*$B39), 0, (UCRPercentage!S39/100)*$B39)</f>
        <v>819.07317073170736</v>
      </c>
      <c r="P39" s="748">
        <f>IF(ISERR((UCRPercentage!T39/100)*$B39), 0, (UCRPercentage!T39/100)*$B39)</f>
        <v>0</v>
      </c>
      <c r="Q39" s="748">
        <f>IF(ISERR((UCRPercentage!U39/100)*$B39), 0, (UCRPercentage!U39/100)*$B39)</f>
        <v>819.07317073170736</v>
      </c>
      <c r="R39" s="748">
        <f>IF(ISERR((UCRPercentage!V39/100)*$B39), 0, (UCRPercentage!V39/100)*$B39)</f>
        <v>0</v>
      </c>
      <c r="S39" s="748">
        <f>IF(ISERR((UCRPercentage!W39/100)*$B39), 0, (UCRPercentage!W39/100)*$B39)</f>
        <v>0</v>
      </c>
      <c r="T39" s="748">
        <f>IF(ISERR((UCRPercentage!X39/100)*$B39), 0, (UCRPercentage!X39/100)*$B39)</f>
        <v>0</v>
      </c>
      <c r="U39" s="748">
        <f>IF(ISERR((UCRPercentage!Y39/100)*$B39), 0, (UCRPercentage!Y39/100)*$B39)</f>
        <v>0</v>
      </c>
      <c r="V39" s="748">
        <f>IF(ISERR((UCRPercentage!Z39/100)*$B39), 0, (UCRPercentage!Z39/100)*$B39)</f>
        <v>0</v>
      </c>
      <c r="W39" s="749">
        <f t="shared" si="0"/>
        <v>33582</v>
      </c>
    </row>
    <row r="40" spans="1:23" ht="15.6">
      <c r="A40" s="239">
        <v>2013</v>
      </c>
      <c r="B40" s="769">
        <f>Escapements!K42</f>
        <v>32581</v>
      </c>
      <c r="C40" s="748">
        <f>IF(ISERR((UCRPercentage!G40/100)*$B40), 0, (UCRPercentage!G40/100)*$B40)</f>
        <v>0</v>
      </c>
      <c r="D40" s="748">
        <f>IF(ISERR((UCRPercentage!H40/100)*$B40), 0, (UCRPercentage!H40/100)*$B40)</f>
        <v>0</v>
      </c>
      <c r="E40" s="748">
        <f>IF(ISERR((UCRPercentage!I40/100)*$B40), 0, (UCRPercentage!I40/100)*$B40)</f>
        <v>4276.2562500000004</v>
      </c>
      <c r="F40" s="748">
        <f>IF(ISERR((UCRPercentage!J40/100)*$B40), 0, (UCRPercentage!J40/100)*$B40)</f>
        <v>0</v>
      </c>
      <c r="G40" s="748">
        <f>IF(ISERR((UCRPercentage!K40/100)*$B40), 0, (UCRPercentage!K40/100)*$B40)</f>
        <v>3868.9937499999996</v>
      </c>
      <c r="H40" s="748">
        <f>IF(ISERR((UCRPercentage!L40/100)*$B40), 0, (UCRPercentage!L40/100)*$B40)</f>
        <v>0</v>
      </c>
      <c r="I40" s="748">
        <f>IF(ISERR((UCRPercentage!M40/100)*$B40), 0, (UCRPercentage!M40/100)*$B40)</f>
        <v>0</v>
      </c>
      <c r="J40" s="748">
        <f>IF(ISERR((UCRPercentage!N40/100)*$B40), 0, (UCRPercentage!N40/100)*$B40)</f>
        <v>19955.862500000003</v>
      </c>
      <c r="K40" s="748">
        <f>IF(ISERR((UCRPercentage!O40/100)*$B40), 0, (UCRPercentage!O40/100)*$B40)</f>
        <v>0</v>
      </c>
      <c r="L40" s="748">
        <f>IF(ISERR((UCRPercentage!P40/100)*$B40), 0, (UCRPercentage!P40/100)*$B40)</f>
        <v>0</v>
      </c>
      <c r="M40" s="748">
        <f>IF(ISERR((UCRPercentage!Q40/100)*$B40), 0, (UCRPercentage!Q40/100)*$B40)</f>
        <v>0</v>
      </c>
      <c r="N40" s="748">
        <f>IF(ISERR((UCRPercentage!R40/100)*$B40), 0, (UCRPercentage!R40/100)*$B40)</f>
        <v>3258.1000000000004</v>
      </c>
      <c r="O40" s="748">
        <f>IF(ISERR((UCRPercentage!S40/100)*$B40), 0, (UCRPercentage!S40/100)*$B40)</f>
        <v>1221.7874999999999</v>
      </c>
      <c r="P40" s="748">
        <f>IF(ISERR((UCRPercentage!T40/100)*$B40), 0, (UCRPercentage!T40/100)*$B40)</f>
        <v>0</v>
      </c>
      <c r="Q40" s="748">
        <f>IF(ISERR((UCRPercentage!U40/100)*$B40), 0, (UCRPercentage!U40/100)*$B40)</f>
        <v>0</v>
      </c>
      <c r="R40" s="748">
        <f>IF(ISERR((UCRPercentage!V40/100)*$B40), 0, (UCRPercentage!V40/100)*$B40)</f>
        <v>0</v>
      </c>
      <c r="S40" s="748">
        <f>IF(ISERR((UCRPercentage!W40/100)*$B40), 0, (UCRPercentage!W40/100)*$B40)</f>
        <v>0</v>
      </c>
      <c r="T40" s="748">
        <f>IF(ISERR((UCRPercentage!X40/100)*$B40), 0, (UCRPercentage!X40/100)*$B40)</f>
        <v>0</v>
      </c>
      <c r="U40" s="748">
        <f>IF(ISERR((UCRPercentage!Y40/100)*$B40), 0, (UCRPercentage!Y40/100)*$B40)</f>
        <v>0</v>
      </c>
      <c r="V40" s="748">
        <f>IF(ISERR((UCRPercentage!Z40/100)*$B40), 0, (UCRPercentage!Z40/100)*$B40)</f>
        <v>0</v>
      </c>
      <c r="W40" s="749">
        <f t="shared" si="0"/>
        <v>32581</v>
      </c>
    </row>
    <row r="41" spans="1:23" ht="15.6">
      <c r="A41" s="239">
        <v>2014</v>
      </c>
      <c r="B41" s="768">
        <f>Escapements!K43</f>
        <v>24158</v>
      </c>
      <c r="C41" s="748">
        <f>IF(ISERR((UCRPercentage!G41/100)*$B41), 0, (UCRPercentage!G41/100)*$B41)</f>
        <v>0</v>
      </c>
      <c r="D41" s="748">
        <f>IF(ISERR((UCRPercentage!H41/100)*$B41), 0, (UCRPercentage!H41/100)*$B41)</f>
        <v>0</v>
      </c>
      <c r="E41" s="748">
        <f>IF(ISERR((UCRPercentage!I41/100)*$B41), 0, (UCRPercentage!I41/100)*$B41)</f>
        <v>462.35406698564594</v>
      </c>
      <c r="F41" s="748">
        <f>IF(ISERR((UCRPercentage!J41/100)*$B41), 0, (UCRPercentage!J41/100)*$B41)</f>
        <v>0</v>
      </c>
      <c r="G41" s="748">
        <f>IF(ISERR((UCRPercentage!K41/100)*$B41), 0, (UCRPercentage!K41/100)*$B41)</f>
        <v>5432.6602870813394</v>
      </c>
      <c r="H41" s="748">
        <f>IF(ISERR((UCRPercentage!L41/100)*$B41), 0, (UCRPercentage!L41/100)*$B41)</f>
        <v>0</v>
      </c>
      <c r="I41" s="748">
        <f>IF(ISERR((UCRPercentage!M41/100)*$B41), 0, (UCRPercentage!M41/100)*$B41)</f>
        <v>0</v>
      </c>
      <c r="J41" s="748">
        <f>IF(ISERR((UCRPercentage!N41/100)*$B41), 0, (UCRPercentage!N41/100)*$B41)</f>
        <v>11096.497607655501</v>
      </c>
      <c r="K41" s="748">
        <f>IF(ISERR((UCRPercentage!O41/100)*$B41), 0, (UCRPercentage!O41/100)*$B41)</f>
        <v>231.17703349282297</v>
      </c>
      <c r="L41" s="748">
        <f>IF(ISERR((UCRPercentage!P41/100)*$B41), 0, (UCRPercentage!P41/100)*$B41)</f>
        <v>0</v>
      </c>
      <c r="M41" s="748">
        <f>IF(ISERR((UCRPercentage!Q41/100)*$B41), 0, (UCRPercentage!Q41/100)*$B41)</f>
        <v>0</v>
      </c>
      <c r="N41" s="748">
        <f>IF(ISERR((UCRPercentage!R41/100)*$B41), 0, (UCRPercentage!R41/100)*$B41)</f>
        <v>6357.3684210526317</v>
      </c>
      <c r="O41" s="748">
        <f>IF(ISERR((UCRPercentage!S41/100)*$B41), 0, (UCRPercentage!S41/100)*$B41)</f>
        <v>462.35406698564594</v>
      </c>
      <c r="P41" s="748">
        <f>IF(ISERR((UCRPercentage!T41/100)*$B41), 0, (UCRPercentage!T41/100)*$B41)</f>
        <v>0</v>
      </c>
      <c r="Q41" s="748">
        <f>IF(ISERR((UCRPercentage!U41/100)*$B41), 0, (UCRPercentage!U41/100)*$B41)</f>
        <v>0</v>
      </c>
      <c r="R41" s="748">
        <f>IF(ISERR((UCRPercentage!V41/100)*$B41), 0, (UCRPercentage!V41/100)*$B41)</f>
        <v>115.58851674641149</v>
      </c>
      <c r="S41" s="748">
        <f>IF(ISERR((UCRPercentage!W41/100)*$B41), 0, (UCRPercentage!W41/100)*$B41)</f>
        <v>0</v>
      </c>
      <c r="T41" s="748">
        <f>IF(ISERR((UCRPercentage!X41/100)*$B41), 0, (UCRPercentage!X41/100)*$B41)</f>
        <v>0</v>
      </c>
      <c r="U41" s="748">
        <f>IF(ISERR((UCRPercentage!Y41/100)*$B41), 0, (UCRPercentage!Y41/100)*$B41)</f>
        <v>0</v>
      </c>
      <c r="V41" s="748">
        <f>IF(ISERR((UCRPercentage!Z41/100)*$B41), 0, (UCRPercentage!Z41/100)*$B41)</f>
        <v>0</v>
      </c>
      <c r="W41" s="749">
        <f t="shared" ref="W41" si="1">SUM(C41:V41)</f>
        <v>24157.999999999996</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Z53"/>
  <sheetViews>
    <sheetView zoomScale="75" zoomScaleNormal="75" workbookViewId="0">
      <pane ySplit="6" topLeftCell="A19" activePane="bottomLeft" state="frozen"/>
      <selection pane="bottomLeft" activeCell="K49" sqref="K49"/>
    </sheetView>
  </sheetViews>
  <sheetFormatPr defaultRowHeight="13.2"/>
  <cols>
    <col min="1" max="1" width="13" customWidth="1"/>
    <col min="3" max="3" width="2" customWidth="1"/>
    <col min="5" max="5" width="12.44140625" customWidth="1"/>
    <col min="7" max="7" width="13" customWidth="1"/>
    <col min="8" max="10" width="8.77734375" customWidth="1"/>
    <col min="11" max="11" width="11.44140625" customWidth="1"/>
    <col min="12" max="12" width="8.77734375" customWidth="1"/>
    <col min="13" max="13" width="15" customWidth="1"/>
    <col min="14" max="14" width="10.77734375" customWidth="1"/>
    <col min="15" max="15" width="8.77734375" customWidth="1"/>
    <col min="16" max="16" width="12.109375" customWidth="1"/>
    <col min="17" max="17" width="14.44140625" customWidth="1"/>
    <col min="18" max="18" width="13" customWidth="1"/>
    <col min="19" max="19" width="8.77734375" customWidth="1"/>
    <col min="20" max="20" width="8.44140625" customWidth="1"/>
    <col min="21" max="22" width="8.77734375" customWidth="1"/>
    <col min="23" max="23" width="12.44140625" customWidth="1"/>
    <col min="24" max="24" width="8.77734375" customWidth="1"/>
    <col min="25" max="25" width="9.6640625" customWidth="1"/>
    <col min="26" max="26" width="11.6640625" customWidth="1"/>
  </cols>
  <sheetData>
    <row r="1" spans="1:26" ht="31.8">
      <c r="A1" s="5" t="s">
        <v>353</v>
      </c>
      <c r="B1" s="6"/>
      <c r="C1" s="6"/>
      <c r="D1" s="6"/>
      <c r="E1" s="6"/>
      <c r="F1" s="6"/>
      <c r="G1" s="6"/>
      <c r="H1" s="6"/>
      <c r="I1" s="6"/>
      <c r="J1" s="6"/>
      <c r="K1" s="6"/>
      <c r="L1" s="6"/>
      <c r="M1" s="25" t="str">
        <f ca="1">CELL("filename",M1)</f>
        <v>C:\Users\rebrenner\Desktop\NCEAS\DATA\PWS&amp;CBR_SALMON\PWS&amp;CR_SALMON_FORECAST_DATA\[2015 Copper River Chinook forecast-FINAL.xlsm]CCPercentage</v>
      </c>
      <c r="N1" s="6"/>
      <c r="O1" s="6"/>
      <c r="P1" s="6"/>
      <c r="Q1" s="6"/>
      <c r="R1" s="6"/>
      <c r="S1" s="6"/>
      <c r="T1" s="6"/>
      <c r="U1" s="6"/>
      <c r="V1" s="6"/>
      <c r="W1" s="6"/>
      <c r="X1" s="6"/>
      <c r="Y1" s="6"/>
      <c r="Z1" s="285">
        <f ca="1">NOW()</f>
        <v>42068.604636574077</v>
      </c>
    </row>
    <row r="2" spans="1:26" ht="30.6">
      <c r="A2" s="258" t="s">
        <v>25</v>
      </c>
      <c r="B2" s="6"/>
      <c r="C2" s="6"/>
      <c r="D2" s="6"/>
      <c r="E2" s="6"/>
      <c r="F2" s="6"/>
      <c r="G2" s="6"/>
      <c r="H2" s="6"/>
      <c r="I2" s="6"/>
      <c r="J2" s="6"/>
      <c r="K2" s="6"/>
      <c r="L2" s="6"/>
      <c r="M2" s="6"/>
      <c r="N2" s="6"/>
      <c r="O2" s="6"/>
      <c r="P2" s="6"/>
      <c r="Q2" s="6"/>
      <c r="R2" s="6"/>
      <c r="S2" s="6"/>
      <c r="T2" s="6"/>
      <c r="U2" s="6"/>
      <c r="V2" s="6"/>
      <c r="W2" s="6"/>
      <c r="X2" s="6"/>
      <c r="Y2" s="6"/>
      <c r="Z2" s="6"/>
    </row>
    <row r="3" spans="1:26">
      <c r="A3" s="6"/>
      <c r="B3" s="6"/>
      <c r="C3" s="6"/>
      <c r="D3" s="6"/>
      <c r="E3" s="6"/>
      <c r="F3" s="6"/>
      <c r="G3" s="6"/>
      <c r="H3" s="7"/>
      <c r="I3" s="6"/>
      <c r="J3" s="7"/>
      <c r="K3" s="7"/>
      <c r="L3" s="6"/>
      <c r="M3" s="6"/>
      <c r="N3" s="7"/>
      <c r="O3" s="7"/>
      <c r="P3" s="7"/>
      <c r="Q3" s="7"/>
      <c r="R3" s="7"/>
      <c r="S3" s="7"/>
      <c r="T3" s="7"/>
      <c r="U3" s="6"/>
      <c r="V3" s="6"/>
      <c r="W3" s="6"/>
      <c r="X3" s="6"/>
      <c r="Y3" s="7"/>
      <c r="Z3" s="7"/>
    </row>
    <row r="4" spans="1:26">
      <c r="A4" s="6"/>
      <c r="B4" s="6"/>
      <c r="C4" s="6"/>
      <c r="D4" s="6"/>
      <c r="E4" s="6"/>
      <c r="F4" s="6"/>
      <c r="G4" s="6"/>
      <c r="H4" s="6"/>
      <c r="I4" s="6"/>
      <c r="J4" s="6"/>
      <c r="K4" s="6"/>
      <c r="L4" s="6"/>
      <c r="M4" s="6"/>
      <c r="N4" s="6"/>
      <c r="O4" s="6"/>
      <c r="P4" s="6"/>
      <c r="Q4" s="6"/>
      <c r="R4" s="6"/>
      <c r="S4" s="6"/>
      <c r="T4" s="6"/>
      <c r="U4" s="6"/>
      <c r="V4" s="6"/>
      <c r="W4" s="6"/>
      <c r="X4" s="6"/>
      <c r="Y4" s="6"/>
      <c r="Z4" s="6"/>
    </row>
    <row r="5" spans="1:26" ht="15.6">
      <c r="A5" s="245"/>
      <c r="B5" s="287" t="s">
        <v>2</v>
      </c>
      <c r="C5" s="287"/>
      <c r="D5" s="287"/>
      <c r="E5" s="288" t="s">
        <v>3</v>
      </c>
      <c r="F5" s="288" t="s">
        <v>4</v>
      </c>
      <c r="G5" s="293" t="s">
        <v>5</v>
      </c>
      <c r="H5" s="294" t="s">
        <v>6</v>
      </c>
      <c r="I5" s="295"/>
      <c r="J5" s="294" t="s">
        <v>7</v>
      </c>
      <c r="K5" s="289"/>
      <c r="L5" s="295"/>
      <c r="M5" s="294" t="s">
        <v>8</v>
      </c>
      <c r="N5" s="289"/>
      <c r="O5" s="289"/>
      <c r="P5" s="295"/>
      <c r="Q5" s="294" t="s">
        <v>9</v>
      </c>
      <c r="R5" s="290"/>
      <c r="S5" s="289"/>
      <c r="T5" s="295"/>
      <c r="U5" s="294" t="s">
        <v>10</v>
      </c>
      <c r="V5" s="289"/>
      <c r="W5" s="295"/>
      <c r="X5" s="294" t="s">
        <v>11</v>
      </c>
      <c r="Y5" s="295"/>
      <c r="Z5" s="245"/>
    </row>
    <row r="6" spans="1:26" ht="35.25" customHeight="1">
      <c r="A6" s="747" t="s">
        <v>433</v>
      </c>
      <c r="B6" s="291" t="s">
        <v>13</v>
      </c>
      <c r="C6" s="291"/>
      <c r="D6" s="291"/>
      <c r="E6" s="292" t="s">
        <v>24</v>
      </c>
      <c r="F6" s="292" t="s">
        <v>14</v>
      </c>
      <c r="G6" s="299">
        <v>0.1</v>
      </c>
      <c r="H6" s="300">
        <v>0.2</v>
      </c>
      <c r="I6" s="301">
        <v>1.1000000000000001</v>
      </c>
      <c r="J6" s="300">
        <v>0.3</v>
      </c>
      <c r="K6" s="296">
        <v>1.2</v>
      </c>
      <c r="L6" s="301">
        <v>2.1</v>
      </c>
      <c r="M6" s="300">
        <v>0.4</v>
      </c>
      <c r="N6" s="296">
        <v>1.3</v>
      </c>
      <c r="O6" s="296">
        <v>2.2000000000000002</v>
      </c>
      <c r="P6" s="302" t="s">
        <v>15</v>
      </c>
      <c r="Q6" s="300">
        <v>0.5</v>
      </c>
      <c r="R6" s="296">
        <v>1.4</v>
      </c>
      <c r="S6" s="296">
        <v>2.2999999999999998</v>
      </c>
      <c r="T6" s="301">
        <v>3.2</v>
      </c>
      <c r="U6" s="300">
        <v>1.5</v>
      </c>
      <c r="V6" s="296">
        <v>2.4</v>
      </c>
      <c r="W6" s="301">
        <v>3.3</v>
      </c>
      <c r="X6" s="300">
        <v>2.5</v>
      </c>
      <c r="Y6" s="301">
        <v>3.4</v>
      </c>
      <c r="Z6" s="296" t="s">
        <v>0</v>
      </c>
    </row>
    <row r="7" spans="1:26" ht="15.6">
      <c r="A7" s="239">
        <v>1980</v>
      </c>
      <c r="B7" s="237">
        <v>29361</v>
      </c>
      <c r="C7" s="13" t="s">
        <v>1</v>
      </c>
      <c r="D7" s="238">
        <v>29383</v>
      </c>
      <c r="E7" s="298">
        <v>219</v>
      </c>
      <c r="F7" s="239" t="s">
        <v>16</v>
      </c>
      <c r="G7" s="240"/>
      <c r="H7" s="240"/>
      <c r="I7" s="240"/>
      <c r="J7" s="240"/>
      <c r="K7" s="240">
        <v>0.91324200913242004</v>
      </c>
      <c r="L7" s="240"/>
      <c r="M7" s="240"/>
      <c r="N7" s="240">
        <v>28.31050228310502</v>
      </c>
      <c r="O7" s="240">
        <v>0.45662100456621002</v>
      </c>
      <c r="P7" s="240"/>
      <c r="Q7" s="240"/>
      <c r="R7" s="240">
        <v>55.25114155251142</v>
      </c>
      <c r="S7" s="240">
        <v>7.7625570776255701</v>
      </c>
      <c r="T7" s="240"/>
      <c r="U7" s="240">
        <v>0.91324200913242004</v>
      </c>
      <c r="V7" s="240">
        <v>5.93607305936073</v>
      </c>
      <c r="W7" s="240"/>
      <c r="X7" s="240">
        <v>0.45662100456621002</v>
      </c>
      <c r="Y7" s="240"/>
      <c r="Z7" s="303">
        <f t="shared" ref="Z7:Z26" si="0">SUM(G7:Y7)</f>
        <v>100</v>
      </c>
    </row>
    <row r="8" spans="1:26" ht="15.6">
      <c r="A8" s="239">
        <v>1981</v>
      </c>
      <c r="B8" s="237">
        <v>29724</v>
      </c>
      <c r="C8" s="13" t="s">
        <v>1</v>
      </c>
      <c r="D8" s="238">
        <v>29748</v>
      </c>
      <c r="E8" s="298">
        <v>135</v>
      </c>
      <c r="F8" s="239" t="s">
        <v>16</v>
      </c>
      <c r="G8" s="240"/>
      <c r="H8" s="240"/>
      <c r="I8" s="240"/>
      <c r="J8" s="240">
        <v>3.7037037037037033</v>
      </c>
      <c r="K8" s="240">
        <v>5.1851851851851851</v>
      </c>
      <c r="L8" s="240"/>
      <c r="M8" s="240"/>
      <c r="N8" s="240">
        <v>42.222222222222221</v>
      </c>
      <c r="O8" s="240"/>
      <c r="P8" s="240"/>
      <c r="Q8" s="240"/>
      <c r="R8" s="240">
        <v>40.74074074074074</v>
      </c>
      <c r="S8" s="240">
        <v>0.74074074074074081</v>
      </c>
      <c r="T8" s="240"/>
      <c r="U8" s="240"/>
      <c r="V8" s="240">
        <v>7.4074074074074066</v>
      </c>
      <c r="W8" s="240"/>
      <c r="X8" s="240"/>
      <c r="Y8" s="240"/>
      <c r="Z8" s="303">
        <f t="shared" si="0"/>
        <v>100</v>
      </c>
    </row>
    <row r="9" spans="1:26" ht="15.6">
      <c r="A9" s="239">
        <v>1982</v>
      </c>
      <c r="B9" s="237">
        <v>30092</v>
      </c>
      <c r="C9" s="13" t="s">
        <v>1</v>
      </c>
      <c r="D9" s="238">
        <v>30125</v>
      </c>
      <c r="E9" s="298"/>
      <c r="F9" s="239" t="s">
        <v>16</v>
      </c>
      <c r="G9" s="240" t="s">
        <v>23</v>
      </c>
      <c r="H9" s="240">
        <v>0.10373865994060454</v>
      </c>
      <c r="I9" s="240">
        <v>0.21764777673813107</v>
      </c>
      <c r="J9" s="240">
        <v>3.6613644684919247E-2</v>
      </c>
      <c r="K9" s="240">
        <v>7.5017289776656764</v>
      </c>
      <c r="L9" s="240" t="s">
        <v>23</v>
      </c>
      <c r="M9" s="240" t="s">
        <v>23</v>
      </c>
      <c r="N9" s="240">
        <v>52.880273381880315</v>
      </c>
      <c r="O9" s="240">
        <v>0.9519547618079004</v>
      </c>
      <c r="P9" s="240"/>
      <c r="Q9" s="240" t="s">
        <v>23</v>
      </c>
      <c r="R9" s="240">
        <v>25.281721654936739</v>
      </c>
      <c r="S9" s="240">
        <v>8.3397746226760514</v>
      </c>
      <c r="T9" s="240" t="s">
        <v>23</v>
      </c>
      <c r="U9" s="240">
        <v>9.7636385826451316E-2</v>
      </c>
      <c r="V9" s="240">
        <v>4.5889101338432123</v>
      </c>
      <c r="W9" s="240" t="s">
        <v>23</v>
      </c>
      <c r="X9" s="240" t="s">
        <v>23</v>
      </c>
      <c r="Y9" s="240" t="s">
        <v>23</v>
      </c>
      <c r="Z9" s="303">
        <f t="shared" si="0"/>
        <v>99.999999999999986</v>
      </c>
    </row>
    <row r="10" spans="1:26" ht="15.6">
      <c r="A10" s="239">
        <v>1983</v>
      </c>
      <c r="B10" s="237">
        <v>30452</v>
      </c>
      <c r="C10" s="13" t="s">
        <v>1</v>
      </c>
      <c r="D10" s="238">
        <v>30482</v>
      </c>
      <c r="E10" s="298">
        <v>3165</v>
      </c>
      <c r="F10" s="239" t="s">
        <v>17</v>
      </c>
      <c r="G10" s="240" t="s">
        <v>23</v>
      </c>
      <c r="H10" s="240" t="s">
        <v>23</v>
      </c>
      <c r="I10" s="240">
        <v>4.3980648514653553E-2</v>
      </c>
      <c r="J10" s="240" t="s">
        <v>23</v>
      </c>
      <c r="K10" s="240">
        <v>3.8583023469673341</v>
      </c>
      <c r="L10" s="240" t="s">
        <v>23</v>
      </c>
      <c r="M10" s="240" t="s">
        <v>23</v>
      </c>
      <c r="N10" s="240">
        <v>63.767942105473594</v>
      </c>
      <c r="O10" s="240">
        <v>3.5984166966534725E-2</v>
      </c>
      <c r="P10" s="240"/>
      <c r="Q10" s="240" t="s">
        <v>23</v>
      </c>
      <c r="R10" s="240">
        <v>31.943944664347683</v>
      </c>
      <c r="S10" s="240">
        <v>0.15593139018831714</v>
      </c>
      <c r="T10" s="240" t="s">
        <v>23</v>
      </c>
      <c r="U10" s="240">
        <v>3.1985926192475311E-2</v>
      </c>
      <c r="V10" s="240">
        <v>0.16192875134940626</v>
      </c>
      <c r="W10" s="240" t="s">
        <v>23</v>
      </c>
      <c r="X10" s="240" t="s">
        <v>23</v>
      </c>
      <c r="Y10" s="240" t="s">
        <v>23</v>
      </c>
      <c r="Z10" s="303">
        <f t="shared" si="0"/>
        <v>99.999999999999986</v>
      </c>
    </row>
    <row r="11" spans="1:26" ht="15.6">
      <c r="A11" s="239">
        <v>1984</v>
      </c>
      <c r="B11" s="237">
        <v>30816</v>
      </c>
      <c r="C11" s="13" t="s">
        <v>1</v>
      </c>
      <c r="D11" s="238">
        <v>30844</v>
      </c>
      <c r="E11" s="298">
        <v>2387</v>
      </c>
      <c r="F11" s="239" t="s">
        <v>17</v>
      </c>
      <c r="G11" s="240" t="s">
        <v>23</v>
      </c>
      <c r="H11" s="240" t="s">
        <v>23</v>
      </c>
      <c r="I11" s="240" t="s">
        <v>23</v>
      </c>
      <c r="J11" s="240">
        <v>3.8746674243794077E-2</v>
      </c>
      <c r="K11" s="240">
        <v>2.2860537803838503</v>
      </c>
      <c r="L11" s="240">
        <v>2.3248004546276443E-2</v>
      </c>
      <c r="M11" s="240" t="s">
        <v>23</v>
      </c>
      <c r="N11" s="240">
        <v>33.500374551184358</v>
      </c>
      <c r="O11" s="240">
        <v>0.43396275153049363</v>
      </c>
      <c r="P11" s="240"/>
      <c r="Q11" s="240" t="s">
        <v>23</v>
      </c>
      <c r="R11" s="240">
        <v>56.198176323198922</v>
      </c>
      <c r="S11" s="240">
        <v>4.1665590370159888</v>
      </c>
      <c r="T11" s="240" t="s">
        <v>23</v>
      </c>
      <c r="U11" s="240">
        <v>4.6496009092552887E-2</v>
      </c>
      <c r="V11" s="240">
        <v>3.1539792834448375</v>
      </c>
      <c r="W11" s="240">
        <v>0.15240358535892334</v>
      </c>
      <c r="X11" s="240" t="s">
        <v>23</v>
      </c>
      <c r="Y11" s="240" t="s">
        <v>23</v>
      </c>
      <c r="Z11" s="303">
        <f t="shared" si="0"/>
        <v>100</v>
      </c>
    </row>
    <row r="12" spans="1:26" ht="15.6">
      <c r="A12" s="239">
        <v>1985</v>
      </c>
      <c r="B12" s="237">
        <v>31181</v>
      </c>
      <c r="C12" s="13" t="s">
        <v>1</v>
      </c>
      <c r="D12" s="238">
        <v>31212</v>
      </c>
      <c r="E12" s="298">
        <v>2830</v>
      </c>
      <c r="F12" s="239" t="s">
        <v>17</v>
      </c>
      <c r="G12" s="240" t="s">
        <v>23</v>
      </c>
      <c r="H12" s="240">
        <v>0.13231576211516197</v>
      </c>
      <c r="I12" s="240" t="s">
        <v>23</v>
      </c>
      <c r="J12" s="240">
        <v>0.10159960305271365</v>
      </c>
      <c r="K12" s="240">
        <v>6.6535926092195732</v>
      </c>
      <c r="L12" s="240" t="s">
        <v>23</v>
      </c>
      <c r="M12" s="240">
        <v>0.14649245091321503</v>
      </c>
      <c r="N12" s="240">
        <v>28.788129385913098</v>
      </c>
      <c r="O12" s="240">
        <v>0.16539470264395245</v>
      </c>
      <c r="P12" s="240"/>
      <c r="Q12" s="240" t="s">
        <v>23</v>
      </c>
      <c r="R12" s="240">
        <v>61.129882097204828</v>
      </c>
      <c r="S12" s="240">
        <v>0.81043404295536703</v>
      </c>
      <c r="T12" s="240" t="s">
        <v>23</v>
      </c>
      <c r="U12" s="240">
        <v>0.53635139285967437</v>
      </c>
      <c r="V12" s="240">
        <v>1.5358079531224156</v>
      </c>
      <c r="W12" s="240" t="s">
        <v>23</v>
      </c>
      <c r="X12" s="240" t="s">
        <v>23</v>
      </c>
      <c r="Y12" s="240" t="s">
        <v>23</v>
      </c>
      <c r="Z12" s="303">
        <f t="shared" si="0"/>
        <v>99.999999999999986</v>
      </c>
    </row>
    <row r="13" spans="1:26" ht="15.6">
      <c r="A13" s="239">
        <v>1986</v>
      </c>
      <c r="B13" s="237">
        <v>31544</v>
      </c>
      <c r="C13" s="13" t="s">
        <v>1</v>
      </c>
      <c r="D13" s="238">
        <v>31573</v>
      </c>
      <c r="E13" s="298">
        <v>2766</v>
      </c>
      <c r="F13" s="239" t="s">
        <v>17</v>
      </c>
      <c r="G13" s="240" t="s">
        <v>23</v>
      </c>
      <c r="H13" s="240">
        <v>6.884681583476765E-2</v>
      </c>
      <c r="I13" s="240" t="s">
        <v>23</v>
      </c>
      <c r="J13" s="240" t="s">
        <v>23</v>
      </c>
      <c r="K13" s="240">
        <v>5.753626751905581</v>
      </c>
      <c r="L13" s="240" t="s">
        <v>23</v>
      </c>
      <c r="M13" s="240">
        <v>9.3434964347184651E-2</v>
      </c>
      <c r="N13" s="240">
        <v>53.525940496680604</v>
      </c>
      <c r="O13" s="240">
        <v>0.11310548315711826</v>
      </c>
      <c r="P13" s="240"/>
      <c r="Q13" s="240" t="s">
        <v>23</v>
      </c>
      <c r="R13" s="240">
        <v>34.357019916400297</v>
      </c>
      <c r="S13" s="240">
        <v>3.9168920580280306</v>
      </c>
      <c r="T13" s="240" t="s">
        <v>23</v>
      </c>
      <c r="U13" s="240">
        <v>0.59749200885173348</v>
      </c>
      <c r="V13" s="240">
        <v>1.5244652077698551</v>
      </c>
      <c r="W13" s="240">
        <v>4.9176297024834031E-2</v>
      </c>
      <c r="X13" s="240" t="s">
        <v>23</v>
      </c>
      <c r="Y13" s="240" t="s">
        <v>23</v>
      </c>
      <c r="Z13" s="303">
        <f t="shared" si="0"/>
        <v>99.999999999999986</v>
      </c>
    </row>
    <row r="14" spans="1:26" ht="15.6">
      <c r="A14" s="239">
        <v>1987</v>
      </c>
      <c r="B14" s="237">
        <v>31911</v>
      </c>
      <c r="C14" s="13" t="s">
        <v>1</v>
      </c>
      <c r="D14" s="238">
        <v>31937</v>
      </c>
      <c r="E14" s="298">
        <v>2576</v>
      </c>
      <c r="F14" s="239" t="s">
        <v>17</v>
      </c>
      <c r="G14" s="240" t="s">
        <v>23</v>
      </c>
      <c r="H14" s="240">
        <v>4.7427080863172877E-2</v>
      </c>
      <c r="I14" s="240">
        <v>4.7427080863172877E-2</v>
      </c>
      <c r="J14" s="240">
        <v>4.7427080863172877E-2</v>
      </c>
      <c r="K14" s="240">
        <v>2.0116986799462491</v>
      </c>
      <c r="L14" s="240" t="s">
        <v>23</v>
      </c>
      <c r="M14" s="240">
        <v>0.10275867520354123</v>
      </c>
      <c r="N14" s="240">
        <v>24.262904118251523</v>
      </c>
      <c r="O14" s="240">
        <v>4.7427080863172877E-2</v>
      </c>
      <c r="P14" s="240"/>
      <c r="Q14" s="240" t="s">
        <v>23</v>
      </c>
      <c r="R14" s="240">
        <v>63.888230179432462</v>
      </c>
      <c r="S14" s="240">
        <v>3.2329460121729507</v>
      </c>
      <c r="T14" s="240" t="s">
        <v>23</v>
      </c>
      <c r="U14" s="240">
        <v>1.2331041024424947</v>
      </c>
      <c r="V14" s="240">
        <v>5.078649909098095</v>
      </c>
      <c r="W14" s="240" t="s">
        <v>23</v>
      </c>
      <c r="X14" s="240" t="s">
        <v>23</v>
      </c>
      <c r="Y14" s="240" t="s">
        <v>23</v>
      </c>
      <c r="Z14" s="303">
        <f t="shared" si="0"/>
        <v>100</v>
      </c>
    </row>
    <row r="15" spans="1:26" ht="15.6">
      <c r="A15" s="239">
        <v>1988</v>
      </c>
      <c r="B15" s="237">
        <v>32280</v>
      </c>
      <c r="C15" s="13" t="s">
        <v>1</v>
      </c>
      <c r="D15" s="238">
        <v>32305</v>
      </c>
      <c r="E15" s="298">
        <v>1752</v>
      </c>
      <c r="F15" s="239" t="s">
        <v>17</v>
      </c>
      <c r="G15" s="240" t="s">
        <v>23</v>
      </c>
      <c r="H15" s="240">
        <v>4.2506464524813145E-2</v>
      </c>
      <c r="I15" s="240">
        <v>0.14168821508271048</v>
      </c>
      <c r="J15" s="240">
        <v>4.2506464524813145E-2</v>
      </c>
      <c r="K15" s="240">
        <v>3.1490205802132412</v>
      </c>
      <c r="L15" s="240">
        <v>9.9181750557897352E-2</v>
      </c>
      <c r="M15" s="240">
        <v>9.2097339803761821E-2</v>
      </c>
      <c r="N15" s="240">
        <v>25.227586695476607</v>
      </c>
      <c r="O15" s="240">
        <v>0.24441217101767559</v>
      </c>
      <c r="P15" s="240"/>
      <c r="Q15" s="240" t="s">
        <v>23</v>
      </c>
      <c r="R15" s="240">
        <v>61.963798661046368</v>
      </c>
      <c r="S15" s="240">
        <v>1.8561156175835074</v>
      </c>
      <c r="T15" s="240" t="s">
        <v>23</v>
      </c>
      <c r="U15" s="240">
        <v>2.1076121993553185</v>
      </c>
      <c r="V15" s="240">
        <v>5.0334738408132909</v>
      </c>
      <c r="W15" s="240" t="s">
        <v>23</v>
      </c>
      <c r="X15" s="240" t="s">
        <v>23</v>
      </c>
      <c r="Y15" s="240" t="s">
        <v>23</v>
      </c>
      <c r="Z15" s="303">
        <f t="shared" si="0"/>
        <v>100</v>
      </c>
    </row>
    <row r="16" spans="1:26" ht="15.6">
      <c r="A16" s="239">
        <v>1989</v>
      </c>
      <c r="B16" s="237">
        <v>32644</v>
      </c>
      <c r="C16" s="13" t="s">
        <v>1</v>
      </c>
      <c r="D16" s="238">
        <v>32669</v>
      </c>
      <c r="E16" s="298">
        <v>1545</v>
      </c>
      <c r="F16" s="239" t="s">
        <v>17</v>
      </c>
      <c r="G16" s="240" t="s">
        <v>23</v>
      </c>
      <c r="H16" s="240" t="s">
        <v>23</v>
      </c>
      <c r="I16" s="240">
        <v>0.14581510644502771</v>
      </c>
      <c r="J16" s="240" t="s">
        <v>23</v>
      </c>
      <c r="K16" s="240">
        <v>2.5598652020349308</v>
      </c>
      <c r="L16" s="240">
        <v>0.20090081332426041</v>
      </c>
      <c r="M16" s="240">
        <v>4.5364699782897505E-2</v>
      </c>
      <c r="N16" s="240">
        <v>24.542302582547553</v>
      </c>
      <c r="O16" s="240">
        <v>0.18469913483036843</v>
      </c>
      <c r="P16" s="240"/>
      <c r="Q16" s="240" t="s">
        <v>23</v>
      </c>
      <c r="R16" s="240">
        <v>61.686270697644275</v>
      </c>
      <c r="S16" s="240">
        <v>2.25851398204854</v>
      </c>
      <c r="T16" s="240" t="s">
        <v>23</v>
      </c>
      <c r="U16" s="240">
        <v>2.488577816661806</v>
      </c>
      <c r="V16" s="240">
        <v>5.8876899646803409</v>
      </c>
      <c r="W16" s="240" t="s">
        <v>23</v>
      </c>
      <c r="X16" s="240" t="s">
        <v>23</v>
      </c>
      <c r="Y16" s="240" t="s">
        <v>23</v>
      </c>
      <c r="Z16" s="303">
        <f t="shared" si="0"/>
        <v>100</v>
      </c>
    </row>
    <row r="17" spans="1:26" ht="15.6">
      <c r="A17" s="239">
        <v>1990</v>
      </c>
      <c r="B17" s="237">
        <v>33008</v>
      </c>
      <c r="C17" s="13" t="s">
        <v>1</v>
      </c>
      <c r="D17" s="238">
        <v>33043</v>
      </c>
      <c r="E17" s="298">
        <v>1594</v>
      </c>
      <c r="F17" s="239" t="s">
        <v>17</v>
      </c>
      <c r="G17" s="240" t="s">
        <v>23</v>
      </c>
      <c r="H17" s="240">
        <v>0.24884792626728111</v>
      </c>
      <c r="I17" s="240">
        <v>0.29953917050691248</v>
      </c>
      <c r="J17" s="240">
        <v>2.3041474654377881E-2</v>
      </c>
      <c r="K17" s="240">
        <v>5.8202764976958523</v>
      </c>
      <c r="L17" s="240">
        <v>0.2119815668202765</v>
      </c>
      <c r="M17" s="240" t="s">
        <v>23</v>
      </c>
      <c r="N17" s="240">
        <v>25.05069124423963</v>
      </c>
      <c r="O17" s="240">
        <v>1.2857142857142856</v>
      </c>
      <c r="P17" s="240"/>
      <c r="Q17" s="240" t="s">
        <v>23</v>
      </c>
      <c r="R17" s="240">
        <v>53.972350230414747</v>
      </c>
      <c r="S17" s="240">
        <v>2.1105990783410138</v>
      </c>
      <c r="T17" s="240">
        <v>0.1889400921658986</v>
      </c>
      <c r="U17" s="240">
        <v>1.7557603686635943</v>
      </c>
      <c r="V17" s="240">
        <v>8.6405529953917046</v>
      </c>
      <c r="W17" s="240">
        <v>8.294930875576037E-2</v>
      </c>
      <c r="X17" s="240">
        <v>0.30875576036866359</v>
      </c>
      <c r="Y17" s="240" t="s">
        <v>23</v>
      </c>
      <c r="Z17" s="303">
        <f t="shared" si="0"/>
        <v>100</v>
      </c>
    </row>
    <row r="18" spans="1:26" ht="15.6">
      <c r="A18" s="239">
        <v>1991</v>
      </c>
      <c r="B18" s="237">
        <v>33375</v>
      </c>
      <c r="C18" s="13" t="s">
        <v>1</v>
      </c>
      <c r="D18" s="238">
        <v>33411</v>
      </c>
      <c r="E18" s="298">
        <v>1596</v>
      </c>
      <c r="F18" s="239" t="s">
        <v>17</v>
      </c>
      <c r="G18" s="240">
        <v>2.5870989996550537E-2</v>
      </c>
      <c r="H18" s="240">
        <v>0.22996435552489364</v>
      </c>
      <c r="I18" s="240">
        <v>0.25008623663332186</v>
      </c>
      <c r="J18" s="240">
        <v>0.50017247326664371</v>
      </c>
      <c r="K18" s="240">
        <v>3.2712429573416122</v>
      </c>
      <c r="L18" s="240">
        <v>0.12073128665056915</v>
      </c>
      <c r="M18" s="240">
        <v>0.5662872254800505</v>
      </c>
      <c r="N18" s="240">
        <v>56.45912383580545</v>
      </c>
      <c r="O18" s="240">
        <v>0.47142692882603193</v>
      </c>
      <c r="P18" s="240"/>
      <c r="Q18" s="240" t="s">
        <v>23</v>
      </c>
      <c r="R18" s="240">
        <v>34.296309072093827</v>
      </c>
      <c r="S18" s="240">
        <v>1.5005174197999309</v>
      </c>
      <c r="T18" s="240">
        <v>2.5870989996550537E-2</v>
      </c>
      <c r="U18" s="240">
        <v>1.0147177187535932</v>
      </c>
      <c r="V18" s="240">
        <v>1.1986892031735081</v>
      </c>
      <c r="W18" s="240" t="s">
        <v>23</v>
      </c>
      <c r="X18" s="240">
        <v>6.8989306657468094E-2</v>
      </c>
      <c r="Y18" s="240" t="s">
        <v>23</v>
      </c>
      <c r="Z18" s="303">
        <f t="shared" si="0"/>
        <v>100</v>
      </c>
    </row>
    <row r="19" spans="1:26" ht="15.6">
      <c r="A19" s="239">
        <v>1992</v>
      </c>
      <c r="B19" s="237">
        <v>33739</v>
      </c>
      <c r="C19" s="13" t="s">
        <v>1</v>
      </c>
      <c r="D19" s="238">
        <v>33768</v>
      </c>
      <c r="E19" s="298">
        <v>1996</v>
      </c>
      <c r="F19" s="239" t="s">
        <v>17</v>
      </c>
      <c r="G19" s="240" t="s">
        <v>23</v>
      </c>
      <c r="H19" s="240" t="s">
        <v>23</v>
      </c>
      <c r="I19" s="240">
        <v>0.12561236025624922</v>
      </c>
      <c r="J19" s="240">
        <v>0.16078382112799899</v>
      </c>
      <c r="K19" s="240">
        <v>4.2607712598919729</v>
      </c>
      <c r="L19" s="240" t="s">
        <v>23</v>
      </c>
      <c r="M19" s="240">
        <v>0.35171460871749777</v>
      </c>
      <c r="N19" s="240">
        <v>12.84260771259892</v>
      </c>
      <c r="O19" s="240">
        <v>0.66825775656324582</v>
      </c>
      <c r="P19" s="240"/>
      <c r="Q19" s="240">
        <v>4.77326968973747E-2</v>
      </c>
      <c r="R19" s="240">
        <v>74.078633337520415</v>
      </c>
      <c r="S19" s="240">
        <v>1.3113930410752417</v>
      </c>
      <c r="T19" s="240">
        <v>9.0440899384499437E-2</v>
      </c>
      <c r="U19" s="240">
        <v>0.91445798266549427</v>
      </c>
      <c r="V19" s="240">
        <v>4.9491269940962184</v>
      </c>
      <c r="W19" s="240" t="s">
        <v>23</v>
      </c>
      <c r="X19" s="240">
        <v>5.2757191307624671E-2</v>
      </c>
      <c r="Y19" s="240">
        <v>0.1457103378972491</v>
      </c>
      <c r="Z19" s="303">
        <f t="shared" si="0"/>
        <v>100</v>
      </c>
    </row>
    <row r="20" spans="1:26" ht="15.6">
      <c r="A20" s="239">
        <v>1993</v>
      </c>
      <c r="B20" s="237">
        <v>34107</v>
      </c>
      <c r="C20" s="13" t="s">
        <v>1</v>
      </c>
      <c r="D20" s="238">
        <v>34136</v>
      </c>
      <c r="E20" s="298">
        <v>2043</v>
      </c>
      <c r="F20" s="239" t="s">
        <v>17</v>
      </c>
      <c r="G20" s="240" t="s">
        <v>23</v>
      </c>
      <c r="H20" s="240">
        <v>0.35994214014195847</v>
      </c>
      <c r="I20" s="240">
        <v>0.15137753557372086</v>
      </c>
      <c r="J20" s="240">
        <v>4.0367342819658897E-2</v>
      </c>
      <c r="K20" s="240">
        <v>6.6000605510142289</v>
      </c>
      <c r="L20" s="240" t="s">
        <v>23</v>
      </c>
      <c r="M20" s="240">
        <v>0.12110202845897669</v>
      </c>
      <c r="N20" s="240">
        <v>63.309449322165037</v>
      </c>
      <c r="O20" s="240">
        <v>0.19174487839337975</v>
      </c>
      <c r="P20" s="240"/>
      <c r="Q20" s="240">
        <v>3.0275507114744173E-2</v>
      </c>
      <c r="R20" s="240">
        <v>24.953745753019142</v>
      </c>
      <c r="S20" s="240">
        <v>1.8165304268846505</v>
      </c>
      <c r="T20" s="240" t="s">
        <v>23</v>
      </c>
      <c r="U20" s="240">
        <v>1.3388502035186867</v>
      </c>
      <c r="V20" s="240">
        <v>1.0865543108958187</v>
      </c>
      <c r="W20" s="240" t="s">
        <v>23</v>
      </c>
      <c r="X20" s="240" t="s">
        <v>23</v>
      </c>
      <c r="Y20" s="240" t="s">
        <v>23</v>
      </c>
      <c r="Z20" s="303">
        <f t="shared" si="0"/>
        <v>100.00000000000001</v>
      </c>
    </row>
    <row r="21" spans="1:26" ht="15.6">
      <c r="A21" s="239">
        <v>1994</v>
      </c>
      <c r="B21" s="237">
        <v>34470</v>
      </c>
      <c r="C21" s="13" t="s">
        <v>1</v>
      </c>
      <c r="D21" s="238">
        <v>34489</v>
      </c>
      <c r="E21" s="298">
        <v>1999</v>
      </c>
      <c r="F21" s="239" t="s">
        <v>17</v>
      </c>
      <c r="G21" s="240" t="s">
        <v>23</v>
      </c>
      <c r="H21" s="240">
        <v>0.10412460953271424</v>
      </c>
      <c r="I21" s="240">
        <v>4.8874816719437303E-2</v>
      </c>
      <c r="J21" s="240" t="s">
        <v>23</v>
      </c>
      <c r="K21" s="240">
        <v>5.1998555005418732</v>
      </c>
      <c r="L21" s="240" t="s">
        <v>23</v>
      </c>
      <c r="M21" s="240">
        <v>9.3499649376314845E-2</v>
      </c>
      <c r="N21" s="240">
        <v>39.180603072738478</v>
      </c>
      <c r="O21" s="240" t="s">
        <v>23</v>
      </c>
      <c r="P21" s="240"/>
      <c r="Q21" s="240" t="s">
        <v>23</v>
      </c>
      <c r="R21" s="240">
        <v>54.374296096389642</v>
      </c>
      <c r="S21" s="240">
        <v>0.24437408359718654</v>
      </c>
      <c r="T21" s="240" t="s">
        <v>23</v>
      </c>
      <c r="U21" s="240">
        <v>0.44412333453749547</v>
      </c>
      <c r="V21" s="240">
        <v>0.31024883656686286</v>
      </c>
      <c r="W21" s="240" t="s">
        <v>23</v>
      </c>
      <c r="X21" s="240" t="s">
        <v>23</v>
      </c>
      <c r="Y21" s="240" t="s">
        <v>23</v>
      </c>
      <c r="Z21" s="303">
        <f t="shared" si="0"/>
        <v>99.999999999999986</v>
      </c>
    </row>
    <row r="22" spans="1:26" ht="15.6">
      <c r="A22" s="239">
        <v>1995</v>
      </c>
      <c r="B22" s="237">
        <v>34834</v>
      </c>
      <c r="C22" s="13" t="s">
        <v>1</v>
      </c>
      <c r="D22" s="238">
        <v>34853</v>
      </c>
      <c r="E22" s="298">
        <v>2118</v>
      </c>
      <c r="F22" s="239" t="s">
        <v>17</v>
      </c>
      <c r="G22" s="240" t="s">
        <v>23</v>
      </c>
      <c r="H22" s="240" t="s">
        <v>23</v>
      </c>
      <c r="I22" s="240">
        <v>0.28017175746870909</v>
      </c>
      <c r="J22" s="240" t="s">
        <v>23</v>
      </c>
      <c r="K22" s="240">
        <v>5.8896975972226446</v>
      </c>
      <c r="L22" s="240" t="s">
        <v>23</v>
      </c>
      <c r="M22" s="240" t="s">
        <v>23</v>
      </c>
      <c r="N22" s="240">
        <v>53.719889149435083</v>
      </c>
      <c r="O22" s="240">
        <v>0.12485915278496817</v>
      </c>
      <c r="P22" s="240"/>
      <c r="Q22" s="240" t="s">
        <v>23</v>
      </c>
      <c r="R22" s="240">
        <v>38.258671620428174</v>
      </c>
      <c r="S22" s="240">
        <v>0.7004293936717727</v>
      </c>
      <c r="T22" s="240" t="s">
        <v>23</v>
      </c>
      <c r="U22" s="240">
        <v>0.9653744251910954</v>
      </c>
      <c r="V22" s="240">
        <v>6.0906903797545452E-2</v>
      </c>
      <c r="W22" s="240" t="s">
        <v>23</v>
      </c>
      <c r="X22" s="240" t="s">
        <v>23</v>
      </c>
      <c r="Y22" s="240" t="s">
        <v>23</v>
      </c>
      <c r="Z22" s="303">
        <f t="shared" si="0"/>
        <v>100</v>
      </c>
    </row>
    <row r="23" spans="1:26" ht="15.6">
      <c r="A23" s="239">
        <v>1996</v>
      </c>
      <c r="B23" s="237">
        <v>35202</v>
      </c>
      <c r="C23" s="13" t="s">
        <v>1</v>
      </c>
      <c r="D23" s="238">
        <v>35224</v>
      </c>
      <c r="E23" s="298">
        <v>1729</v>
      </c>
      <c r="F23" s="239" t="s">
        <v>17</v>
      </c>
      <c r="G23" s="240" t="s">
        <v>23</v>
      </c>
      <c r="H23" s="240" t="s">
        <v>23</v>
      </c>
      <c r="I23" s="240">
        <v>0.58764331668044423</v>
      </c>
      <c r="J23" s="240" t="s">
        <v>23</v>
      </c>
      <c r="K23" s="240">
        <v>6.5341623836394342</v>
      </c>
      <c r="L23" s="240">
        <v>0.14736009776084535</v>
      </c>
      <c r="M23" s="240" t="s">
        <v>23</v>
      </c>
      <c r="N23" s="240">
        <v>46.702368544010355</v>
      </c>
      <c r="O23" s="240">
        <v>0.49060130108183875</v>
      </c>
      <c r="P23" s="240">
        <v>7.3680048880422677E-2</v>
      </c>
      <c r="Q23" s="240" t="s">
        <v>23</v>
      </c>
      <c r="R23" s="240">
        <v>44.190058584624232</v>
      </c>
      <c r="S23" s="240">
        <v>0.65233799374618129</v>
      </c>
      <c r="T23" s="240" t="s">
        <v>23</v>
      </c>
      <c r="U23" s="240">
        <v>0.13118642849441109</v>
      </c>
      <c r="V23" s="240">
        <v>0.44926859073428455</v>
      </c>
      <c r="W23" s="240" t="s">
        <v>23</v>
      </c>
      <c r="X23" s="240">
        <v>4.1332710347554182E-2</v>
      </c>
      <c r="Y23" s="240" t="s">
        <v>23</v>
      </c>
      <c r="Z23" s="303">
        <f t="shared" si="0"/>
        <v>100</v>
      </c>
    </row>
    <row r="24" spans="1:26" ht="15.6">
      <c r="A24" s="239">
        <v>1997</v>
      </c>
      <c r="B24" s="237">
        <v>35566</v>
      </c>
      <c r="C24" s="13" t="s">
        <v>1</v>
      </c>
      <c r="D24" s="238">
        <v>35585</v>
      </c>
      <c r="E24" s="298">
        <v>1805</v>
      </c>
      <c r="F24" s="239" t="s">
        <v>17</v>
      </c>
      <c r="G24" s="240" t="s">
        <v>23</v>
      </c>
      <c r="H24" s="240" t="s">
        <v>23</v>
      </c>
      <c r="I24" s="240">
        <v>0.25158949955142956</v>
      </c>
      <c r="J24" s="240" t="s">
        <v>23</v>
      </c>
      <c r="K24" s="240">
        <v>9.3497679135624292</v>
      </c>
      <c r="L24" s="240" t="s">
        <v>23</v>
      </c>
      <c r="M24" s="240" t="s">
        <v>23</v>
      </c>
      <c r="N24" s="240">
        <v>57.606194172485083</v>
      </c>
      <c r="O24" s="240" t="s">
        <v>23</v>
      </c>
      <c r="P24" s="240" t="s">
        <v>23</v>
      </c>
      <c r="Q24" s="240" t="s">
        <v>23</v>
      </c>
      <c r="R24" s="240">
        <v>31.050824979521785</v>
      </c>
      <c r="S24" s="240">
        <v>1.1350782072785428</v>
      </c>
      <c r="T24" s="240" t="s">
        <v>23</v>
      </c>
      <c r="U24" s="240">
        <v>0.14627296485548233</v>
      </c>
      <c r="V24" s="240">
        <v>0.46027226274525102</v>
      </c>
      <c r="W24" s="240" t="s">
        <v>23</v>
      </c>
      <c r="X24" s="240" t="s">
        <v>23</v>
      </c>
      <c r="Y24" s="240" t="s">
        <v>23</v>
      </c>
      <c r="Z24" s="303">
        <f t="shared" si="0"/>
        <v>100</v>
      </c>
    </row>
    <row r="25" spans="1:26" ht="15.6">
      <c r="A25" s="239">
        <v>1998</v>
      </c>
      <c r="B25" s="237">
        <v>35930</v>
      </c>
      <c r="C25" s="13" t="s">
        <v>1</v>
      </c>
      <c r="D25" s="238">
        <v>35948</v>
      </c>
      <c r="E25" s="298">
        <v>1920</v>
      </c>
      <c r="F25" s="239" t="s">
        <v>17</v>
      </c>
      <c r="G25" s="240" t="s">
        <v>23</v>
      </c>
      <c r="H25" s="240">
        <v>6.2475482005608263E-2</v>
      </c>
      <c r="I25" s="240">
        <v>0.2542606825809639</v>
      </c>
      <c r="J25" s="240">
        <v>6.2475482005608263E-2</v>
      </c>
      <c r="K25" s="240">
        <v>6.5381318377962145</v>
      </c>
      <c r="L25" s="240">
        <v>6.2475482005608263E-2</v>
      </c>
      <c r="M25" s="240" t="s">
        <v>23</v>
      </c>
      <c r="N25" s="240">
        <v>63.672686591018056</v>
      </c>
      <c r="O25" s="240">
        <v>0.27169570081508709</v>
      </c>
      <c r="P25" s="240" t="s">
        <v>23</v>
      </c>
      <c r="Q25" s="240" t="s">
        <v>23</v>
      </c>
      <c r="R25" s="240">
        <v>27.675185610298286</v>
      </c>
      <c r="S25" s="240">
        <v>0.49253926511398144</v>
      </c>
      <c r="T25" s="240" t="s">
        <v>23</v>
      </c>
      <c r="U25" s="240" t="s">
        <v>23</v>
      </c>
      <c r="V25" s="240">
        <v>0.90807386636058518</v>
      </c>
      <c r="W25" s="240" t="s">
        <v>23</v>
      </c>
      <c r="X25" s="240" t="s">
        <v>23</v>
      </c>
      <c r="Y25" s="240" t="s">
        <v>23</v>
      </c>
      <c r="Z25" s="303">
        <f t="shared" si="0"/>
        <v>99.999999999999986</v>
      </c>
    </row>
    <row r="26" spans="1:26" ht="15.6">
      <c r="A26" s="239">
        <v>1999</v>
      </c>
      <c r="B26" s="237">
        <v>36294</v>
      </c>
      <c r="C26" s="13" t="s">
        <v>1</v>
      </c>
      <c r="D26" s="238">
        <v>36312</v>
      </c>
      <c r="E26" s="298">
        <v>1694</v>
      </c>
      <c r="F26" s="239" t="s">
        <v>17</v>
      </c>
      <c r="G26" s="240" t="s">
        <v>23</v>
      </c>
      <c r="H26" s="240" t="s">
        <v>23</v>
      </c>
      <c r="I26" s="240" t="s">
        <v>23</v>
      </c>
      <c r="J26" s="240" t="s">
        <v>23</v>
      </c>
      <c r="K26" s="240">
        <v>9.6315190015560574</v>
      </c>
      <c r="L26" s="240" t="s">
        <v>23</v>
      </c>
      <c r="M26" s="240" t="s">
        <v>23</v>
      </c>
      <c r="N26" s="240">
        <v>51.927426728908998</v>
      </c>
      <c r="O26" s="240">
        <v>0.39623337664629349</v>
      </c>
      <c r="P26" s="240" t="s">
        <v>23</v>
      </c>
      <c r="Q26" s="240" t="s">
        <v>23</v>
      </c>
      <c r="R26" s="240">
        <v>35.941736047612174</v>
      </c>
      <c r="S26" s="240">
        <v>1.2416381924057944</v>
      </c>
      <c r="T26" s="240" t="s">
        <v>23</v>
      </c>
      <c r="U26" s="240">
        <v>0.58713123826940661</v>
      </c>
      <c r="V26" s="240">
        <v>0.27431541460128017</v>
      </c>
      <c r="W26" s="240" t="s">
        <v>23</v>
      </c>
      <c r="X26" s="240" t="s">
        <v>23</v>
      </c>
      <c r="Y26" s="240" t="s">
        <v>23</v>
      </c>
      <c r="Z26" s="303">
        <f t="shared" si="0"/>
        <v>100</v>
      </c>
    </row>
    <row r="27" spans="1:26" ht="15.6">
      <c r="A27" s="239">
        <v>2000</v>
      </c>
      <c r="B27" s="237">
        <v>36661</v>
      </c>
      <c r="C27" s="13" t="s">
        <v>1</v>
      </c>
      <c r="D27" s="238">
        <v>36683</v>
      </c>
      <c r="E27" s="298">
        <v>1830</v>
      </c>
      <c r="F27" s="239" t="s">
        <v>17</v>
      </c>
      <c r="G27" s="240"/>
      <c r="H27" s="240"/>
      <c r="I27" s="240">
        <v>3.5999999999999997E-2</v>
      </c>
      <c r="J27" s="240"/>
      <c r="K27" s="240">
        <v>5.9749999999999996</v>
      </c>
      <c r="L27" s="240"/>
      <c r="M27" s="240"/>
      <c r="N27" s="240">
        <v>69.304000000000002</v>
      </c>
      <c r="O27" s="240">
        <v>0.377</v>
      </c>
      <c r="P27" s="240"/>
      <c r="Q27" s="240"/>
      <c r="R27" s="240">
        <v>22.724</v>
      </c>
      <c r="S27" s="240">
        <v>0.93700000000000006</v>
      </c>
      <c r="T27" s="240"/>
      <c r="U27" s="240">
        <v>0.23599999999999999</v>
      </c>
      <c r="V27" s="240">
        <v>0.40799999999999997</v>
      </c>
      <c r="W27" s="240"/>
      <c r="X27" s="240"/>
      <c r="Y27" s="240"/>
      <c r="Z27" s="303">
        <f t="shared" ref="Z27:Z40" si="1">SUM(G27:Y27)</f>
        <v>99.997</v>
      </c>
    </row>
    <row r="28" spans="1:26" ht="15.6">
      <c r="A28" s="239">
        <v>2001</v>
      </c>
      <c r="B28" s="237">
        <v>37028</v>
      </c>
      <c r="C28" s="13" t="s">
        <v>1</v>
      </c>
      <c r="D28" s="238">
        <v>37048</v>
      </c>
      <c r="E28" s="298">
        <v>1845</v>
      </c>
      <c r="F28" s="239" t="s">
        <v>17</v>
      </c>
      <c r="G28" s="240"/>
      <c r="H28" s="240">
        <v>0.104</v>
      </c>
      <c r="I28" s="240">
        <v>0.14399999999999999</v>
      </c>
      <c r="J28" s="240"/>
      <c r="K28" s="240">
        <v>11.954000000000001</v>
      </c>
      <c r="L28" s="240">
        <v>0.23799999999999999</v>
      </c>
      <c r="M28" s="240"/>
      <c r="N28" s="240">
        <v>64.465000000000003</v>
      </c>
      <c r="O28" s="240">
        <v>0.27200000000000002</v>
      </c>
      <c r="P28" s="240"/>
      <c r="Q28" s="240"/>
      <c r="R28" s="240">
        <v>21.67</v>
      </c>
      <c r="S28" s="240">
        <v>0.95599999999999996</v>
      </c>
      <c r="T28" s="240"/>
      <c r="U28" s="240">
        <v>8.6999999999999994E-2</v>
      </c>
      <c r="V28" s="240">
        <v>0.106</v>
      </c>
      <c r="W28" s="240"/>
      <c r="X28" s="240"/>
      <c r="Y28" s="240"/>
      <c r="Z28" s="303">
        <f t="shared" si="1"/>
        <v>99.996000000000009</v>
      </c>
    </row>
    <row r="29" spans="1:26" ht="15.6">
      <c r="A29" s="239">
        <v>2002</v>
      </c>
      <c r="B29" s="237">
        <v>37392</v>
      </c>
      <c r="C29" s="13" t="s">
        <v>1</v>
      </c>
      <c r="D29" s="238">
        <v>37422</v>
      </c>
      <c r="E29" s="298">
        <v>2143</v>
      </c>
      <c r="F29" s="239" t="s">
        <v>17</v>
      </c>
      <c r="G29" s="240"/>
      <c r="H29" s="240">
        <v>2.5552320693540298E-2</v>
      </c>
      <c r="I29" s="240">
        <v>0.25332251177732679</v>
      </c>
      <c r="J29" s="240"/>
      <c r="K29" s="240">
        <v>12.705884758013225</v>
      </c>
      <c r="L29" s="240">
        <v>6.3500003111508566E-2</v>
      </c>
      <c r="M29" s="240"/>
      <c r="N29" s="240">
        <v>61.288222213799202</v>
      </c>
      <c r="O29" s="240">
        <v>0.54678126091710522</v>
      </c>
      <c r="P29" s="240"/>
      <c r="Q29" s="240"/>
      <c r="R29" s="240">
        <v>24.078576416929877</v>
      </c>
      <c r="S29" s="240">
        <v>0.46708753542308207</v>
      </c>
      <c r="T29" s="240"/>
      <c r="U29" s="240">
        <v>7.021118664493875E-2</v>
      </c>
      <c r="V29" s="240">
        <v>0.50086179269020603</v>
      </c>
      <c r="W29" s="240"/>
      <c r="X29" s="240"/>
      <c r="Y29" s="240"/>
      <c r="Z29" s="303">
        <f t="shared" si="1"/>
        <v>100</v>
      </c>
    </row>
    <row r="30" spans="1:26" ht="15.6">
      <c r="A30" s="239">
        <v>2003</v>
      </c>
      <c r="B30" s="237">
        <v>37755</v>
      </c>
      <c r="C30" s="13" t="s">
        <v>1</v>
      </c>
      <c r="D30" s="238">
        <v>37775</v>
      </c>
      <c r="E30" s="298">
        <v>1931</v>
      </c>
      <c r="F30" s="239" t="s">
        <v>17</v>
      </c>
      <c r="G30" s="240"/>
      <c r="H30" s="240">
        <v>7.6099119976900526E-2</v>
      </c>
      <c r="I30" s="240">
        <v>0.39582737729968193</v>
      </c>
      <c r="J30" s="240">
        <v>0.152198239953801</v>
      </c>
      <c r="K30" s="240">
        <v>5.8521927756809964</v>
      </c>
      <c r="L30" s="240">
        <v>6.478793996393345E-2</v>
      </c>
      <c r="M30" s="240"/>
      <c r="N30" s="240">
        <v>63.110800199028937</v>
      </c>
      <c r="O30" s="240"/>
      <c r="P30" s="240"/>
      <c r="Q30" s="240"/>
      <c r="R30" s="240">
        <v>29.013586202687939</v>
      </c>
      <c r="S30" s="240">
        <v>1.1742294703847429</v>
      </c>
      <c r="T30" s="240"/>
      <c r="U30" s="240">
        <v>2.6642957428146336E-2</v>
      </c>
      <c r="V30" s="240">
        <v>0.13363571759491708</v>
      </c>
      <c r="W30" s="240"/>
      <c r="X30" s="240"/>
      <c r="Y30" s="240"/>
      <c r="Z30" s="303">
        <f t="shared" si="1"/>
        <v>99.999999999999986</v>
      </c>
    </row>
    <row r="31" spans="1:26" ht="15.6">
      <c r="A31" s="239">
        <v>2004</v>
      </c>
      <c r="B31" s="237">
        <v>38124</v>
      </c>
      <c r="C31" s="13" t="s">
        <v>1</v>
      </c>
      <c r="D31" s="238">
        <v>38143</v>
      </c>
      <c r="E31" s="298">
        <v>1865</v>
      </c>
      <c r="F31" s="239" t="s">
        <v>17</v>
      </c>
      <c r="G31" s="240"/>
      <c r="H31" s="240"/>
      <c r="I31" s="240">
        <v>0.63905392886504842</v>
      </c>
      <c r="J31" s="240"/>
      <c r="K31" s="240">
        <v>6.2104946887519521</v>
      </c>
      <c r="L31" s="240">
        <v>4.9548524320067351E-2</v>
      </c>
      <c r="M31" s="240"/>
      <c r="N31" s="240">
        <v>50.166085479353427</v>
      </c>
      <c r="O31" s="240">
        <v>0.22690783441314441</v>
      </c>
      <c r="P31" s="240"/>
      <c r="Q31" s="240"/>
      <c r="R31" s="240">
        <v>41.419654840255326</v>
      </c>
      <c r="S31" s="240">
        <v>0.62340103572834937</v>
      </c>
      <c r="T31" s="240"/>
      <c r="U31" s="240"/>
      <c r="V31" s="240">
        <v>0.66485366831268178</v>
      </c>
      <c r="W31" s="240"/>
      <c r="X31" s="240"/>
      <c r="Y31" s="240"/>
      <c r="Z31" s="303">
        <f t="shared" si="1"/>
        <v>100</v>
      </c>
    </row>
    <row r="32" spans="1:26" ht="15.6">
      <c r="A32" s="239">
        <v>2005</v>
      </c>
      <c r="B32" s="237">
        <v>38488</v>
      </c>
      <c r="C32" s="13" t="s">
        <v>1</v>
      </c>
      <c r="D32" s="238">
        <v>38514</v>
      </c>
      <c r="E32" s="298">
        <v>2103</v>
      </c>
      <c r="F32" s="239" t="s">
        <v>17</v>
      </c>
      <c r="G32" s="240"/>
      <c r="H32" s="240">
        <v>4.7213200743924981E-2</v>
      </c>
      <c r="I32" s="240">
        <v>0.31623391781575733</v>
      </c>
      <c r="J32" s="240">
        <v>0.20295422048217923</v>
      </c>
      <c r="K32" s="240">
        <v>6.8162977875194954</v>
      </c>
      <c r="L32" s="240">
        <v>4.9682422639286343E-2</v>
      </c>
      <c r="M32" s="240"/>
      <c r="N32" s="240">
        <v>57.089671735974726</v>
      </c>
      <c r="O32" s="240">
        <v>0.30268318465979815</v>
      </c>
      <c r="P32" s="240"/>
      <c r="Q32" s="240"/>
      <c r="R32" s="240">
        <v>33.340935585873041</v>
      </c>
      <c r="S32" s="240">
        <v>1.2048842592544822</v>
      </c>
      <c r="T32" s="240"/>
      <c r="U32" s="240">
        <v>3.8756063374648667E-2</v>
      </c>
      <c r="V32" s="240">
        <v>0.59068762166266187</v>
      </c>
      <c r="W32" s="240"/>
      <c r="X32" s="240"/>
      <c r="Y32" s="240"/>
      <c r="Z32" s="303">
        <f t="shared" si="1"/>
        <v>100.00000000000001</v>
      </c>
    </row>
    <row r="33" spans="1:26" ht="15.6">
      <c r="A33" s="239">
        <v>2006</v>
      </c>
      <c r="B33" s="237"/>
      <c r="C33" s="13"/>
      <c r="D33" s="238"/>
      <c r="E33" s="298"/>
      <c r="F33" s="239" t="s">
        <v>17</v>
      </c>
      <c r="G33" s="240"/>
      <c r="H33" s="240"/>
      <c r="I33" s="240">
        <v>0.26985583955530612</v>
      </c>
      <c r="J33" s="240"/>
      <c r="K33" s="240">
        <v>15.953906856437621</v>
      </c>
      <c r="L33" s="240"/>
      <c r="N33" s="240">
        <v>61.081840132881602</v>
      </c>
      <c r="O33" s="240">
        <v>0.91962492320723532</v>
      </c>
      <c r="P33" s="240"/>
      <c r="R33" s="240">
        <v>20.679886250908474</v>
      </c>
      <c r="S33" s="240">
        <v>0.67090249484584918</v>
      </c>
      <c r="T33" s="240"/>
      <c r="U33" s="240">
        <v>0.42398350216390895</v>
      </c>
      <c r="V33" s="240"/>
      <c r="W33" s="240"/>
      <c r="X33" s="240"/>
      <c r="Y33" s="240"/>
      <c r="Z33" s="303">
        <f t="shared" si="1"/>
        <v>100</v>
      </c>
    </row>
    <row r="34" spans="1:26" ht="15.6">
      <c r="A34" s="239">
        <v>2007</v>
      </c>
      <c r="B34" s="237"/>
      <c r="C34" s="13"/>
      <c r="D34" s="238"/>
      <c r="E34" s="298"/>
      <c r="F34" s="239" t="s">
        <v>17</v>
      </c>
      <c r="G34" s="240"/>
      <c r="H34" s="240"/>
      <c r="I34" s="240"/>
      <c r="J34" s="240">
        <v>6.2486878841332312E-2</v>
      </c>
      <c r="K34" s="240">
        <v>9.0831515956884878</v>
      </c>
      <c r="L34" s="240">
        <v>0.22380764730374372</v>
      </c>
      <c r="M34" s="240"/>
      <c r="N34" s="240">
        <v>63.643523477437078</v>
      </c>
      <c r="O34" s="240">
        <v>0.69175588504173713</v>
      </c>
      <c r="P34" s="240"/>
      <c r="Q34" s="240"/>
      <c r="R34" s="240">
        <v>25.19258362165575</v>
      </c>
      <c r="S34" s="240">
        <v>0.70688114494227805</v>
      </c>
      <c r="T34" s="240"/>
      <c r="V34" s="240">
        <v>0.39580974908958227</v>
      </c>
      <c r="W34" s="240"/>
      <c r="X34" s="240"/>
      <c r="Y34" s="240"/>
      <c r="Z34" s="303">
        <f t="shared" si="1"/>
        <v>99.999999999999986</v>
      </c>
    </row>
    <row r="35" spans="1:26" ht="15.6">
      <c r="A35" s="239">
        <v>2008</v>
      </c>
      <c r="B35" s="237">
        <v>39583</v>
      </c>
      <c r="C35" s="13" t="s">
        <v>1</v>
      </c>
      <c r="D35" s="238">
        <v>39609</v>
      </c>
      <c r="E35" s="298">
        <v>1365</v>
      </c>
      <c r="F35" s="239" t="s">
        <v>17</v>
      </c>
      <c r="G35" s="240"/>
      <c r="H35" s="240">
        <v>0.12636462882096069</v>
      </c>
      <c r="I35" s="240">
        <v>5.8331324063903706E-2</v>
      </c>
      <c r="J35" s="240"/>
      <c r="K35" s="240">
        <v>11.70195865232002</v>
      </c>
      <c r="L35" s="240">
        <v>0.12636462882096069</v>
      </c>
      <c r="M35" s="240"/>
      <c r="N35" s="240">
        <v>56.840396972557038</v>
      </c>
      <c r="O35" s="240">
        <v>0.47694923311134607</v>
      </c>
      <c r="P35" s="240"/>
      <c r="Q35" s="240"/>
      <c r="R35" s="240">
        <v>29.367420958274266</v>
      </c>
      <c r="S35" s="240">
        <v>0.93449450483638552</v>
      </c>
      <c r="T35" s="240"/>
      <c r="U35" s="424">
        <v>0.17182837947033772</v>
      </c>
      <c r="V35" s="240">
        <v>0.19589071772477887</v>
      </c>
      <c r="W35" s="240"/>
      <c r="X35" s="240"/>
      <c r="Y35" s="240"/>
      <c r="Z35" s="303">
        <f t="shared" si="1"/>
        <v>99.999999999999986</v>
      </c>
    </row>
    <row r="36" spans="1:26" ht="15.6">
      <c r="A36" s="239">
        <v>2009</v>
      </c>
      <c r="B36" s="237">
        <v>39947</v>
      </c>
      <c r="C36" s="13" t="s">
        <v>1</v>
      </c>
      <c r="D36" s="238">
        <v>39973</v>
      </c>
      <c r="E36" s="298">
        <v>1457</v>
      </c>
      <c r="F36" s="239" t="s">
        <v>17</v>
      </c>
      <c r="G36" s="240"/>
      <c r="H36" s="240"/>
      <c r="I36" s="240">
        <v>0.23355716020593392</v>
      </c>
      <c r="J36" s="240"/>
      <c r="K36" s="240">
        <v>19.541050310246799</v>
      </c>
      <c r="L36" s="240">
        <v>0.49343357124265985</v>
      </c>
      <c r="M36" s="240"/>
      <c r="N36" s="240">
        <v>47.56315902342623</v>
      </c>
      <c r="O36" s="240">
        <v>1.7928852942857929</v>
      </c>
      <c r="P36" s="240"/>
      <c r="Q36" s="240"/>
      <c r="R36" s="240">
        <v>25.84880764487777</v>
      </c>
      <c r="S36" s="240">
        <v>1.7451393246721565</v>
      </c>
      <c r="T36" s="240"/>
      <c r="U36" s="424">
        <v>0.33648813070910638</v>
      </c>
      <c r="V36" s="240">
        <v>2.4454795403335483</v>
      </c>
      <c r="W36" s="240"/>
      <c r="X36" s="240"/>
      <c r="Y36" s="240"/>
      <c r="Z36" s="303">
        <f t="shared" si="1"/>
        <v>99.999999999999986</v>
      </c>
    </row>
    <row r="37" spans="1:26" ht="15.6">
      <c r="A37" s="239">
        <v>2010</v>
      </c>
      <c r="B37" s="237">
        <v>40311</v>
      </c>
      <c r="C37" s="13"/>
      <c r="D37" s="238">
        <v>40339</v>
      </c>
      <c r="E37" s="298">
        <v>725</v>
      </c>
      <c r="F37" s="239" t="s">
        <v>17</v>
      </c>
      <c r="G37" s="240"/>
      <c r="H37" s="240"/>
      <c r="I37" s="240">
        <v>2.1037300353007971</v>
      </c>
      <c r="J37" s="240"/>
      <c r="K37" s="240">
        <v>24.778359447475793</v>
      </c>
      <c r="L37" s="240">
        <v>1.1795202024017675</v>
      </c>
      <c r="M37" s="240"/>
      <c r="N37" s="240">
        <v>48.546913449154601</v>
      </c>
      <c r="O37" s="240">
        <v>0.85204207176542457</v>
      </c>
      <c r="P37" s="240"/>
      <c r="Q37" s="240"/>
      <c r="R37" s="240">
        <v>18.276487299682255</v>
      </c>
      <c r="S37" s="240">
        <v>2.9768464698401904</v>
      </c>
      <c r="T37" s="240"/>
      <c r="U37" s="424"/>
      <c r="V37" s="240">
        <v>1.286101024379168</v>
      </c>
      <c r="W37" s="240"/>
      <c r="X37" s="240"/>
      <c r="Y37" s="240"/>
      <c r="Z37" s="303">
        <f t="shared" si="1"/>
        <v>100</v>
      </c>
    </row>
    <row r="38" spans="1:26" ht="15.6">
      <c r="A38" s="239">
        <v>2011</v>
      </c>
      <c r="B38" s="237">
        <v>40679</v>
      </c>
      <c r="C38" s="13" t="s">
        <v>1</v>
      </c>
      <c r="D38" s="238">
        <v>40698</v>
      </c>
      <c r="E38" s="298">
        <v>1760</v>
      </c>
      <c r="F38" s="239" t="s">
        <v>17</v>
      </c>
      <c r="G38" s="240"/>
      <c r="H38" s="240"/>
      <c r="I38" s="240"/>
      <c r="J38" s="240"/>
      <c r="K38" s="240">
        <v>15.639994765429396</v>
      </c>
      <c r="L38" s="240">
        <v>0.11409953428546127</v>
      </c>
      <c r="M38" s="240"/>
      <c r="N38" s="240">
        <v>75.017820510705917</v>
      </c>
      <c r="O38" s="240">
        <v>0.65449763724310406</v>
      </c>
      <c r="P38" s="240"/>
      <c r="Q38" s="240"/>
      <c r="R38" s="240">
        <v>7.8562704512573873</v>
      </c>
      <c r="S38" s="240">
        <v>0.63187163045813277</v>
      </c>
      <c r="T38" s="240"/>
      <c r="U38" s="424"/>
      <c r="V38" s="240">
        <v>8.5445470620608185E-2</v>
      </c>
      <c r="W38" s="240"/>
      <c r="X38" s="240"/>
      <c r="Y38" s="240"/>
      <c r="Z38" s="303">
        <f t="shared" si="1"/>
        <v>100.00000000000003</v>
      </c>
    </row>
    <row r="39" spans="1:26" ht="15.6">
      <c r="A39" s="239">
        <v>2012</v>
      </c>
      <c r="B39" s="237">
        <v>41046</v>
      </c>
      <c r="C39" s="13"/>
      <c r="D39" s="238">
        <v>41062</v>
      </c>
      <c r="E39" s="298">
        <v>1565</v>
      </c>
      <c r="F39" s="239" t="s">
        <v>17</v>
      </c>
      <c r="G39" s="240"/>
      <c r="H39" s="240">
        <v>9.3486484627553476E-2</v>
      </c>
      <c r="I39" s="240">
        <v>2.3278104888402026E-2</v>
      </c>
      <c r="J39" s="240"/>
      <c r="K39" s="240">
        <v>10.612039228631142</v>
      </c>
      <c r="L39" s="240">
        <v>9.3486484627553476E-2</v>
      </c>
      <c r="M39" s="240"/>
      <c r="N39" s="240">
        <v>71.057756838254633</v>
      </c>
      <c r="O39" s="240">
        <v>0.53612378562256036</v>
      </c>
      <c r="P39" s="240"/>
      <c r="Q39" s="240"/>
      <c r="R39" s="240">
        <v>15.958594126117131</v>
      </c>
      <c r="S39" s="240">
        <v>1.2840505505776987</v>
      </c>
      <c r="T39" s="240"/>
      <c r="U39" s="424">
        <v>9.7469694484619868E-2</v>
      </c>
      <c r="V39" s="240">
        <v>0.24371470216870084</v>
      </c>
      <c r="W39" s="240"/>
      <c r="X39" s="240"/>
      <c r="Y39" s="240"/>
      <c r="Z39" s="303">
        <f t="shared" si="1"/>
        <v>100</v>
      </c>
    </row>
    <row r="40" spans="1:26" ht="15.6">
      <c r="A40" s="239">
        <v>2013</v>
      </c>
      <c r="B40" s="237">
        <v>41410</v>
      </c>
      <c r="C40" s="13"/>
      <c r="D40" s="238">
        <v>41440</v>
      </c>
      <c r="E40" s="298">
        <v>916</v>
      </c>
      <c r="F40" s="239" t="s">
        <v>17</v>
      </c>
      <c r="G40" s="240"/>
      <c r="H40" s="240"/>
      <c r="I40" s="240">
        <v>1.7462362000628129</v>
      </c>
      <c r="J40" s="240"/>
      <c r="K40" s="240">
        <v>18.91269451464807</v>
      </c>
      <c r="L40" s="240">
        <v>0.24946231429468754</v>
      </c>
      <c r="M40" s="240"/>
      <c r="N40" s="240">
        <v>62.3411798763332</v>
      </c>
      <c r="O40" s="240">
        <v>1.5791421676784299</v>
      </c>
      <c r="P40" s="240"/>
      <c r="Q40" s="240"/>
      <c r="R40" s="240">
        <v>14.315294406700025</v>
      </c>
      <c r="S40" s="240">
        <v>0.79548746113933944</v>
      </c>
      <c r="T40" s="240"/>
      <c r="U40" s="424"/>
      <c r="V40" s="240"/>
      <c r="W40" s="240">
        <v>6.0503059143439841E-2</v>
      </c>
      <c r="X40" s="240"/>
      <c r="Y40" s="240"/>
      <c r="Z40" s="303">
        <f t="shared" si="1"/>
        <v>100</v>
      </c>
    </row>
    <row r="41" spans="1:26" ht="15.6">
      <c r="A41" s="239">
        <v>2014</v>
      </c>
      <c r="B41" s="237">
        <v>41410</v>
      </c>
      <c r="C41" s="13"/>
      <c r="D41" s="238">
        <v>41440</v>
      </c>
      <c r="E41" s="298">
        <v>1876</v>
      </c>
      <c r="F41" s="239" t="s">
        <v>17</v>
      </c>
      <c r="G41" s="240"/>
      <c r="H41" s="240"/>
      <c r="I41" s="240">
        <v>0.25297137131937802</v>
      </c>
      <c r="J41" s="240"/>
      <c r="K41" s="240">
        <v>30.569169288024352</v>
      </c>
      <c r="L41" s="240">
        <v>0.22526411573779637</v>
      </c>
      <c r="M41" s="240"/>
      <c r="N41" s="240">
        <v>43.622683889388995</v>
      </c>
      <c r="O41" s="240">
        <v>1.8398734763681077</v>
      </c>
      <c r="P41" s="240"/>
      <c r="Q41" s="240"/>
      <c r="R41" s="240">
        <v>22.309230195839991</v>
      </c>
      <c r="S41" s="240">
        <v>1.1047114060291066</v>
      </c>
      <c r="T41" s="240"/>
      <c r="U41" s="424">
        <v>4.0159121519999272E-2</v>
      </c>
      <c r="V41" s="240">
        <v>3.5937135772272574E-2</v>
      </c>
      <c r="W41" s="240"/>
      <c r="X41" s="240"/>
      <c r="Y41" s="240"/>
      <c r="Z41" s="303">
        <f>SUM(G41:Y41)</f>
        <v>100.00000000000001</v>
      </c>
    </row>
    <row r="42" spans="1:26" ht="15.6">
      <c r="A42" s="239"/>
      <c r="B42" s="237"/>
      <c r="C42" s="13"/>
      <c r="D42" s="238"/>
      <c r="E42" s="298"/>
      <c r="F42" s="239"/>
      <c r="G42" s="240"/>
      <c r="H42" s="240"/>
      <c r="I42" s="240"/>
      <c r="J42" s="240"/>
      <c r="K42" s="240"/>
      <c r="L42" s="240"/>
      <c r="M42" s="240"/>
      <c r="N42" s="240"/>
      <c r="O42" s="240"/>
      <c r="P42" s="240"/>
      <c r="Q42" s="240"/>
      <c r="R42" s="240"/>
      <c r="S42" s="240"/>
      <c r="T42" s="240"/>
      <c r="U42" s="424"/>
      <c r="V42" s="240"/>
      <c r="W42" s="240"/>
      <c r="X42" s="240"/>
      <c r="Y42" s="240"/>
      <c r="Z42" s="303"/>
    </row>
    <row r="43" spans="1:26" ht="15.6">
      <c r="A43" s="286"/>
      <c r="B43" s="237"/>
      <c r="C43" s="13"/>
      <c r="D43" s="238"/>
      <c r="E43" s="239"/>
      <c r="F43" s="239"/>
      <c r="G43" s="236"/>
      <c r="H43" s="215"/>
      <c r="I43" s="215"/>
      <c r="J43" s="215"/>
      <c r="K43" s="215"/>
      <c r="L43" s="215"/>
      <c r="M43" s="215"/>
      <c r="N43" s="215"/>
      <c r="O43" s="215"/>
      <c r="P43" s="215"/>
      <c r="Q43" s="215"/>
      <c r="R43" s="215"/>
      <c r="S43" s="215"/>
      <c r="T43" s="215"/>
      <c r="U43" s="215"/>
      <c r="V43" s="215"/>
      <c r="W43" s="215"/>
      <c r="X43" s="215"/>
      <c r="Y43" s="215"/>
      <c r="Z43" s="215"/>
    </row>
    <row r="44" spans="1:26" ht="18">
      <c r="A44" s="695" t="str">
        <f>"Last 10 years "&amp;FcastYR-10&amp;"-"&amp;FcastYR-1</f>
        <v>Last 10 years 2005-2014</v>
      </c>
      <c r="B44" s="218"/>
      <c r="C44" s="216"/>
      <c r="D44" s="218"/>
      <c r="E44" s="217"/>
      <c r="F44" s="217"/>
      <c r="G44" s="221"/>
      <c r="H44" s="221">
        <f t="shared" ref="H44:V44" si="2">AVERAGE(H31:H40)</f>
        <v>8.9021438064146377E-2</v>
      </c>
      <c r="I44" s="221">
        <f t="shared" si="2"/>
        <v>0.67378456384474517</v>
      </c>
      <c r="J44" s="221">
        <f>AVERAGE(J31:J40)</f>
        <v>0.13272054966175578</v>
      </c>
      <c r="K44" s="221">
        <f t="shared" si="2"/>
        <v>13.924994784714878</v>
      </c>
      <c r="L44" s="221">
        <f t="shared" si="2"/>
        <v>0.28660059221513196</v>
      </c>
      <c r="M44" s="221"/>
      <c r="N44" s="221">
        <f>AVERAGE(N31:N40)</f>
        <v>59.334834749607843</v>
      </c>
      <c r="O44" s="221">
        <f t="shared" si="2"/>
        <v>0.80326120170285731</v>
      </c>
      <c r="P44" s="221"/>
      <c r="Q44" s="221"/>
      <c r="R44" s="221">
        <f t="shared" si="2"/>
        <v>23.225593518560146</v>
      </c>
      <c r="S44" s="221">
        <f t="shared" si="2"/>
        <v>1.1573958876294861</v>
      </c>
      <c r="T44" s="221"/>
      <c r="U44" s="221">
        <f t="shared" si="2"/>
        <v>0.21370515404052431</v>
      </c>
      <c r="V44" s="221">
        <f t="shared" si="2"/>
        <v>0.73849781178646634</v>
      </c>
      <c r="W44" s="221"/>
      <c r="X44" s="221"/>
      <c r="Y44" s="221"/>
      <c r="Z44" s="221">
        <f>AVERAGE(Z31:Z40)</f>
        <v>100</v>
      </c>
    </row>
    <row r="45" spans="1:26" ht="18">
      <c r="A45" s="304" t="s">
        <v>18</v>
      </c>
      <c r="B45" s="696" t="str">
        <f>"1980-"&amp;FcastYR-1</f>
        <v>1980-2014</v>
      </c>
      <c r="C45" s="219"/>
      <c r="D45" s="219"/>
      <c r="E45" s="220"/>
      <c r="F45" s="220"/>
      <c r="G45" s="221">
        <f>AVERAGE(G7:G43)</f>
        <v>2.5870989996550537E-2</v>
      </c>
      <c r="H45" s="221">
        <f>AVERAGE(H7:H43)</f>
        <v>0.11705656572586601</v>
      </c>
      <c r="I45" s="221">
        <f>AVERAGE(I7:I43)</f>
        <v>0.3451152583247864</v>
      </c>
      <c r="J45" s="221">
        <f>AVERAGE(J7:J43)</f>
        <v>0.36964836458747968</v>
      </c>
      <c r="K45" s="221">
        <f t="shared" ref="K45:Z45" si="3">AVERAGE(K7:K43)</f>
        <v>8.8363998940509632</v>
      </c>
      <c r="L45" s="221">
        <f t="shared" si="3"/>
        <v>0.20184181952075794</v>
      </c>
      <c r="M45" s="221">
        <f>AVERAGE(M7:M43)</f>
        <v>0.17919462689816004</v>
      </c>
      <c r="N45" s="221">
        <f>AVERAGE(N7:N43)</f>
        <v>49.789664914126718</v>
      </c>
      <c r="O45" s="221">
        <f t="shared" si="3"/>
        <v>0.56781810943620459</v>
      </c>
      <c r="P45" s="221">
        <f t="shared" si="3"/>
        <v>7.3680048880422677E-2</v>
      </c>
      <c r="Q45" s="221">
        <f>AVERAGE(Q7:Q43)</f>
        <v>3.9004102006059437E-2</v>
      </c>
      <c r="R45" s="221">
        <f>AVERAGE(R7:R43)</f>
        <v>36.093830452012725</v>
      </c>
      <c r="S45" s="221">
        <f>AVERAGE(S7:S43)</f>
        <v>1.7331111134594619</v>
      </c>
      <c r="T45" s="221">
        <f>AVERAGE(T7:T43)</f>
        <v>0.10175066051564953</v>
      </c>
      <c r="U45" s="221">
        <f t="shared" si="3"/>
        <v>0.60281826968428187</v>
      </c>
      <c r="V45" s="221">
        <f t="shared" si="3"/>
        <v>1.992085213018236</v>
      </c>
      <c r="W45" s="221">
        <f t="shared" si="3"/>
        <v>8.6258062570739397E-2</v>
      </c>
      <c r="X45" s="221">
        <f t="shared" si="3"/>
        <v>0.18569119464950409</v>
      </c>
      <c r="Y45" s="221">
        <f t="shared" si="3"/>
        <v>0.1457103378972491</v>
      </c>
      <c r="Z45" s="221">
        <f t="shared" si="3"/>
        <v>99.999799999999993</v>
      </c>
    </row>
    <row r="46" spans="1:26" ht="15.6">
      <c r="A46" s="4"/>
      <c r="B46" s="14"/>
      <c r="C46" s="15"/>
      <c r="D46" s="14"/>
      <c r="E46" s="4"/>
      <c r="F46" s="4"/>
      <c r="G46" s="16"/>
      <c r="H46" s="16"/>
      <c r="I46" s="16"/>
      <c r="J46" s="16"/>
      <c r="K46" s="16"/>
      <c r="L46" s="16"/>
      <c r="M46" s="4"/>
      <c r="N46" s="16"/>
      <c r="O46" s="16"/>
      <c r="P46" s="16"/>
      <c r="Q46" s="16"/>
      <c r="R46" s="4"/>
      <c r="S46" s="16"/>
      <c r="T46" s="16"/>
      <c r="U46" s="16"/>
      <c r="V46" s="16"/>
      <c r="W46" s="16"/>
      <c r="X46" s="16"/>
      <c r="Y46" s="16"/>
      <c r="Z46" s="16"/>
    </row>
    <row r="47" spans="1:26" ht="18.600000000000001">
      <c r="A47" s="305" t="s">
        <v>19</v>
      </c>
      <c r="B47" s="306" t="s">
        <v>20</v>
      </c>
      <c r="C47" s="15"/>
      <c r="D47" s="14"/>
      <c r="E47" s="4"/>
      <c r="F47" s="4"/>
      <c r="G47" s="16"/>
      <c r="H47" s="16"/>
      <c r="I47" s="16"/>
      <c r="J47" s="16"/>
      <c r="K47" s="4"/>
      <c r="L47" s="4"/>
      <c r="M47" s="4"/>
      <c r="N47" s="4"/>
      <c r="O47" s="4"/>
      <c r="P47" s="4"/>
      <c r="Q47" s="4"/>
      <c r="R47" s="4"/>
      <c r="S47" s="4"/>
      <c r="T47" s="4"/>
      <c r="U47" s="16"/>
      <c r="V47" s="16"/>
      <c r="W47" s="16"/>
      <c r="X47" s="16"/>
      <c r="Y47" s="16"/>
      <c r="Z47" s="16"/>
    </row>
    <row r="48" spans="1:26" ht="9" customHeight="1">
      <c r="A48" s="307"/>
      <c r="B48" s="306"/>
      <c r="C48" s="15"/>
      <c r="D48" s="14"/>
      <c r="E48" s="4"/>
      <c r="F48" s="4"/>
      <c r="G48" s="16"/>
      <c r="H48" s="16"/>
      <c r="I48" s="16"/>
      <c r="J48" s="16"/>
      <c r="K48" s="16"/>
      <c r="L48" s="16"/>
      <c r="M48" s="16"/>
      <c r="N48" s="16"/>
      <c r="O48" s="16"/>
      <c r="P48" s="16"/>
      <c r="Q48" s="16"/>
      <c r="R48" s="16"/>
      <c r="S48" s="16"/>
      <c r="T48" s="16"/>
      <c r="U48" s="16"/>
      <c r="V48" s="16"/>
      <c r="W48" s="16"/>
      <c r="X48" s="16"/>
      <c r="Y48" s="16"/>
      <c r="Z48" s="16"/>
    </row>
    <row r="49" spans="1:26" ht="18.600000000000001">
      <c r="A49" s="305" t="s">
        <v>21</v>
      </c>
      <c r="B49" s="308" t="s">
        <v>22</v>
      </c>
      <c r="C49" s="15"/>
      <c r="D49" s="14"/>
      <c r="E49" s="4"/>
      <c r="F49" s="4"/>
      <c r="G49" s="16"/>
      <c r="H49" s="16"/>
      <c r="I49" s="697"/>
      <c r="J49" s="697"/>
      <c r="K49" s="697"/>
      <c r="L49" s="697"/>
      <c r="M49" s="697"/>
      <c r="N49" s="697"/>
      <c r="O49" s="697"/>
      <c r="P49" s="697"/>
      <c r="Q49" s="697"/>
      <c r="R49" s="697"/>
      <c r="S49" s="697"/>
      <c r="T49" s="697"/>
      <c r="U49" s="697"/>
      <c r="V49" s="697"/>
      <c r="W49" s="697"/>
      <c r="X49" s="697"/>
      <c r="Y49" s="697"/>
      <c r="Z49" s="697"/>
    </row>
    <row r="50" spans="1:26">
      <c r="A50" s="6"/>
      <c r="B50" s="6"/>
      <c r="C50" s="6"/>
      <c r="D50" s="6"/>
      <c r="E50" s="6"/>
      <c r="F50" s="6"/>
      <c r="G50" s="6"/>
      <c r="H50" s="6"/>
      <c r="I50" s="6"/>
      <c r="J50" s="6"/>
      <c r="K50" s="6"/>
      <c r="L50" s="6"/>
      <c r="M50" s="6"/>
      <c r="N50" s="6"/>
      <c r="O50" s="6"/>
      <c r="P50" s="6"/>
      <c r="Q50" s="6"/>
      <c r="R50" s="6"/>
      <c r="S50" s="6"/>
      <c r="T50" s="6"/>
      <c r="U50" s="6"/>
      <c r="V50" s="6"/>
      <c r="W50" s="6"/>
      <c r="X50" s="6"/>
      <c r="Y50" s="6"/>
      <c r="Z50" s="6"/>
    </row>
    <row r="51" spans="1:26">
      <c r="A51" s="6"/>
      <c r="B51" s="6"/>
      <c r="C51" s="6"/>
      <c r="D51" s="6"/>
      <c r="E51" s="6"/>
      <c r="F51" s="6"/>
      <c r="G51" s="6"/>
      <c r="H51" s="6"/>
      <c r="I51" s="6"/>
      <c r="J51" s="6"/>
      <c r="K51" s="6"/>
      <c r="L51" s="6"/>
      <c r="M51" s="6"/>
      <c r="N51" s="6"/>
      <c r="O51" s="6"/>
      <c r="P51" s="6"/>
      <c r="Q51" s="6"/>
      <c r="R51" s="6"/>
      <c r="S51" s="6"/>
      <c r="T51" s="6"/>
      <c r="U51" s="6"/>
      <c r="V51" s="6"/>
      <c r="W51" s="6"/>
      <c r="X51" s="6"/>
      <c r="Y51" s="6"/>
      <c r="Z51" s="6"/>
    </row>
    <row r="52" spans="1:26">
      <c r="A52" s="6"/>
      <c r="B52" s="6"/>
      <c r="C52" s="6"/>
      <c r="D52" s="6"/>
      <c r="E52" s="6"/>
      <c r="F52" s="6"/>
      <c r="G52" s="6"/>
      <c r="H52" s="6"/>
      <c r="I52" s="6"/>
      <c r="J52" s="6"/>
      <c r="K52" s="6"/>
      <c r="L52" s="6"/>
      <c r="M52" s="6"/>
      <c r="N52" s="6"/>
      <c r="O52" s="6"/>
      <c r="P52" s="6"/>
      <c r="Q52" s="6"/>
      <c r="R52" s="6"/>
      <c r="S52" s="6"/>
      <c r="T52" s="6"/>
      <c r="U52" s="6"/>
      <c r="V52" s="6"/>
      <c r="W52" s="6"/>
      <c r="X52" s="6"/>
      <c r="Y52" s="6"/>
      <c r="Z52" s="6"/>
    </row>
    <row r="53" spans="1:26">
      <c r="A53" s="6"/>
      <c r="B53" s="6"/>
      <c r="C53" s="6"/>
      <c r="D53" s="6"/>
      <c r="E53" s="6"/>
      <c r="F53" s="6"/>
      <c r="G53" s="6"/>
      <c r="H53" s="6"/>
      <c r="I53" s="6"/>
      <c r="J53" s="6"/>
      <c r="K53" s="6"/>
      <c r="L53" s="6"/>
      <c r="M53" s="6"/>
      <c r="N53" s="6"/>
      <c r="O53" s="6"/>
      <c r="P53" s="6"/>
      <c r="Q53" s="6"/>
      <c r="R53" s="6"/>
      <c r="S53" s="6"/>
      <c r="T53" s="6"/>
      <c r="U53" s="6"/>
      <c r="V53" s="6"/>
      <c r="W53" s="6"/>
      <c r="X53" s="6"/>
      <c r="Y53" s="6"/>
      <c r="Z53" s="6"/>
    </row>
  </sheetData>
  <phoneticPr fontId="52" type="noConversion"/>
  <pageMargins left="0.75" right="0.75" top="1" bottom="1" header="0.5" footer="0.5"/>
  <pageSetup scale="55" orientation="landscape" horizontalDpi="300" verticalDpi="300"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W48"/>
  <sheetViews>
    <sheetView zoomScale="75" zoomScaleNormal="75" workbookViewId="0">
      <pane ySplit="6" topLeftCell="A7" activePane="bottomLeft" state="frozen"/>
      <selection pane="bottomLeft" activeCell="B41" sqref="B41"/>
    </sheetView>
  </sheetViews>
  <sheetFormatPr defaultRowHeight="13.2"/>
  <cols>
    <col min="1" max="1" width="14.44140625" customWidth="1"/>
    <col min="2" max="2" width="17" customWidth="1"/>
    <col min="3" max="3" width="10.33203125" customWidth="1"/>
    <col min="4" max="4" width="9.44140625" customWidth="1"/>
    <col min="6" max="7" width="11.77734375" customWidth="1"/>
    <col min="8" max="8" width="8.77734375" customWidth="1"/>
    <col min="9" max="9" width="10" customWidth="1"/>
    <col min="10" max="10" width="12.6640625" customWidth="1"/>
    <col min="12" max="12" width="6.6640625" customWidth="1"/>
    <col min="13" max="13" width="11.33203125" customWidth="1"/>
    <col min="14" max="14" width="13.33203125" customWidth="1"/>
    <col min="15" max="15" width="11.77734375" customWidth="1"/>
    <col min="16" max="16" width="8.44140625" customWidth="1"/>
    <col min="17" max="18" width="11.77734375" customWidth="1"/>
    <col min="19" max="19" width="8" customWidth="1"/>
    <col min="20" max="20" width="8.44140625" customWidth="1"/>
    <col min="21" max="21" width="8.109375" customWidth="1"/>
  </cols>
  <sheetData>
    <row r="1" spans="1:22" ht="22.8">
      <c r="A1" s="5" t="s">
        <v>29</v>
      </c>
      <c r="B1" s="17"/>
      <c r="C1" s="6"/>
      <c r="D1" s="6"/>
      <c r="E1" s="6"/>
      <c r="F1" s="6"/>
      <c r="G1" s="6"/>
      <c r="H1" s="6"/>
      <c r="I1" s="25" t="str">
        <f ca="1">CELL("filename",I1)</f>
        <v>C:\Users\rebrenner\Desktop\NCEAS\DATA\PWS&amp;CBR_SALMON\PWS&amp;CR_SALMON_FORECAST_DATA\[2015 Copper River Chinook forecast-FINAL.xlsm]CCNumber</v>
      </c>
      <c r="J1" s="6"/>
      <c r="K1" s="6"/>
      <c r="L1" s="6"/>
      <c r="M1" s="6"/>
      <c r="N1" s="6"/>
      <c r="O1" s="6"/>
      <c r="P1" s="6"/>
      <c r="Q1" s="6"/>
      <c r="R1" s="6"/>
      <c r="S1" s="6"/>
      <c r="T1" s="6"/>
      <c r="U1" s="6"/>
    </row>
    <row r="2" spans="1:22" ht="28.2">
      <c r="A2" s="257" t="s">
        <v>480</v>
      </c>
      <c r="B2" s="6"/>
      <c r="C2" s="6"/>
      <c r="D2" s="6"/>
      <c r="E2" s="6"/>
      <c r="F2" s="6"/>
      <c r="G2" s="6"/>
      <c r="H2" s="6"/>
      <c r="I2" s="6"/>
      <c r="J2" s="6"/>
      <c r="K2" s="6"/>
      <c r="L2" s="6"/>
      <c r="M2" s="6"/>
      <c r="N2" s="6"/>
      <c r="O2" s="6"/>
      <c r="P2" s="6"/>
      <c r="Q2" s="6"/>
      <c r="R2" s="6"/>
      <c r="S2" s="6"/>
      <c r="T2" s="6"/>
      <c r="U2" s="6"/>
    </row>
    <row r="3" spans="1:22" ht="13.8" thickBot="1">
      <c r="A3" s="6"/>
      <c r="B3" s="7"/>
      <c r="C3" s="6"/>
      <c r="D3" s="7"/>
      <c r="E3" s="6"/>
      <c r="F3" s="7"/>
      <c r="G3" s="7"/>
      <c r="H3" s="6"/>
      <c r="I3" s="6"/>
      <c r="J3" s="7"/>
      <c r="K3" s="7"/>
      <c r="L3" s="7"/>
      <c r="M3" s="7"/>
      <c r="N3" s="7"/>
      <c r="O3" s="7"/>
      <c r="P3" s="7"/>
      <c r="Q3" s="6"/>
      <c r="R3" s="6"/>
      <c r="S3" s="6"/>
      <c r="T3" s="6"/>
      <c r="U3" s="7"/>
    </row>
    <row r="4" spans="1:22" ht="21" customHeight="1">
      <c r="A4" s="6"/>
      <c r="B4" s="24"/>
      <c r="C4" s="6"/>
      <c r="D4" s="6"/>
      <c r="E4" s="6"/>
      <c r="F4" s="6"/>
      <c r="G4" s="6"/>
      <c r="H4" s="6"/>
      <c r="I4" s="6"/>
      <c r="J4" s="6"/>
      <c r="K4" s="6"/>
      <c r="L4" s="6"/>
      <c r="M4" s="6"/>
      <c r="N4" s="6"/>
      <c r="O4" s="6"/>
      <c r="P4" s="6"/>
      <c r="Q4" s="6"/>
      <c r="R4" s="6"/>
      <c r="S4" s="6"/>
      <c r="T4" s="6"/>
      <c r="U4" s="6"/>
    </row>
    <row r="5" spans="1:22" ht="19.5" customHeight="1">
      <c r="A5" s="754"/>
      <c r="B5" s="755" t="s">
        <v>436</v>
      </c>
      <c r="C5" s="756" t="s">
        <v>5</v>
      </c>
      <c r="D5" s="757" t="s">
        <v>6</v>
      </c>
      <c r="E5" s="758"/>
      <c r="F5" s="757" t="s">
        <v>7</v>
      </c>
      <c r="G5" s="289"/>
      <c r="H5" s="758"/>
      <c r="I5" s="757" t="s">
        <v>8</v>
      </c>
      <c r="J5" s="289"/>
      <c r="K5" s="758"/>
      <c r="L5" s="289"/>
      <c r="M5" s="294" t="s">
        <v>9</v>
      </c>
      <c r="N5" s="290"/>
      <c r="O5" s="289"/>
      <c r="P5" s="758"/>
      <c r="Q5" s="290" t="s">
        <v>10</v>
      </c>
      <c r="R5" s="289"/>
      <c r="S5" s="290"/>
      <c r="T5" s="757" t="s">
        <v>11</v>
      </c>
      <c r="U5" s="289"/>
    </row>
    <row r="6" spans="1:22" ht="15.6">
      <c r="A6" s="759" t="s">
        <v>432</v>
      </c>
      <c r="B6" s="760" t="s">
        <v>437</v>
      </c>
      <c r="C6" s="761">
        <v>0.1</v>
      </c>
      <c r="D6" s="762">
        <v>0.2</v>
      </c>
      <c r="E6" s="762">
        <v>1.1000000000000001</v>
      </c>
      <c r="F6" s="762">
        <v>0.3</v>
      </c>
      <c r="G6" s="762">
        <v>1.2</v>
      </c>
      <c r="H6" s="762">
        <v>2.1</v>
      </c>
      <c r="I6" s="762">
        <v>0.4</v>
      </c>
      <c r="J6" s="762">
        <v>1.3</v>
      </c>
      <c r="K6" s="763">
        <v>2.2000000000000002</v>
      </c>
      <c r="L6" s="764" t="s">
        <v>15</v>
      </c>
      <c r="M6" s="762">
        <v>0.5</v>
      </c>
      <c r="N6" s="762">
        <v>1.4</v>
      </c>
      <c r="O6" s="762">
        <v>2.2999999999999998</v>
      </c>
      <c r="P6" s="762">
        <v>3.2</v>
      </c>
      <c r="Q6" s="762">
        <v>1.5</v>
      </c>
      <c r="R6" s="762">
        <v>2.4</v>
      </c>
      <c r="S6" s="762">
        <v>3.3</v>
      </c>
      <c r="T6" s="762">
        <v>2.5</v>
      </c>
      <c r="U6" s="765">
        <v>3.4</v>
      </c>
    </row>
    <row r="7" spans="1:22" ht="15.6">
      <c r="A7" s="330">
        <v>1980</v>
      </c>
      <c r="B7" s="753">
        <f>Harvests!I98</f>
        <v>8473</v>
      </c>
      <c r="C7" s="241">
        <f>IF(ISERR((CCPercentage!G7/100)*$B7), 0, (CCPercentage!G7/100)*$B7)</f>
        <v>0</v>
      </c>
      <c r="D7" s="241">
        <f>IF(ISERR((CCPercentage!H7/100)*$B7), 0, (CCPercentage!H7/100)*$B7)</f>
        <v>0</v>
      </c>
      <c r="E7" s="241">
        <f>IF(ISERR((CCPercentage!I7/100)*$B7), 0, (CCPercentage!I7/100)*$B7)</f>
        <v>0</v>
      </c>
      <c r="F7" s="241">
        <f>IF(ISERR((CCPercentage!J7/100)*$B7), 0, (CCPercentage!J7/100)*$B7)</f>
        <v>0</v>
      </c>
      <c r="G7" s="241">
        <f>IF(ISERR((CCPercentage!K7/100)*$B7), 0, (CCPercentage!K7/100)*$B7)</f>
        <v>77.378995433789953</v>
      </c>
      <c r="H7" s="241">
        <f>IF(ISERR((CCPercentage!L7/100)*$B7), 0, (CCPercentage!L7/100)*$B7)</f>
        <v>0</v>
      </c>
      <c r="I7" s="241">
        <f>IF(ISERR((CCPercentage!M7/100)*$B7), 0, (CCPercentage!M7/100)*$B7)</f>
        <v>0</v>
      </c>
      <c r="J7" s="241">
        <f>IF(ISERR((CCPercentage!N7/100)*$B7), 0, (CCPercentage!N7/100)*$B7)</f>
        <v>2398.7488584474886</v>
      </c>
      <c r="K7" s="241">
        <f>IF(ISERR((CCPercentage!O7/100)*$B7), 0, (CCPercentage!O7/100)*$B7)</f>
        <v>38.689497716894977</v>
      </c>
      <c r="L7" s="241">
        <f>IF(ISERR((CCPercentage!P7/100)*$B7), 0, (CCPercentage!P7/100)*$B7)</f>
        <v>0</v>
      </c>
      <c r="M7" s="241">
        <f>IF(ISERR((CCPercentage!Q7/100)*$B7), 0, (CCPercentage!Q7/100)*$B7)</f>
        <v>0</v>
      </c>
      <c r="N7" s="241">
        <f>IF(ISERR((CCPercentage!R7/100)*$B7), 0, (CCPercentage!R7/100)*$B7)</f>
        <v>4681.4292237442924</v>
      </c>
      <c r="O7" s="241">
        <f>IF(ISERR((CCPercentage!S7/100)*$B7), 0, (CCPercentage!S7/100)*$B7)</f>
        <v>657.72146118721457</v>
      </c>
      <c r="P7" s="241">
        <f>IF(ISERR((CCPercentage!T7/100)*$B7), 0, (CCPercentage!T7/100)*$B7)</f>
        <v>0</v>
      </c>
      <c r="Q7" s="241">
        <f>IF(ISERR((CCPercentage!U7/100)*$B7), 0, (CCPercentage!U7/100)*$B7)</f>
        <v>77.378995433789953</v>
      </c>
      <c r="R7" s="241">
        <f>IF(ISERR((CCPercentage!V7/100)*$B7), 0, (CCPercentage!V7/100)*$B7)</f>
        <v>502.96347031963467</v>
      </c>
      <c r="S7" s="241">
        <f>IF(ISERR((CCPercentage!W7/100)*$B7), 0, (CCPercentage!W7/100)*$B7)</f>
        <v>0</v>
      </c>
      <c r="T7" s="241">
        <f>IF(ISERR((CCPercentage!X7/100)*$B7), 0, (CCPercentage!X7/100)*$B7)</f>
        <v>38.689497716894977</v>
      </c>
      <c r="U7" s="241">
        <f>IF(ISERR((CCPercentage!Y7/100)*$B7), 0, (CCPercentage!Y7/100)*$B7)</f>
        <v>0</v>
      </c>
      <c r="V7" s="474"/>
    </row>
    <row r="8" spans="1:22" ht="15.6">
      <c r="A8" s="330">
        <v>1981</v>
      </c>
      <c r="B8" s="752">
        <f>Harvests!I99</f>
        <v>20426</v>
      </c>
      <c r="C8" s="241">
        <f>IF(ISERR((CCPercentage!G8/100)*$B8), 0, (CCPercentage!G8/100)*$B8)</f>
        <v>0</v>
      </c>
      <c r="D8" s="241">
        <f>IF(ISERR((CCPercentage!H8/100)*$B8), 0, (CCPercentage!H8/100)*$B8)</f>
        <v>0</v>
      </c>
      <c r="E8" s="241">
        <f>IF(ISERR((CCPercentage!I8/100)*$B8), 0, (CCPercentage!I8/100)*$B8)</f>
        <v>0</v>
      </c>
      <c r="F8" s="241">
        <f>IF(ISERR((CCPercentage!J8/100)*$B8), 0, (CCPercentage!J8/100)*$B8)</f>
        <v>756.51851851851848</v>
      </c>
      <c r="G8" s="241">
        <f>IF(ISERR((CCPercentage!K8/100)*$B8), 0, (CCPercentage!K8/100)*$B8)</f>
        <v>1059.1259259259259</v>
      </c>
      <c r="H8" s="241">
        <f>IF(ISERR((CCPercentage!L8/100)*$B8), 0, (CCPercentage!L8/100)*$B8)</f>
        <v>0</v>
      </c>
      <c r="I8" s="241">
        <f>IF(ISERR((CCPercentage!M8/100)*$B8), 0, (CCPercentage!M8/100)*$B8)</f>
        <v>0</v>
      </c>
      <c r="J8" s="241">
        <f>IF(ISERR((CCPercentage!N8/100)*$B8), 0, (CCPercentage!N8/100)*$B8)</f>
        <v>8624.3111111111102</v>
      </c>
      <c r="K8" s="241">
        <f>IF(ISERR((CCPercentage!O8/100)*$B8), 0, (CCPercentage!O8/100)*$B8)</f>
        <v>0</v>
      </c>
      <c r="L8" s="241">
        <f>IF(ISERR((CCPercentage!P8/100)*$B8), 0, (CCPercentage!P8/100)*$B8)</f>
        <v>0</v>
      </c>
      <c r="M8" s="241">
        <f>IF(ISERR((CCPercentage!Q8/100)*$B8), 0, (CCPercentage!Q8/100)*$B8)</f>
        <v>0</v>
      </c>
      <c r="N8" s="241">
        <f>IF(ISERR((CCPercentage!R8/100)*$B8), 0, (CCPercentage!R8/100)*$B8)</f>
        <v>8321.7037037037026</v>
      </c>
      <c r="O8" s="241">
        <f>IF(ISERR((CCPercentage!S8/100)*$B8), 0, (CCPercentage!S8/100)*$B8)</f>
        <v>151.30370370370372</v>
      </c>
      <c r="P8" s="241">
        <f>IF(ISERR((CCPercentage!T8/100)*$B8), 0, (CCPercentage!T8/100)*$B8)</f>
        <v>0</v>
      </c>
      <c r="Q8" s="241">
        <f>IF(ISERR((CCPercentage!U8/100)*$B8), 0, (CCPercentage!U8/100)*$B8)</f>
        <v>0</v>
      </c>
      <c r="R8" s="241">
        <f>IF(ISERR((CCPercentage!V8/100)*$B8), 0, (CCPercentage!V8/100)*$B8)</f>
        <v>1513.037037037037</v>
      </c>
      <c r="S8" s="241">
        <f>IF(ISERR((CCPercentage!W8/100)*$B8), 0, (CCPercentage!W8/100)*$B8)</f>
        <v>0</v>
      </c>
      <c r="T8" s="241">
        <f>IF(ISERR((CCPercentage!X8/100)*$B8), 0, (CCPercentage!X8/100)*$B8)</f>
        <v>0</v>
      </c>
      <c r="U8" s="241">
        <f>IF(ISERR((CCPercentage!Y8/100)*$B8), 0, (CCPercentage!Y8/100)*$B8)</f>
        <v>0</v>
      </c>
      <c r="V8" s="474"/>
    </row>
    <row r="9" spans="1:22" ht="15.6">
      <c r="A9" s="330">
        <v>1982</v>
      </c>
      <c r="B9" s="752">
        <f>Harvests!I100</f>
        <v>47676</v>
      </c>
      <c r="C9" s="241">
        <f>IF(ISERR((CCPercentage!G9/100)*$B9), 0, (CCPercentage!G9/100)*$B9)</f>
        <v>0</v>
      </c>
      <c r="D9" s="241">
        <f>IF(ISERR((CCPercentage!H9/100)*$B9), 0, (CCPercentage!H9/100)*$B9)</f>
        <v>49.458443513282617</v>
      </c>
      <c r="E9" s="241">
        <f>IF(ISERR((CCPercentage!I9/100)*$B9), 0, (CCPercentage!I9/100)*$B9)</f>
        <v>103.76575403767137</v>
      </c>
      <c r="F9" s="241">
        <f>IF(ISERR((CCPercentage!J9/100)*$B9), 0, (CCPercentage!J9/100)*$B9)</f>
        <v>17.4559212399821</v>
      </c>
      <c r="G9" s="241">
        <f>IF(ISERR((CCPercentage!K9/100)*$B9), 0, (CCPercentage!K9/100)*$B9)</f>
        <v>3576.5243073918882</v>
      </c>
      <c r="H9" s="241">
        <f>IF(ISERR((CCPercentage!L9/100)*$B9), 0, (CCPercentage!L9/100)*$B9)</f>
        <v>0</v>
      </c>
      <c r="I9" s="241">
        <f>IF(ISERR((CCPercentage!M9/100)*$B9), 0, (CCPercentage!M9/100)*$B9)</f>
        <v>0</v>
      </c>
      <c r="J9" s="241">
        <f>IF(ISERR((CCPercentage!N9/100)*$B9), 0, (CCPercentage!N9/100)*$B9)</f>
        <v>25211.19913754526</v>
      </c>
      <c r="K9" s="241">
        <f>IF(ISERR((CCPercentage!O9/100)*$B9), 0, (CCPercentage!O9/100)*$B9)</f>
        <v>453.85395223953464</v>
      </c>
      <c r="L9" s="241">
        <f>IF(ISERR((CCPercentage!P9/100)*$B9), 0, (CCPercentage!P9/100)*$B9)</f>
        <v>0</v>
      </c>
      <c r="M9" s="241">
        <f>IF(ISERR((CCPercentage!Q9/100)*$B9), 0, (CCPercentage!Q9/100)*$B9)</f>
        <v>0</v>
      </c>
      <c r="N9" s="241">
        <f>IF(ISERR((CCPercentage!R9/100)*$B9), 0, (CCPercentage!R9/100)*$B9)</f>
        <v>12053.313616207641</v>
      </c>
      <c r="O9" s="241">
        <f>IF(ISERR((CCPercentage!S9/100)*$B9), 0, (CCPercentage!S9/100)*$B9)</f>
        <v>3976.0709491070338</v>
      </c>
      <c r="P9" s="241">
        <f>IF(ISERR((CCPercentage!T9/100)*$B9), 0, (CCPercentage!T9/100)*$B9)</f>
        <v>0</v>
      </c>
      <c r="Q9" s="241">
        <f>IF(ISERR((CCPercentage!U9/100)*$B9), 0, (CCPercentage!U9/100)*$B9)</f>
        <v>46.549123306618931</v>
      </c>
      <c r="R9" s="241">
        <f>IF(ISERR((CCPercentage!V9/100)*$B9), 0, (CCPercentage!V9/100)*$B9)</f>
        <v>2187.8087954110902</v>
      </c>
      <c r="S9" s="241">
        <f>IF(ISERR((CCPercentage!W9/100)*$B9), 0, (CCPercentage!W9/100)*$B9)</f>
        <v>0</v>
      </c>
      <c r="T9" s="241">
        <f>IF(ISERR((CCPercentage!X9/100)*$B9), 0, (CCPercentage!X9/100)*$B9)</f>
        <v>0</v>
      </c>
      <c r="U9" s="241">
        <f>IF(ISERR((CCPercentage!Y9/100)*$B9), 0, (CCPercentage!Y9/100)*$B9)</f>
        <v>0</v>
      </c>
      <c r="V9" s="474"/>
    </row>
    <row r="10" spans="1:22" ht="15.6">
      <c r="A10" s="330">
        <v>1983</v>
      </c>
      <c r="B10" s="752">
        <f>Harvests!I101</f>
        <v>53189</v>
      </c>
      <c r="C10" s="241">
        <f>IF(ISERR((CCPercentage!G10/100)*$B10), 0, (CCPercentage!G10/100)*$B10)</f>
        <v>0</v>
      </c>
      <c r="D10" s="241">
        <f>IF(ISERR((CCPercentage!H10/100)*$B10), 0, (CCPercentage!H10/100)*$B10)</f>
        <v>0</v>
      </c>
      <c r="E10" s="241">
        <f>IF(ISERR((CCPercentage!I10/100)*$B10), 0, (CCPercentage!I10/100)*$B10)</f>
        <v>23.392867138459078</v>
      </c>
      <c r="F10" s="241">
        <f>IF(ISERR((CCPercentage!J10/100)*$B10), 0, (CCPercentage!J10/100)*$B10)</f>
        <v>0</v>
      </c>
      <c r="G10" s="241">
        <f>IF(ISERR((CCPercentage!K10/100)*$B10), 0, (CCPercentage!K10/100)*$B10)</f>
        <v>2052.1924353284553</v>
      </c>
      <c r="H10" s="241">
        <f>IF(ISERR((CCPercentage!L10/100)*$B10), 0, (CCPercentage!L10/100)*$B10)</f>
        <v>0</v>
      </c>
      <c r="I10" s="241">
        <f>IF(ISERR((CCPercentage!M10/100)*$B10), 0, (CCPercentage!M10/100)*$B10)</f>
        <v>0</v>
      </c>
      <c r="J10" s="241">
        <f>IF(ISERR((CCPercentage!N10/100)*$B10), 0, (CCPercentage!N10/100)*$B10)</f>
        <v>33917.530726480349</v>
      </c>
      <c r="K10" s="241">
        <f>IF(ISERR((CCPercentage!O10/100)*$B10), 0, (CCPercentage!O10/100)*$B10)</f>
        <v>19.139618567830155</v>
      </c>
      <c r="L10" s="241">
        <f>IF(ISERR((CCPercentage!P10/100)*$B10), 0, (CCPercentage!P10/100)*$B10)</f>
        <v>0</v>
      </c>
      <c r="M10" s="241">
        <f>IF(ISERR((CCPercentage!Q10/100)*$B10), 0, (CCPercentage!Q10/100)*$B10)</f>
        <v>0</v>
      </c>
      <c r="N10" s="241">
        <f>IF(ISERR((CCPercentage!R10/100)*$B10), 0, (CCPercentage!R10/100)*$B10)</f>
        <v>16990.664727519888</v>
      </c>
      <c r="O10" s="241">
        <f>IF(ISERR((CCPercentage!S10/100)*$B10), 0, (CCPercentage!S10/100)*$B10)</f>
        <v>82.938347127263995</v>
      </c>
      <c r="P10" s="241">
        <f>IF(ISERR((CCPercentage!T10/100)*$B10), 0, (CCPercentage!T10/100)*$B10)</f>
        <v>0</v>
      </c>
      <c r="Q10" s="241">
        <f>IF(ISERR((CCPercentage!U10/100)*$B10), 0, (CCPercentage!U10/100)*$B10)</f>
        <v>17.012994282515695</v>
      </c>
      <c r="R10" s="241">
        <f>IF(ISERR((CCPercentage!V10/100)*$B10), 0, (CCPercentage!V10/100)*$B10)</f>
        <v>86.128283555235697</v>
      </c>
      <c r="S10" s="241">
        <f>IF(ISERR((CCPercentage!W10/100)*$B10), 0, (CCPercentage!W10/100)*$B10)</f>
        <v>0</v>
      </c>
      <c r="T10" s="241">
        <f>IF(ISERR((CCPercentage!X10/100)*$B10), 0, (CCPercentage!X10/100)*$B10)</f>
        <v>0</v>
      </c>
      <c r="U10" s="241">
        <f>IF(ISERR((CCPercentage!Y10/100)*$B10), 0, (CCPercentage!Y10/100)*$B10)</f>
        <v>0</v>
      </c>
      <c r="V10" s="474"/>
    </row>
    <row r="11" spans="1:22" ht="15.6">
      <c r="A11" s="330">
        <v>1984</v>
      </c>
      <c r="B11" s="752">
        <f>Harvests!I102</f>
        <v>39355</v>
      </c>
      <c r="C11" s="241">
        <f>IF(ISERR((CCPercentage!G11/100)*$B11), 0, (CCPercentage!G11/100)*$B11)</f>
        <v>0</v>
      </c>
      <c r="D11" s="241">
        <f>IF(ISERR((CCPercentage!H11/100)*$B11), 0, (CCPercentage!H11/100)*$B11)</f>
        <v>0</v>
      </c>
      <c r="E11" s="241">
        <f>IF(ISERR((CCPercentage!I11/100)*$B11), 0, (CCPercentage!I11/100)*$B11)</f>
        <v>0</v>
      </c>
      <c r="F11" s="241">
        <f>IF(ISERR((CCPercentage!J11/100)*$B11), 0, (CCPercentage!J11/100)*$B11)</f>
        <v>15.24875364864516</v>
      </c>
      <c r="G11" s="241">
        <f>IF(ISERR((CCPercentage!K11/100)*$B11), 0, (CCPercentage!K11/100)*$B11)</f>
        <v>899.67646527006423</v>
      </c>
      <c r="H11" s="241">
        <f>IF(ISERR((CCPercentage!L11/100)*$B11), 0, (CCPercentage!L11/100)*$B11)</f>
        <v>9.149252189187095</v>
      </c>
      <c r="I11" s="241">
        <f>IF(ISERR((CCPercentage!M11/100)*$B11), 0, (CCPercentage!M11/100)*$B11)</f>
        <v>0</v>
      </c>
      <c r="J11" s="241">
        <f>IF(ISERR((CCPercentage!N11/100)*$B11), 0, (CCPercentage!N11/100)*$B11)</f>
        <v>13184.072404618604</v>
      </c>
      <c r="K11" s="241">
        <f>IF(ISERR((CCPercentage!O11/100)*$B11), 0, (CCPercentage!O11/100)*$B11)</f>
        <v>170.78604086482576</v>
      </c>
      <c r="L11" s="241">
        <f>IF(ISERR((CCPercentage!P11/100)*$B11), 0, (CCPercentage!P11/100)*$B11)</f>
        <v>0</v>
      </c>
      <c r="M11" s="241">
        <f>IF(ISERR((CCPercentage!Q11/100)*$B11), 0, (CCPercentage!Q11/100)*$B11)</f>
        <v>0</v>
      </c>
      <c r="N11" s="241">
        <f>IF(ISERR((CCPercentage!R11/100)*$B11), 0, (CCPercentage!R11/100)*$B11)</f>
        <v>22116.792291994938</v>
      </c>
      <c r="O11" s="241">
        <f>IF(ISERR((CCPercentage!S11/100)*$B11), 0, (CCPercentage!S11/100)*$B11)</f>
        <v>1639.7493090176424</v>
      </c>
      <c r="P11" s="241">
        <f>IF(ISERR((CCPercentage!T11/100)*$B11), 0, (CCPercentage!T11/100)*$B11)</f>
        <v>0</v>
      </c>
      <c r="Q11" s="241">
        <f>IF(ISERR((CCPercentage!U11/100)*$B11), 0, (CCPercentage!U11/100)*$B11)</f>
        <v>18.29850437837419</v>
      </c>
      <c r="R11" s="241">
        <f>IF(ISERR((CCPercentage!V11/100)*$B11), 0, (CCPercentage!V11/100)*$B11)</f>
        <v>1241.2485469997159</v>
      </c>
      <c r="S11" s="241">
        <f>IF(ISERR((CCPercentage!W11/100)*$B11), 0, (CCPercentage!W11/100)*$B11)</f>
        <v>59.978431018004279</v>
      </c>
      <c r="T11" s="241">
        <f>IF(ISERR((CCPercentage!X11/100)*$B11), 0, (CCPercentage!X11/100)*$B11)</f>
        <v>0</v>
      </c>
      <c r="U11" s="241">
        <f>IF(ISERR((CCPercentage!Y11/100)*$B11), 0, (CCPercentage!Y11/100)*$B11)</f>
        <v>0</v>
      </c>
      <c r="V11" s="474"/>
    </row>
    <row r="12" spans="1:22" ht="15.6">
      <c r="A12" s="330">
        <v>1985</v>
      </c>
      <c r="B12" s="752">
        <f>Harvests!I103</f>
        <v>42517</v>
      </c>
      <c r="C12" s="241">
        <f>IF(ISERR((CCPercentage!G12/100)*$B12), 0, (CCPercentage!G12/100)*$B12)</f>
        <v>0</v>
      </c>
      <c r="D12" s="241">
        <f>IF(ISERR((CCPercentage!H12/100)*$B12), 0, (CCPercentage!H12/100)*$B12)</f>
        <v>56.256692578503412</v>
      </c>
      <c r="E12" s="241">
        <f>IF(ISERR((CCPercentage!I12/100)*$B12), 0, (CCPercentage!I12/100)*$B12)</f>
        <v>0</v>
      </c>
      <c r="F12" s="241">
        <f>IF(ISERR((CCPercentage!J12/100)*$B12), 0, (CCPercentage!J12/100)*$B12)</f>
        <v>43.197103229922263</v>
      </c>
      <c r="G12" s="241">
        <f>IF(ISERR((CCPercentage!K12/100)*$B12), 0, (CCPercentage!K12/100)*$B12)</f>
        <v>2828.907969661886</v>
      </c>
      <c r="H12" s="241">
        <f>IF(ISERR((CCPercentage!L12/100)*$B12), 0, (CCPercentage!L12/100)*$B12)</f>
        <v>0</v>
      </c>
      <c r="I12" s="241">
        <f>IF(ISERR((CCPercentage!M12/100)*$B12), 0, (CCPercentage!M12/100)*$B12)</f>
        <v>62.284195354771633</v>
      </c>
      <c r="J12" s="241">
        <f>IF(ISERR((CCPercentage!N12/100)*$B12), 0, (CCPercentage!N12/100)*$B12)</f>
        <v>12239.848971008672</v>
      </c>
      <c r="K12" s="241">
        <f>IF(ISERR((CCPercentage!O12/100)*$B12), 0, (CCPercentage!O12/100)*$B12)</f>
        <v>70.320865723129259</v>
      </c>
      <c r="L12" s="241">
        <f>IF(ISERR((CCPercentage!#REF!/100)*$B12), 0, (CCPercentage!#REF!/100)*$B12)</f>
        <v>0</v>
      </c>
      <c r="M12" s="241">
        <f>IF(ISERR((CCPercentage!Q12/100)*$B12), 0, (CCPercentage!Q12/100)*$B12)</f>
        <v>0</v>
      </c>
      <c r="N12" s="241">
        <f>IF(ISERR((CCPercentage!R12/100)*$B12), 0, (CCPercentage!R12/100)*$B12)</f>
        <v>25990.591971268575</v>
      </c>
      <c r="O12" s="241">
        <f>IF(ISERR((CCPercentage!S12/100)*$B12), 0, (CCPercentage!S12/100)*$B12)</f>
        <v>344.5722420433334</v>
      </c>
      <c r="P12" s="241">
        <f>IF(ISERR((CCPercentage!T12/100)*$B12), 0, (CCPercentage!T12/100)*$B12)</f>
        <v>0</v>
      </c>
      <c r="Q12" s="241">
        <f>IF(ISERR((CCPercentage!U12/100)*$B12), 0, (CCPercentage!U12/100)*$B12)</f>
        <v>228.04052170214777</v>
      </c>
      <c r="R12" s="241">
        <f>IF(ISERR((CCPercentage!V12/100)*$B12), 0, (CCPercentage!V12/100)*$B12)</f>
        <v>652.97946742905742</v>
      </c>
      <c r="S12" s="241">
        <f>IF(ISERR((CCPercentage!W12/100)*$B12), 0, (CCPercentage!W12/100)*$B12)</f>
        <v>0</v>
      </c>
      <c r="T12" s="241">
        <f>IF(ISERR((CCPercentage!X12/100)*$B12), 0, (CCPercentage!X12/100)*$B12)</f>
        <v>0</v>
      </c>
      <c r="U12" s="241">
        <f>IF(ISERR((CCPercentage!Y12/100)*$B12), 0, (CCPercentage!Y12/100)*$B12)</f>
        <v>0</v>
      </c>
      <c r="V12" s="474"/>
    </row>
    <row r="13" spans="1:22" ht="15.6">
      <c r="A13" s="330">
        <v>1986</v>
      </c>
      <c r="B13" s="752">
        <f>Harvests!I104</f>
        <v>40884</v>
      </c>
      <c r="C13" s="241">
        <f>IF(ISERR((CCPercentage!G13/100)*$B13), 0, (CCPercentage!G13/100)*$B13)</f>
        <v>0</v>
      </c>
      <c r="D13" s="241">
        <f>IF(ISERR((CCPercentage!H13/100)*$B13), 0, (CCPercentage!H13/100)*$B13)</f>
        <v>28.147332185886405</v>
      </c>
      <c r="E13" s="241">
        <f>IF(ISERR((CCPercentage!I13/100)*$B13), 0, (CCPercentage!I13/100)*$B13)</f>
        <v>0</v>
      </c>
      <c r="F13" s="241">
        <f>IF(ISERR((CCPercentage!J13/100)*$B13), 0, (CCPercentage!J13/100)*$B13)</f>
        <v>0</v>
      </c>
      <c r="G13" s="241">
        <f>IF(ISERR((CCPercentage!K13/100)*$B13), 0, (CCPercentage!K13/100)*$B13)</f>
        <v>2352.3127612490775</v>
      </c>
      <c r="H13" s="241">
        <f>IF(ISERR((CCPercentage!L13/100)*$B13), 0, (CCPercentage!L13/100)*$B13)</f>
        <v>0</v>
      </c>
      <c r="I13" s="241">
        <f>IF(ISERR((CCPercentage!M13/100)*$B13), 0, (CCPercentage!M13/100)*$B13)</f>
        <v>38.199950823702977</v>
      </c>
      <c r="J13" s="241">
        <f>IF(ISERR((CCPercentage!N13/100)*$B13), 0, (CCPercentage!N13/100)*$B13)</f>
        <v>21883.545512662899</v>
      </c>
      <c r="K13" s="241">
        <f>IF(ISERR((CCPercentage!O13/100)*$B13), 0, (CCPercentage!O13/100)*$B13)</f>
        <v>46.242045733956232</v>
      </c>
      <c r="L13" s="241">
        <f>IF(ISERR((CCPercentage!#REF!/100)*$B13), 0, (CCPercentage!#REF!/100)*$B13)</f>
        <v>0</v>
      </c>
      <c r="M13" s="241">
        <f>IF(ISERR((CCPercentage!Q13/100)*$B13), 0, (CCPercentage!Q13/100)*$B13)</f>
        <v>0</v>
      </c>
      <c r="N13" s="241">
        <f>IF(ISERR((CCPercentage!R13/100)*$B13), 0, (CCPercentage!R13/100)*$B13)</f>
        <v>14046.524022621099</v>
      </c>
      <c r="O13" s="241">
        <f>IF(ISERR((CCPercentage!S13/100)*$B13), 0, (CCPercentage!S13/100)*$B13)</f>
        <v>1601.3821490041801</v>
      </c>
      <c r="P13" s="241">
        <f>IF(ISERR((CCPercentage!T13/100)*$B13), 0, (CCPercentage!T13/100)*$B13)</f>
        <v>0</v>
      </c>
      <c r="Q13" s="241">
        <f>IF(ISERR((CCPercentage!U13/100)*$B13), 0, (CCPercentage!U13/100)*$B13)</f>
        <v>244.2786328989427</v>
      </c>
      <c r="R13" s="241">
        <f>IF(ISERR((CCPercentage!V13/100)*$B13), 0, (CCPercentage!V13/100)*$B13)</f>
        <v>623.26235554462755</v>
      </c>
      <c r="S13" s="241">
        <f>IF(ISERR((CCPercentage!W13/100)*$B13), 0, (CCPercentage!W13/100)*$B13)</f>
        <v>20.105237275633144</v>
      </c>
      <c r="T13" s="241">
        <f>IF(ISERR((CCPercentage!X13/100)*$B13), 0, (CCPercentage!X13/100)*$B13)</f>
        <v>0</v>
      </c>
      <c r="U13" s="241">
        <f>IF(ISERR((CCPercentage!Y13/100)*$B13), 0, (CCPercentage!Y13/100)*$B13)</f>
        <v>0</v>
      </c>
      <c r="V13" s="474"/>
    </row>
    <row r="14" spans="1:22" ht="15.6">
      <c r="A14" s="330">
        <v>1987</v>
      </c>
      <c r="B14" s="752">
        <f>Harvests!I105</f>
        <v>41084</v>
      </c>
      <c r="C14" s="241">
        <f>IF(ISERR((CCPercentage!G14/100)*$B14), 0, (CCPercentage!G14/100)*$B14)</f>
        <v>0</v>
      </c>
      <c r="D14" s="241">
        <f>IF(ISERR((CCPercentage!H14/100)*$B14), 0, (CCPercentage!H14/100)*$B14)</f>
        <v>19.484941901825945</v>
      </c>
      <c r="E14" s="241">
        <f>IF(ISERR((CCPercentage!I14/100)*$B14), 0, (CCPercentage!I14/100)*$B14)</f>
        <v>19.484941901825945</v>
      </c>
      <c r="F14" s="241">
        <f>IF(ISERR((CCPercentage!J14/100)*$B14), 0, (CCPercentage!J14/100)*$B14)</f>
        <v>19.484941901825945</v>
      </c>
      <c r="G14" s="241">
        <f>IF(ISERR((CCPercentage!K14/100)*$B14), 0, (CCPercentage!K14/100)*$B14)</f>
        <v>826.48628566911691</v>
      </c>
      <c r="H14" s="241">
        <f>IF(ISERR((CCPercentage!L14/100)*$B14), 0, (CCPercentage!L14/100)*$B14)</f>
        <v>0</v>
      </c>
      <c r="I14" s="241">
        <f>IF(ISERR((CCPercentage!M14/100)*$B14), 0, (CCPercentage!M14/100)*$B14)</f>
        <v>42.217374120622878</v>
      </c>
      <c r="J14" s="241">
        <f>IF(ISERR((CCPercentage!N14/100)*$B14), 0, (CCPercentage!N14/100)*$B14)</f>
        <v>9968.171527942457</v>
      </c>
      <c r="K14" s="241">
        <f>IF(ISERR((CCPercentage!O14/100)*$B14), 0, (CCPercentage!O14/100)*$B14)</f>
        <v>19.484941901825945</v>
      </c>
      <c r="L14" s="241">
        <f>IF(ISERR((CCPercentage!P12/100)*$B14), 0, (CCPercentage!P12/100)*$B14)</f>
        <v>0</v>
      </c>
      <c r="M14" s="241">
        <f>IF(ISERR((CCPercentage!Q14/100)*$B14), 0, (CCPercentage!Q14/100)*$B14)</f>
        <v>0</v>
      </c>
      <c r="N14" s="241">
        <f>IF(ISERR((CCPercentage!R14/100)*$B14), 0, (CCPercentage!R14/100)*$B14)</f>
        <v>26247.84048691803</v>
      </c>
      <c r="O14" s="241">
        <f>IF(ISERR((CCPercentage!S14/100)*$B14), 0, (CCPercentage!S14/100)*$B14)</f>
        <v>1328.2235396411349</v>
      </c>
      <c r="P14" s="241">
        <f>IF(ISERR((CCPercentage!T14/100)*$B14), 0, (CCPercentage!T14/100)*$B14)</f>
        <v>0</v>
      </c>
      <c r="Q14" s="241">
        <f>IF(ISERR((CCPercentage!U14/100)*$B14), 0, (CCPercentage!U14/100)*$B14)</f>
        <v>506.60848944747454</v>
      </c>
      <c r="R14" s="241">
        <f>IF(ISERR((CCPercentage!V14/100)*$B14), 0, (CCPercentage!V14/100)*$B14)</f>
        <v>2086.5125286538614</v>
      </c>
      <c r="S14" s="241">
        <f>IF(ISERR((CCPercentage!W14/100)*$B14), 0, (CCPercentage!W14/100)*$B14)</f>
        <v>0</v>
      </c>
      <c r="T14" s="241">
        <f>IF(ISERR((CCPercentage!X14/100)*$B14), 0, (CCPercentage!X14/100)*$B14)</f>
        <v>0</v>
      </c>
      <c r="U14" s="241">
        <f>IF(ISERR((CCPercentage!Y14/100)*$B14), 0, (CCPercentage!Y14/100)*$B14)</f>
        <v>0</v>
      </c>
      <c r="V14" s="474"/>
    </row>
    <row r="15" spans="1:22" ht="15.6">
      <c r="A15" s="330">
        <v>1988</v>
      </c>
      <c r="B15" s="752">
        <f>Harvests!I106</f>
        <v>30819</v>
      </c>
      <c r="C15" s="241">
        <f>IF(ISERR((CCPercentage!G15/100)*$B15), 0, (CCPercentage!G15/100)*$B15)</f>
        <v>0</v>
      </c>
      <c r="D15" s="241">
        <f>IF(ISERR((CCPercentage!H15/100)*$B15), 0, (CCPercentage!H15/100)*$B15)</f>
        <v>13.100067301902163</v>
      </c>
      <c r="E15" s="241">
        <f>IF(ISERR((CCPercentage!I15/100)*$B15), 0, (CCPercentage!I15/100)*$B15)</f>
        <v>43.666891006340542</v>
      </c>
      <c r="F15" s="241">
        <f>IF(ISERR((CCPercentage!J15/100)*$B15), 0, (CCPercentage!J15/100)*$B15)</f>
        <v>13.100067301902163</v>
      </c>
      <c r="G15" s="241">
        <f>IF(ISERR((CCPercentage!K15/100)*$B15), 0, (CCPercentage!K15/100)*$B15)</f>
        <v>970.49665261591872</v>
      </c>
      <c r="H15" s="241">
        <f>IF(ISERR((CCPercentage!L15/100)*$B15), 0, (CCPercentage!L15/100)*$B15)</f>
        <v>30.566823704438384</v>
      </c>
      <c r="I15" s="241">
        <f>IF(ISERR((CCPercentage!M15/100)*$B15), 0, (CCPercentage!M15/100)*$B15)</f>
        <v>28.383479154121357</v>
      </c>
      <c r="J15" s="241">
        <f>IF(ISERR((CCPercentage!N15/100)*$B15), 0, (CCPercentage!N15/100)*$B15)</f>
        <v>7774.8899436789352</v>
      </c>
      <c r="K15" s="241">
        <f>IF(ISERR((CCPercentage!O15/100)*$B15), 0, (CCPercentage!O15/100)*$B15)</f>
        <v>75.325386985937442</v>
      </c>
      <c r="L15" s="241">
        <f>IF(ISERR((CCPercentage!P13/100)*$B15), 0, (CCPercentage!P13/100)*$B15)</f>
        <v>0</v>
      </c>
      <c r="M15" s="241">
        <f>IF(ISERR((CCPercentage!Q15/100)*$B15), 0, (CCPercentage!Q15/100)*$B15)</f>
        <v>0</v>
      </c>
      <c r="N15" s="241">
        <f>IF(ISERR((CCPercentage!R15/100)*$B15), 0, (CCPercentage!R15/100)*$B15)</f>
        <v>19096.623109347878</v>
      </c>
      <c r="O15" s="241">
        <f>IF(ISERR((CCPercentage!S15/100)*$B15), 0, (CCPercentage!S15/100)*$B15)</f>
        <v>572.03627218306121</v>
      </c>
      <c r="P15" s="241">
        <f>IF(ISERR((CCPercentage!T15/100)*$B15), 0, (CCPercentage!T15/100)*$B15)</f>
        <v>0</v>
      </c>
      <c r="Q15" s="241">
        <f>IF(ISERR((CCPercentage!U15/100)*$B15), 0, (CCPercentage!U15/100)*$B15)</f>
        <v>649.54500371931556</v>
      </c>
      <c r="R15" s="241">
        <f>IF(ISERR((CCPercentage!V15/100)*$B15), 0, (CCPercentage!V15/100)*$B15)</f>
        <v>1551.2663030002479</v>
      </c>
      <c r="S15" s="241">
        <f>IF(ISERR((CCPercentage!W15/100)*$B15), 0, (CCPercentage!W15/100)*$B15)</f>
        <v>0</v>
      </c>
      <c r="T15" s="241">
        <f>IF(ISERR((CCPercentage!X15/100)*$B15), 0, (CCPercentage!X15/100)*$B15)</f>
        <v>0</v>
      </c>
      <c r="U15" s="241">
        <f>IF(ISERR((CCPercentage!Y15/100)*$B15), 0, (CCPercentage!Y15/100)*$B15)</f>
        <v>0</v>
      </c>
      <c r="V15" s="474"/>
    </row>
    <row r="16" spans="1:22" ht="15.6">
      <c r="A16" s="330">
        <v>1989</v>
      </c>
      <c r="B16" s="752">
        <f>Harvests!I107</f>
        <v>30949</v>
      </c>
      <c r="C16" s="241">
        <f>IF(ISERR((CCPercentage!G16/100)*$B16), 0, (CCPercentage!G16/100)*$B16)</f>
        <v>0</v>
      </c>
      <c r="D16" s="241">
        <f>IF(ISERR((CCPercentage!H16/100)*$B16), 0, (CCPercentage!H16/100)*$B16)</f>
        <v>0</v>
      </c>
      <c r="E16" s="241">
        <f>IF(ISERR((CCPercentage!I16/100)*$B16), 0, (CCPercentage!I16/100)*$B16)</f>
        <v>45.128317293671628</v>
      </c>
      <c r="F16" s="241">
        <f>IF(ISERR((CCPercentage!J16/100)*$B16), 0, (CCPercentage!J16/100)*$B16)</f>
        <v>0</v>
      </c>
      <c r="G16" s="241">
        <f>IF(ISERR((CCPercentage!K16/100)*$B16), 0, (CCPercentage!K16/100)*$B16)</f>
        <v>792.25268137779074</v>
      </c>
      <c r="H16" s="241">
        <f>IF(ISERR((CCPercentage!L16/100)*$B16), 0, (CCPercentage!L16/100)*$B16)</f>
        <v>62.176792715725355</v>
      </c>
      <c r="I16" s="241">
        <f>IF(ISERR((CCPercentage!M16/100)*$B16), 0, (CCPercentage!M16/100)*$B16)</f>
        <v>14.039920935808949</v>
      </c>
      <c r="J16" s="241">
        <f>IF(ISERR((CCPercentage!N16/100)*$B16), 0, (CCPercentage!N16/100)*$B16)</f>
        <v>7595.5972262726427</v>
      </c>
      <c r="K16" s="241">
        <f>IF(ISERR((CCPercentage!O16/100)*$B16), 0, (CCPercentage!O16/100)*$B16)</f>
        <v>57.162535238650726</v>
      </c>
      <c r="L16" s="241">
        <f>IF(ISERR((CCPercentage!P16/100)*$B16), 0, (CCPercentage!P16/100)*$B16)</f>
        <v>0</v>
      </c>
      <c r="M16" s="241">
        <f>IF(ISERR((CCPercentage!Q16/100)*$B16), 0, (CCPercentage!Q16/100)*$B16)</f>
        <v>0</v>
      </c>
      <c r="N16" s="241">
        <f>IF(ISERR((CCPercentage!R16/100)*$B16), 0, (CCPercentage!R16/100)*$B16)</f>
        <v>19091.283918213925</v>
      </c>
      <c r="O16" s="241">
        <f>IF(ISERR((CCPercentage!S16/100)*$B16), 0, (CCPercentage!S16/100)*$B16)</f>
        <v>698.98749230420265</v>
      </c>
      <c r="P16" s="241">
        <f>IF(ISERR((CCPercentage!T16/100)*$B16), 0, (CCPercentage!T16/100)*$B16)</f>
        <v>0</v>
      </c>
      <c r="Q16" s="241">
        <f>IF(ISERR((CCPercentage!U16/100)*$B16), 0, (CCPercentage!U16/100)*$B16)</f>
        <v>770.18994847866236</v>
      </c>
      <c r="R16" s="241">
        <f>IF(ISERR((CCPercentage!V16/100)*$B16), 0, (CCPercentage!V16/100)*$B16)</f>
        <v>1822.1811671689186</v>
      </c>
      <c r="S16" s="241">
        <f>IF(ISERR((CCPercentage!W16/100)*$B16), 0, (CCPercentage!W16/100)*$B16)</f>
        <v>0</v>
      </c>
      <c r="T16" s="241">
        <f>IF(ISERR((CCPercentage!X16/100)*$B16), 0, (CCPercentage!X16/100)*$B16)</f>
        <v>0</v>
      </c>
      <c r="U16" s="241">
        <f>IF(ISERR((CCPercentage!Y16/100)*$B16), 0, (CCPercentage!Y16/100)*$B16)</f>
        <v>0</v>
      </c>
      <c r="V16" s="474"/>
    </row>
    <row r="17" spans="1:22" ht="15.6">
      <c r="A17" s="330">
        <v>1990</v>
      </c>
      <c r="B17" s="752">
        <f>Harvests!I108</f>
        <v>21776</v>
      </c>
      <c r="C17" s="241">
        <f>IF(ISERR((CCPercentage!G17/100)*$B17), 0, (CCPercentage!G17/100)*$B17)</f>
        <v>0</v>
      </c>
      <c r="D17" s="241">
        <f>IF(ISERR((CCPercentage!H17/100)*$B17), 0, (CCPercentage!H17/100)*$B17)</f>
        <v>54.189124423963136</v>
      </c>
      <c r="E17" s="241">
        <f>IF(ISERR((CCPercentage!I17/100)*$B17), 0, (CCPercentage!I17/100)*$B17)</f>
        <v>65.227649769585256</v>
      </c>
      <c r="F17" s="241">
        <f>IF(ISERR((CCPercentage!J17/100)*$B17), 0, (CCPercentage!J17/100)*$B17)</f>
        <v>5.0175115207373269</v>
      </c>
      <c r="G17" s="241">
        <f>IF(ISERR((CCPercentage!K17/100)*$B17), 0, (CCPercentage!K17/100)*$B17)</f>
        <v>1267.4234101382488</v>
      </c>
      <c r="H17" s="241">
        <f>IF(ISERR((CCPercentage!L17/100)*$B17), 0, (CCPercentage!L17/100)*$B17)</f>
        <v>46.161105990783412</v>
      </c>
      <c r="I17" s="241">
        <f>IF(ISERR((CCPercentage!M17/100)*$B17), 0, (CCPercentage!M17/100)*$B17)</f>
        <v>0</v>
      </c>
      <c r="J17" s="241">
        <f>IF(ISERR((CCPercentage!N17/100)*$B17), 0, (CCPercentage!N17/100)*$B17)</f>
        <v>5455.0385253456225</v>
      </c>
      <c r="K17" s="241">
        <f>IF(ISERR((CCPercentage!O17/100)*$B17), 0, (CCPercentage!O17/100)*$B17)</f>
        <v>279.97714285714284</v>
      </c>
      <c r="L17" s="241">
        <f>IF(ISERR((CCPercentage!P17/100)*$B17), 0, (CCPercentage!P17/100)*$B17)</f>
        <v>0</v>
      </c>
      <c r="M17" s="241">
        <f>IF(ISERR((CCPercentage!Q17/100)*$B17), 0, (CCPercentage!Q17/100)*$B17)</f>
        <v>0</v>
      </c>
      <c r="N17" s="241">
        <f>IF(ISERR((CCPercentage!R17/100)*$B17), 0, (CCPercentage!R17/100)*$B17)</f>
        <v>11753.018986175115</v>
      </c>
      <c r="O17" s="241">
        <f>IF(ISERR((CCPercentage!S17/100)*$B17), 0, (CCPercentage!S17/100)*$B17)</f>
        <v>459.60405529953914</v>
      </c>
      <c r="P17" s="241">
        <f>IF(ISERR((CCPercentage!T17/100)*$B17), 0, (CCPercentage!T17/100)*$B17)</f>
        <v>41.143594470046075</v>
      </c>
      <c r="Q17" s="241">
        <f>IF(ISERR((CCPercentage!U17/100)*$B17), 0, (CCPercentage!U17/100)*$B17)</f>
        <v>382.33437788018432</v>
      </c>
      <c r="R17" s="241">
        <f>IF(ISERR((CCPercentage!V17/100)*$B17), 0, (CCPercentage!V17/100)*$B17)</f>
        <v>1881.5668202764978</v>
      </c>
      <c r="S17" s="241">
        <f>IF(ISERR((CCPercentage!W17/100)*$B17), 0, (CCPercentage!W17/100)*$B17)</f>
        <v>18.063041474654376</v>
      </c>
      <c r="T17" s="241">
        <f>IF(ISERR((CCPercentage!X17/100)*$B17), 0, (CCPercentage!X17/100)*$B17)</f>
        <v>67.234654377880176</v>
      </c>
      <c r="U17" s="241">
        <f>IF(ISERR((CCPercentage!Y17/100)*$B17), 0, (CCPercentage!Y17/100)*$B17)</f>
        <v>0</v>
      </c>
      <c r="V17" s="474"/>
    </row>
    <row r="18" spans="1:22" ht="15.6">
      <c r="A18" s="330">
        <v>1991</v>
      </c>
      <c r="B18" s="752">
        <f>Harvests!I109</f>
        <v>34951</v>
      </c>
      <c r="C18" s="241">
        <f>IF(ISERR((CCPercentage!G18/100)*$B18), 0, (CCPercentage!G18/100)*$B18)</f>
        <v>9.0421697136943777</v>
      </c>
      <c r="D18" s="241">
        <f>IF(ISERR((CCPercentage!H18/100)*$B18), 0, (CCPercentage!H18/100)*$B18)</f>
        <v>80.374841899505569</v>
      </c>
      <c r="E18" s="241">
        <f>IF(ISERR((CCPercentage!I18/100)*$B18), 0, (CCPercentage!I18/100)*$B18)</f>
        <v>87.407640565712313</v>
      </c>
      <c r="F18" s="241">
        <f>IF(ISERR((CCPercentage!J18/100)*$B18), 0, (CCPercentage!J18/100)*$B18)</f>
        <v>174.81528113142463</v>
      </c>
      <c r="G18" s="241">
        <f>IF(ISERR((CCPercentage!K18/100)*$B18), 0, (CCPercentage!K18/100)*$B18)</f>
        <v>1143.3321260204668</v>
      </c>
      <c r="H18" s="241">
        <f>IF(ISERR((CCPercentage!L18/100)*$B18), 0, (CCPercentage!L18/100)*$B18)</f>
        <v>42.196791997240425</v>
      </c>
      <c r="I18" s="241">
        <f>IF(ISERR((CCPercentage!M18/100)*$B18), 0, (CCPercentage!M18/100)*$B18)</f>
        <v>197.92304817753245</v>
      </c>
      <c r="J18" s="241">
        <f>IF(ISERR((CCPercentage!N18/100)*$B18), 0, (CCPercentage!N18/100)*$B18)</f>
        <v>19733.028371852361</v>
      </c>
      <c r="K18" s="241">
        <f>IF(ISERR((CCPercentage!O18/100)*$B18), 0, (CCPercentage!O18/100)*$B18)</f>
        <v>164.76842589398643</v>
      </c>
      <c r="L18" s="241">
        <f>IF(ISERR((CCPercentage!P18/100)*$B18), 0, (CCPercentage!P18/100)*$B18)</f>
        <v>0</v>
      </c>
      <c r="M18" s="241">
        <f>IF(ISERR((CCPercentage!Q18/100)*$B18), 0, (CCPercentage!Q18/100)*$B18)</f>
        <v>0</v>
      </c>
      <c r="N18" s="241">
        <f>IF(ISERR((CCPercentage!R18/100)*$B18), 0, (CCPercentage!R18/100)*$B18)</f>
        <v>11986.902983787513</v>
      </c>
      <c r="O18" s="241">
        <f>IF(ISERR((CCPercentage!S18/100)*$B18), 0, (CCPercentage!S18/100)*$B18)</f>
        <v>524.44584339427388</v>
      </c>
      <c r="P18" s="241">
        <f>IF(ISERR((CCPercentage!T18/100)*$B18), 0, (CCPercentage!T18/100)*$B18)</f>
        <v>9.0421697136943777</v>
      </c>
      <c r="Q18" s="241">
        <f>IF(ISERR((CCPercentage!U18/100)*$B18), 0, (CCPercentage!U18/100)*$B18)</f>
        <v>354.65398988156835</v>
      </c>
      <c r="R18" s="241">
        <f>IF(ISERR((CCPercentage!V18/100)*$B18), 0, (CCPercentage!V18/100)*$B18)</f>
        <v>418.95386340117278</v>
      </c>
      <c r="S18" s="241">
        <f>IF(ISERR((CCPercentage!W18/100)*$B18), 0, (CCPercentage!W18/100)*$B18)</f>
        <v>0</v>
      </c>
      <c r="T18" s="241">
        <f>IF(ISERR((CCPercentage!X18/100)*$B18), 0, (CCPercentage!X18/100)*$B18)</f>
        <v>24.112452569851673</v>
      </c>
      <c r="U18" s="241">
        <f>IF(ISERR((CCPercentage!Y18/100)*$B18), 0, (CCPercentage!Y18/100)*$B18)</f>
        <v>0</v>
      </c>
      <c r="V18" s="474"/>
    </row>
    <row r="19" spans="1:22" ht="15.6">
      <c r="A19" s="330">
        <v>1992</v>
      </c>
      <c r="B19" s="752">
        <f>Harvests!I110</f>
        <v>39973</v>
      </c>
      <c r="C19" s="241">
        <f>IF(ISERR((CCPercentage!G19/100)*$B19), 0, (CCPercentage!G19/100)*$B19)</f>
        <v>0</v>
      </c>
      <c r="D19" s="241">
        <f>IF(ISERR((CCPercentage!H19/100)*$B19), 0, (CCPercentage!H19/100)*$B19)</f>
        <v>0</v>
      </c>
      <c r="E19" s="241">
        <f>IF(ISERR((CCPercentage!I19/100)*$B19), 0, (CCPercentage!I19/100)*$B19)</f>
        <v>50.211028765230495</v>
      </c>
      <c r="F19" s="241">
        <f>IF(ISERR((CCPercentage!J19/100)*$B19), 0, (CCPercentage!J19/100)*$B19)</f>
        <v>64.270116819495044</v>
      </c>
      <c r="G19" s="241">
        <f>IF(ISERR((CCPercentage!K19/100)*$B19), 0, (CCPercentage!K19/100)*$B19)</f>
        <v>1703.1580957166184</v>
      </c>
      <c r="H19" s="241">
        <f>IF(ISERR((CCPercentage!L19/100)*$B19), 0, (CCPercentage!L19/100)*$B19)</f>
        <v>0</v>
      </c>
      <c r="I19" s="241">
        <f>IF(ISERR((CCPercentage!M19/100)*$B19), 0, (CCPercentage!M19/100)*$B19)</f>
        <v>140.59088054264538</v>
      </c>
      <c r="J19" s="241">
        <f>IF(ISERR((CCPercentage!N19/100)*$B19), 0, (CCPercentage!N19/100)*$B19)</f>
        <v>5133.5755809571656</v>
      </c>
      <c r="K19" s="241">
        <f>IF(ISERR((CCPercentage!O19/100)*$B19), 0, (CCPercentage!O19/100)*$B19)</f>
        <v>267.12267303102624</v>
      </c>
      <c r="L19" s="241">
        <f>IF(ISERR((CCPercentage!P19/100)*$B19), 0, (CCPercentage!P19/100)*$B19)</f>
        <v>0</v>
      </c>
      <c r="M19" s="241">
        <f>IF(ISERR((CCPercentage!Q19/100)*$B19), 0, (CCPercentage!Q19/100)*$B19)</f>
        <v>19.080190930787591</v>
      </c>
      <c r="N19" s="241">
        <f>IF(ISERR((CCPercentage!R19/100)*$B19), 0, (CCPercentage!R19/100)*$B19)</f>
        <v>29611.452104007036</v>
      </c>
      <c r="O19" s="241">
        <f>IF(ISERR((CCPercentage!S19/100)*$B19), 0, (CCPercentage!S19/100)*$B19)</f>
        <v>524.20314030900636</v>
      </c>
      <c r="P19" s="241">
        <f>IF(ISERR((CCPercentage!T19/100)*$B19), 0, (CCPercentage!T19/100)*$B19)</f>
        <v>36.15194071096596</v>
      </c>
      <c r="Q19" s="241">
        <f>IF(ISERR((CCPercentage!U19/100)*$B19), 0, (CCPercentage!U19/100)*$B19)</f>
        <v>365.536289410878</v>
      </c>
      <c r="R19" s="241">
        <f>IF(ISERR((CCPercentage!V19/100)*$B19), 0, (CCPercentage!V19/100)*$B19)</f>
        <v>1978.3145333500813</v>
      </c>
      <c r="S19" s="241">
        <f>IF(ISERR((CCPercentage!W19/100)*$B19), 0, (CCPercentage!W19/100)*$B19)</f>
        <v>0</v>
      </c>
      <c r="T19" s="241">
        <f>IF(ISERR((CCPercentage!X19/100)*$B19), 0, (CCPercentage!X19/100)*$B19)</f>
        <v>21.08863208139681</v>
      </c>
      <c r="U19" s="241">
        <f>IF(ISERR((CCPercentage!Y19/100)*$B19), 0, (CCPercentage!Y19/100)*$B19)</f>
        <v>58.244793367667377</v>
      </c>
      <c r="V19" s="474"/>
    </row>
    <row r="20" spans="1:22" ht="15.6">
      <c r="A20" s="330">
        <v>1993</v>
      </c>
      <c r="B20" s="752">
        <f>Harvests!I111</f>
        <v>29977</v>
      </c>
      <c r="C20" s="241">
        <f>IF(ISERR((CCPercentage!G20/100)*$B20), 0, (CCPercentage!G20/100)*$B20)</f>
        <v>0</v>
      </c>
      <c r="D20" s="241">
        <f>IF(ISERR((CCPercentage!H20/100)*$B20), 0, (CCPercentage!H20/100)*$B20)</f>
        <v>107.8998553503549</v>
      </c>
      <c r="E20" s="241">
        <f>IF(ISERR((CCPercentage!I20/100)*$B20), 0, (CCPercentage!I20/100)*$B20)</f>
        <v>45.378443838934302</v>
      </c>
      <c r="F20" s="241">
        <f>IF(ISERR((CCPercentage!J20/100)*$B20), 0, (CCPercentage!J20/100)*$B20)</f>
        <v>12.100918357049148</v>
      </c>
      <c r="G20" s="241">
        <f>IF(ISERR((CCPercentage!K20/100)*$B20), 0, (CCPercentage!K20/100)*$B20)</f>
        <v>1978.5001513775355</v>
      </c>
      <c r="H20" s="241">
        <f>IF(ISERR((CCPercentage!L20/100)*$B20), 0, (CCPercentage!L20/100)*$B20)</f>
        <v>0</v>
      </c>
      <c r="I20" s="241">
        <f>IF(ISERR((CCPercentage!M20/100)*$B20), 0, (CCPercentage!M20/100)*$B20)</f>
        <v>36.302755071147438</v>
      </c>
      <c r="J20" s="241">
        <f>IF(ISERR((CCPercentage!N20/100)*$B20), 0, (CCPercentage!N20/100)*$B20)</f>
        <v>18978.273623305413</v>
      </c>
      <c r="K20" s="241">
        <f>IF(ISERR((CCPercentage!O20/100)*$B20), 0, (CCPercentage!O20/100)*$B20)</f>
        <v>57.479362195983448</v>
      </c>
      <c r="L20" s="241">
        <f>IF(ISERR((CCPercentage!P20/100)*$B20), 0, (CCPercentage!P20/100)*$B20)</f>
        <v>0</v>
      </c>
      <c r="M20" s="241">
        <f>IF(ISERR((CCPercentage!Q20/100)*$B20), 0, (CCPercentage!Q20/100)*$B20)</f>
        <v>9.0756887677868594</v>
      </c>
      <c r="N20" s="241">
        <f>IF(ISERR((CCPercentage!R20/100)*$B20), 0, (CCPercentage!R20/100)*$B20)</f>
        <v>7480.3843643825476</v>
      </c>
      <c r="O20" s="241">
        <f>IF(ISERR((CCPercentage!S20/100)*$B20), 0, (CCPercentage!S20/100)*$B20)</f>
        <v>544.54132606721168</v>
      </c>
      <c r="P20" s="241">
        <f>IF(ISERR((CCPercentage!T20/100)*$B20), 0, (CCPercentage!T20/100)*$B20)</f>
        <v>0</v>
      </c>
      <c r="Q20" s="241">
        <f>IF(ISERR((CCPercentage!U20/100)*$B20), 0, (CCPercentage!U20/100)*$B20)</f>
        <v>401.34712550879675</v>
      </c>
      <c r="R20" s="241">
        <f>IF(ISERR((CCPercentage!V20/100)*$B20), 0, (CCPercentage!V20/100)*$B20)</f>
        <v>325.71638577723957</v>
      </c>
      <c r="S20" s="241">
        <f>IF(ISERR((CCPercentage!W20/100)*$B20), 0, (CCPercentage!W20/100)*$B20)</f>
        <v>0</v>
      </c>
      <c r="T20" s="241">
        <f>IF(ISERR((CCPercentage!X20/100)*$B20), 0, (CCPercentage!X20/100)*$B20)</f>
        <v>0</v>
      </c>
      <c r="U20" s="241">
        <f>IF(ISERR((CCPercentage!Y20/100)*$B20), 0, (CCPercentage!Y20/100)*$B20)</f>
        <v>0</v>
      </c>
      <c r="V20" s="474"/>
    </row>
    <row r="21" spans="1:22" ht="15.6">
      <c r="A21" s="330">
        <v>1994</v>
      </c>
      <c r="B21" s="752">
        <f>Harvests!I112</f>
        <v>48097</v>
      </c>
      <c r="C21" s="241">
        <f>IF(ISERR((CCPercentage!G21/100)*$B21), 0, (CCPercentage!G21/100)*$B21)</f>
        <v>0</v>
      </c>
      <c r="D21" s="241">
        <f>IF(ISERR((CCPercentage!H21/100)*$B21), 0, (CCPercentage!H21/100)*$B21)</f>
        <v>50.08081344694957</v>
      </c>
      <c r="E21" s="241">
        <f>IF(ISERR((CCPercentage!I21/100)*$B21), 0, (CCPercentage!I21/100)*$B21)</f>
        <v>23.507320597547761</v>
      </c>
      <c r="F21" s="241">
        <f>IF(ISERR((CCPercentage!J21/100)*$B21), 0, (CCPercentage!J21/100)*$B21)</f>
        <v>0</v>
      </c>
      <c r="G21" s="241">
        <f>IF(ISERR((CCPercentage!K21/100)*$B21), 0, (CCPercentage!K21/100)*$B21)</f>
        <v>2500.9745000956245</v>
      </c>
      <c r="H21" s="241">
        <f>IF(ISERR((CCPercentage!L21/100)*$B21), 0, (CCPercentage!L21/100)*$B21)</f>
        <v>0</v>
      </c>
      <c r="I21" s="241">
        <f>IF(ISERR((CCPercentage!M21/100)*$B21), 0, (CCPercentage!M21/100)*$B21)</f>
        <v>44.970526360526151</v>
      </c>
      <c r="J21" s="241">
        <f>IF(ISERR((CCPercentage!N21/100)*$B21), 0, (CCPercentage!N21/100)*$B21)</f>
        <v>18844.694659895027</v>
      </c>
      <c r="K21" s="241">
        <f>IF(ISERR((CCPercentage!O21/100)*$B21), 0, (CCPercentage!O21/100)*$B21)</f>
        <v>0</v>
      </c>
      <c r="L21" s="241">
        <f>IF(ISERR((CCPercentage!P21/100)*$B21), 0, (CCPercentage!P21/100)*$B21)</f>
        <v>0</v>
      </c>
      <c r="M21" s="241">
        <f>IF(ISERR((CCPercentage!Q21/100)*$B21), 0, (CCPercentage!Q21/100)*$B21)</f>
        <v>0</v>
      </c>
      <c r="N21" s="241">
        <f>IF(ISERR((CCPercentage!R21/100)*$B21), 0, (CCPercentage!R21/100)*$B21)</f>
        <v>26152.405193480525</v>
      </c>
      <c r="O21" s="241">
        <f>IF(ISERR((CCPercentage!S21/100)*$B21), 0, (CCPercentage!S21/100)*$B21)</f>
        <v>117.5366029877388</v>
      </c>
      <c r="P21" s="241">
        <f>IF(ISERR((CCPercentage!T21/100)*$B21), 0, (CCPercentage!T21/100)*$B21)</f>
        <v>0</v>
      </c>
      <c r="Q21" s="241">
        <f>IF(ISERR((CCPercentage!U21/100)*$B21), 0, (CCPercentage!U21/100)*$B21)</f>
        <v>213.61000021249919</v>
      </c>
      <c r="R21" s="241">
        <f>IF(ISERR((CCPercentage!V21/100)*$B21), 0, (CCPercentage!V21/100)*$B21)</f>
        <v>149.22038292356405</v>
      </c>
      <c r="S21" s="241">
        <f>IF(ISERR((CCPercentage!W21/100)*$B21), 0, (CCPercentage!W21/100)*$B21)</f>
        <v>0</v>
      </c>
      <c r="T21" s="241">
        <f>IF(ISERR((CCPercentage!X21/100)*$B21), 0, (CCPercentage!X21/100)*$B21)</f>
        <v>0</v>
      </c>
      <c r="U21" s="241">
        <f>IF(ISERR((CCPercentage!Y21/100)*$B21), 0, (CCPercentage!Y21/100)*$B21)</f>
        <v>0</v>
      </c>
      <c r="V21" s="474"/>
    </row>
    <row r="22" spans="1:22" ht="15.6">
      <c r="A22" s="330">
        <v>1995</v>
      </c>
      <c r="B22" s="752">
        <f>Harvests!I113</f>
        <v>67561</v>
      </c>
      <c r="C22" s="241">
        <f>IF(ISERR((CCPercentage!G22/100)*$B22), 0, (CCPercentage!G22/100)*$B22)</f>
        <v>0</v>
      </c>
      <c r="D22" s="241">
        <f>IF(ISERR((CCPercentage!H22/100)*$B22), 0, (CCPercentage!H22/100)*$B22)</f>
        <v>0</v>
      </c>
      <c r="E22" s="241">
        <f>IF(ISERR((CCPercentage!I22/100)*$B22), 0, (CCPercentage!I22/100)*$B22)</f>
        <v>189.28684106343454</v>
      </c>
      <c r="F22" s="241">
        <f>IF(ISERR((CCPercentage!J22/100)*$B22), 0, (CCPercentage!J22/100)*$B22)</f>
        <v>0</v>
      </c>
      <c r="G22" s="241">
        <f>IF(ISERR((CCPercentage!K22/100)*$B22), 0, (CCPercentage!K22/100)*$B22)</f>
        <v>3979.1385936595912</v>
      </c>
      <c r="H22" s="241">
        <f>IF(ISERR((CCPercentage!L22/100)*$B22), 0, (CCPercentage!L22/100)*$B22)</f>
        <v>0</v>
      </c>
      <c r="I22" s="241">
        <f>IF(ISERR((CCPercentage!M22/100)*$B22), 0, (CCPercentage!M22/100)*$B22)</f>
        <v>0</v>
      </c>
      <c r="J22" s="241">
        <f>IF(ISERR((CCPercentage!N22/100)*$B22), 0, (CCPercentage!N22/100)*$B22)</f>
        <v>36293.69430824984</v>
      </c>
      <c r="K22" s="241">
        <f>IF(ISERR((CCPercentage!O22/100)*$B22), 0, (CCPercentage!O22/100)*$B22)</f>
        <v>84.356092213052349</v>
      </c>
      <c r="L22" s="241">
        <f>IF(ISERR((CCPercentage!P22/100)*$B22), 0, (CCPercentage!P22/100)*$B22)</f>
        <v>0</v>
      </c>
      <c r="M22" s="241">
        <f>IF(ISERR((CCPercentage!Q22/100)*$B22), 0, (CCPercentage!Q22/100)*$B22)</f>
        <v>0</v>
      </c>
      <c r="N22" s="241">
        <f>IF(ISERR((CCPercentage!R22/100)*$B22), 0, (CCPercentage!R22/100)*$B22)</f>
        <v>25847.941133477478</v>
      </c>
      <c r="O22" s="241">
        <f>IF(ISERR((CCPercentage!S22/100)*$B22), 0, (CCPercentage!S22/100)*$B22)</f>
        <v>473.21710265858633</v>
      </c>
      <c r="P22" s="241">
        <f>IF(ISERR((CCPercentage!T22/100)*$B22), 0, (CCPercentage!T22/100)*$B22)</f>
        <v>0</v>
      </c>
      <c r="Q22" s="241">
        <f>IF(ISERR((CCPercentage!U22/100)*$B22), 0, (CCPercentage!U22/100)*$B22)</f>
        <v>652.21661540335595</v>
      </c>
      <c r="R22" s="241">
        <f>IF(ISERR((CCPercentage!V22/100)*$B22), 0, (CCPercentage!V22/100)*$B22)</f>
        <v>41.149313274659683</v>
      </c>
      <c r="S22" s="241">
        <f>IF(ISERR((CCPercentage!W22/100)*$B22), 0, (CCPercentage!W22/100)*$B22)</f>
        <v>0</v>
      </c>
      <c r="T22" s="241">
        <f>IF(ISERR((CCPercentage!X22/100)*$B22), 0, (CCPercentage!X22/100)*$B22)</f>
        <v>0</v>
      </c>
      <c r="U22" s="241">
        <f>IF(ISERR((CCPercentage!Y22/100)*$B22), 0, (CCPercentage!Y22/100)*$B22)</f>
        <v>0</v>
      </c>
      <c r="V22" s="474"/>
    </row>
    <row r="23" spans="1:22" ht="15.6">
      <c r="A23" s="330">
        <v>1996</v>
      </c>
      <c r="B23" s="752">
        <f>Harvests!I114</f>
        <v>58202</v>
      </c>
      <c r="C23" s="241">
        <f>IF(ISERR((CCPercentage!G23/100)*$B23), 0, (CCPercentage!G23/100)*$B23)</f>
        <v>0</v>
      </c>
      <c r="D23" s="241">
        <f>IF(ISERR((CCPercentage!H23/100)*$B23), 0, (CCPercentage!H23/100)*$B23)</f>
        <v>0</v>
      </c>
      <c r="E23" s="241">
        <f>IF(ISERR((CCPercentage!I23/100)*$B23), 0, (CCPercentage!I23/100)*$B23)</f>
        <v>342.02016317435215</v>
      </c>
      <c r="F23" s="241">
        <f>IF(ISERR((CCPercentage!J23/100)*$B23), 0, (CCPercentage!J23/100)*$B23)</f>
        <v>0</v>
      </c>
      <c r="G23" s="241">
        <f>IF(ISERR((CCPercentage!K23/100)*$B23), 0, (CCPercentage!K23/100)*$B23)</f>
        <v>3803.0131905258236</v>
      </c>
      <c r="H23" s="241">
        <f>IF(ISERR((CCPercentage!L23/100)*$B23), 0, (CCPercentage!L23/100)*$B23)</f>
        <v>85.766524098767221</v>
      </c>
      <c r="I23" s="241">
        <f>IF(ISERR((CCPercentage!M23/100)*$B23), 0, (CCPercentage!M23/100)*$B23)</f>
        <v>0</v>
      </c>
      <c r="J23" s="241">
        <f>IF(ISERR((CCPercentage!N23/100)*$B23), 0, (CCPercentage!N23/100)*$B23)</f>
        <v>27181.712539984906</v>
      </c>
      <c r="K23" s="241">
        <f>IF(ISERR((CCPercentage!O23/100)*$B23), 0, (CCPercentage!O23/100)*$B23)</f>
        <v>285.53976925565178</v>
      </c>
      <c r="L23" s="241">
        <f>IF(ISERR((CCPercentage!P23/100)*$B23), 0, (CCPercentage!P23/100)*$B23)</f>
        <v>42.88326204938361</v>
      </c>
      <c r="M23" s="241">
        <f>IF(ISERR((CCPercentage!Q23/100)*$B23), 0, (CCPercentage!Q23/100)*$B23)</f>
        <v>0</v>
      </c>
      <c r="N23" s="241">
        <f>IF(ISERR((CCPercentage!R23/100)*$B23), 0, (CCPercentage!R23/100)*$B23)</f>
        <v>25719.497897422996</v>
      </c>
      <c r="O23" s="241">
        <f>IF(ISERR((CCPercentage!S23/100)*$B23), 0, (CCPercentage!S23/100)*$B23)</f>
        <v>379.67375912015245</v>
      </c>
      <c r="P23" s="241">
        <f>IF(ISERR((CCPercentage!T23/100)*$B23), 0, (CCPercentage!T23/100)*$B23)</f>
        <v>0</v>
      </c>
      <c r="Q23" s="241">
        <f>IF(ISERR((CCPercentage!U23/100)*$B23), 0, (CCPercentage!U23/100)*$B23)</f>
        <v>76.353125112317144</v>
      </c>
      <c r="R23" s="241">
        <f>IF(ISERR((CCPercentage!V23/100)*$B23), 0, (CCPercentage!V23/100)*$B23)</f>
        <v>261.48330517916827</v>
      </c>
      <c r="S23" s="241">
        <f>IF(ISERR((CCPercentage!W23/100)*$B23), 0, (CCPercentage!W23/100)*$B23)</f>
        <v>0</v>
      </c>
      <c r="T23" s="241">
        <f>IF(ISERR((CCPercentage!X23/100)*$B23), 0, (CCPercentage!X23/100)*$B23)</f>
        <v>24.056464076483486</v>
      </c>
      <c r="U23" s="241">
        <f>IF(ISERR((CCPercentage!Y23/100)*$B23), 0, (CCPercentage!Y23/100)*$B23)</f>
        <v>0</v>
      </c>
      <c r="V23" s="474"/>
    </row>
    <row r="24" spans="1:22" ht="15.6">
      <c r="A24" s="330">
        <v>1997</v>
      </c>
      <c r="B24" s="752">
        <f>Harvests!I115</f>
        <v>52742</v>
      </c>
      <c r="C24" s="241">
        <f>IF(ISERR((CCPercentage!G24/100)*$B24), 0, (CCPercentage!G24/100)*$B24)</f>
        <v>0</v>
      </c>
      <c r="D24" s="241">
        <f>IF(ISERR((CCPercentage!H24/100)*$B24), 0, (CCPercentage!H24/100)*$B24)</f>
        <v>0</v>
      </c>
      <c r="E24" s="241">
        <f>IF(ISERR((CCPercentage!I24/100)*$B24), 0, (CCPercentage!I24/100)*$B24)</f>
        <v>132.69333385341497</v>
      </c>
      <c r="F24" s="241">
        <f>IF(ISERR((CCPercentage!J24/100)*$B24), 0, (CCPercentage!J24/100)*$B24)</f>
        <v>0</v>
      </c>
      <c r="G24" s="241">
        <f>IF(ISERR((CCPercentage!K24/100)*$B24), 0, (CCPercentage!K24/100)*$B24)</f>
        <v>4931.2545929710959</v>
      </c>
      <c r="H24" s="241">
        <f>IF(ISERR((CCPercentage!L24/100)*$B24), 0, (CCPercentage!L24/100)*$B24)</f>
        <v>0</v>
      </c>
      <c r="I24" s="241">
        <f>IF(ISERR((CCPercentage!M24/100)*$B24), 0, (CCPercentage!M24/100)*$B24)</f>
        <v>0</v>
      </c>
      <c r="J24" s="241">
        <f>IF(ISERR((CCPercentage!N24/100)*$B24), 0, (CCPercentage!N24/100)*$B24)</f>
        <v>30382.658930452082</v>
      </c>
      <c r="K24" s="241">
        <f>IF(ISERR((CCPercentage!O24/100)*$B24), 0, (CCPercentage!O24/100)*$B24)</f>
        <v>0</v>
      </c>
      <c r="L24" s="241">
        <f>IF(ISERR((CCPercentage!P24/100)*$B24), 0, (CCPercentage!P24/100)*$B24)</f>
        <v>0</v>
      </c>
      <c r="M24" s="241">
        <f>IF(ISERR((CCPercentage!Q24/100)*$B24), 0, (CCPercentage!Q24/100)*$B24)</f>
        <v>0</v>
      </c>
      <c r="N24" s="241">
        <f>IF(ISERR((CCPercentage!R24/100)*$B24), 0, (CCPercentage!R24/100)*$B24)</f>
        <v>16376.82611069938</v>
      </c>
      <c r="O24" s="241">
        <f>IF(ISERR((CCPercentage!S24/100)*$B24), 0, (CCPercentage!S24/100)*$B24)</f>
        <v>598.66294808284897</v>
      </c>
      <c r="P24" s="241">
        <f>IF(ISERR((CCPercentage!T24/100)*$B24), 0, (CCPercentage!T24/100)*$B24)</f>
        <v>0</v>
      </c>
      <c r="Q24" s="241">
        <f>IF(ISERR((CCPercentage!U24/100)*$B24), 0, (CCPercentage!U24/100)*$B24)</f>
        <v>77.147287124078488</v>
      </c>
      <c r="R24" s="241">
        <f>IF(ISERR((CCPercentage!V24/100)*$B24), 0, (CCPercentage!V24/100)*$B24)</f>
        <v>242.75679681710028</v>
      </c>
      <c r="S24" s="241">
        <f>IF(ISERR((CCPercentage!W24/100)*$B24), 0, (CCPercentage!W24/100)*$B24)</f>
        <v>0</v>
      </c>
      <c r="T24" s="241">
        <f>IF(ISERR((CCPercentage!X24/100)*$B24), 0, (CCPercentage!X24/100)*$B24)</f>
        <v>0</v>
      </c>
      <c r="U24" s="241">
        <f>IF(ISERR((CCPercentage!Y24/100)*$B24), 0, (CCPercentage!Y24/100)*$B24)</f>
        <v>0</v>
      </c>
      <c r="V24" s="474"/>
    </row>
    <row r="25" spans="1:22" ht="15.6">
      <c r="A25" s="330">
        <v>1998</v>
      </c>
      <c r="B25" s="752">
        <f>Harvests!I116</f>
        <v>70603</v>
      </c>
      <c r="C25" s="241">
        <f>IF(ISERR((CCPercentage!G25/100)*$B25), 0, (CCPercentage!G25/100)*$B25)</f>
        <v>0</v>
      </c>
      <c r="D25" s="241">
        <f>IF(ISERR((CCPercentage!H25/100)*$B25), 0, (CCPercentage!H25/100)*$B25)</f>
        <v>44.109564560419606</v>
      </c>
      <c r="E25" s="241">
        <f>IF(ISERR((CCPercentage!I25/100)*$B25), 0, (CCPercentage!I25/100)*$B25)</f>
        <v>179.51566972263797</v>
      </c>
      <c r="F25" s="241">
        <f>IF(ISERR((CCPercentage!J25/100)*$B25), 0, (CCPercentage!J25/100)*$B25)</f>
        <v>44.109564560419606</v>
      </c>
      <c r="G25" s="241">
        <f>IF(ISERR((CCPercentage!K25/100)*$B25), 0, (CCPercentage!K25/100)*$B25)</f>
        <v>4616.1172214392609</v>
      </c>
      <c r="H25" s="241">
        <f>IF(ISERR((CCPercentage!L25/100)*$B25), 0, (CCPercentage!L25/100)*$B25)</f>
        <v>44.109564560419606</v>
      </c>
      <c r="I25" s="241">
        <f>IF(ISERR((CCPercentage!M25/100)*$B25), 0, (CCPercentage!M25/100)*$B25)</f>
        <v>0</v>
      </c>
      <c r="J25" s="241">
        <f>IF(ISERR((CCPercentage!N25/100)*$B25), 0, (CCPercentage!N25/100)*$B25)</f>
        <v>44954.826913856479</v>
      </c>
      <c r="K25" s="241">
        <f>IF(ISERR((CCPercentage!O25/100)*$B25), 0, (CCPercentage!O25/100)*$B25)</f>
        <v>191.82531564647593</v>
      </c>
      <c r="L25" s="241">
        <f>IF(ISERR((CCPercentage!P25/100)*$B25), 0, (CCPercentage!P25/100)*$B25)</f>
        <v>0</v>
      </c>
      <c r="M25" s="241">
        <f>IF(ISERR((CCPercentage!Q25/100)*$B25), 0, (CCPercentage!Q25/100)*$B25)</f>
        <v>0</v>
      </c>
      <c r="N25" s="241">
        <f>IF(ISERR((CCPercentage!R25/100)*$B25), 0, (CCPercentage!R25/100)*$B25)</f>
        <v>19539.511296438897</v>
      </c>
      <c r="O25" s="241">
        <f>IF(ISERR((CCPercentage!S25/100)*$B25), 0, (CCPercentage!S25/100)*$B25)</f>
        <v>347.7474973484243</v>
      </c>
      <c r="P25" s="241">
        <f>IF(ISERR((CCPercentage!T25/100)*$B25), 0, (CCPercentage!T25/100)*$B25)</f>
        <v>0</v>
      </c>
      <c r="Q25" s="241">
        <f>IF(ISERR((CCPercentage!U25/100)*$B25), 0, (CCPercentage!U25/100)*$B25)</f>
        <v>0</v>
      </c>
      <c r="R25" s="241">
        <f>IF(ISERR((CCPercentage!V25/100)*$B25), 0, (CCPercentage!V25/100)*$B25)</f>
        <v>641.12739186656404</v>
      </c>
      <c r="S25" s="241">
        <f>IF(ISERR((CCPercentage!W25/100)*$B25), 0, (CCPercentage!W25/100)*$B25)</f>
        <v>0</v>
      </c>
      <c r="T25" s="241">
        <f>IF(ISERR((CCPercentage!X25/100)*$B25), 0, (CCPercentage!X25/100)*$B25)</f>
        <v>0</v>
      </c>
      <c r="U25" s="241">
        <f>IF(ISERR((CCPercentage!Y25/100)*$B25), 0, (CCPercentage!Y25/100)*$B25)</f>
        <v>0</v>
      </c>
      <c r="V25" s="474"/>
    </row>
    <row r="26" spans="1:22" ht="15.6">
      <c r="A26" s="330">
        <v>1999</v>
      </c>
      <c r="B26" s="752">
        <f>Harvests!I117</f>
        <v>63861</v>
      </c>
      <c r="C26" s="241">
        <f>IF(ISERR((CCPercentage!G26/100)*$B26), 0, (CCPercentage!G26/100)*$B26)</f>
        <v>0</v>
      </c>
      <c r="D26" s="241">
        <f>IF(ISERR((CCPercentage!H26/100)*$B26), 0, (CCPercentage!H26/100)*$B26)</f>
        <v>0</v>
      </c>
      <c r="E26" s="241">
        <f>IF(ISERR((CCPercentage!I26/100)*$B26), 0, (CCPercentage!I26/100)*$B26)</f>
        <v>0</v>
      </c>
      <c r="F26" s="241">
        <f>IF(ISERR((CCPercentage!J26/100)*$B26), 0, (CCPercentage!J26/100)*$B26)</f>
        <v>0</v>
      </c>
      <c r="G26" s="241">
        <f>IF(ISERR((CCPercentage!K26/100)*$B26), 0, (CCPercentage!K26/100)*$B26)</f>
        <v>6150.7843495837142</v>
      </c>
      <c r="H26" s="241">
        <f>IF(ISERR((CCPercentage!L26/100)*$B26), 0, (CCPercentage!L26/100)*$B26)</f>
        <v>0</v>
      </c>
      <c r="I26" s="241">
        <f>IF(ISERR((CCPercentage!M26/100)*$B26), 0, (CCPercentage!M26/100)*$B26)</f>
        <v>0</v>
      </c>
      <c r="J26" s="241">
        <f>IF(ISERR((CCPercentage!N26/100)*$B26), 0, (CCPercentage!N26/100)*$B26)</f>
        <v>33161.373983348574</v>
      </c>
      <c r="K26" s="241">
        <f>IF(ISERR((CCPercentage!O26/100)*$B26), 0, (CCPercentage!O26/100)*$B26)</f>
        <v>253.0385966600895</v>
      </c>
      <c r="L26" s="241">
        <f>IF(ISERR((CCPercentage!P26/100)*$B26), 0, (CCPercentage!P26/100)*$B26)</f>
        <v>0</v>
      </c>
      <c r="M26" s="241">
        <f>IF(ISERR((CCPercentage!Q26/100)*$B26), 0, (CCPercentage!Q26/100)*$B26)</f>
        <v>0</v>
      </c>
      <c r="N26" s="241">
        <f>IF(ISERR((CCPercentage!R26/100)*$B26), 0, (CCPercentage!R26/100)*$B26)</f>
        <v>22952.752057365607</v>
      </c>
      <c r="O26" s="241">
        <f>IF(ISERR((CCPercentage!S26/100)*$B26), 0, (CCPercentage!S26/100)*$B26)</f>
        <v>792.9225660522643</v>
      </c>
      <c r="P26" s="241">
        <f>IF(ISERR((CCPercentage!T26/100)*$B26), 0, (CCPercentage!T26/100)*$B26)</f>
        <v>0</v>
      </c>
      <c r="Q26" s="241">
        <f>IF(ISERR((CCPercentage!U26/100)*$B26), 0, (CCPercentage!U26/100)*$B26)</f>
        <v>374.94788007122571</v>
      </c>
      <c r="R26" s="241">
        <f>IF(ISERR((CCPercentage!V26/100)*$B26), 0, (CCPercentage!V26/100)*$B26)</f>
        <v>175.18056691852354</v>
      </c>
      <c r="S26" s="241">
        <f>IF(ISERR((CCPercentage!W26/100)*$B26), 0, (CCPercentage!W26/100)*$B26)</f>
        <v>0</v>
      </c>
      <c r="T26" s="241">
        <f>IF(ISERR((CCPercentage!X26/100)*$B26), 0, (CCPercentage!X26/100)*$B26)</f>
        <v>0</v>
      </c>
      <c r="U26" s="241">
        <f>IF(ISERR((CCPercentage!Y26/100)*$B26), 0, (CCPercentage!Y26/100)*$B26)</f>
        <v>0</v>
      </c>
      <c r="V26" s="474"/>
    </row>
    <row r="27" spans="1:22" ht="15.6">
      <c r="A27" s="330">
        <v>2000</v>
      </c>
      <c r="B27" s="752">
        <f>Harvests!I118</f>
        <v>32699</v>
      </c>
      <c r="C27" s="241">
        <f>IF(ISERR((CCPercentage!G27/100)*$B27), 0, (CCPercentage!G27/100)*$B27)</f>
        <v>0</v>
      </c>
      <c r="D27" s="241">
        <f>IF(ISERR((CCPercentage!H27/100)*$B27), 0, (CCPercentage!H27/100)*$B27)</f>
        <v>0</v>
      </c>
      <c r="E27" s="241">
        <f>IF(ISERR((CCPercentage!I27/100)*$B27), 0, (CCPercentage!I27/100)*$B27)</f>
        <v>11.77164</v>
      </c>
      <c r="F27" s="241">
        <f>IF(ISERR((CCPercentage!J27/100)*$B27), 0, (CCPercentage!J27/100)*$B27)</f>
        <v>0</v>
      </c>
      <c r="G27" s="241">
        <f>IF(ISERR((CCPercentage!K27/100)*$B27), 0, (CCPercentage!K27/100)*$B27)</f>
        <v>1953.7652499999999</v>
      </c>
      <c r="H27" s="241">
        <f>IF(ISERR((CCPercentage!L27/100)*$B27), 0, (CCPercentage!L27/100)*$B27)</f>
        <v>0</v>
      </c>
      <c r="I27" s="241">
        <f>IF(ISERR((CCPercentage!M27/100)*$B27), 0, (CCPercentage!M27/100)*$B27)</f>
        <v>0</v>
      </c>
      <c r="J27" s="241">
        <f>IF(ISERR((CCPercentage!N27/100)*$B27), 0, (CCPercentage!N27/100)*$B27)</f>
        <v>22661.714960000001</v>
      </c>
      <c r="K27" s="241">
        <f>IF(ISERR((CCPercentage!O27/100)*$B27), 0, (CCPercentage!O27/100)*$B27)</f>
        <v>123.27522999999999</v>
      </c>
      <c r="L27" s="241">
        <f>IF(ISERR((CCPercentage!P27/100)*$B27), 0, (CCPercentage!P27/100)*$B27)</f>
        <v>0</v>
      </c>
      <c r="M27" s="241">
        <f>IF(ISERR((CCPercentage!Q27/100)*$B27), 0, (CCPercentage!Q27/100)*$B27)</f>
        <v>0</v>
      </c>
      <c r="N27" s="241">
        <f>IF(ISERR((CCPercentage!R27/100)*$B27), 0, (CCPercentage!R27/100)*$B27)</f>
        <v>7430.5207600000003</v>
      </c>
      <c r="O27" s="241">
        <f>IF(ISERR((CCPercentage!S27/100)*$B27), 0, (CCPercentage!S27/100)*$B27)</f>
        <v>306.38963000000001</v>
      </c>
      <c r="P27" s="241">
        <f>IF(ISERR((CCPercentage!T27/100)*$B27), 0, (CCPercentage!T27/100)*$B27)</f>
        <v>0</v>
      </c>
      <c r="Q27" s="241">
        <f>IF(ISERR((CCPercentage!U27/100)*$B27), 0, (CCPercentage!U27/100)*$B27)</f>
        <v>77.169639999999987</v>
      </c>
      <c r="R27" s="241">
        <f>IF(ISERR((CCPercentage!V27/100)*$B27), 0, (CCPercentage!V27/100)*$B27)</f>
        <v>133.41191999999998</v>
      </c>
      <c r="S27" s="241">
        <f>IF(ISERR((CCPercentage!W27/100)*$B27), 0, (CCPercentage!W27/100)*$B27)</f>
        <v>0</v>
      </c>
      <c r="T27" s="241">
        <f>IF(ISERR((CCPercentage!X27/100)*$B27), 0, (CCPercentage!X27/100)*$B27)</f>
        <v>0</v>
      </c>
      <c r="U27" s="241">
        <f>IF(ISERR((CCPercentage!Y27/100)*$B27), 0, (CCPercentage!Y27/100)*$B27)</f>
        <v>0</v>
      </c>
      <c r="V27" s="474"/>
    </row>
    <row r="28" spans="1:22" ht="15.6">
      <c r="A28" s="330">
        <v>2001</v>
      </c>
      <c r="B28" s="752">
        <f>Harvests!I119</f>
        <v>41377</v>
      </c>
      <c r="C28" s="241">
        <f>IF(ISERR((CCPercentage!G28/100)*$B28), 0, (CCPercentage!G28/100)*$B28)</f>
        <v>0</v>
      </c>
      <c r="D28" s="241">
        <f>IF(ISERR((CCPercentage!H28/100)*$B28), 0, (CCPercentage!H28/100)*$B28)</f>
        <v>43.032079999999993</v>
      </c>
      <c r="E28" s="241">
        <f>IF(ISERR((CCPercentage!I28/100)*$B28), 0, (CCPercentage!I28/100)*$B28)</f>
        <v>59.582879999999996</v>
      </c>
      <c r="F28" s="241">
        <f>IF(ISERR((CCPercentage!J28/100)*$B28), 0, (CCPercentage!J28/100)*$B28)</f>
        <v>0</v>
      </c>
      <c r="G28" s="241">
        <f>IF(ISERR((CCPercentage!K28/100)*$B28), 0, (CCPercentage!K28/100)*$B28)</f>
        <v>4946.20658</v>
      </c>
      <c r="H28" s="241">
        <f>IF(ISERR((CCPercentage!L28/100)*$B28), 0, (CCPercentage!L28/100)*$B28)</f>
        <v>98.477259999999987</v>
      </c>
      <c r="I28" s="241">
        <f>IF(ISERR((CCPercentage!M28/100)*$B28), 0, (CCPercentage!M28/100)*$B28)</f>
        <v>0</v>
      </c>
      <c r="J28" s="241">
        <f>IF(ISERR((CCPercentage!N28/100)*$B28), 0, (CCPercentage!N28/100)*$B28)</f>
        <v>26673.683050000003</v>
      </c>
      <c r="K28" s="241">
        <f>IF(ISERR((CCPercentage!O28/100)*$B28), 0, (CCPercentage!O28/100)*$B28)</f>
        <v>112.54544000000001</v>
      </c>
      <c r="L28" s="241">
        <f>IF(ISERR((CCPercentage!P28/100)*$B28), 0, (CCPercentage!P28/100)*$B28)</f>
        <v>0</v>
      </c>
      <c r="M28" s="241">
        <f>IF(ISERR((CCPercentage!Q28/100)*$B28), 0, (CCPercentage!Q28/100)*$B28)</f>
        <v>0</v>
      </c>
      <c r="N28" s="241">
        <f>IF(ISERR((CCPercentage!R28/100)*$B28), 0, (CCPercentage!R28/100)*$B28)</f>
        <v>8966.3958999999995</v>
      </c>
      <c r="O28" s="241">
        <f>IF(ISERR((CCPercentage!S28/100)*$B28), 0, (CCPercentage!S28/100)*$B28)</f>
        <v>395.56411999999995</v>
      </c>
      <c r="P28" s="241">
        <f>IF(ISERR((CCPercentage!T28/100)*$B28), 0, (CCPercentage!T28/100)*$B28)</f>
        <v>0</v>
      </c>
      <c r="Q28" s="241">
        <f>IF(ISERR((CCPercentage!U28/100)*$B28), 0, (CCPercentage!U28/100)*$B28)</f>
        <v>35.997989999999994</v>
      </c>
      <c r="R28" s="241">
        <f>IF(ISERR((CCPercentage!V28/100)*$B28), 0, (CCPercentage!V28/100)*$B28)</f>
        <v>43.85962</v>
      </c>
      <c r="S28" s="241">
        <f>IF(ISERR((CCPercentage!W28/100)*$B28), 0, (CCPercentage!W28/100)*$B28)</f>
        <v>0</v>
      </c>
      <c r="T28" s="241">
        <f>IF(ISERR((CCPercentage!X28/100)*$B28), 0, (CCPercentage!X28/100)*$B28)</f>
        <v>0</v>
      </c>
      <c r="U28" s="241">
        <f>IF(ISERR((CCPercentage!Y28/100)*$B28), 0, (CCPercentage!Y28/100)*$B28)</f>
        <v>0</v>
      </c>
      <c r="V28" s="474"/>
    </row>
    <row r="29" spans="1:22" ht="15.6">
      <c r="A29" s="330">
        <v>2002</v>
      </c>
      <c r="B29" s="752">
        <f>Harvests!I120</f>
        <v>40099</v>
      </c>
      <c r="C29" s="241">
        <f>IF(ISERR((CCPercentage!G29/100)*$B29), 0, (CCPercentage!G29/100)*$B29)</f>
        <v>0</v>
      </c>
      <c r="D29" s="241">
        <f>IF(ISERR((CCPercentage!H29/100)*$B29), 0, (CCPercentage!H29/100)*$B29)</f>
        <v>10.246225074902723</v>
      </c>
      <c r="E29" s="241">
        <f>IF(ISERR((CCPercentage!I29/100)*$B29), 0, (CCPercentage!I29/100)*$B29)</f>
        <v>101.57979399759026</v>
      </c>
      <c r="F29" s="241">
        <f>IF(ISERR((CCPercentage!J29/100)*$B29), 0, (CCPercentage!J29/100)*$B29)</f>
        <v>0</v>
      </c>
      <c r="G29" s="241">
        <f>IF(ISERR((CCPercentage!K29/100)*$B29), 0, (CCPercentage!K29/100)*$B29)</f>
        <v>5094.9327291157233</v>
      </c>
      <c r="H29" s="241">
        <f>IF(ISERR((CCPercentage!L29/100)*$B29), 0, (CCPercentage!L29/100)*$B29)</f>
        <v>25.46286624768382</v>
      </c>
      <c r="I29" s="241">
        <f>IF(ISERR((CCPercentage!M29/100)*$B29), 0, (CCPercentage!M29/100)*$B29)</f>
        <v>0</v>
      </c>
      <c r="J29" s="241">
        <f>IF(ISERR((CCPercentage!N29/100)*$B29), 0, (CCPercentage!N29/100)*$B29)</f>
        <v>24575.964225511343</v>
      </c>
      <c r="K29" s="241">
        <f>IF(ISERR((CCPercentage!O29/100)*$B29), 0, (CCPercentage!O29/100)*$B29)</f>
        <v>219.25381781515</v>
      </c>
      <c r="L29" s="241">
        <f>IF(ISERR((CCPercentage!P29/100)*$B29), 0, (CCPercentage!P29/100)*$B29)</f>
        <v>0</v>
      </c>
      <c r="M29" s="241">
        <f>IF(ISERR((CCPercentage!Q29/100)*$B29), 0, (CCPercentage!Q29/100)*$B29)</f>
        <v>0</v>
      </c>
      <c r="N29" s="241">
        <f>IF(ISERR((CCPercentage!R29/100)*$B29), 0, (CCPercentage!R29/100)*$B29)</f>
        <v>9655.2683574247112</v>
      </c>
      <c r="O29" s="241">
        <f>IF(ISERR((CCPercentage!S29/100)*$B29), 0, (CCPercentage!S29/100)*$B29)</f>
        <v>187.29743082930167</v>
      </c>
      <c r="P29" s="241">
        <f>IF(ISERR((CCPercentage!T29/100)*$B29), 0, (CCPercentage!T29/100)*$B29)</f>
        <v>0</v>
      </c>
      <c r="Q29" s="241">
        <f>IF(ISERR((CCPercentage!U29/100)*$B29), 0, (CCPercentage!U29/100)*$B29)</f>
        <v>28.153983732753993</v>
      </c>
      <c r="R29" s="241">
        <f>IF(ISERR((CCPercentage!V29/100)*$B29), 0, (CCPercentage!V29/100)*$B29)</f>
        <v>200.8405702508457</v>
      </c>
      <c r="S29" s="241">
        <f>IF(ISERR((CCPercentage!W29/100)*$B29), 0, (CCPercentage!W29/100)*$B29)</f>
        <v>0</v>
      </c>
      <c r="T29" s="241">
        <f>IF(ISERR((CCPercentage!X29/100)*$B29), 0, (CCPercentage!X29/100)*$B29)</f>
        <v>0</v>
      </c>
      <c r="U29" s="241">
        <f>IF(ISERR((CCPercentage!Y29/100)*$B29), 0, (CCPercentage!Y29/100)*$B29)</f>
        <v>0</v>
      </c>
      <c r="V29" s="474"/>
    </row>
    <row r="30" spans="1:22" ht="15.6">
      <c r="A30" s="330">
        <v>2003</v>
      </c>
      <c r="B30" s="752">
        <f>Harvests!I121</f>
        <v>49741</v>
      </c>
      <c r="C30" s="241">
        <f>IF(ISERR((CCPercentage!G30/100)*$B30), 0, (CCPercentage!G30/100)*$B30)</f>
        <v>0</v>
      </c>
      <c r="D30" s="241">
        <f>IF(ISERR((CCPercentage!H30/100)*$B30), 0, (CCPercentage!H30/100)*$B30)</f>
        <v>37.852463267710093</v>
      </c>
      <c r="E30" s="241">
        <f>IF(ISERR((CCPercentage!I30/100)*$B30), 0, (CCPercentage!I30/100)*$B30)</f>
        <v>196.8884957426348</v>
      </c>
      <c r="F30" s="241">
        <f>IF(ISERR((CCPercentage!J30/100)*$B30), 0, (CCPercentage!J30/100)*$B30)</f>
        <v>75.704926535420157</v>
      </c>
      <c r="G30" s="241">
        <f>IF(ISERR((CCPercentage!K30/100)*$B30), 0, (CCPercentage!K30/100)*$B30)</f>
        <v>2910.9392085514842</v>
      </c>
      <c r="H30" s="241">
        <f>IF(ISERR((CCPercentage!L30/100)*$B30), 0, (CCPercentage!L30/100)*$B30)</f>
        <v>32.226169217460139</v>
      </c>
      <c r="I30" s="241">
        <f>IF(ISERR((CCPercentage!M30/100)*$B30), 0, (CCPercentage!M30/100)*$B30)</f>
        <v>0</v>
      </c>
      <c r="J30" s="241">
        <f>IF(ISERR((CCPercentage!N30/100)*$B30), 0, (CCPercentage!N30/100)*$B30)</f>
        <v>31391.943126998984</v>
      </c>
      <c r="K30" s="241">
        <f>IF(ISERR((CCPercentage!O30/100)*$B30), 0, (CCPercentage!O30/100)*$B30)</f>
        <v>0</v>
      </c>
      <c r="L30" s="241">
        <f>IF(ISERR((CCPercentage!P30/100)*$B30), 0, (CCPercentage!P30/100)*$B30)</f>
        <v>0</v>
      </c>
      <c r="M30" s="241">
        <f>IF(ISERR((CCPercentage!Q30/100)*$B30), 0, (CCPercentage!Q30/100)*$B30)</f>
        <v>0</v>
      </c>
      <c r="N30" s="241">
        <f>IF(ISERR((CCPercentage!R30/100)*$B30), 0, (CCPercentage!R30/100)*$B30)</f>
        <v>14431.647913079009</v>
      </c>
      <c r="O30" s="241">
        <f>IF(ISERR((CCPercentage!S30/100)*$B30), 0, (CCPercentage!S30/100)*$B30)</f>
        <v>584.0734808640749</v>
      </c>
      <c r="P30" s="241">
        <f>IF(ISERR((CCPercentage!T30/100)*$B30), 0, (CCPercentage!T30/100)*$B30)</f>
        <v>0</v>
      </c>
      <c r="Q30" s="241">
        <f>IF(ISERR((CCPercentage!U30/100)*$B30), 0, (CCPercentage!U30/100)*$B30)</f>
        <v>13.252473454334268</v>
      </c>
      <c r="R30" s="241">
        <f>IF(ISERR((CCPercentage!V30/100)*$B30), 0, (CCPercentage!V30/100)*$B30)</f>
        <v>66.471742288887711</v>
      </c>
      <c r="S30" s="241">
        <f>IF(ISERR((CCPercentage!W30/100)*$B30), 0, (CCPercentage!W30/100)*$B30)</f>
        <v>0</v>
      </c>
      <c r="T30" s="241">
        <f>IF(ISERR((CCPercentage!X30/100)*$B30), 0, (CCPercentage!X30/100)*$B30)</f>
        <v>0</v>
      </c>
      <c r="U30" s="241">
        <f>IF(ISERR((CCPercentage!Y30/100)*$B30), 0, (CCPercentage!Y30/100)*$B30)</f>
        <v>0</v>
      </c>
      <c r="V30" s="474"/>
    </row>
    <row r="31" spans="1:22" ht="15.6">
      <c r="A31" s="330">
        <v>2004</v>
      </c>
      <c r="B31" s="752">
        <f>Harvests!I122</f>
        <v>39995</v>
      </c>
      <c r="C31" s="241">
        <f>IF(ISERR((CCPercentage!G31/100)*$B31), 0, (CCPercentage!G31/100)*$B31)</f>
        <v>0</v>
      </c>
      <c r="D31" s="241">
        <f>IF(ISERR((CCPercentage!H31/100)*$B31), 0, (CCPercentage!H31/100)*$B31)</f>
        <v>0</v>
      </c>
      <c r="E31" s="241">
        <f>IF(ISERR((CCPercentage!I31/100)*$B31), 0, (CCPercentage!I31/100)*$B31)</f>
        <v>255.58961884957611</v>
      </c>
      <c r="F31" s="241">
        <f>IF(ISERR((CCPercentage!J31/100)*$B31), 0, (CCPercentage!J31/100)*$B31)</f>
        <v>0</v>
      </c>
      <c r="G31" s="241">
        <f>IF(ISERR((CCPercentage!K31/100)*$B31), 0, (CCPercentage!K31/100)*$B31)</f>
        <v>2483.8873507663434</v>
      </c>
      <c r="H31" s="241">
        <f>IF(ISERR((CCPercentage!L31/100)*$B31), 0, (CCPercentage!L31/100)*$B31)</f>
        <v>19.816932301810937</v>
      </c>
      <c r="I31" s="241">
        <f>IF(ISERR((CCPercentage!M31/100)*$B31), 0, (CCPercentage!M31/100)*$B31)</f>
        <v>0</v>
      </c>
      <c r="J31" s="241">
        <f>IF(ISERR((CCPercentage!N31/100)*$B31), 0, (CCPercentage!N31/100)*$B31)</f>
        <v>20063.925887467405</v>
      </c>
      <c r="K31" s="241">
        <f>IF(ISERR((CCPercentage!O31/100)*$B31), 0, (CCPercentage!O31/100)*$B31)</f>
        <v>90.75178837353711</v>
      </c>
      <c r="L31" s="241">
        <f>IF(ISERR((CCPercentage!P31/100)*$B31), 0, (CCPercentage!P31/100)*$B31)</f>
        <v>0</v>
      </c>
      <c r="M31" s="241">
        <f>IF(ISERR((CCPercentage!Q31/100)*$B31), 0, (CCPercentage!Q31/100)*$B31)</f>
        <v>0</v>
      </c>
      <c r="N31" s="241">
        <f>IF(ISERR((CCPercentage!R31/100)*$B31), 0, (CCPercentage!R31/100)*$B31)</f>
        <v>16565.79095336012</v>
      </c>
      <c r="O31" s="241">
        <f>IF(ISERR((CCPercentage!S31/100)*$B31), 0, (CCPercentage!S31/100)*$B31)</f>
        <v>249.32924423955333</v>
      </c>
      <c r="P31" s="241">
        <f>IF(ISERR((CCPercentage!T31/100)*$B31), 0, (CCPercentage!T31/100)*$B31)</f>
        <v>0</v>
      </c>
      <c r="Q31" s="241">
        <f>IF(ISERR((CCPercentage!U31/100)*$B31), 0, (CCPercentage!U31/100)*$B31)</f>
        <v>0</v>
      </c>
      <c r="R31" s="241">
        <f>IF(ISERR((CCPercentage!V31/100)*$B31), 0, (CCPercentage!V31/100)*$B31)</f>
        <v>265.90822464165711</v>
      </c>
      <c r="S31" s="241">
        <f>IF(ISERR((CCPercentage!W31/100)*$B31), 0, (CCPercentage!W31/100)*$B31)</f>
        <v>0</v>
      </c>
      <c r="T31" s="241">
        <f>IF(ISERR((CCPercentage!X31/100)*$B31), 0, (CCPercentage!X31/100)*$B31)</f>
        <v>0</v>
      </c>
      <c r="U31" s="241">
        <f>IF(ISERR((CCPercentage!Y31/100)*$B31), 0, (CCPercentage!Y31/100)*$B31)</f>
        <v>0</v>
      </c>
      <c r="V31" s="474"/>
    </row>
    <row r="32" spans="1:22" ht="15.6">
      <c r="A32" s="330">
        <v>2005</v>
      </c>
      <c r="B32" s="752">
        <f>Harvests!I123</f>
        <v>36008</v>
      </c>
      <c r="C32" s="241">
        <f>IF(ISERR((CCPercentage!G32/100)*$B32), 0, (CCPercentage!G32/100)*$B32)</f>
        <v>0</v>
      </c>
      <c r="D32" s="241">
        <f>IF(ISERR((CCPercentage!H32/100)*$B32), 0, (CCPercentage!H32/100)*$B32)</f>
        <v>17.000529323872506</v>
      </c>
      <c r="E32" s="241">
        <f>IF(ISERR((CCPercentage!I32/100)*$B32), 0, (CCPercentage!I32/100)*$B32)</f>
        <v>113.8695091270979</v>
      </c>
      <c r="F32" s="241">
        <f>IF(ISERR((CCPercentage!J32/100)*$B32), 0, (CCPercentage!J32/100)*$B32)</f>
        <v>73.0797557112231</v>
      </c>
      <c r="G32" s="241">
        <f>IF(ISERR((CCPercentage!K32/100)*$B32), 0, (CCPercentage!K32/100)*$B32)</f>
        <v>2454.4125073300202</v>
      </c>
      <c r="H32" s="241">
        <f>IF(ISERR((CCPercentage!L32/100)*$B32), 0, (CCPercentage!L32/100)*$B32)</f>
        <v>17.889646743954227</v>
      </c>
      <c r="I32" s="241">
        <f>IF(ISERR((CCPercentage!M32/100)*$B32), 0, (CCPercentage!M32/100)*$B32)</f>
        <v>0</v>
      </c>
      <c r="J32" s="241">
        <f>IF(ISERR((CCPercentage!N32/100)*$B32), 0, (CCPercentage!N32/100)*$B32)</f>
        <v>20556.848998689777</v>
      </c>
      <c r="K32" s="241">
        <f>IF(ISERR((CCPercentage!O32/100)*$B32), 0, (CCPercentage!O32/100)*$B32)</f>
        <v>108.99016113230012</v>
      </c>
      <c r="L32" s="241">
        <f>IF(ISERR((CCPercentage!P32/100)*$B32), 0, (CCPercentage!P32/100)*$B32)</f>
        <v>0</v>
      </c>
      <c r="M32" s="241">
        <f>IF(ISERR((CCPercentage!Q32/100)*$B32), 0, (CCPercentage!Q32/100)*$B32)</f>
        <v>0</v>
      </c>
      <c r="N32" s="241">
        <f>IF(ISERR((CCPercentage!R32/100)*$B32), 0, (CCPercentage!R32/100)*$B32)</f>
        <v>12005.404085761164</v>
      </c>
      <c r="O32" s="241">
        <f>IF(ISERR((CCPercentage!S32/100)*$B32), 0, (CCPercentage!S32/100)*$B32)</f>
        <v>433.85472407235392</v>
      </c>
      <c r="P32" s="241">
        <f>IF(ISERR((CCPercentage!T32/100)*$B32), 0, (CCPercentage!T32/100)*$B32)</f>
        <v>0</v>
      </c>
      <c r="Q32" s="241">
        <f>IF(ISERR((CCPercentage!U32/100)*$B32), 0, (CCPercentage!U32/100)*$B32)</f>
        <v>13.955283299943492</v>
      </c>
      <c r="R32" s="241">
        <f>IF(ISERR((CCPercentage!V32/100)*$B32), 0, (CCPercentage!V32/100)*$B32)</f>
        <v>212.6947988082913</v>
      </c>
      <c r="S32" s="241">
        <f>IF(ISERR((CCPercentage!W32/100)*$B32), 0, (CCPercentage!W32/100)*$B32)</f>
        <v>0</v>
      </c>
      <c r="T32" s="241">
        <f>IF(ISERR((CCPercentage!X32/100)*$B32), 0, (CCPercentage!X32/100)*$B32)</f>
        <v>0</v>
      </c>
      <c r="U32" s="241">
        <f>IF(ISERR((CCPercentage!Y32/100)*$B32), 0, (CCPercentage!Y32/100)*$B32)</f>
        <v>0</v>
      </c>
      <c r="V32" s="474"/>
    </row>
    <row r="33" spans="1:23" ht="15.6">
      <c r="A33" s="330">
        <v>2006</v>
      </c>
      <c r="B33" s="752">
        <f>Harvests!I124</f>
        <v>32088</v>
      </c>
      <c r="C33" s="241">
        <f>IF(ISERR((CCPercentage!G33/100)*$B33), 0, (CCPercentage!G33/100)*$B33)</f>
        <v>0</v>
      </c>
      <c r="D33" s="241">
        <f>IF(ISERR((CCPercentage!H33/100)*$B33), 0, (CCPercentage!H33/100)*$B33)</f>
        <v>0</v>
      </c>
      <c r="E33" s="241">
        <f>IF(ISERR((CCPercentage!I33/100)*$B33), 0, (CCPercentage!I33/100)*$B33)</f>
        <v>86.591341796506626</v>
      </c>
      <c r="F33" s="241">
        <f>IF(ISERR((CCPercentage!J33/100)*$B33), 0, (CCPercentage!J33/100)*$B33)</f>
        <v>0</v>
      </c>
      <c r="G33" s="241">
        <f>IF(ISERR((CCPercentage!K33/100)*$B33), 0, (CCPercentage!K33/100)*$B33)</f>
        <v>5119.2896320937043</v>
      </c>
      <c r="H33" s="241">
        <f>IF(ISERR((CCPercentage!L33/100)*$B33), 0, (CCPercentage!L33/100)*$B33)</f>
        <v>0</v>
      </c>
      <c r="I33" s="241">
        <f>IF(ISERR((CCPercentage!M33/100)*$B33), 0, (CCPercentage!M33/100)*$B33)</f>
        <v>0</v>
      </c>
      <c r="J33" s="241">
        <f>IF(ISERR((CCPercentage!N33/100)*$B33), 0, (CCPercentage!N33/100)*$B33)</f>
        <v>19599.940861839048</v>
      </c>
      <c r="K33" s="241">
        <f>IF(ISERR((CCPercentage!O33/100)*$B33), 0, (CCPercentage!O33/100)*$B33)</f>
        <v>295.08924535873763</v>
      </c>
      <c r="L33" s="241">
        <f>IF(ISERR((CCPercentage!P33/100)*$B33), 0, (CCPercentage!P33/100)*$B33)</f>
        <v>0</v>
      </c>
      <c r="M33" s="241">
        <f>IF(ISERR((CCPercentage!Q33/100)*$B33), 0, (CCPercentage!Q33/100)*$B33)</f>
        <v>0</v>
      </c>
      <c r="N33" s="241">
        <f>IF(ISERR((CCPercentage!R33/100)*$B33), 0, (CCPercentage!R33/100)*$B33)</f>
        <v>6635.7619001915109</v>
      </c>
      <c r="O33" s="241">
        <f>IF(ISERR((CCPercentage!S33/100)*$B33), 0, (CCPercentage!S33/100)*$B33)</f>
        <v>215.27919254613607</v>
      </c>
      <c r="P33" s="241">
        <f>IF(ISERR((CCPercentage!T33/100)*$B33), 0, (CCPercentage!T33/100)*$B33)</f>
        <v>0</v>
      </c>
      <c r="Q33" s="241">
        <f>IF(ISERR((CCPercentage!U33/100)*$B33), 0, (CCPercentage!U33/100)*$B33)</f>
        <v>136.04782617435512</v>
      </c>
      <c r="R33" s="241">
        <f>IF(ISERR((CCPercentage!V33/100)*$B33), 0, (CCPercentage!V33/100)*$B33)</f>
        <v>0</v>
      </c>
      <c r="S33" s="241">
        <f>IF(ISERR((CCPercentage!W33/100)*$B33), 0, (CCPercentage!W33/100)*$B33)</f>
        <v>0</v>
      </c>
      <c r="T33" s="241">
        <f>IF(ISERR((CCPercentage!X33/100)*$B33), 0, (CCPercentage!X33/100)*$B33)</f>
        <v>0</v>
      </c>
      <c r="U33" s="241">
        <f>IF(ISERR((CCPercentage!Y33/100)*$B33), 0, (CCPercentage!Y33/100)*$B33)</f>
        <v>0</v>
      </c>
      <c r="V33" s="474"/>
    </row>
    <row r="34" spans="1:23" ht="15.6">
      <c r="A34" s="330">
        <v>2007</v>
      </c>
      <c r="B34" s="752">
        <f>Harvests!I125</f>
        <v>41421</v>
      </c>
      <c r="C34" s="241">
        <f>IF(ISERR((CCPercentage!G34/100)*$B34), 0, (CCPercentage!G34/100)*$B34)</f>
        <v>0</v>
      </c>
      <c r="D34" s="241">
        <f>IF(ISERR((CCPercentage!H34/100)*$B34), 0, (CCPercentage!H34/100)*$B34)</f>
        <v>0</v>
      </c>
      <c r="E34" s="241">
        <f>IF(ISERR((CCPercentage!I34/100)*$B34), 0, (CCPercentage!I34/100)*$B34)</f>
        <v>0</v>
      </c>
      <c r="F34" s="241">
        <f>IF(ISERR((CCPercentage!J34/100)*$B34), 0, (CCPercentage!J34/100)*$B34)</f>
        <v>25.882690084868258</v>
      </c>
      <c r="G34" s="241">
        <f>IF(ISERR((CCPercentage!K34/100)*$B34), 0, (CCPercentage!K34/100)*$B34)</f>
        <v>3762.3322224501285</v>
      </c>
      <c r="H34" s="241">
        <f>IF(ISERR((CCPercentage!L34/100)*$B34), 0, (CCPercentage!L34/100)*$B34)</f>
        <v>92.703365589683685</v>
      </c>
      <c r="I34" s="241">
        <f>IF(ISERR((CCPercentage!M34/100)*$B34), 0, (CCPercentage!M34/100)*$B34)</f>
        <v>0</v>
      </c>
      <c r="J34" s="241">
        <f>IF(ISERR((CCPercentage!N34/100)*$B34), 0, (CCPercentage!N34/100)*$B34)</f>
        <v>26361.783859589214</v>
      </c>
      <c r="K34" s="241">
        <f>IF(ISERR((CCPercentage!O34/100)*$B34), 0, (CCPercentage!O34/100)*$B34)</f>
        <v>286.5322051431379</v>
      </c>
      <c r="L34" s="241">
        <f>IF(ISERR((CCPercentage!P34/100)*$B34), 0, (CCPercentage!P34/100)*$B34)</f>
        <v>0</v>
      </c>
      <c r="M34" s="241">
        <f>IF(ISERR((CCPercentage!Q34/100)*$B34), 0, (CCPercentage!Q34/100)*$B34)</f>
        <v>0</v>
      </c>
      <c r="N34" s="241">
        <f>IF(ISERR((CCPercentage!R34/100)*$B34), 0, (CCPercentage!R34/100)*$B34)</f>
        <v>10435.020061926029</v>
      </c>
      <c r="O34" s="241">
        <f>IF(ISERR((CCPercentage!S34/100)*$B34), 0, (CCPercentage!S34/100)*$B34)</f>
        <v>292.79723904654099</v>
      </c>
      <c r="P34" s="241">
        <f>IF(ISERR((CCPercentage!T34/100)*$B34), 0, (CCPercentage!T34/100)*$B34)</f>
        <v>0</v>
      </c>
      <c r="Q34" s="241">
        <f>IF(ISERR((CCPercentage!U34/100)*$B34), 0, (CCPercentage!U34/100)*$B34)</f>
        <v>0</v>
      </c>
      <c r="R34" s="241">
        <f>IF(ISERR((CCPercentage!V34/100)*$B34), 0, (CCPercentage!V34/100)*$B34)</f>
        <v>163.94835617039587</v>
      </c>
      <c r="S34" s="241">
        <f>IF(ISERR((CCPercentage!W34/100)*$B34), 0, (CCPercentage!W34/100)*$B34)</f>
        <v>0</v>
      </c>
      <c r="T34" s="241">
        <f>IF(ISERR((CCPercentage!X34/100)*$B34), 0, (CCPercentage!X34/100)*$B34)</f>
        <v>0</v>
      </c>
      <c r="U34" s="241">
        <f>IF(ISERR((CCPercentage!Y34/100)*$B34), 0, (CCPercentage!Y34/100)*$B34)</f>
        <v>0</v>
      </c>
      <c r="V34" s="474"/>
    </row>
    <row r="35" spans="1:23" ht="15.6">
      <c r="A35" s="330">
        <v>2008</v>
      </c>
      <c r="B35" s="752">
        <f>Harvests!I126</f>
        <v>12537</v>
      </c>
      <c r="C35" s="241">
        <f>IF(ISERR((CCPercentage!G35/100)*$B35), 0, (CCPercentage!G35/100)*$B35)</f>
        <v>0</v>
      </c>
      <c r="D35" s="241">
        <f>IF(ISERR((CCPercentage!H35/100)*$B35), 0, (CCPercentage!H35/100)*$B35)</f>
        <v>15.842333515283842</v>
      </c>
      <c r="E35" s="241">
        <f>IF(ISERR((CCPercentage!I35/100)*$B35), 0, (CCPercentage!I35/100)*$B35)</f>
        <v>7.3129980978916072</v>
      </c>
      <c r="F35" s="241">
        <f>IF(ISERR((CCPercentage!J35/100)*$B35), 0, (CCPercentage!J35/100)*$B35)</f>
        <v>0</v>
      </c>
      <c r="G35" s="241">
        <f>IF(ISERR((CCPercentage!K35/100)*$B35), 0, (CCPercentage!K35/100)*$B35)</f>
        <v>1467.0745562413608</v>
      </c>
      <c r="H35" s="241">
        <f>IF(ISERR((CCPercentage!L35/100)*$B35), 0, (CCPercentage!L35/100)*$B35)</f>
        <v>15.842333515283842</v>
      </c>
      <c r="I35" s="241">
        <f>IF(ISERR((CCPercentage!M35/100)*$B35), 0, (CCPercentage!M35/100)*$B35)</f>
        <v>0</v>
      </c>
      <c r="J35" s="241">
        <f>IF(ISERR((CCPercentage!N35/100)*$B35), 0, (CCPercentage!N35/100)*$B35)</f>
        <v>7126.0805684494762</v>
      </c>
      <c r="K35" s="241">
        <f>IF(ISERR((CCPercentage!O35/100)*$B35), 0, (CCPercentage!O35/100)*$B35)</f>
        <v>59.795125355169453</v>
      </c>
      <c r="L35" s="241">
        <f>IF(ISERR((CCPercentage!P35/100)*$B35), 0, (CCPercentage!P35/100)*$B35)</f>
        <v>0</v>
      </c>
      <c r="M35" s="241">
        <f>IF(ISERR((CCPercentage!Q35/100)*$B35), 0, (CCPercentage!Q35/100)*$B35)</f>
        <v>0</v>
      </c>
      <c r="N35" s="241">
        <f>IF(ISERR((CCPercentage!R35/100)*$B35), 0, (CCPercentage!R35/100)*$B35)</f>
        <v>3681.7935655388446</v>
      </c>
      <c r="O35" s="241">
        <f>IF(ISERR((CCPercentage!S35/100)*$B35), 0, (CCPercentage!S35/100)*$B35)</f>
        <v>117.15757607133764</v>
      </c>
      <c r="P35" s="241">
        <f>IF(ISERR((CCPercentage!T35/100)*$B35), 0, (CCPercentage!T35/100)*$B35)</f>
        <v>0</v>
      </c>
      <c r="Q35" s="241">
        <f>IF(ISERR((CCPercentage!U35/100)*$B35), 0, (CCPercentage!U35/100)*$B35)</f>
        <v>21.54212393419624</v>
      </c>
      <c r="R35" s="241">
        <f>IF(ISERR((CCPercentage!V35/100)*$B35), 0, (CCPercentage!V35/100)*$B35)</f>
        <v>24.558819281155525</v>
      </c>
      <c r="S35" s="241">
        <f>IF(ISERR((CCPercentage!W35/100)*$B35), 0, (CCPercentage!W35/100)*$B35)</f>
        <v>0</v>
      </c>
      <c r="T35" s="241">
        <f>IF(ISERR((CCPercentage!X35/100)*$B35), 0, (CCPercentage!X35/100)*$B35)</f>
        <v>0</v>
      </c>
      <c r="U35" s="241">
        <f>IF(ISERR((CCPercentage!Y35/100)*$B35), 0, (CCPercentage!Y35/100)*$B35)</f>
        <v>0</v>
      </c>
      <c r="V35" s="474"/>
    </row>
    <row r="36" spans="1:23" ht="15.6">
      <c r="A36" s="330">
        <v>2009</v>
      </c>
      <c r="B36" s="752">
        <f>Harvests!I127</f>
        <v>10610</v>
      </c>
      <c r="C36" s="241">
        <f>IF(ISERR((CCPercentage!G36/100)*$B36), 0, (CCPercentage!G36/100)*$B36)</f>
        <v>0</v>
      </c>
      <c r="D36" s="241">
        <f>IF(ISERR((CCPercentage!H36/100)*$B36), 0, (CCPercentage!H36/100)*$B36)</f>
        <v>0</v>
      </c>
      <c r="E36" s="241">
        <f>IF(ISERR((CCPercentage!I36/100)*$B36), 0, (CCPercentage!I36/100)*$B36)</f>
        <v>24.78041469784959</v>
      </c>
      <c r="F36" s="241">
        <f>IF(ISERR((CCPercentage!J36/100)*$B36), 0, (CCPercentage!J36/100)*$B36)</f>
        <v>0</v>
      </c>
      <c r="G36" s="241">
        <f>IF(ISERR((CCPercentage!K36/100)*$B36), 0, (CCPercentage!K36/100)*$B36)</f>
        <v>2073.3054379171854</v>
      </c>
      <c r="H36" s="241">
        <f>IF(ISERR((CCPercentage!L36/100)*$B36), 0, (CCPercentage!L36/100)*$B36)</f>
        <v>52.353301908846205</v>
      </c>
      <c r="I36" s="241">
        <f>IF(ISERR((CCPercentage!M36/100)*$B36), 0, (CCPercentage!M36/100)*$B36)</f>
        <v>0</v>
      </c>
      <c r="J36" s="241">
        <f>IF(ISERR((CCPercentage!N36/100)*$B36), 0, (CCPercentage!N36/100)*$B36)</f>
        <v>5046.451172385523</v>
      </c>
      <c r="K36" s="241">
        <f>IF(ISERR((CCPercentage!O36/100)*$B36), 0, (CCPercentage!O36/100)*$B36)</f>
        <v>190.22512972372263</v>
      </c>
      <c r="L36" s="241">
        <f>IF(ISERR((CCPercentage!P36/100)*$B36), 0, (CCPercentage!P36/100)*$B36)</f>
        <v>0</v>
      </c>
      <c r="M36" s="241">
        <f>IF(ISERR((CCPercentage!Q36/100)*$B36), 0, (CCPercentage!Q36/100)*$B36)</f>
        <v>0</v>
      </c>
      <c r="N36" s="241">
        <f>IF(ISERR((CCPercentage!R36/100)*$B36), 0, (CCPercentage!R36/100)*$B36)</f>
        <v>2742.5584911215315</v>
      </c>
      <c r="O36" s="241">
        <f>IF(ISERR((CCPercentage!S36/100)*$B36), 0, (CCPercentage!S36/100)*$B36)</f>
        <v>185.15928234771582</v>
      </c>
      <c r="P36" s="241">
        <f>IF(ISERR((CCPercentage!T36/100)*$B36), 0, (CCPercentage!T36/100)*$B36)</f>
        <v>0</v>
      </c>
      <c r="Q36" s="241">
        <f>IF(ISERR((CCPercentage!U36/100)*$B36), 0, (CCPercentage!U36/100)*$B36)</f>
        <v>35.701390668236186</v>
      </c>
      <c r="R36" s="241">
        <f>IF(ISERR((CCPercentage!V36/100)*$B36), 0, (CCPercentage!V36/100)*$B36)</f>
        <v>259.4653792293895</v>
      </c>
      <c r="S36" s="241">
        <f>IF(ISERR((CCPercentage!W36/100)*$B36), 0, (CCPercentage!W36/100)*$B36)</f>
        <v>0</v>
      </c>
      <c r="T36" s="241">
        <f>IF(ISERR((CCPercentage!X36/100)*$B36), 0, (CCPercentage!X36/100)*$B36)</f>
        <v>0</v>
      </c>
      <c r="U36" s="241">
        <f>IF(ISERR((CCPercentage!Y36/100)*$B36), 0, (CCPercentage!Y36/100)*$B36)</f>
        <v>0</v>
      </c>
      <c r="V36" s="474"/>
    </row>
    <row r="37" spans="1:23" ht="15.6">
      <c r="A37" s="330">
        <v>2010</v>
      </c>
      <c r="B37" s="752">
        <f>Harvests!I128</f>
        <v>10861</v>
      </c>
      <c r="C37" s="241">
        <f>IF(ISERR((CCPercentage!G37/100)*$B37), 0, (CCPercentage!G37/100)*$B37)</f>
        <v>0</v>
      </c>
      <c r="D37" s="241">
        <f>IF(ISERR((CCPercentage!H37/100)*$B37), 0, (CCPercentage!H37/100)*$B37)</f>
        <v>0</v>
      </c>
      <c r="E37" s="241">
        <f>IF(ISERR((CCPercentage!I37/100)*$B37), 0, (CCPercentage!I37/100)*$B37)</f>
        <v>228.48611913401959</v>
      </c>
      <c r="F37" s="241">
        <f>IF(ISERR((CCPercentage!J37/100)*$B37), 0, (CCPercentage!J37/100)*$B37)</f>
        <v>0</v>
      </c>
      <c r="G37" s="241">
        <f>IF(ISERR((CCPercentage!K37/100)*$B37), 0, (CCPercentage!K37/100)*$B37)</f>
        <v>2691.1776195903458</v>
      </c>
      <c r="H37" s="241">
        <f>IF(ISERR((CCPercentage!L37/100)*$B37), 0, (CCPercentage!L37/100)*$B37)</f>
        <v>128.10768918285595</v>
      </c>
      <c r="I37" s="241">
        <f>IF(ISERR((CCPercentage!M37/100)*$B37), 0, (CCPercentage!M37/100)*$B37)</f>
        <v>0</v>
      </c>
      <c r="J37" s="241">
        <f>IF(ISERR((CCPercentage!N37/100)*$B37), 0, (CCPercentage!N37/100)*$B37)</f>
        <v>5272.6802697126814</v>
      </c>
      <c r="K37" s="241">
        <f>IF(ISERR((CCPercentage!O37/100)*$B37), 0, (CCPercentage!O37/100)*$B37)</f>
        <v>92.540289414442768</v>
      </c>
      <c r="L37" s="241">
        <f>IF(ISERR((CCPercentage!P37/100)*$B37), 0, (CCPercentage!P37/100)*$B37)</f>
        <v>0</v>
      </c>
      <c r="M37" s="241">
        <f>IF(ISERR((CCPercentage!Q37/100)*$B37), 0, (CCPercentage!Q37/100)*$B37)</f>
        <v>0</v>
      </c>
      <c r="N37" s="241">
        <f>IF(ISERR((CCPercentage!R37/100)*$B37), 0, (CCPercentage!R37/100)*$B37)</f>
        <v>1985.0092856184899</v>
      </c>
      <c r="O37" s="241">
        <f>IF(ISERR((CCPercentage!S37/100)*$B37), 0, (CCPercentage!S37/100)*$B37)</f>
        <v>323.31529508934307</v>
      </c>
      <c r="P37" s="241">
        <f>IF(ISERR((CCPercentage!T37/100)*$B37), 0, (CCPercentage!T37/100)*$B37)</f>
        <v>0</v>
      </c>
      <c r="Q37" s="241">
        <f>IF(ISERR((CCPercentage!U37/100)*$B37), 0, (CCPercentage!U37/100)*$B37)</f>
        <v>0</v>
      </c>
      <c r="R37" s="241">
        <f>IF(ISERR((CCPercentage!V37/100)*$B37), 0, (CCPercentage!V37/100)*$B37)</f>
        <v>139.68343225782144</v>
      </c>
      <c r="S37" s="241">
        <f>IF(ISERR((CCPercentage!W37/100)*$B37), 0, (CCPercentage!W37/100)*$B37)</f>
        <v>0</v>
      </c>
      <c r="T37" s="241">
        <f>IF(ISERR((CCPercentage!X37/100)*$B37), 0, (CCPercentage!X37/100)*$B37)</f>
        <v>0</v>
      </c>
      <c r="U37" s="241">
        <f>IF(ISERR((CCPercentage!Y37/100)*$B37), 0, (CCPercentage!Y37/100)*$B37)</f>
        <v>0</v>
      </c>
      <c r="V37" s="474"/>
      <c r="W37" s="474"/>
    </row>
    <row r="38" spans="1:23" ht="15.6">
      <c r="A38" s="330">
        <v>2011</v>
      </c>
      <c r="B38" s="752">
        <f>Harvests!I129</f>
        <v>19999</v>
      </c>
      <c r="C38" s="241">
        <f>IF(ISERR((CCPercentage!G38/100)*$B38), 0, (CCPercentage!G38/100)*$B38)</f>
        <v>0</v>
      </c>
      <c r="D38" s="241">
        <f>IF(ISERR((CCPercentage!H38/100)*$B38), 0, (CCPercentage!H38/100)*$B38)</f>
        <v>0</v>
      </c>
      <c r="E38" s="241">
        <f>IF(ISERR((CCPercentage!I38/100)*$B38), 0, (CCPercentage!I38/100)*$B38)</f>
        <v>0</v>
      </c>
      <c r="F38" s="241">
        <f>IF(ISERR((CCPercentage!J38/100)*$B38), 0, (CCPercentage!J38/100)*$B38)</f>
        <v>0</v>
      </c>
      <c r="G38" s="241">
        <f>IF(ISERR((CCPercentage!K38/100)*$B38), 0, (CCPercentage!K38/100)*$B38)</f>
        <v>3127.842553138225</v>
      </c>
      <c r="H38" s="241">
        <f>IF(ISERR((CCPercentage!L38/100)*$B38), 0, (CCPercentage!L38/100)*$B38)</f>
        <v>22.818765861749398</v>
      </c>
      <c r="I38" s="241">
        <f>IF(ISERR((CCPercentage!M38/100)*$B38), 0, (CCPercentage!M38/100)*$B38)</f>
        <v>0</v>
      </c>
      <c r="J38" s="241">
        <f>IF(ISERR((CCPercentage!N38/100)*$B38), 0, (CCPercentage!N38/100)*$B38)</f>
        <v>15002.813923936075</v>
      </c>
      <c r="K38" s="241">
        <f>IF(ISERR((CCPercentage!O38/100)*$B38), 0, (CCPercentage!O38/100)*$B38)</f>
        <v>130.89298247224838</v>
      </c>
      <c r="L38" s="241">
        <f>IF(ISERR((CCPercentage!P38/100)*$B38), 0, (CCPercentage!P38/100)*$B38)</f>
        <v>0</v>
      </c>
      <c r="M38" s="241">
        <f>IF(ISERR((CCPercentage!Q38/100)*$B38), 0, (CCPercentage!Q38/100)*$B38)</f>
        <v>0</v>
      </c>
      <c r="N38" s="241">
        <f>IF(ISERR((CCPercentage!R38/100)*$B38), 0, (CCPercentage!R38/100)*$B38)</f>
        <v>1571.1755275469648</v>
      </c>
      <c r="O38" s="241">
        <f>IF(ISERR((CCPercentage!S38/100)*$B38), 0, (CCPercentage!S38/100)*$B38)</f>
        <v>126.36800737532197</v>
      </c>
      <c r="P38" s="241">
        <f>IF(ISERR((CCPercentage!T38/100)*$B38), 0, (CCPercentage!T38/100)*$B38)</f>
        <v>0</v>
      </c>
      <c r="Q38" s="241">
        <f>IF(ISERR((CCPercentage!U38/100)*$B38), 0, (CCPercentage!U38/100)*$B38)</f>
        <v>0</v>
      </c>
      <c r="R38" s="241">
        <f>IF(ISERR((CCPercentage!V38/100)*$B38), 0, (CCPercentage!V38/100)*$B38)</f>
        <v>17.088239669415429</v>
      </c>
      <c r="S38" s="241">
        <f>IF(ISERR((CCPercentage!W38/100)*$B38), 0, (CCPercentage!W38/100)*$B38)</f>
        <v>0</v>
      </c>
      <c r="T38" s="241">
        <f>IF(ISERR((CCPercentage!X38/100)*$B38), 0, (CCPercentage!X38/100)*$B38)</f>
        <v>0</v>
      </c>
      <c r="U38" s="241">
        <f>IF(ISERR((CCPercentage!Y38/100)*$B38), 0, (CCPercentage!Y38/100)*$B38)</f>
        <v>0</v>
      </c>
      <c r="V38" s="474"/>
    </row>
    <row r="39" spans="1:23" ht="15.6">
      <c r="A39" s="330">
        <v>2012</v>
      </c>
      <c r="B39" s="752">
        <f>Harvests!I130</f>
        <v>12862</v>
      </c>
      <c r="C39" s="241">
        <f>IF(ISERR((CCPercentage!G39/100)*$B39), 0, (CCPercentage!G39/100)*$B39)</f>
        <v>0</v>
      </c>
      <c r="D39" s="241">
        <f>IF(ISERR((CCPercentage!H39/100)*$B39), 0, (CCPercentage!H39/100)*$B39)</f>
        <v>12.024231652795928</v>
      </c>
      <c r="E39" s="241">
        <f>IF(ISERR((CCPercentage!I39/100)*$B39), 0, (CCPercentage!I39/100)*$B39)</f>
        <v>2.9940298507462684</v>
      </c>
      <c r="F39" s="241">
        <f>IF(ISERR((CCPercentage!J39/100)*$B39), 0, (CCPercentage!J39/100)*$B39)</f>
        <v>0</v>
      </c>
      <c r="G39" s="241">
        <f>IF(ISERR((CCPercentage!K39/100)*$B39), 0, (CCPercentage!K39/100)*$B39)</f>
        <v>1364.9204855865373</v>
      </c>
      <c r="H39" s="241">
        <f>IF(ISERR((CCPercentage!L39/100)*$B39), 0, (CCPercentage!L39/100)*$B39)</f>
        <v>12.024231652795928</v>
      </c>
      <c r="I39" s="241">
        <f>IF(ISERR((CCPercentage!M39/100)*$B39), 0, (CCPercentage!M39/100)*$B39)</f>
        <v>0</v>
      </c>
      <c r="J39" s="241">
        <f>IF(ISERR((CCPercentage!N39/100)*$B39), 0, (CCPercentage!N39/100)*$B39)</f>
        <v>9139.4486845363117</v>
      </c>
      <c r="K39" s="241">
        <f>IF(ISERR((CCPercentage!O39/100)*$B39), 0, (CCPercentage!O39/100)*$B39)</f>
        <v>68.95624130677372</v>
      </c>
      <c r="L39" s="241">
        <f>IF(ISERR((CCPercentage!P39/100)*$B39), 0, (CCPercentage!P39/100)*$B39)</f>
        <v>0</v>
      </c>
      <c r="M39" s="241">
        <f>IF(ISERR((CCPercentage!Q39/100)*$B39), 0, (CCPercentage!Q39/100)*$B39)</f>
        <v>0</v>
      </c>
      <c r="N39" s="241">
        <f>IF(ISERR((CCPercentage!R39/100)*$B39), 0, (CCPercentage!R39/100)*$B39)</f>
        <v>2052.5943765011853</v>
      </c>
      <c r="O39" s="241">
        <f>IF(ISERR((CCPercentage!S39/100)*$B39), 0, (CCPercentage!S39/100)*$B39)</f>
        <v>165.1545818153036</v>
      </c>
      <c r="P39" s="241">
        <f>IF(ISERR((CCPercentage!T39/100)*$B39), 0, (CCPercentage!T39/100)*$B39)</f>
        <v>0</v>
      </c>
      <c r="Q39" s="241">
        <f>IF(ISERR((CCPercentage!U39/100)*$B39), 0, (CCPercentage!U39/100)*$B39)</f>
        <v>12.536552104611808</v>
      </c>
      <c r="R39" s="241">
        <f>IF(ISERR((CCPercentage!V39/100)*$B39), 0, (CCPercentage!V39/100)*$B39)</f>
        <v>31.3465849929383</v>
      </c>
      <c r="S39" s="241">
        <f>IF(ISERR((CCPercentage!W39/100)*$B39), 0, (CCPercentage!W39/100)*$B39)</f>
        <v>0</v>
      </c>
      <c r="T39" s="241">
        <f>IF(ISERR((CCPercentage!X39/100)*$B39), 0, (CCPercentage!X39/100)*$B39)</f>
        <v>0</v>
      </c>
      <c r="U39" s="241">
        <f>IF(ISERR((CCPercentage!Y39/100)*$B39), 0, (CCPercentage!Y39/100)*$B39)</f>
        <v>0</v>
      </c>
      <c r="V39" s="474"/>
    </row>
    <row r="40" spans="1:23" ht="15.6">
      <c r="A40" s="330">
        <v>2013</v>
      </c>
      <c r="B40" s="752">
        <f>Harvests!I131</f>
        <v>10319</v>
      </c>
      <c r="C40" s="241">
        <f>IF(ISERR((CCPercentage!G40/100)*$B40), 0, (CCPercentage!G40/100)*$B40)</f>
        <v>0</v>
      </c>
      <c r="D40" s="241">
        <f>IF(ISERR((CCPercentage!H40/100)*$B40), 0, (CCPercentage!H40/100)*$B40)</f>
        <v>0</v>
      </c>
      <c r="E40" s="241">
        <f>IF(ISERR((CCPercentage!I40/100)*$B40), 0, (CCPercentage!I40/100)*$B40)</f>
        <v>180.19411348448165</v>
      </c>
      <c r="F40" s="241">
        <f>IF(ISERR((CCPercentage!J40/100)*$B40), 0, (CCPercentage!J40/100)*$B40)</f>
        <v>0</v>
      </c>
      <c r="G40" s="241">
        <f>IF(ISERR((CCPercentage!K40/100)*$B40), 0, (CCPercentage!K40/100)*$B40)</f>
        <v>1951.6009469665344</v>
      </c>
      <c r="H40" s="241">
        <f>IF(ISERR((CCPercentage!L40/100)*$B40), 0, (CCPercentage!L40/100)*$B40)</f>
        <v>25.742016212068805</v>
      </c>
      <c r="I40" s="241">
        <f>IF(ISERR((CCPercentage!M40/100)*$B40), 0, (CCPercentage!M40/100)*$B40)</f>
        <v>0</v>
      </c>
      <c r="J40" s="241">
        <f>IF(ISERR((CCPercentage!N40/100)*$B40), 0, (CCPercentage!N40/100)*$B40)</f>
        <v>6432.9863514388226</v>
      </c>
      <c r="K40" s="241">
        <f>IF(ISERR((CCPercentage!O40/100)*$B40), 0, (CCPercentage!O40/100)*$B40)</f>
        <v>162.95168028273719</v>
      </c>
      <c r="L40" s="241">
        <f>IF(ISERR((CCPercentage!P40/100)*$B40), 0, (CCPercentage!P40/100)*$B40)</f>
        <v>0</v>
      </c>
      <c r="M40" s="241">
        <f>IF(ISERR((CCPercentage!Q40/100)*$B40), 0, (CCPercentage!Q40/100)*$B40)</f>
        <v>0</v>
      </c>
      <c r="N40" s="241">
        <f>IF(ISERR((CCPercentage!R40/100)*$B40), 0, (CCPercentage!R40/100)*$B40)</f>
        <v>1477.1952298273754</v>
      </c>
      <c r="O40" s="241">
        <f>IF(ISERR((CCPercentage!S40/100)*$B40), 0, (CCPercentage!S40/100)*$B40)</f>
        <v>82.086351114968437</v>
      </c>
      <c r="P40" s="241">
        <f>IF(ISERR((CCPercentage!T40/100)*$B40), 0, (CCPercentage!T40/100)*$B40)</f>
        <v>0</v>
      </c>
      <c r="Q40" s="241">
        <f>IF(ISERR((CCPercentage!U40/100)*$B40), 0, (CCPercentage!U40/100)*$B40)</f>
        <v>0</v>
      </c>
      <c r="R40" s="241">
        <f>IF(ISERR((CCPercentage!V40/100)*$B40), 0, (CCPercentage!V40/100)*$B40)</f>
        <v>0</v>
      </c>
      <c r="S40" s="241">
        <f>IF(ISERR((CCPercentage!W40/100)*$B40), 0, (CCPercentage!W40/100)*$B40)</f>
        <v>6.2433106730115568</v>
      </c>
      <c r="T40" s="241">
        <f>IF(ISERR((CCPercentage!X40/100)*$B40), 0, (CCPercentage!X40/100)*$B40)</f>
        <v>0</v>
      </c>
      <c r="U40" s="241">
        <f>IF(ISERR((CCPercentage!Y40/100)*$B40), 0, (CCPercentage!Y40/100)*$B40)</f>
        <v>0</v>
      </c>
      <c r="V40" s="474"/>
    </row>
    <row r="41" spans="1:23" ht="15.6">
      <c r="A41" s="330">
        <v>2014</v>
      </c>
      <c r="B41" s="752">
        <f>Harvests!I132</f>
        <v>11371</v>
      </c>
      <c r="C41" s="241">
        <f>IF(ISERR((CCPercentage!G41/100)*$B41), 0, (CCPercentage!G41/100)*$B41)</f>
        <v>0</v>
      </c>
      <c r="D41" s="241">
        <f>IF(ISERR((CCPercentage!H41/100)*$B41), 0, (CCPercentage!H41/100)*$B41)</f>
        <v>0</v>
      </c>
      <c r="E41" s="241">
        <f>IF(ISERR((CCPercentage!I41/100)*$B41), 0, (CCPercentage!I41/100)*$B41)</f>
        <v>28.765374632726477</v>
      </c>
      <c r="F41" s="241">
        <f>IF(ISERR((CCPercentage!J41/100)*$B41), 0, (CCPercentage!J41/100)*$B41)</f>
        <v>0</v>
      </c>
      <c r="G41" s="241">
        <f>IF(ISERR((CCPercentage!K41/100)*$B41), 0, (CCPercentage!K41/100)*$B41)</f>
        <v>3476.020239741249</v>
      </c>
      <c r="H41" s="241">
        <f>IF(ISERR((CCPercentage!L41/100)*$B41), 0, (CCPercentage!L41/100)*$B41)</f>
        <v>25.614782600544824</v>
      </c>
      <c r="I41" s="241">
        <f>IF(ISERR((CCPercentage!M41/100)*$B41), 0, (CCPercentage!M41/100)*$B41)</f>
        <v>0</v>
      </c>
      <c r="J41" s="241">
        <f>IF(ISERR((CCPercentage!N41/100)*$B41), 0, (CCPercentage!N41/100)*$B41)</f>
        <v>4960.3353850624226</v>
      </c>
      <c r="K41" s="241">
        <f>IF(ISERR((CCPercentage!O41/100)*$B41), 0, (CCPercentage!O41/100)*$B41)</f>
        <v>209.21201299781751</v>
      </c>
      <c r="L41" s="241">
        <f>IF(ISERR((CCPercentage!P41/100)*$B41), 0, (CCPercentage!P41/100)*$B41)</f>
        <v>0</v>
      </c>
      <c r="M41" s="241">
        <f>IF(ISERR((CCPercentage!Q41/100)*$B41), 0, (CCPercentage!Q41/100)*$B41)</f>
        <v>0</v>
      </c>
      <c r="N41" s="241">
        <f>IF(ISERR((CCPercentage!R41/100)*$B41), 0, (CCPercentage!R41/100)*$B41)</f>
        <v>2536.7825655689653</v>
      </c>
      <c r="O41" s="241">
        <f>IF(ISERR((CCPercentage!S41/100)*$B41), 0, (CCPercentage!S41/100)*$B41)</f>
        <v>125.61673397956972</v>
      </c>
      <c r="P41" s="241">
        <f>IF(ISERR((CCPercentage!T41/100)*$B41), 0, (CCPercentage!T41/100)*$B41)</f>
        <v>0</v>
      </c>
      <c r="Q41" s="241">
        <f>IF(ISERR((CCPercentage!U41/100)*$B41), 0, (CCPercentage!U41/100)*$B41)</f>
        <v>4.5664937080391175</v>
      </c>
      <c r="R41" s="241">
        <f>IF(ISERR((CCPercentage!V41/100)*$B41), 0, (CCPercentage!V41/100)*$B41)</f>
        <v>4.0864117086651142</v>
      </c>
      <c r="S41" s="241">
        <f>IF(ISERR((CCPercentage!W41/100)*$B41), 0, (CCPercentage!W41/100)*$B41)</f>
        <v>0</v>
      </c>
      <c r="T41" s="241">
        <f>IF(ISERR((CCPercentage!X41/100)*$B41), 0, (CCPercentage!X41/100)*$B41)</f>
        <v>0</v>
      </c>
      <c r="U41" s="241">
        <f>IF(ISERR((CCPercentage!Y41/100)*$B41), 0, (CCPercentage!Y41/100)*$B41)</f>
        <v>0</v>
      </c>
    </row>
    <row r="42" spans="1:23" ht="15.6">
      <c r="A42" s="330"/>
      <c r="B42" s="242"/>
      <c r="C42" s="241"/>
      <c r="D42" s="241"/>
      <c r="E42" s="241"/>
      <c r="F42" s="241"/>
      <c r="G42" s="241"/>
      <c r="H42" s="241"/>
      <c r="I42" s="241"/>
      <c r="J42" s="241"/>
      <c r="K42" s="241"/>
      <c r="L42" s="241"/>
      <c r="M42" s="241"/>
      <c r="N42" s="241"/>
      <c r="O42" s="241"/>
      <c r="P42" s="241"/>
      <c r="Q42" s="241"/>
      <c r="R42" s="241"/>
      <c r="S42" s="241"/>
      <c r="T42" s="241"/>
      <c r="U42" s="241"/>
    </row>
    <row r="43" spans="1:23" ht="15.6">
      <c r="A43" s="330"/>
      <c r="B43" s="242"/>
      <c r="C43" s="241"/>
      <c r="D43" s="241"/>
      <c r="E43" s="241"/>
      <c r="F43" s="241"/>
      <c r="G43" s="241"/>
      <c r="H43" s="241"/>
      <c r="I43" s="241"/>
      <c r="J43" s="241"/>
      <c r="K43" s="241"/>
      <c r="L43" s="241"/>
      <c r="M43" s="241"/>
      <c r="N43" s="241"/>
      <c r="O43" s="241"/>
      <c r="P43" s="241"/>
      <c r="Q43" s="241"/>
      <c r="R43" s="241"/>
      <c r="S43" s="241"/>
      <c r="T43" s="241"/>
      <c r="U43" s="241"/>
    </row>
    <row r="44" spans="1:23" ht="15.6">
      <c r="A44" s="12"/>
      <c r="B44" s="244"/>
      <c r="C44" s="243"/>
      <c r="D44" s="243"/>
      <c r="E44" s="243"/>
      <c r="F44" s="243"/>
      <c r="G44" s="243"/>
      <c r="H44" s="243"/>
      <c r="I44" s="243"/>
      <c r="J44" s="243"/>
      <c r="K44" s="243"/>
      <c r="L44" s="243"/>
      <c r="M44" s="243"/>
      <c r="N44" s="243"/>
      <c r="O44" s="243"/>
      <c r="P44" s="243"/>
      <c r="Q44" s="243"/>
      <c r="R44" s="243"/>
      <c r="S44" s="243"/>
      <c r="T44" s="243"/>
      <c r="U44" s="243"/>
    </row>
    <row r="45" spans="1:23" ht="18">
      <c r="A45" s="745" t="s">
        <v>264</v>
      </c>
      <c r="B45" s="698">
        <f>AVERAGE(B7:B44)</f>
        <v>35574.342857142859</v>
      </c>
      <c r="C45" s="226"/>
      <c r="D45" s="226">
        <f>AVERAGE(D7:D44)</f>
        <v>18.259986857061662</v>
      </c>
      <c r="E45" s="226">
        <f t="shared" ref="E45:J45" si="0">AVERAGE(E7:E44)</f>
        <v>75.688376918283979</v>
      </c>
      <c r="F45" s="226">
        <f t="shared" si="0"/>
        <v>38.285316301755238</v>
      </c>
      <c r="G45" s="226">
        <f t="shared" si="0"/>
        <v>2639.6216580268783</v>
      </c>
      <c r="H45" s="226">
        <f t="shared" si="0"/>
        <v>25.405891894037126</v>
      </c>
      <c r="I45" s="226">
        <f t="shared" si="0"/>
        <v>17.283203729739409</v>
      </c>
      <c r="J45" s="226">
        <f t="shared" si="0"/>
        <v>17936.668405218083</v>
      </c>
      <c r="K45" s="226">
        <f t="shared" ref="K45:U45" si="1">AVERAGE(K7:K44)</f>
        <v>133.88924606005051</v>
      </c>
      <c r="L45" s="226">
        <f t="shared" si="1"/>
        <v>1.2252360585538173</v>
      </c>
      <c r="M45" s="226">
        <f t="shared" si="1"/>
        <v>0.80445370567355579</v>
      </c>
      <c r="N45" s="226">
        <f t="shared" si="1"/>
        <v>13378.010804921225</v>
      </c>
      <c r="O45" s="226">
        <f t="shared" si="1"/>
        <v>560.14237702943797</v>
      </c>
      <c r="P45" s="226">
        <f t="shared" si="1"/>
        <v>2.4667915684201831</v>
      </c>
      <c r="Q45" s="226">
        <f t="shared" si="1"/>
        <v>166.7135046094061</v>
      </c>
      <c r="R45" s="226">
        <f t="shared" si="1"/>
        <v>569.89204040581296</v>
      </c>
      <c r="S45" s="226">
        <f t="shared" si="1"/>
        <v>2.9825720126086677</v>
      </c>
      <c r="T45" s="226">
        <f t="shared" si="1"/>
        <v>5.0051914520716316</v>
      </c>
      <c r="U45" s="226">
        <f t="shared" si="1"/>
        <v>1.664136953361925</v>
      </c>
    </row>
    <row r="46" spans="1:23" ht="36" customHeight="1">
      <c r="A46" s="746" t="e">
        <f>"Mean "&amp;FcastYr2-10&amp;" - "&amp;FcastYr2-1</f>
        <v>#NAME?</v>
      </c>
      <c r="B46" s="226">
        <f>AVERAGE(B31:B44)</f>
        <v>21642.81818181818</v>
      </c>
      <c r="C46" s="226">
        <f t="shared" ref="C46:U46" si="2">AVERAGE(C31:C44)</f>
        <v>0</v>
      </c>
      <c r="D46" s="226">
        <f t="shared" si="2"/>
        <v>4.0788267719956615</v>
      </c>
      <c r="E46" s="226">
        <f t="shared" si="2"/>
        <v>84.416683606445076</v>
      </c>
      <c r="F46" s="226">
        <f t="shared" si="2"/>
        <v>8.9965859814628502</v>
      </c>
      <c r="G46" s="226">
        <f t="shared" si="2"/>
        <v>2724.7148683474215</v>
      </c>
      <c r="H46" s="226">
        <f t="shared" si="2"/>
        <v>37.537551415417617</v>
      </c>
      <c r="I46" s="226">
        <f t="shared" si="2"/>
        <v>0</v>
      </c>
      <c r="J46" s="226">
        <f t="shared" si="2"/>
        <v>12687.572360282431</v>
      </c>
      <c r="K46" s="226">
        <f t="shared" si="2"/>
        <v>154.17607832369313</v>
      </c>
      <c r="L46" s="226">
        <f t="shared" si="2"/>
        <v>0</v>
      </c>
      <c r="M46" s="226">
        <f t="shared" si="2"/>
        <v>0</v>
      </c>
      <c r="N46" s="226">
        <f t="shared" si="2"/>
        <v>5608.0987311783792</v>
      </c>
      <c r="O46" s="226">
        <f t="shared" si="2"/>
        <v>210.55620251801312</v>
      </c>
      <c r="P46" s="226">
        <f t="shared" si="2"/>
        <v>0</v>
      </c>
      <c r="Q46" s="226">
        <f t="shared" si="2"/>
        <v>20.395424535398362</v>
      </c>
      <c r="R46" s="226">
        <f t="shared" si="2"/>
        <v>101.7072951599754</v>
      </c>
      <c r="S46" s="226">
        <f t="shared" si="2"/>
        <v>0.56757369754650522</v>
      </c>
      <c r="T46" s="226">
        <f t="shared" si="2"/>
        <v>0</v>
      </c>
      <c r="U46" s="226">
        <f t="shared" si="2"/>
        <v>0</v>
      </c>
    </row>
    <row r="47" spans="1:23">
      <c r="A47" s="115"/>
      <c r="B47" s="115"/>
      <c r="C47" s="115"/>
      <c r="D47" s="115"/>
      <c r="E47" s="115"/>
      <c r="F47" s="115"/>
      <c r="G47" s="115"/>
      <c r="H47" s="115"/>
      <c r="I47" s="115"/>
      <c r="J47" s="115"/>
      <c r="K47" s="115"/>
      <c r="L47" s="115"/>
      <c r="M47" s="115"/>
      <c r="N47" s="115"/>
      <c r="O47" s="115"/>
      <c r="P47" s="115"/>
      <c r="Q47" s="115"/>
      <c r="R47" s="115"/>
      <c r="S47" s="115"/>
      <c r="T47" s="115"/>
      <c r="U47" s="115"/>
    </row>
    <row r="48" spans="1:23" ht="18">
      <c r="A48" s="88" t="s">
        <v>175</v>
      </c>
    </row>
  </sheetData>
  <phoneticPr fontId="52" type="noConversion"/>
  <pageMargins left="0.75" right="0.75" top="1" bottom="1" header="0.5" footer="0.5"/>
  <pageSetup scale="59"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C50"/>
  <sheetViews>
    <sheetView zoomScale="75" zoomScaleNormal="75" workbookViewId="0">
      <pane ySplit="7" topLeftCell="A8" activePane="bottomLeft" state="frozen"/>
      <selection pane="bottomLeft" activeCell="C43" sqref="C43"/>
    </sheetView>
  </sheetViews>
  <sheetFormatPr defaultRowHeight="13.2"/>
  <cols>
    <col min="1" max="1" width="15.77734375" customWidth="1"/>
    <col min="2" max="2" width="8.77734375" customWidth="1"/>
    <col min="3" max="3" width="7.44140625" customWidth="1"/>
    <col min="4" max="4" width="9.44140625" bestFit="1" customWidth="1"/>
    <col min="5" max="5" width="7.44140625" customWidth="1"/>
    <col min="6" max="6" width="9.44140625" bestFit="1" customWidth="1"/>
    <col min="7" max="7" width="7.109375" customWidth="1"/>
    <col min="8" max="8" width="9.44140625" bestFit="1" customWidth="1"/>
    <col min="9" max="9" width="7.77734375" customWidth="1"/>
    <col min="10" max="10" width="9.44140625" bestFit="1" customWidth="1"/>
    <col min="11" max="11" width="7.33203125" customWidth="1"/>
    <col min="12" max="12" width="9.44140625" bestFit="1" customWidth="1"/>
    <col min="13" max="13" width="6.77734375" customWidth="1"/>
    <col min="14" max="15" width="9.44140625" bestFit="1" customWidth="1"/>
    <col min="16" max="16" width="7.44140625" customWidth="1"/>
    <col min="17" max="19" width="9.44140625" bestFit="1" customWidth="1"/>
    <col min="20" max="20" width="6.77734375" customWidth="1"/>
    <col min="21" max="21" width="9.44140625" bestFit="1" customWidth="1"/>
    <col min="22" max="22" width="10.109375" bestFit="1" customWidth="1"/>
  </cols>
  <sheetData>
    <row r="1" spans="1:29">
      <c r="A1" s="297" t="str">
        <f ca="1">CELL("filename",A1)</f>
        <v>C:\Users\rebrenner\Desktop\NCEAS\DATA\PWS&amp;CBR_SALMON\PWS&amp;CR_SALMON_FORECAST_DATA\[2015 Copper River Chinook forecast-FINAL.xlsm]Major Age Brood</v>
      </c>
    </row>
    <row r="3" spans="1:29" ht="22.8">
      <c r="A3" s="51" t="s">
        <v>57</v>
      </c>
    </row>
    <row r="4" spans="1:29" ht="15.6">
      <c r="A4" s="4" t="s">
        <v>173</v>
      </c>
    </row>
    <row r="5" spans="1:29" ht="13.8" thickBot="1"/>
    <row r="6" spans="1:29" ht="15.6" thickBot="1">
      <c r="A6" s="40" t="s">
        <v>27</v>
      </c>
      <c r="B6" s="41" t="s">
        <v>6</v>
      </c>
      <c r="C6" s="42"/>
      <c r="D6" s="43"/>
      <c r="E6" s="41" t="s">
        <v>7</v>
      </c>
      <c r="F6" s="46"/>
      <c r="G6" s="46"/>
      <c r="H6" s="43"/>
      <c r="I6" s="41" t="s">
        <v>8</v>
      </c>
      <c r="J6" s="46"/>
      <c r="K6" s="42"/>
      <c r="L6" s="43"/>
      <c r="M6" s="41" t="s">
        <v>9</v>
      </c>
      <c r="N6" s="47"/>
      <c r="O6" s="46"/>
      <c r="P6" s="42"/>
      <c r="Q6" s="43"/>
      <c r="R6" s="48" t="s">
        <v>10</v>
      </c>
      <c r="S6" s="46"/>
      <c r="T6" s="49"/>
      <c r="U6" s="50"/>
    </row>
    <row r="7" spans="1:29" ht="15.6" thickBot="1">
      <c r="A7" s="770" t="s">
        <v>12</v>
      </c>
      <c r="B7" s="44">
        <v>0.2</v>
      </c>
      <c r="C7" s="36">
        <v>1.1000000000000001</v>
      </c>
      <c r="D7" s="38" t="s">
        <v>56</v>
      </c>
      <c r="E7" s="37">
        <v>0.3</v>
      </c>
      <c r="F7" s="34">
        <v>1.2</v>
      </c>
      <c r="G7" s="36">
        <v>2.1</v>
      </c>
      <c r="H7" s="38" t="s">
        <v>0</v>
      </c>
      <c r="I7" s="37">
        <v>0.4</v>
      </c>
      <c r="J7" s="18">
        <v>1.3</v>
      </c>
      <c r="K7" s="36">
        <v>2.2000000000000002</v>
      </c>
      <c r="L7" s="38" t="s">
        <v>0</v>
      </c>
      <c r="M7" s="37">
        <v>0.5</v>
      </c>
      <c r="N7" s="18">
        <v>1.4</v>
      </c>
      <c r="O7" s="18">
        <v>2.2999999999999998</v>
      </c>
      <c r="P7" s="36">
        <v>3.2</v>
      </c>
      <c r="Q7" s="38" t="s">
        <v>0</v>
      </c>
      <c r="R7" s="37">
        <v>1.5</v>
      </c>
      <c r="S7" s="18">
        <v>2.4</v>
      </c>
      <c r="T7" s="36">
        <v>3.3</v>
      </c>
      <c r="U7" s="38" t="s">
        <v>0</v>
      </c>
    </row>
    <row r="8" spans="1:29" ht="13.8" thickTop="1">
      <c r="A8" s="771">
        <v>1975</v>
      </c>
      <c r="B8" s="311">
        <f>Brood_Tab!D6</f>
        <v>0</v>
      </c>
      <c r="C8" s="311">
        <f>Brood_Tab!E6</f>
        <v>0</v>
      </c>
      <c r="D8" s="39">
        <f>SUM(B8:C8)</f>
        <v>0</v>
      </c>
      <c r="E8" s="311">
        <f>Brood_Tab!F6</f>
        <v>0</v>
      </c>
      <c r="F8" s="311">
        <f>Brood_Tab!G6</f>
        <v>0</v>
      </c>
      <c r="G8" s="311">
        <f>Brood_Tab!H6</f>
        <v>0</v>
      </c>
      <c r="H8" s="39">
        <f>SUM(E8:G8)</f>
        <v>0</v>
      </c>
      <c r="I8" s="311">
        <f>Brood_Tab!I6</f>
        <v>0</v>
      </c>
      <c r="J8" s="311">
        <f>Brood_Tab!J6</f>
        <v>2398.7488584474886</v>
      </c>
      <c r="K8" s="311">
        <f>Brood_Tab!K6</f>
        <v>38.689497716894977</v>
      </c>
      <c r="L8" s="39">
        <f>SUM(I8:K8)</f>
        <v>2437.4383561643835</v>
      </c>
      <c r="M8" s="311">
        <f>Brood_Tab!L6</f>
        <v>0</v>
      </c>
      <c r="N8" s="311">
        <f>Brood_Tab!M6</f>
        <v>8321.7037037037026</v>
      </c>
      <c r="O8" s="311">
        <f>Brood_Tab!N6</f>
        <v>151.30370370370372</v>
      </c>
      <c r="P8" s="311">
        <f>Brood_Tab!O6</f>
        <v>0</v>
      </c>
      <c r="Q8" s="39">
        <f>SUM(M8:P8)</f>
        <v>8473.0074074074055</v>
      </c>
      <c r="R8" s="311">
        <f>Brood_Tab!P6</f>
        <v>46.549123306618931</v>
      </c>
      <c r="S8" s="311">
        <f>Brood_Tab!Q6</f>
        <v>2187.8087954110902</v>
      </c>
      <c r="T8" s="311">
        <f>Brood_Tab!R6</f>
        <v>0</v>
      </c>
      <c r="U8" s="39">
        <f>SUM(R8:T8)</f>
        <v>2234.3579187177093</v>
      </c>
    </row>
    <row r="9" spans="1:29">
      <c r="A9" s="425">
        <v>1976</v>
      </c>
      <c r="B9" s="311">
        <f>Brood_Tab!D7</f>
        <v>0</v>
      </c>
      <c r="C9" s="311">
        <f>Brood_Tab!E7</f>
        <v>0</v>
      </c>
      <c r="D9" s="39">
        <f t="shared" ref="D9:D28" si="0">SUM(B9:C9)</f>
        <v>0</v>
      </c>
      <c r="E9" s="311">
        <f>Brood_Tab!F7</f>
        <v>0</v>
      </c>
      <c r="F9" s="311">
        <f>Brood_Tab!G7</f>
        <v>77.378995433789953</v>
      </c>
      <c r="G9" s="311">
        <f>Brood_Tab!H7</f>
        <v>0</v>
      </c>
      <c r="H9" s="39">
        <f t="shared" ref="H9:H28" si="1">SUM(E9:G9)</f>
        <v>77.378995433789953</v>
      </c>
      <c r="I9" s="311">
        <f>Brood_Tab!I7</f>
        <v>0</v>
      </c>
      <c r="J9" s="311">
        <f>Brood_Tab!J7</f>
        <v>8624.3111111111102</v>
      </c>
      <c r="K9" s="311">
        <f>Brood_Tab!K7</f>
        <v>0</v>
      </c>
      <c r="L9" s="39">
        <f t="shared" ref="L9:L27" si="2">SUM(I9:K9)</f>
        <v>8624.3111111111102</v>
      </c>
      <c r="M9" s="311">
        <f>Brood_Tab!L7</f>
        <v>0</v>
      </c>
      <c r="N9" s="311">
        <f>Brood_Tab!M7</f>
        <v>12053.313616207641</v>
      </c>
      <c r="O9" s="311">
        <f>Brood_Tab!N7</f>
        <v>3976.0709491070338</v>
      </c>
      <c r="P9" s="311">
        <f>Brood_Tab!O7</f>
        <v>0</v>
      </c>
      <c r="Q9" s="39">
        <f t="shared" ref="Q9:Q26" si="3">SUM(M9:P9)</f>
        <v>16029.384565314675</v>
      </c>
      <c r="R9" s="311">
        <f>Brood_Tab!P7</f>
        <v>17.012994282515695</v>
      </c>
      <c r="S9" s="311">
        <f>Brood_Tab!Q7</f>
        <v>86.128283555235697</v>
      </c>
      <c r="T9" s="311">
        <f>Brood_Tab!R7</f>
        <v>0</v>
      </c>
      <c r="U9" s="39">
        <f t="shared" ref="U9:U25" si="4">SUM(R9:T9)</f>
        <v>103.14127783775139</v>
      </c>
    </row>
    <row r="10" spans="1:29">
      <c r="A10" s="425">
        <v>1977</v>
      </c>
      <c r="B10" s="311">
        <f>Brood_Tab!D8</f>
        <v>0</v>
      </c>
      <c r="C10" s="311">
        <f>Brood_Tab!E8</f>
        <v>0</v>
      </c>
      <c r="D10" s="39">
        <f t="shared" si="0"/>
        <v>0</v>
      </c>
      <c r="E10" s="311">
        <f>Brood_Tab!F8</f>
        <v>756.51851851851848</v>
      </c>
      <c r="F10" s="311">
        <f>Brood_Tab!G8</f>
        <v>1059.1259259259259</v>
      </c>
      <c r="G10" s="311">
        <f>Brood_Tab!H8</f>
        <v>0</v>
      </c>
      <c r="H10" s="39">
        <f t="shared" si="1"/>
        <v>1815.6444444444444</v>
      </c>
      <c r="I10" s="311">
        <f>Brood_Tab!I8</f>
        <v>0</v>
      </c>
      <c r="J10" s="311">
        <f>Brood_Tab!J8</f>
        <v>25211.19913754526</v>
      </c>
      <c r="K10" s="311">
        <f>Brood_Tab!K8</f>
        <v>453.85395223953464</v>
      </c>
      <c r="L10" s="39">
        <f t="shared" si="2"/>
        <v>25665.053089784793</v>
      </c>
      <c r="M10" s="311">
        <f>Brood_Tab!L8</f>
        <v>0</v>
      </c>
      <c r="N10" s="311">
        <f>Brood_Tab!M8</f>
        <v>16990.664727519888</v>
      </c>
      <c r="O10" s="311">
        <f>Brood_Tab!N8</f>
        <v>82.938347127263995</v>
      </c>
      <c r="P10" s="311">
        <f>Brood_Tab!O8</f>
        <v>0</v>
      </c>
      <c r="Q10" s="39">
        <f t="shared" si="3"/>
        <v>17073.603074647152</v>
      </c>
      <c r="R10" s="311">
        <f>Brood_Tab!P8</f>
        <v>18.29850437837419</v>
      </c>
      <c r="S10" s="311">
        <f>Brood_Tab!Q8</f>
        <v>1241.2485469997159</v>
      </c>
      <c r="T10" s="311">
        <f>Brood_Tab!R8</f>
        <v>59.978431018004279</v>
      </c>
      <c r="U10" s="39">
        <f t="shared" si="4"/>
        <v>1319.5254823960945</v>
      </c>
    </row>
    <row r="11" spans="1:29" ht="12.75" customHeight="1">
      <c r="A11" s="425">
        <v>1978</v>
      </c>
      <c r="B11" s="311">
        <f>Brood_Tab!D9</f>
        <v>0</v>
      </c>
      <c r="C11" s="311">
        <f>Brood_Tab!E9</f>
        <v>0</v>
      </c>
      <c r="D11" s="39">
        <f t="shared" si="0"/>
        <v>0</v>
      </c>
      <c r="E11" s="311">
        <f>Brood_Tab!F9</f>
        <v>17.4559212399821</v>
      </c>
      <c r="F11" s="311">
        <f>Brood_Tab!G9</f>
        <v>3576.5243073918882</v>
      </c>
      <c r="G11" s="311">
        <f>Brood_Tab!H9</f>
        <v>0</v>
      </c>
      <c r="H11" s="39">
        <f t="shared" si="1"/>
        <v>3593.9802286318704</v>
      </c>
      <c r="I11" s="311">
        <f>Brood_Tab!I9</f>
        <v>0</v>
      </c>
      <c r="J11" s="311">
        <f>Brood_Tab!J9</f>
        <v>33917.530726480349</v>
      </c>
      <c r="K11" s="311">
        <f>Brood_Tab!K9</f>
        <v>19.139618567830155</v>
      </c>
      <c r="L11" s="39">
        <f t="shared" si="2"/>
        <v>33936.67034504818</v>
      </c>
      <c r="M11" s="311">
        <f>Brood_Tab!L9</f>
        <v>0</v>
      </c>
      <c r="N11" s="311">
        <f>Brood_Tab!M9</f>
        <v>22116.792291994938</v>
      </c>
      <c r="O11" s="311">
        <f>Brood_Tab!N9</f>
        <v>1639.7493090176424</v>
      </c>
      <c r="P11" s="311">
        <f>Brood_Tab!O9</f>
        <v>0</v>
      </c>
      <c r="Q11" s="39">
        <f t="shared" si="3"/>
        <v>23756.541601012581</v>
      </c>
      <c r="R11" s="311">
        <f>Brood_Tab!P9</f>
        <v>228.04052170214777</v>
      </c>
      <c r="S11" s="311">
        <f>Brood_Tab!Q9</f>
        <v>652.97946742905742</v>
      </c>
      <c r="T11" s="311">
        <f>Brood_Tab!R9</f>
        <v>0</v>
      </c>
      <c r="U11" s="39">
        <f t="shared" si="4"/>
        <v>881.01998913120519</v>
      </c>
      <c r="W11" s="725"/>
      <c r="X11" s="726"/>
      <c r="Y11" s="726"/>
      <c r="Z11" s="726"/>
      <c r="AA11" s="726"/>
      <c r="AB11" s="726"/>
      <c r="AC11" s="726"/>
    </row>
    <row r="12" spans="1:29">
      <c r="A12" s="425">
        <v>1979</v>
      </c>
      <c r="B12" s="311">
        <f>Brood_Tab!D10</f>
        <v>49.458443513282617</v>
      </c>
      <c r="C12" s="311">
        <f>Brood_Tab!E10</f>
        <v>103.76575403767137</v>
      </c>
      <c r="D12" s="39">
        <f t="shared" si="0"/>
        <v>153.22419755095399</v>
      </c>
      <c r="E12" s="311">
        <f>Brood_Tab!F10</f>
        <v>0</v>
      </c>
      <c r="F12" s="311">
        <f>Brood_Tab!G10</f>
        <v>2052.1924353284553</v>
      </c>
      <c r="G12" s="311">
        <f>Brood_Tab!H10</f>
        <v>0</v>
      </c>
      <c r="H12" s="39">
        <f t="shared" si="1"/>
        <v>2052.1924353284553</v>
      </c>
      <c r="I12" s="311">
        <f>Brood_Tab!I10</f>
        <v>0</v>
      </c>
      <c r="J12" s="311">
        <f>Brood_Tab!J10</f>
        <v>13184.072404618604</v>
      </c>
      <c r="K12" s="311">
        <f>Brood_Tab!K10</f>
        <v>170.78604086482576</v>
      </c>
      <c r="L12" s="39">
        <f t="shared" si="2"/>
        <v>13354.858445483431</v>
      </c>
      <c r="M12" s="311">
        <f>Brood_Tab!L10</f>
        <v>0</v>
      </c>
      <c r="N12" s="311">
        <f>Brood_Tab!M10</f>
        <v>25990.591971268575</v>
      </c>
      <c r="O12" s="311">
        <f>Brood_Tab!N10</f>
        <v>344.5722420433334</v>
      </c>
      <c r="P12" s="311">
        <f>Brood_Tab!O10</f>
        <v>0</v>
      </c>
      <c r="Q12" s="39">
        <f t="shared" si="3"/>
        <v>26335.164213311909</v>
      </c>
      <c r="R12" s="311">
        <f>Brood_Tab!P10</f>
        <v>244.2786328989427</v>
      </c>
      <c r="S12" s="311">
        <f>Brood_Tab!Q10</f>
        <v>623.26235554462755</v>
      </c>
      <c r="T12" s="311">
        <f>Brood_Tab!R10</f>
        <v>20.105237275633144</v>
      </c>
      <c r="U12" s="39">
        <f t="shared" si="4"/>
        <v>887.64622571920347</v>
      </c>
      <c r="W12" s="726"/>
      <c r="X12" s="726"/>
      <c r="Y12" s="726"/>
      <c r="Z12" s="726"/>
      <c r="AA12" s="726"/>
      <c r="AB12" s="726"/>
      <c r="AC12" s="726"/>
    </row>
    <row r="13" spans="1:29">
      <c r="A13" s="425">
        <v>1980</v>
      </c>
      <c r="B13" s="311">
        <f>Brood_Tab!D11</f>
        <v>0</v>
      </c>
      <c r="C13" s="311">
        <f>Brood_Tab!E11</f>
        <v>23.392867138459078</v>
      </c>
      <c r="D13" s="39">
        <f t="shared" si="0"/>
        <v>23.392867138459078</v>
      </c>
      <c r="E13" s="311">
        <f>Brood_Tab!F11</f>
        <v>15.24875364864516</v>
      </c>
      <c r="F13" s="311">
        <f>Brood_Tab!G11</f>
        <v>899.67646527006423</v>
      </c>
      <c r="G13" s="311">
        <f>Brood_Tab!H11</f>
        <v>9.149252189187095</v>
      </c>
      <c r="H13" s="39">
        <f t="shared" si="1"/>
        <v>924.07447110789644</v>
      </c>
      <c r="I13" s="311">
        <f>Brood_Tab!I11</f>
        <v>62.284195354771633</v>
      </c>
      <c r="J13" s="311">
        <f>Brood_Tab!J11</f>
        <v>12239.848971008672</v>
      </c>
      <c r="K13" s="311">
        <f>Brood_Tab!K11</f>
        <v>70.320865723129259</v>
      </c>
      <c r="L13" s="39">
        <f t="shared" si="2"/>
        <v>12372.454032086574</v>
      </c>
      <c r="M13" s="311">
        <f>Brood_Tab!L11</f>
        <v>0</v>
      </c>
      <c r="N13" s="311">
        <f>Brood_Tab!M11</f>
        <v>14046.524022621099</v>
      </c>
      <c r="O13" s="311">
        <f>Brood_Tab!N11</f>
        <v>1601.3821490041801</v>
      </c>
      <c r="P13" s="311">
        <f>Brood_Tab!O11</f>
        <v>0</v>
      </c>
      <c r="Q13" s="39">
        <f t="shared" si="3"/>
        <v>15647.90617162528</v>
      </c>
      <c r="R13" s="311">
        <f>Brood_Tab!P11</f>
        <v>506.60848944747454</v>
      </c>
      <c r="S13" s="311">
        <f>Brood_Tab!Q11</f>
        <v>2086.5125286538614</v>
      </c>
      <c r="T13" s="311">
        <f>Brood_Tab!R11</f>
        <v>0</v>
      </c>
      <c r="U13" s="39">
        <f t="shared" si="4"/>
        <v>2593.1210181013357</v>
      </c>
      <c r="W13" s="726"/>
      <c r="X13" s="726"/>
      <c r="Y13" s="726"/>
      <c r="Z13" s="726"/>
      <c r="AA13" s="726"/>
      <c r="AB13" s="726"/>
      <c r="AC13" s="726"/>
    </row>
    <row r="14" spans="1:29">
      <c r="A14" s="425">
        <v>1981</v>
      </c>
      <c r="B14" s="311">
        <f>Brood_Tab!D12</f>
        <v>0</v>
      </c>
      <c r="C14" s="311">
        <f>Brood_Tab!E12</f>
        <v>0</v>
      </c>
      <c r="D14" s="39">
        <f t="shared" si="0"/>
        <v>0</v>
      </c>
      <c r="E14" s="311">
        <f>Brood_Tab!F12</f>
        <v>43.197103229922263</v>
      </c>
      <c r="F14" s="311">
        <f>Brood_Tab!G12</f>
        <v>2828.907969661886</v>
      </c>
      <c r="G14" s="311">
        <f>Brood_Tab!H12</f>
        <v>0</v>
      </c>
      <c r="H14" s="39">
        <f t="shared" si="1"/>
        <v>2872.105072891808</v>
      </c>
      <c r="I14" s="311">
        <f>Brood_Tab!I12</f>
        <v>38.199950823702977</v>
      </c>
      <c r="J14" s="311">
        <f>Brood_Tab!J12</f>
        <v>21883.545512662899</v>
      </c>
      <c r="K14" s="311">
        <f>Brood_Tab!K12</f>
        <v>46.242045733956232</v>
      </c>
      <c r="L14" s="39">
        <f t="shared" si="2"/>
        <v>21967.987509220558</v>
      </c>
      <c r="M14" s="311">
        <f>Brood_Tab!L12</f>
        <v>0</v>
      </c>
      <c r="N14" s="311">
        <f>Brood_Tab!M12</f>
        <v>26247.84048691803</v>
      </c>
      <c r="O14" s="311">
        <f>Brood_Tab!N12</f>
        <v>1328.2235396411349</v>
      </c>
      <c r="P14" s="311">
        <f>Brood_Tab!O12</f>
        <v>0</v>
      </c>
      <c r="Q14" s="39">
        <f t="shared" si="3"/>
        <v>27576.064026559165</v>
      </c>
      <c r="R14" s="311">
        <f>Brood_Tab!P12</f>
        <v>649.54500371931556</v>
      </c>
      <c r="S14" s="311">
        <f>Brood_Tab!Q12</f>
        <v>1551.2663030002479</v>
      </c>
      <c r="T14" s="311">
        <f>Brood_Tab!R12</f>
        <v>0</v>
      </c>
      <c r="U14" s="39">
        <f t="shared" si="4"/>
        <v>2200.8113067195636</v>
      </c>
      <c r="W14" s="726"/>
      <c r="X14" s="726"/>
      <c r="Y14" s="726"/>
      <c r="Z14" s="726"/>
      <c r="AA14" s="726"/>
      <c r="AB14" s="726"/>
      <c r="AC14" s="726"/>
    </row>
    <row r="15" spans="1:29">
      <c r="A15" s="425">
        <v>1982</v>
      </c>
      <c r="B15" s="311">
        <f>Brood_Tab!D13</f>
        <v>56.256692578503412</v>
      </c>
      <c r="C15" s="311">
        <f>Brood_Tab!E13</f>
        <v>0</v>
      </c>
      <c r="D15" s="39">
        <f t="shared" si="0"/>
        <v>56.256692578503412</v>
      </c>
      <c r="E15" s="311">
        <f>Brood_Tab!F13</f>
        <v>0</v>
      </c>
      <c r="F15" s="311">
        <f>Brood_Tab!G13</f>
        <v>2352.3127612490775</v>
      </c>
      <c r="G15" s="311">
        <f>Brood_Tab!H13</f>
        <v>0</v>
      </c>
      <c r="H15" s="39">
        <f t="shared" si="1"/>
        <v>2352.3127612490775</v>
      </c>
      <c r="I15" s="311">
        <f>Brood_Tab!I13</f>
        <v>42.217374120622878</v>
      </c>
      <c r="J15" s="311">
        <f>Brood_Tab!J13</f>
        <v>9968.171527942457</v>
      </c>
      <c r="K15" s="311">
        <f>Brood_Tab!K13</f>
        <v>19.484941901825945</v>
      </c>
      <c r="L15" s="39">
        <f t="shared" si="2"/>
        <v>10029.873843964906</v>
      </c>
      <c r="M15" s="311">
        <f>Brood_Tab!L13</f>
        <v>0</v>
      </c>
      <c r="N15" s="311">
        <f>Brood_Tab!M13</f>
        <v>19096.623109347878</v>
      </c>
      <c r="O15" s="311">
        <f>Brood_Tab!N13</f>
        <v>572.03627218306121</v>
      </c>
      <c r="P15" s="311">
        <f>Brood_Tab!O13</f>
        <v>0</v>
      </c>
      <c r="Q15" s="39">
        <f t="shared" si="3"/>
        <v>19668.659381530939</v>
      </c>
      <c r="R15" s="311">
        <f>Brood_Tab!P13</f>
        <v>770.18994847866236</v>
      </c>
      <c r="S15" s="311">
        <f>Brood_Tab!Q13</f>
        <v>1822.1811671689186</v>
      </c>
      <c r="T15" s="311">
        <f>Brood_Tab!R13</f>
        <v>0</v>
      </c>
      <c r="U15" s="39">
        <f t="shared" si="4"/>
        <v>2592.3711156475811</v>
      </c>
      <c r="W15" s="726"/>
      <c r="X15" s="726"/>
      <c r="Y15" s="726"/>
      <c r="Z15" s="726"/>
      <c r="AA15" s="726"/>
      <c r="AB15" s="726"/>
      <c r="AC15" s="726"/>
    </row>
    <row r="16" spans="1:29">
      <c r="A16" s="425">
        <v>1983</v>
      </c>
      <c r="B16" s="311">
        <f>Brood_Tab!D14</f>
        <v>28.147332185886405</v>
      </c>
      <c r="C16" s="311">
        <f>Brood_Tab!E14</f>
        <v>0</v>
      </c>
      <c r="D16" s="39">
        <f t="shared" si="0"/>
        <v>28.147332185886405</v>
      </c>
      <c r="E16" s="311">
        <f>Brood_Tab!F14</f>
        <v>19.484941901825945</v>
      </c>
      <c r="F16" s="311">
        <f>Brood_Tab!G14</f>
        <v>826.48628566911691</v>
      </c>
      <c r="G16" s="311">
        <f>Brood_Tab!H14</f>
        <v>0</v>
      </c>
      <c r="H16" s="39">
        <f t="shared" si="1"/>
        <v>845.9712275709428</v>
      </c>
      <c r="I16" s="311">
        <f>Brood_Tab!I14</f>
        <v>28.383479154121357</v>
      </c>
      <c r="J16" s="311">
        <f>Brood_Tab!J14</f>
        <v>7774.8899436789352</v>
      </c>
      <c r="K16" s="311">
        <f>Brood_Tab!K14</f>
        <v>75.325386985937442</v>
      </c>
      <c r="L16" s="39">
        <f t="shared" si="2"/>
        <v>7878.5988098189937</v>
      </c>
      <c r="M16" s="311">
        <f>Brood_Tab!L14</f>
        <v>0</v>
      </c>
      <c r="N16" s="311">
        <f>Brood_Tab!M14</f>
        <v>19091.283918213925</v>
      </c>
      <c r="O16" s="311">
        <f>Brood_Tab!N14</f>
        <v>698.98749230420265</v>
      </c>
      <c r="P16" s="311">
        <f>Brood_Tab!O14</f>
        <v>0</v>
      </c>
      <c r="Q16" s="39">
        <f t="shared" si="3"/>
        <v>19790.271410518129</v>
      </c>
      <c r="R16" s="311">
        <f>Brood_Tab!P14</f>
        <v>382.33437788018432</v>
      </c>
      <c r="S16" s="311">
        <f>Brood_Tab!Q14</f>
        <v>1881.5668202764978</v>
      </c>
      <c r="T16" s="311">
        <f>Brood_Tab!R14</f>
        <v>18.063041474654376</v>
      </c>
      <c r="U16" s="39">
        <f t="shared" si="4"/>
        <v>2281.9642396313361</v>
      </c>
      <c r="W16" s="726"/>
      <c r="X16" s="726"/>
      <c r="Y16" s="726"/>
      <c r="Z16" s="726"/>
      <c r="AA16" s="726"/>
      <c r="AB16" s="726"/>
      <c r="AC16" s="726"/>
    </row>
    <row r="17" spans="1:29">
      <c r="A17" s="425">
        <v>1984</v>
      </c>
      <c r="B17" s="311">
        <f>Brood_Tab!D15</f>
        <v>19.484941901825945</v>
      </c>
      <c r="C17" s="311">
        <f>Brood_Tab!E15</f>
        <v>19.484941901825945</v>
      </c>
      <c r="D17" s="39">
        <f t="shared" si="0"/>
        <v>38.969883803651889</v>
      </c>
      <c r="E17" s="311">
        <f>Brood_Tab!F15</f>
        <v>13.100067301902163</v>
      </c>
      <c r="F17" s="311">
        <f>Brood_Tab!G15</f>
        <v>970.49665261591872</v>
      </c>
      <c r="G17" s="311">
        <f>Brood_Tab!H15</f>
        <v>30.566823704438384</v>
      </c>
      <c r="H17" s="39">
        <f t="shared" si="1"/>
        <v>1014.1635436222593</v>
      </c>
      <c r="I17" s="311">
        <f>Brood_Tab!I15</f>
        <v>14.039920935808949</v>
      </c>
      <c r="J17" s="311">
        <f>Brood_Tab!J15</f>
        <v>7595.5972262726427</v>
      </c>
      <c r="K17" s="311">
        <f>Brood_Tab!K15</f>
        <v>57.162535238650726</v>
      </c>
      <c r="L17" s="39">
        <f t="shared" si="2"/>
        <v>7666.7996824471029</v>
      </c>
      <c r="M17" s="311">
        <f>Brood_Tab!L15</f>
        <v>0</v>
      </c>
      <c r="N17" s="311">
        <f>Brood_Tab!M15</f>
        <v>11753.018986175115</v>
      </c>
      <c r="O17" s="311">
        <f>Brood_Tab!N15</f>
        <v>459.60405529953914</v>
      </c>
      <c r="P17" s="311">
        <f>Brood_Tab!O15</f>
        <v>41.143594470046075</v>
      </c>
      <c r="Q17" s="39">
        <f t="shared" si="3"/>
        <v>12253.766635944699</v>
      </c>
      <c r="R17" s="311">
        <f>Brood_Tab!P15</f>
        <v>354.65398988156835</v>
      </c>
      <c r="S17" s="311">
        <f>Brood_Tab!Q15</f>
        <v>418.95386340117278</v>
      </c>
      <c r="T17" s="311">
        <f>Brood_Tab!R15</f>
        <v>0</v>
      </c>
      <c r="U17" s="39">
        <f t="shared" si="4"/>
        <v>773.60785328274119</v>
      </c>
      <c r="W17" s="726"/>
      <c r="X17" s="726"/>
      <c r="Y17" s="726"/>
      <c r="Z17" s="726"/>
      <c r="AA17" s="726"/>
      <c r="AB17" s="726"/>
      <c r="AC17" s="726"/>
    </row>
    <row r="18" spans="1:29">
      <c r="A18" s="425">
        <v>1985</v>
      </c>
      <c r="B18" s="311">
        <f>Brood_Tab!D16</f>
        <v>13.100067301902163</v>
      </c>
      <c r="C18" s="311">
        <f>Brood_Tab!E16</f>
        <v>43.666891006340542</v>
      </c>
      <c r="D18" s="39">
        <f t="shared" si="0"/>
        <v>56.766958308242707</v>
      </c>
      <c r="E18" s="311">
        <f>Brood_Tab!F16</f>
        <v>0</v>
      </c>
      <c r="F18" s="311">
        <f>Brood_Tab!G16</f>
        <v>792.25268137779074</v>
      </c>
      <c r="G18" s="311">
        <f>Brood_Tab!H16</f>
        <v>62.176792715725355</v>
      </c>
      <c r="H18" s="39">
        <f t="shared" si="1"/>
        <v>854.42947409351609</v>
      </c>
      <c r="I18" s="311">
        <f>Brood_Tab!I16</f>
        <v>0</v>
      </c>
      <c r="J18" s="311">
        <f>Brood_Tab!J16</f>
        <v>5455.0385253456225</v>
      </c>
      <c r="K18" s="311">
        <f>Brood_Tab!K16</f>
        <v>279.97714285714284</v>
      </c>
      <c r="L18" s="39">
        <f t="shared" si="2"/>
        <v>5735.0156682027655</v>
      </c>
      <c r="M18" s="311">
        <f>Brood_Tab!L16</f>
        <v>0</v>
      </c>
      <c r="N18" s="311">
        <f>Brood_Tab!M16</f>
        <v>11986.902983787513</v>
      </c>
      <c r="O18" s="311">
        <f>Brood_Tab!N16</f>
        <v>524.44584339427388</v>
      </c>
      <c r="P18" s="311">
        <f>Brood_Tab!O16</f>
        <v>9.0421697136943777</v>
      </c>
      <c r="Q18" s="39">
        <f t="shared" si="3"/>
        <v>12520.390996895481</v>
      </c>
      <c r="R18" s="311">
        <f>Brood_Tab!P16</f>
        <v>365.536289410878</v>
      </c>
      <c r="S18" s="311">
        <f>Brood_Tab!Q16</f>
        <v>1978.3145333500813</v>
      </c>
      <c r="T18" s="311">
        <f>Brood_Tab!R16</f>
        <v>0</v>
      </c>
      <c r="U18" s="39">
        <f t="shared" si="4"/>
        <v>2343.8508227609591</v>
      </c>
      <c r="W18" s="726"/>
      <c r="X18" s="726"/>
      <c r="Y18" s="726"/>
      <c r="Z18" s="726"/>
      <c r="AA18" s="726"/>
      <c r="AB18" s="726"/>
      <c r="AC18" s="726"/>
    </row>
    <row r="19" spans="1:29">
      <c r="A19" s="425">
        <v>1986</v>
      </c>
      <c r="B19" s="311">
        <f>Brood_Tab!D17</f>
        <v>0</v>
      </c>
      <c r="C19" s="311">
        <f>Brood_Tab!E17</f>
        <v>45.128317293671628</v>
      </c>
      <c r="D19" s="39">
        <f t="shared" si="0"/>
        <v>45.128317293671628</v>
      </c>
      <c r="E19" s="311">
        <f>Brood_Tab!F17</f>
        <v>5.0175115207373269</v>
      </c>
      <c r="F19" s="311">
        <f>Brood_Tab!G17</f>
        <v>1267.4234101382488</v>
      </c>
      <c r="G19" s="311">
        <f>Brood_Tab!H17</f>
        <v>46.161105990783412</v>
      </c>
      <c r="H19" s="39">
        <f t="shared" si="1"/>
        <v>1318.6020276497695</v>
      </c>
      <c r="I19" s="311">
        <f>Brood_Tab!I17</f>
        <v>197.92304817753245</v>
      </c>
      <c r="J19" s="311">
        <f>Brood_Tab!J17</f>
        <v>19733.028371852361</v>
      </c>
      <c r="K19" s="311">
        <f>Brood_Tab!K17</f>
        <v>164.76842589398643</v>
      </c>
      <c r="L19" s="39">
        <f t="shared" si="2"/>
        <v>20095.719845923883</v>
      </c>
      <c r="M19" s="311">
        <f>Brood_Tab!L17</f>
        <v>19.080190930787591</v>
      </c>
      <c r="N19" s="311">
        <f>Brood_Tab!M17</f>
        <v>43279.314721733841</v>
      </c>
      <c r="O19" s="311">
        <f>Brood_Tab!N17</f>
        <v>759.85572466201552</v>
      </c>
      <c r="P19" s="311">
        <f>Brood_Tab!O17</f>
        <v>36.15194071096596</v>
      </c>
      <c r="Q19" s="39">
        <f t="shared" si="3"/>
        <v>44094.402578037611</v>
      </c>
      <c r="R19" s="311">
        <f>Brood_Tab!P17</f>
        <v>401.34712550879675</v>
      </c>
      <c r="S19" s="311">
        <f>Brood_Tab!Q17</f>
        <v>1605.2664951680913</v>
      </c>
      <c r="T19" s="311">
        <f>Brood_Tab!R17</f>
        <v>0</v>
      </c>
      <c r="U19" s="39">
        <f t="shared" si="4"/>
        <v>2006.6136206768881</v>
      </c>
      <c r="W19" s="726"/>
      <c r="X19" s="726"/>
      <c r="Y19" s="726"/>
      <c r="Z19" s="726"/>
      <c r="AA19" s="726"/>
      <c r="AB19" s="726"/>
      <c r="AC19" s="726"/>
    </row>
    <row r="20" spans="1:29">
      <c r="A20" s="425">
        <v>1987</v>
      </c>
      <c r="B20" s="311">
        <f>Brood_Tab!D18</f>
        <v>54.189124423963136</v>
      </c>
      <c r="C20" s="311">
        <f>Brood_Tab!E18</f>
        <v>65.227649769585256</v>
      </c>
      <c r="D20" s="39">
        <f t="shared" si="0"/>
        <v>119.41677419354839</v>
      </c>
      <c r="E20" s="311">
        <f>Brood_Tab!F18</f>
        <v>174.81528113142463</v>
      </c>
      <c r="F20" s="311">
        <f>Brood_Tab!G18</f>
        <v>1143.3321260204668</v>
      </c>
      <c r="G20" s="311">
        <f>Brood_Tab!H18</f>
        <v>42.196791997240425</v>
      </c>
      <c r="H20" s="39">
        <f t="shared" si="1"/>
        <v>1360.3441991491318</v>
      </c>
      <c r="I20" s="311">
        <f>Brood_Tab!I18</f>
        <v>140.59088054264538</v>
      </c>
      <c r="J20" s="311">
        <f>Brood_Tab!J18</f>
        <v>9375.3263410620893</v>
      </c>
      <c r="K20" s="311">
        <f>Brood_Tab!K18</f>
        <v>502.7752573840354</v>
      </c>
      <c r="L20" s="39">
        <f t="shared" si="2"/>
        <v>10018.692478988771</v>
      </c>
      <c r="M20" s="311">
        <f>Brood_Tab!L18</f>
        <v>9.0756887677868594</v>
      </c>
      <c r="N20" s="311">
        <f>Brood_Tab!M18</f>
        <v>13878.130304960097</v>
      </c>
      <c r="O20" s="311">
        <f>Brood_Tab!N18</f>
        <v>1397.5731968688765</v>
      </c>
      <c r="P20" s="311">
        <f>Brood_Tab!O18</f>
        <v>0</v>
      </c>
      <c r="Q20" s="39">
        <f t="shared" si="3"/>
        <v>15284.779190596761</v>
      </c>
      <c r="R20" s="311">
        <f>Brood_Tab!P18</f>
        <v>213.61000021249919</v>
      </c>
      <c r="S20" s="311">
        <f>Brood_Tab!Q18</f>
        <v>551.61163518015383</v>
      </c>
      <c r="T20" s="311">
        <f>Brood_Tab!R18</f>
        <v>0</v>
      </c>
      <c r="U20" s="39">
        <f t="shared" si="4"/>
        <v>765.22163539265307</v>
      </c>
      <c r="W20" s="726"/>
      <c r="X20" s="726"/>
      <c r="Y20" s="726"/>
      <c r="Z20" s="726"/>
      <c r="AA20" s="726"/>
      <c r="AB20" s="726"/>
      <c r="AC20" s="726"/>
    </row>
    <row r="21" spans="1:29">
      <c r="A21" s="425">
        <v>1988</v>
      </c>
      <c r="B21" s="311">
        <f>Brood_Tab!D19</f>
        <v>80.374841899505569</v>
      </c>
      <c r="C21" s="311">
        <f>Brood_Tab!E19</f>
        <v>87.407640565712313</v>
      </c>
      <c r="D21" s="39">
        <f t="shared" si="0"/>
        <v>167.78248246521787</v>
      </c>
      <c r="E21" s="311">
        <f>Brood_Tab!F19</f>
        <v>64.270116819495044</v>
      </c>
      <c r="F21" s="311">
        <f>Brood_Tab!G19</f>
        <v>3824.0334757690807</v>
      </c>
      <c r="G21" s="311">
        <f>Brood_Tab!H19</f>
        <v>0</v>
      </c>
      <c r="H21" s="39">
        <f t="shared" si="1"/>
        <v>3888.3035925885756</v>
      </c>
      <c r="I21" s="311">
        <f>Brood_Tab!I19</f>
        <v>36.302755071147438</v>
      </c>
      <c r="J21" s="311">
        <f>Brood_Tab!J19</f>
        <v>31347.247265871323</v>
      </c>
      <c r="K21" s="311">
        <f>Brood_Tab!K19</f>
        <v>57.479362195983448</v>
      </c>
      <c r="L21" s="39">
        <f t="shared" si="2"/>
        <v>31441.029383138455</v>
      </c>
      <c r="M21" s="311">
        <f>Brood_Tab!L19</f>
        <v>0</v>
      </c>
      <c r="N21" s="311">
        <f>Brood_Tab!M19</f>
        <v>36211.645151829012</v>
      </c>
      <c r="O21" s="311">
        <f>Brood_Tab!N19</f>
        <v>117.5366029877388</v>
      </c>
      <c r="P21" s="311">
        <f>Brood_Tab!O19</f>
        <v>0</v>
      </c>
      <c r="Q21" s="39">
        <f t="shared" si="3"/>
        <v>36329.181754816753</v>
      </c>
      <c r="R21" s="311">
        <f>Brood_Tab!P19</f>
        <v>652.21661540335595</v>
      </c>
      <c r="S21" s="311">
        <f>Brood_Tab!Q19</f>
        <v>267.1206389310891</v>
      </c>
      <c r="T21" s="311">
        <f>Brood_Tab!R19</f>
        <v>0</v>
      </c>
      <c r="U21" s="39">
        <f t="shared" si="4"/>
        <v>919.33725433444511</v>
      </c>
      <c r="W21" s="726"/>
      <c r="X21" s="726"/>
      <c r="Y21" s="726"/>
      <c r="Z21" s="726"/>
      <c r="AA21" s="726"/>
      <c r="AB21" s="726"/>
      <c r="AC21" s="726"/>
    </row>
    <row r="22" spans="1:29">
      <c r="A22" s="425">
        <v>1989</v>
      </c>
      <c r="B22" s="311">
        <f>Brood_Tab!D20</f>
        <v>0</v>
      </c>
      <c r="C22" s="311">
        <f>Brood_Tab!E20</f>
        <v>757.16878182425785</v>
      </c>
      <c r="D22" s="39">
        <f t="shared" si="0"/>
        <v>757.16878182425785</v>
      </c>
      <c r="E22" s="311">
        <f>Brood_Tab!F20</f>
        <v>12.100918357049148</v>
      </c>
      <c r="F22" s="311">
        <f>Brood_Tab!G20</f>
        <v>4111.0821315700523</v>
      </c>
      <c r="G22" s="311">
        <f>Brood_Tab!H20</f>
        <v>0</v>
      </c>
      <c r="H22" s="39">
        <f t="shared" si="1"/>
        <v>4123.1830499271018</v>
      </c>
      <c r="I22" s="311">
        <f>Brood_Tab!I20</f>
        <v>44.970526360526151</v>
      </c>
      <c r="J22" s="311">
        <f>Brood_Tab!J20</f>
        <v>31720.521207855119</v>
      </c>
      <c r="K22" s="311">
        <f>Brood_Tab!K20</f>
        <v>0</v>
      </c>
      <c r="L22" s="39">
        <f t="shared" si="2"/>
        <v>31765.491734215644</v>
      </c>
      <c r="M22" s="311">
        <f>Brood_Tab!L20</f>
        <v>0</v>
      </c>
      <c r="N22" s="311">
        <f>Brood_Tab!M20</f>
        <v>31949.172801461413</v>
      </c>
      <c r="O22" s="311">
        <f>Brood_Tab!N20</f>
        <v>699.1884283150157</v>
      </c>
      <c r="P22" s="311">
        <f>Brood_Tab!O20</f>
        <v>0</v>
      </c>
      <c r="Q22" s="39">
        <f t="shared" si="3"/>
        <v>32648.361229776427</v>
      </c>
      <c r="R22" s="311">
        <f>Brood_Tab!P20</f>
        <v>76.353125112317144</v>
      </c>
      <c r="S22" s="311">
        <f>Brood_Tab!Q20</f>
        <v>261.48330517916827</v>
      </c>
      <c r="T22" s="311">
        <f>Brood_Tab!R20</f>
        <v>0</v>
      </c>
      <c r="U22" s="39">
        <f t="shared" si="4"/>
        <v>337.83643029148539</v>
      </c>
      <c r="W22" s="726"/>
      <c r="X22" s="726"/>
      <c r="Y22" s="726"/>
      <c r="Z22" s="726"/>
      <c r="AA22" s="726"/>
      <c r="AB22" s="726"/>
      <c r="AC22" s="726"/>
    </row>
    <row r="23" spans="1:29">
      <c r="A23" s="425">
        <v>1990</v>
      </c>
      <c r="B23" s="311">
        <f>Brood_Tab!D21</f>
        <v>107.8998553503549</v>
      </c>
      <c r="C23" s="311">
        <f>Brood_Tab!E21</f>
        <v>45.378443838934302</v>
      </c>
      <c r="D23" s="39">
        <f t="shared" si="0"/>
        <v>153.27829918928921</v>
      </c>
      <c r="E23" s="311">
        <f>Brood_Tab!F21</f>
        <v>0</v>
      </c>
      <c r="F23" s="311">
        <f>Brood_Tab!G21</f>
        <v>4110.4521949177479</v>
      </c>
      <c r="G23" s="311">
        <f>Brood_Tab!H21</f>
        <v>0</v>
      </c>
      <c r="H23" s="39">
        <f t="shared" si="1"/>
        <v>4110.4521949177479</v>
      </c>
      <c r="I23" s="311">
        <f>Brood_Tab!I21</f>
        <v>0</v>
      </c>
      <c r="J23" s="311">
        <f>Brood_Tab!J21</f>
        <v>55953.220203770397</v>
      </c>
      <c r="K23" s="311">
        <f>Brood_Tab!K21</f>
        <v>84.356092213052349</v>
      </c>
      <c r="L23" s="39">
        <f t="shared" si="2"/>
        <v>56037.576295983446</v>
      </c>
      <c r="M23" s="311">
        <f>Brood_Tab!L21</f>
        <v>0</v>
      </c>
      <c r="N23" s="311">
        <f>Brood_Tab!M21</f>
        <v>35388.394987142514</v>
      </c>
      <c r="O23" s="311">
        <f>Brood_Tab!N21</f>
        <v>1397.4536429045736</v>
      </c>
      <c r="P23" s="311">
        <f>Brood_Tab!O21</f>
        <v>0</v>
      </c>
      <c r="Q23" s="39">
        <f t="shared" si="3"/>
        <v>36785.84863004709</v>
      </c>
      <c r="R23" s="311">
        <f>Brood_Tab!P21</f>
        <v>77.147287124078488</v>
      </c>
      <c r="S23" s="311">
        <f>Brood_Tab!Q21</f>
        <v>515.66597236469568</v>
      </c>
      <c r="T23" s="311">
        <f>Brood_Tab!R21</f>
        <v>0</v>
      </c>
      <c r="U23" s="39">
        <f t="shared" si="4"/>
        <v>592.81325948877418</v>
      </c>
      <c r="W23" s="726"/>
      <c r="X23" s="726"/>
      <c r="Y23" s="726"/>
      <c r="Z23" s="726"/>
      <c r="AA23" s="726"/>
      <c r="AB23" s="726"/>
      <c r="AC23" s="726"/>
    </row>
    <row r="24" spans="1:29">
      <c r="A24" s="425">
        <v>1991</v>
      </c>
      <c r="B24" s="311">
        <f>Brood_Tab!D22</f>
        <v>50.08081344694957</v>
      </c>
      <c r="C24" s="311">
        <f>Brood_Tab!E22</f>
        <v>23.507320597547761</v>
      </c>
      <c r="D24" s="39">
        <f t="shared" si="0"/>
        <v>73.588134044497338</v>
      </c>
      <c r="E24" s="311">
        <f>Brood_Tab!F22</f>
        <v>0</v>
      </c>
      <c r="F24" s="311">
        <f>Brood_Tab!G22</f>
        <v>7142.7400904797742</v>
      </c>
      <c r="G24" s="311">
        <f>Brood_Tab!H22</f>
        <v>0</v>
      </c>
      <c r="H24" s="39">
        <f t="shared" si="1"/>
        <v>7142.7400904797742</v>
      </c>
      <c r="I24" s="311">
        <f>Brood_Tab!I22</f>
        <v>0</v>
      </c>
      <c r="J24" s="311">
        <f>Brood_Tab!J22</f>
        <v>42448.393087402495</v>
      </c>
      <c r="K24" s="311">
        <f>Brood_Tab!K22</f>
        <v>794.42971114786235</v>
      </c>
      <c r="L24" s="39">
        <f t="shared" si="2"/>
        <v>43242.822798550354</v>
      </c>
      <c r="M24" s="311">
        <f>Brood_Tab!L22</f>
        <v>0</v>
      </c>
      <c r="N24" s="311">
        <f>Brood_Tab!M22</f>
        <v>26201.568138228151</v>
      </c>
      <c r="O24" s="311">
        <f>Brood_Tab!N22</f>
        <v>1417.3904747256352</v>
      </c>
      <c r="P24" s="311">
        <f>Brood_Tab!O22</f>
        <v>0</v>
      </c>
      <c r="Q24" s="39">
        <f t="shared" si="3"/>
        <v>27618.958612953786</v>
      </c>
      <c r="R24" s="311">
        <f>Brood_Tab!P22</f>
        <v>0</v>
      </c>
      <c r="S24" s="311">
        <f>Brood_Tab!Q22</f>
        <v>641.12739186656404</v>
      </c>
      <c r="T24" s="311">
        <f>Brood_Tab!R22</f>
        <v>0</v>
      </c>
      <c r="U24" s="39">
        <f t="shared" si="4"/>
        <v>641.12739186656404</v>
      </c>
      <c r="W24" s="726"/>
      <c r="X24" s="726"/>
      <c r="Y24" s="726"/>
      <c r="Z24" s="726"/>
      <c r="AA24" s="726"/>
      <c r="AB24" s="726"/>
      <c r="AC24" s="726"/>
    </row>
    <row r="25" spans="1:29">
      <c r="A25" s="425">
        <v>1992</v>
      </c>
      <c r="B25" s="311">
        <f>Brood_Tab!D23</f>
        <v>0</v>
      </c>
      <c r="C25" s="311">
        <f>Brood_Tab!E23</f>
        <v>189.28684106343454</v>
      </c>
      <c r="D25" s="39">
        <f t="shared" si="0"/>
        <v>189.28684106343454</v>
      </c>
      <c r="E25" s="311">
        <f>Brood_Tab!F23</f>
        <v>0</v>
      </c>
      <c r="F25" s="311">
        <f>Brood_Tab!G23</f>
        <v>5838.5700065365445</v>
      </c>
      <c r="G25" s="311">
        <f>Brood_Tab!H23</f>
        <v>85.766524098767221</v>
      </c>
      <c r="H25" s="39">
        <f t="shared" si="1"/>
        <v>5924.3365306353116</v>
      </c>
      <c r="I25" s="311">
        <f>Brood_Tab!I23</f>
        <v>0</v>
      </c>
      <c r="J25" s="311">
        <f>Brood_Tab!J23</f>
        <v>56036.148750161839</v>
      </c>
      <c r="K25" s="311">
        <f>Brood_Tab!K23</f>
        <v>0</v>
      </c>
      <c r="L25" s="39">
        <f t="shared" si="2"/>
        <v>56036.148750161839</v>
      </c>
      <c r="M25" s="311">
        <f>Brood_Tab!L23</f>
        <v>0</v>
      </c>
      <c r="N25" s="311">
        <f>Brood_Tab!M23</f>
        <v>29655.106398145166</v>
      </c>
      <c r="O25" s="311">
        <f>Brood_Tab!N23</f>
        <v>347.7474973484243</v>
      </c>
      <c r="P25" s="311">
        <f>Brood_Tab!O23</f>
        <v>0</v>
      </c>
      <c r="Q25" s="39">
        <f t="shared" si="3"/>
        <v>30002.85389549359</v>
      </c>
      <c r="R25" s="311">
        <f>Brood_Tab!P23</f>
        <v>460.52121340455903</v>
      </c>
      <c r="S25" s="311">
        <f>Brood_Tab!Q23</f>
        <v>175.18056691852354</v>
      </c>
      <c r="T25" s="311">
        <f>Brood_Tab!R23</f>
        <v>0</v>
      </c>
      <c r="U25" s="39">
        <f t="shared" si="4"/>
        <v>635.70178032308263</v>
      </c>
      <c r="W25" s="726"/>
      <c r="X25" s="726"/>
      <c r="Y25" s="726"/>
      <c r="Z25" s="726"/>
      <c r="AA25" s="726"/>
      <c r="AB25" s="726"/>
      <c r="AC25" s="726"/>
    </row>
    <row r="26" spans="1:29">
      <c r="A26" s="425">
        <v>1993</v>
      </c>
      <c r="B26" s="311">
        <f>Brood_Tab!D24</f>
        <v>0</v>
      </c>
      <c r="C26" s="311">
        <f>Brood_Tab!E24</f>
        <v>1359.8000469587732</v>
      </c>
      <c r="D26" s="39">
        <f t="shared" si="0"/>
        <v>1359.8000469587732</v>
      </c>
      <c r="E26" s="311">
        <f>Brood_Tab!F24</f>
        <v>272.9091755475954</v>
      </c>
      <c r="F26" s="311">
        <f>Brood_Tab!G24</f>
        <v>7114.5318999569718</v>
      </c>
      <c r="G26" s="311">
        <f>Brood_Tab!H24</f>
        <v>0</v>
      </c>
      <c r="H26" s="39">
        <f t="shared" si="1"/>
        <v>7387.4410755045674</v>
      </c>
      <c r="I26" s="311">
        <f>Brood_Tab!I24</f>
        <v>0</v>
      </c>
      <c r="J26" s="311">
        <f>Brood_Tab!J24</f>
        <v>68251.348966270903</v>
      </c>
      <c r="K26" s="311">
        <f>Brood_Tab!K24</f>
        <v>191.82531564647593</v>
      </c>
      <c r="L26" s="39">
        <f t="shared" si="2"/>
        <v>68443.174281917381</v>
      </c>
      <c r="M26" s="311">
        <f>Brood_Tab!L24</f>
        <v>0</v>
      </c>
      <c r="N26" s="311">
        <f>Brood_Tab!M24</f>
        <v>27830.432057365608</v>
      </c>
      <c r="O26" s="311">
        <f>Brood_Tab!N24</f>
        <v>964.06923271893095</v>
      </c>
      <c r="P26" s="311">
        <f>Brood_Tab!O24</f>
        <v>0</v>
      </c>
      <c r="Q26" s="39">
        <f t="shared" si="3"/>
        <v>28794.50129008454</v>
      </c>
      <c r="R26" s="311">
        <f>Brood_Tab!P24</f>
        <v>77.169639999999987</v>
      </c>
      <c r="S26" s="311">
        <f>Brood_Tab!Q24</f>
        <v>368.26994469135798</v>
      </c>
      <c r="T26" s="311">
        <f>Brood_Tab!R24</f>
        <v>0</v>
      </c>
      <c r="U26" s="39">
        <f t="shared" ref="U26:U39" si="5">SUM(R26:T26)</f>
        <v>445.43958469135794</v>
      </c>
      <c r="W26" s="726"/>
      <c r="X26" s="726"/>
      <c r="Y26" s="726"/>
      <c r="Z26" s="726"/>
      <c r="AA26" s="726"/>
      <c r="AB26" s="726"/>
      <c r="AC26" s="726"/>
    </row>
    <row r="27" spans="1:29">
      <c r="A27" s="425">
        <v>1994</v>
      </c>
      <c r="B27" s="311">
        <f>Brood_Tab!D25</f>
        <v>0</v>
      </c>
      <c r="C27" s="311">
        <f>Brood_Tab!E25</f>
        <v>132.69333385341497</v>
      </c>
      <c r="D27" s="39">
        <f t="shared" si="0"/>
        <v>132.69333385341497</v>
      </c>
      <c r="E27" s="311">
        <f>Brood_Tab!F25</f>
        <v>44.109564560419606</v>
      </c>
      <c r="F27" s="311">
        <f>Brood_Tab!G25</f>
        <v>6148.7831459402105</v>
      </c>
      <c r="G27" s="311">
        <f>Brood_Tab!H25</f>
        <v>44.109564560419606</v>
      </c>
      <c r="H27" s="39">
        <f t="shared" si="1"/>
        <v>6237.0022750610506</v>
      </c>
      <c r="I27" s="311">
        <f>Brood_Tab!I25</f>
        <v>0</v>
      </c>
      <c r="J27" s="311">
        <f>Brood_Tab!J25</f>
        <v>55667.160650015241</v>
      </c>
      <c r="K27" s="311">
        <f>Brood_Tab!K25</f>
        <v>253.0385966600895</v>
      </c>
      <c r="L27" s="39">
        <f t="shared" si="2"/>
        <v>55920.199246675329</v>
      </c>
      <c r="M27" s="311">
        <f>Brood_Tab!L25</f>
        <v>0</v>
      </c>
      <c r="N27" s="311">
        <f>Brood_Tab!M25</f>
        <v>16002.838661234568</v>
      </c>
      <c r="O27" s="311">
        <f>Brood_Tab!N25</f>
        <v>541.24765469135809</v>
      </c>
      <c r="P27" s="311">
        <f>Brood_Tab!O25</f>
        <v>0</v>
      </c>
      <c r="Q27" s="39">
        <f t="shared" ref="Q27:Q40" si="6">SUM(M27:P27)</f>
        <v>16544.086315925924</v>
      </c>
      <c r="R27" s="311">
        <f>Brood_Tab!P25</f>
        <v>81.878036136101485</v>
      </c>
      <c r="S27" s="311">
        <f>Brood_Tab!Q25</f>
        <v>135.619712272203</v>
      </c>
      <c r="T27" s="311">
        <f>Brood_Tab!R25</f>
        <v>0</v>
      </c>
      <c r="U27" s="39">
        <f t="shared" si="5"/>
        <v>217.49774840830449</v>
      </c>
      <c r="W27" s="726"/>
      <c r="X27" s="726"/>
      <c r="Y27" s="726"/>
      <c r="Z27" s="726"/>
      <c r="AA27" s="726"/>
      <c r="AB27" s="726"/>
      <c r="AC27" s="726"/>
    </row>
    <row r="28" spans="1:29">
      <c r="A28" s="425">
        <v>1995</v>
      </c>
      <c r="B28" s="311">
        <f>Brood_Tab!D26</f>
        <v>44.109564560419606</v>
      </c>
      <c r="C28" s="311">
        <f>Brood_Tab!E26</f>
        <v>179.51566972263797</v>
      </c>
      <c r="D28" s="39">
        <f t="shared" si="0"/>
        <v>223.62523428305758</v>
      </c>
      <c r="E28" s="311">
        <f>Brood_Tab!F26</f>
        <v>0</v>
      </c>
      <c r="F28" s="311">
        <f>Brood_Tab!G26</f>
        <v>10515.024349583715</v>
      </c>
      <c r="G28" s="311">
        <f>Brood_Tab!H26</f>
        <v>0</v>
      </c>
      <c r="H28" s="39">
        <f t="shared" si="1"/>
        <v>10515.024349583715</v>
      </c>
      <c r="I28" s="311">
        <f>Brood_Tab!I26</f>
        <v>0</v>
      </c>
      <c r="J28" s="311">
        <f>Brood_Tab!J26</f>
        <v>48496.09767604938</v>
      </c>
      <c r="K28" s="311">
        <f>Brood_Tab!K26</f>
        <v>240.70424234567901</v>
      </c>
      <c r="L28" s="39">
        <f t="shared" ref="L28:L41" si="7">SUM(I28:K28)</f>
        <v>48736.80191839506</v>
      </c>
      <c r="M28" s="311">
        <f>Brood_Tab!L26</f>
        <v>0</v>
      </c>
      <c r="N28" s="311">
        <f>Brood_Tab!M26</f>
        <v>15068.4420361015</v>
      </c>
      <c r="O28" s="311">
        <f>Brood_Tab!N26</f>
        <v>762.60448908881199</v>
      </c>
      <c r="P28" s="311">
        <f>Brood_Tab!O26</f>
        <v>0</v>
      </c>
      <c r="Q28" s="39">
        <f t="shared" si="6"/>
        <v>15831.046525190312</v>
      </c>
      <c r="R28" s="311">
        <f>Brood_Tab!P26</f>
        <v>28.153983732753993</v>
      </c>
      <c r="S28" s="311">
        <f>Brood_Tab!Q26</f>
        <v>958.55156315864701</v>
      </c>
      <c r="T28" s="311">
        <f>Brood_Tab!R26</f>
        <v>0</v>
      </c>
      <c r="U28" s="39">
        <f t="shared" si="5"/>
        <v>986.70554689140101</v>
      </c>
      <c r="W28" s="726"/>
      <c r="X28" s="726"/>
      <c r="Y28" s="726"/>
      <c r="Z28" s="726"/>
      <c r="AA28" s="726"/>
      <c r="AB28" s="726"/>
      <c r="AC28" s="726"/>
    </row>
    <row r="29" spans="1:29">
      <c r="A29" s="425">
        <v>1996</v>
      </c>
      <c r="B29" s="311">
        <f>Brood_Tab!D27</f>
        <v>0</v>
      </c>
      <c r="C29" s="311">
        <f>Brood_Tab!E27</f>
        <v>85.573333333333323</v>
      </c>
      <c r="D29" s="39">
        <f t="shared" ref="D29:D39" si="8">SUM(B29:C29)</f>
        <v>85.573333333333323</v>
      </c>
      <c r="E29" s="311">
        <f>Brood_Tab!F27</f>
        <v>0</v>
      </c>
      <c r="F29" s="311">
        <f>Brood_Tab!G27</f>
        <v>4772.061546296296</v>
      </c>
      <c r="G29" s="311">
        <f>Brood_Tab!H27</f>
        <v>0</v>
      </c>
      <c r="H29" s="39">
        <f t="shared" ref="H29:H38" si="9">SUM(E29:G29)</f>
        <v>4772.061546296296</v>
      </c>
      <c r="I29" s="311">
        <f>Brood_Tab!I27</f>
        <v>0</v>
      </c>
      <c r="J29" s="311">
        <f>Brood_Tab!J27</f>
        <v>55991.032530968863</v>
      </c>
      <c r="K29" s="311">
        <f>Brood_Tab!K27</f>
        <v>112.54544000000001</v>
      </c>
      <c r="L29" s="39">
        <f t="shared" si="7"/>
        <v>56103.577970968865</v>
      </c>
      <c r="M29" s="311">
        <f>Brood_Tab!L27</f>
        <v>0</v>
      </c>
      <c r="N29" s="311">
        <f>Brood_Tab!M27</f>
        <v>14143.248853878613</v>
      </c>
      <c r="O29" s="311">
        <f>Brood_Tab!N27</f>
        <v>1411.2921116803655</v>
      </c>
      <c r="P29" s="311">
        <f>Brood_Tab!O27</f>
        <v>0</v>
      </c>
      <c r="Q29" s="39">
        <f t="shared" si="6"/>
        <v>15554.540965558979</v>
      </c>
      <c r="R29" s="311">
        <f>Brood_Tab!P27</f>
        <v>112.06925049627687</v>
      </c>
      <c r="S29" s="311">
        <f>Brood_Tab!Q27</f>
        <v>362.92207341471556</v>
      </c>
      <c r="T29" s="311">
        <f>Brood_Tab!R27</f>
        <v>0</v>
      </c>
      <c r="U29" s="39">
        <f t="shared" si="5"/>
        <v>474.99132391099243</v>
      </c>
      <c r="W29" s="726"/>
      <c r="X29" s="726"/>
      <c r="Y29" s="726"/>
      <c r="Z29" s="726"/>
      <c r="AA29" s="726"/>
      <c r="AB29" s="726"/>
      <c r="AC29" s="726"/>
    </row>
    <row r="30" spans="1:29">
      <c r="A30" s="425">
        <v>1997</v>
      </c>
      <c r="B30" s="311">
        <f>Brood_Tab!D28</f>
        <v>0</v>
      </c>
      <c r="C30" s="311">
        <f>Brood_Tab!E28</f>
        <v>246.62966469135802</v>
      </c>
      <c r="D30" s="39">
        <f t="shared" si="8"/>
        <v>246.62966469135802</v>
      </c>
      <c r="E30" s="311">
        <f>Brood_Tab!F28</f>
        <v>0</v>
      </c>
      <c r="F30" s="311">
        <f>Brood_Tab!G28</f>
        <v>8616.610270888119</v>
      </c>
      <c r="G30" s="311">
        <f>Brood_Tab!H28</f>
        <v>98.477259999999987</v>
      </c>
      <c r="H30" s="39">
        <f t="shared" si="9"/>
        <v>8715.0875308881186</v>
      </c>
      <c r="I30" s="311">
        <f>Brood_Tab!I28</f>
        <v>0</v>
      </c>
      <c r="J30" s="311">
        <f>Brood_Tab!J28</f>
        <v>49172.428764518438</v>
      </c>
      <c r="K30" s="311">
        <f>Brood_Tab!K28</f>
        <v>452.3956617867812</v>
      </c>
      <c r="L30" s="39">
        <f t="shared" si="7"/>
        <v>49624.824426305218</v>
      </c>
      <c r="M30" s="311">
        <f>Brood_Tab!L28</f>
        <v>0</v>
      </c>
      <c r="N30" s="311">
        <f>Brood_Tab!M28</f>
        <v>24214.508840231327</v>
      </c>
      <c r="O30" s="311">
        <f>Brood_Tab!N28</f>
        <v>1275.7909201576731</v>
      </c>
      <c r="P30" s="311">
        <f>Brood_Tab!O28</f>
        <v>0</v>
      </c>
      <c r="Q30" s="39">
        <f t="shared" si="6"/>
        <v>25490.299760389</v>
      </c>
      <c r="R30" s="311">
        <f>Brood_Tab!P28</f>
        <v>0</v>
      </c>
      <c r="S30" s="311">
        <f>Brood_Tab!Q28</f>
        <v>265.90822464165711</v>
      </c>
      <c r="T30" s="311">
        <f>Brood_Tab!R28</f>
        <v>0</v>
      </c>
      <c r="U30" s="39">
        <f t="shared" si="5"/>
        <v>265.90822464165711</v>
      </c>
      <c r="W30" s="726"/>
      <c r="X30" s="726"/>
      <c r="Y30" s="726"/>
      <c r="Z30" s="726"/>
      <c r="AA30" s="726"/>
      <c r="AB30" s="726"/>
      <c r="AC30" s="726"/>
    </row>
    <row r="31" spans="1:29">
      <c r="A31" s="425">
        <v>1998</v>
      </c>
      <c r="B31" s="311">
        <f>Brood_Tab!D29</f>
        <v>43.032079999999993</v>
      </c>
      <c r="C31" s="311">
        <f>Brood_Tab!E29</f>
        <v>243.10306454440598</v>
      </c>
      <c r="D31" s="39">
        <f t="shared" si="8"/>
        <v>286.13514454440599</v>
      </c>
      <c r="E31" s="311">
        <f>Brood_Tab!F29</f>
        <v>0</v>
      </c>
      <c r="F31" s="311">
        <f>Brood_Tab!G29</f>
        <v>6610.3547149313254</v>
      </c>
      <c r="G31" s="311">
        <f>Brood_Tab!H29</f>
        <v>25.46286624768382</v>
      </c>
      <c r="H31" s="39">
        <f t="shared" si="9"/>
        <v>6635.8175811790088</v>
      </c>
      <c r="I31" s="311">
        <f>Brood_Tab!I29</f>
        <v>0</v>
      </c>
      <c r="J31" s="311">
        <f>Brood_Tab!J29</f>
        <v>61827.510455917312</v>
      </c>
      <c r="K31" s="311">
        <f>Brood_Tab!K29</f>
        <v>197.6335540838852</v>
      </c>
      <c r="L31" s="39">
        <f t="shared" si="7"/>
        <v>62025.144010001197</v>
      </c>
      <c r="M31" s="311">
        <f>Brood_Tab!L29</f>
        <v>0</v>
      </c>
      <c r="N31" s="311">
        <f>Brood_Tab!M29</f>
        <v>26015.359135178303</v>
      </c>
      <c r="O31" s="311">
        <f>Brood_Tab!N29</f>
        <v>1055.9996987850079</v>
      </c>
      <c r="P31" s="311">
        <f>Brood_Tab!O29</f>
        <v>0</v>
      </c>
      <c r="Q31" s="39">
        <f t="shared" si="6"/>
        <v>27071.35883396331</v>
      </c>
      <c r="R31" s="311">
        <f>Brood_Tab!P29</f>
        <v>13.955283299943492</v>
      </c>
      <c r="S31" s="311">
        <f>Brood_Tab!Q29</f>
        <v>449.6713613082913</v>
      </c>
      <c r="T31" s="311">
        <f>Brood_Tab!R29</f>
        <v>0</v>
      </c>
      <c r="U31" s="39">
        <f t="shared" si="5"/>
        <v>463.62664460823481</v>
      </c>
      <c r="W31" s="726"/>
      <c r="X31" s="726"/>
      <c r="Y31" s="726"/>
      <c r="Z31" s="726"/>
      <c r="AA31" s="726"/>
      <c r="AB31" s="726"/>
      <c r="AC31" s="726"/>
    </row>
    <row r="32" spans="1:29">
      <c r="A32" s="425">
        <v>1999</v>
      </c>
      <c r="B32" s="311">
        <f>Brood_Tab!D30</f>
        <v>10.246225074902723</v>
      </c>
      <c r="C32" s="311">
        <f>Brood_Tab!E30</f>
        <v>159.86525499049804</v>
      </c>
      <c r="D32" s="39">
        <f t="shared" si="8"/>
        <v>170.11148006540077</v>
      </c>
      <c r="E32" s="311">
        <f>Brood_Tab!F30</f>
        <v>75.704926535420157</v>
      </c>
      <c r="F32" s="311">
        <f>Brood_Tab!G30</f>
        <v>5974.2592968517056</v>
      </c>
      <c r="G32" s="311">
        <f>Brood_Tab!H30</f>
        <v>32.226169217460139</v>
      </c>
      <c r="H32" s="39">
        <f t="shared" si="9"/>
        <v>6082.1903926045852</v>
      </c>
      <c r="I32" s="311">
        <f>Brood_Tab!I30</f>
        <v>0</v>
      </c>
      <c r="J32" s="311">
        <f>Brood_Tab!J30</f>
        <v>47490.721342012861</v>
      </c>
      <c r="K32" s="311">
        <f>Brood_Tab!K30</f>
        <v>205.99042473717347</v>
      </c>
      <c r="L32" s="39">
        <f t="shared" si="7"/>
        <v>47696.711766750035</v>
      </c>
      <c r="M32" s="311">
        <f>Brood_Tab!L30</f>
        <v>0</v>
      </c>
      <c r="N32" s="311">
        <f>Brood_Tab!M30</f>
        <v>20299.583773261162</v>
      </c>
      <c r="O32" s="311">
        <f>Brood_Tab!N30</f>
        <v>1381.760974072354</v>
      </c>
      <c r="P32" s="311">
        <f>Brood_Tab!O30</f>
        <v>0</v>
      </c>
      <c r="Q32" s="39">
        <f t="shared" si="6"/>
        <v>21681.344747333515</v>
      </c>
      <c r="R32" s="311">
        <f>Brood_Tab!P30</f>
        <v>413.87159666615844</v>
      </c>
      <c r="S32" s="311">
        <f>Brood_Tab!Q30</f>
        <v>555.64754098360663</v>
      </c>
      <c r="T32" s="311">
        <f>Brood_Tab!R30</f>
        <v>0</v>
      </c>
      <c r="U32" s="39">
        <f t="shared" si="5"/>
        <v>969.51913764976507</v>
      </c>
      <c r="W32" s="726"/>
      <c r="X32" s="726"/>
      <c r="Y32" s="726"/>
      <c r="Z32" s="726"/>
      <c r="AA32" s="726"/>
      <c r="AB32" s="726"/>
      <c r="AC32" s="726"/>
    </row>
    <row r="33" spans="1:29">
      <c r="A33" s="425">
        <v>2000</v>
      </c>
      <c r="B33" s="311">
        <f>Brood_Tab!D31</f>
        <v>37.852463267710093</v>
      </c>
      <c r="C33" s="311">
        <f>Brood_Tab!E31</f>
        <v>394.52204982652</v>
      </c>
      <c r="D33" s="39">
        <f t="shared" si="8"/>
        <v>432.37451309423011</v>
      </c>
      <c r="E33" s="311">
        <f>Brood_Tab!F31</f>
        <v>115.23863636363636</v>
      </c>
      <c r="F33" s="311">
        <f>Brood_Tab!G31</f>
        <v>5019.1373507663429</v>
      </c>
      <c r="G33" s="311">
        <f>Brood_Tab!H31</f>
        <v>19.816932301810937</v>
      </c>
      <c r="H33" s="39">
        <f t="shared" si="9"/>
        <v>5154.19291943179</v>
      </c>
      <c r="I33" s="311">
        <f>Brood_Tab!I31</f>
        <v>0</v>
      </c>
      <c r="J33" s="311">
        <f>Brood_Tab!J31</f>
        <v>37619.161498689777</v>
      </c>
      <c r="K33" s="311">
        <f>Brood_Tab!K31</f>
        <v>108.99016113230012</v>
      </c>
      <c r="L33" s="39">
        <f t="shared" si="7"/>
        <v>37728.151659822077</v>
      </c>
      <c r="M33" s="311">
        <f>Brood_Tab!L31</f>
        <v>0</v>
      </c>
      <c r="N33" s="311">
        <f>Brood_Tab!M31</f>
        <v>16359.593867404627</v>
      </c>
      <c r="O33" s="311">
        <f>Brood_Tab!N31</f>
        <v>3549.1644384477754</v>
      </c>
      <c r="P33" s="311">
        <f>Brood_Tab!O31</f>
        <v>0</v>
      </c>
      <c r="Q33" s="39">
        <f t="shared" si="6"/>
        <v>19908.758305852403</v>
      </c>
      <c r="R33" s="311">
        <f>Brood_Tab!P31</f>
        <v>215.07656612529001</v>
      </c>
      <c r="S33" s="311">
        <f>Brood_Tab!Q31</f>
        <v>379.02492229568588</v>
      </c>
      <c r="T33" s="311">
        <f>Brood_Tab!R31</f>
        <v>0</v>
      </c>
      <c r="U33" s="39">
        <f t="shared" si="5"/>
        <v>594.1014884209759</v>
      </c>
      <c r="W33" s="726"/>
      <c r="X33" s="726"/>
      <c r="Y33" s="726"/>
      <c r="Z33" s="726"/>
      <c r="AA33" s="726"/>
      <c r="AB33" s="726"/>
      <c r="AC33" s="726"/>
    </row>
    <row r="34" spans="1:29">
      <c r="A34" s="425">
        <v>2001</v>
      </c>
      <c r="B34" s="311">
        <f>Brood_Tab!D32</f>
        <v>0</v>
      </c>
      <c r="C34" s="311">
        <f>Brood_Tab!E32</f>
        <v>370.82825521321246</v>
      </c>
      <c r="D34" s="39">
        <f t="shared" si="8"/>
        <v>370.82825521321246</v>
      </c>
      <c r="E34" s="311">
        <f>Brood_Tab!F32</f>
        <v>73.0797557112231</v>
      </c>
      <c r="F34" s="311">
        <f>Brood_Tab!G32</f>
        <v>5890.5726635800202</v>
      </c>
      <c r="G34" s="311">
        <f>Brood_Tab!H32</f>
        <v>17.889646743954227</v>
      </c>
      <c r="H34" s="39">
        <f t="shared" si="9"/>
        <v>5981.5420660351974</v>
      </c>
      <c r="I34" s="311">
        <f>Brood_Tab!I32</f>
        <v>0</v>
      </c>
      <c r="J34" s="311">
        <f>Brood_Tab!J32</f>
        <v>68219.100697904621</v>
      </c>
      <c r="K34" s="311">
        <f>Brood_Tab!K32</f>
        <v>850.7367863423442</v>
      </c>
      <c r="L34" s="39">
        <f t="shared" si="7"/>
        <v>69069.837484246964</v>
      </c>
      <c r="M34" s="311">
        <f>Brood_Tab!L32</f>
        <v>0</v>
      </c>
      <c r="N34" s="311">
        <f>Brood_Tab!M32</f>
        <v>22479.30776494227</v>
      </c>
      <c r="O34" s="311">
        <f>Brood_Tab!N32</f>
        <v>830.48865435976597</v>
      </c>
      <c r="P34" s="311">
        <f>Brood_Tab!O32</f>
        <v>0</v>
      </c>
      <c r="Q34" s="39">
        <f t="shared" si="6"/>
        <v>23309.796419302038</v>
      </c>
      <c r="R34" s="311">
        <f>Brood_Tab!P32</f>
        <v>21.54212393419624</v>
      </c>
      <c r="S34" s="311">
        <f>Brood_Tab!Q32</f>
        <v>24.558819281155525</v>
      </c>
      <c r="T34" s="311">
        <f>Brood_Tab!R32</f>
        <v>0</v>
      </c>
      <c r="U34" s="39">
        <f t="shared" si="5"/>
        <v>46.100943215351762</v>
      </c>
      <c r="V34" s="23"/>
    </row>
    <row r="35" spans="1:29">
      <c r="A35" s="425">
        <v>2002</v>
      </c>
      <c r="B35" s="311">
        <f>Brood_Tab!D33</f>
        <v>17.000529323872506</v>
      </c>
      <c r="C35" s="311">
        <f>Brood_Tab!E33</f>
        <v>350.8460716270979</v>
      </c>
      <c r="D35" s="39">
        <f t="shared" si="8"/>
        <v>367.84660095097041</v>
      </c>
      <c r="E35" s="311">
        <f>Brood_Tab!F33</f>
        <v>0</v>
      </c>
      <c r="F35" s="311">
        <f>Brood_Tab!G33</f>
        <v>9564.4699599625565</v>
      </c>
      <c r="G35" s="311">
        <f>Brood_Tab!H33</f>
        <v>0</v>
      </c>
      <c r="H35" s="39">
        <f t="shared" si="9"/>
        <v>9564.4699599625565</v>
      </c>
      <c r="I35" s="311">
        <f>Brood_Tab!I33</f>
        <v>0</v>
      </c>
      <c r="J35" s="311">
        <f>Brood_Tab!J33</f>
        <v>57978.039080006849</v>
      </c>
      <c r="K35" s="311">
        <f>Brood_Tab!K33</f>
        <v>501.60877126842792</v>
      </c>
      <c r="L35" s="39">
        <f t="shared" si="7"/>
        <v>58479.64785127528</v>
      </c>
      <c r="M35" s="311">
        <f>Brood_Tab!L33</f>
        <v>0</v>
      </c>
      <c r="N35" s="311">
        <f>Brood_Tab!M33</f>
        <v>17045.187504932786</v>
      </c>
      <c r="O35" s="311">
        <f>Brood_Tab!N33</f>
        <v>395.56161647537806</v>
      </c>
      <c r="P35" s="311">
        <f>Brood_Tab!O33</f>
        <v>0</v>
      </c>
      <c r="Q35" s="39">
        <f t="shared" si="6"/>
        <v>17440.749121408164</v>
      </c>
      <c r="R35" s="311">
        <f>Brood_Tab!P33</f>
        <v>35.701390668236186</v>
      </c>
      <c r="S35" s="311">
        <f>Brood_Tab!Q33</f>
        <v>763.1078662760217</v>
      </c>
      <c r="T35" s="311">
        <f>Brood_Tab!R33</f>
        <v>0</v>
      </c>
      <c r="U35" s="39">
        <f t="shared" si="5"/>
        <v>798.80925694425787</v>
      </c>
      <c r="V35" s="23"/>
    </row>
    <row r="36" spans="1:29">
      <c r="A36" s="425">
        <v>2003</v>
      </c>
      <c r="B36" s="311">
        <f>Brood_Tab!D34</f>
        <v>0</v>
      </c>
      <c r="C36" s="311">
        <f>Brood_Tab!E34</f>
        <v>364.41511228830996</v>
      </c>
      <c r="D36" s="39">
        <f t="shared" si="8"/>
        <v>364.41511228830996</v>
      </c>
      <c r="E36" s="311">
        <f>Brood_Tab!F34</f>
        <v>25.882690084868258</v>
      </c>
      <c r="F36" s="311">
        <f>Brood_Tab!G34</f>
        <v>5160.3299022645133</v>
      </c>
      <c r="G36" s="311">
        <f>Brood_Tab!H34</f>
        <v>92.703365589683685</v>
      </c>
      <c r="H36" s="39">
        <f t="shared" si="9"/>
        <v>5278.9159579390653</v>
      </c>
      <c r="I36" s="311">
        <f>Brood_Tab!I34</f>
        <v>0</v>
      </c>
      <c r="J36" s="311">
        <f>Brood_Tab!J34</f>
        <v>32182.444204813113</v>
      </c>
      <c r="K36" s="311">
        <f>Brood_Tab!K34</f>
        <v>198.99714555718967</v>
      </c>
      <c r="L36" s="39">
        <f t="shared" si="7"/>
        <v>32381.441350370304</v>
      </c>
      <c r="M36" s="311">
        <f>Brood_Tab!L34</f>
        <v>0</v>
      </c>
      <c r="N36" s="311">
        <f>Brood_Tab!M34</f>
        <v>9625.672480758838</v>
      </c>
      <c r="O36" s="311">
        <f>Brood_Tab!N34</f>
        <v>353.04011136325988</v>
      </c>
      <c r="P36" s="311">
        <f>Brood_Tab!O34</f>
        <v>0</v>
      </c>
      <c r="Q36" s="39">
        <f t="shared" si="6"/>
        <v>9978.7125921220977</v>
      </c>
      <c r="R36" s="311">
        <f>Brood_Tab!P34</f>
        <v>0</v>
      </c>
      <c r="S36" s="311">
        <f>Brood_Tab!Q34</f>
        <v>139.68343225782144</v>
      </c>
      <c r="T36" s="311">
        <f>Brood_Tab!R34</f>
        <v>0</v>
      </c>
      <c r="U36" s="39">
        <f t="shared" si="5"/>
        <v>139.68343225782144</v>
      </c>
      <c r="V36" s="23"/>
    </row>
    <row r="37" spans="1:29">
      <c r="A37" s="425">
        <v>2004</v>
      </c>
      <c r="B37" s="311">
        <f>Brood_Tab!D35</f>
        <v>0</v>
      </c>
      <c r="C37" s="311">
        <f>Brood_Tab!E35</f>
        <v>107.53828306264501</v>
      </c>
      <c r="D37" s="39">
        <f t="shared" si="8"/>
        <v>107.53828306264501</v>
      </c>
      <c r="E37" s="311">
        <f>Brood_Tab!F35</f>
        <v>0</v>
      </c>
      <c r="F37" s="311">
        <f>Brood_Tab!G35</f>
        <v>3972.7109198777243</v>
      </c>
      <c r="G37" s="311">
        <f>Brood_Tab!H35</f>
        <v>15.842333515283842</v>
      </c>
      <c r="H37" s="39">
        <f t="shared" si="9"/>
        <v>3988.5532533930082</v>
      </c>
      <c r="I37" s="311">
        <f>Brood_Tab!I35</f>
        <v>0</v>
      </c>
      <c r="J37" s="311">
        <f>Brood_Tab!J35</f>
        <v>27038.839773421794</v>
      </c>
      <c r="K37" s="311">
        <f>Brood_Tab!K35</f>
        <v>358.10595873926673</v>
      </c>
      <c r="L37" s="39">
        <f t="shared" si="7"/>
        <v>27396.945732161061</v>
      </c>
      <c r="M37" s="311">
        <f>Brood_Tab!L35</f>
        <v>0</v>
      </c>
      <c r="N37" s="311">
        <f>Brood_Tab!M35</f>
        <v>6759.2925226127109</v>
      </c>
      <c r="O37" s="311">
        <f>Brood_Tab!N35</f>
        <v>452.34997717026795</v>
      </c>
      <c r="P37" s="311">
        <f>Brood_Tab!O35</f>
        <v>0</v>
      </c>
      <c r="Q37" s="39">
        <f t="shared" si="6"/>
        <v>7211.642499782979</v>
      </c>
      <c r="R37" s="311">
        <f>Brood_Tab!P35</f>
        <v>0</v>
      </c>
      <c r="S37" s="311">
        <f>Brood_Tab!Q35</f>
        <v>17.088239669415429</v>
      </c>
      <c r="T37" s="311">
        <f>Brood_Tab!R35</f>
        <v>0</v>
      </c>
      <c r="U37" s="39">
        <f t="shared" si="5"/>
        <v>17.088239669415429</v>
      </c>
    </row>
    <row r="38" spans="1:29">
      <c r="A38" s="425">
        <v>2005</v>
      </c>
      <c r="B38" s="311">
        <f>Brood_Tab!D36</f>
        <v>15.842333515283842</v>
      </c>
      <c r="C38" s="311">
        <f>Brood_Tab!E36</f>
        <v>7.3129980978916072</v>
      </c>
      <c r="D38" s="39">
        <f t="shared" si="8"/>
        <v>23.155331613175449</v>
      </c>
      <c r="E38" s="311">
        <f>Brood_Tab!F36</f>
        <v>0</v>
      </c>
      <c r="F38" s="311">
        <f>Brood_Tab!G36</f>
        <v>4591.5178731503456</v>
      </c>
      <c r="G38" s="311">
        <f>Brood_Tab!H36</f>
        <v>52.353301908846205</v>
      </c>
      <c r="H38" s="39">
        <f t="shared" si="9"/>
        <v>4643.871175059192</v>
      </c>
      <c r="I38" s="311">
        <f>Brood_Tab!I36</f>
        <v>0</v>
      </c>
      <c r="J38" s="311">
        <f>Brood_Tab!J36</f>
        <v>19724.564662776269</v>
      </c>
      <c r="K38" s="311">
        <f>Brood_Tab!K36</f>
        <v>221.57497149536761</v>
      </c>
      <c r="L38" s="39">
        <f t="shared" si="7"/>
        <v>19946.139634271636</v>
      </c>
      <c r="M38" s="311">
        <f>Brood_Tab!L36</f>
        <v>0</v>
      </c>
      <c r="N38" s="311">
        <f>Brood_Tab!M36</f>
        <v>6002.8139890854263</v>
      </c>
      <c r="O38" s="311">
        <f>Brood_Tab!N36</f>
        <v>1169.1064689137836</v>
      </c>
      <c r="P38" s="311">
        <f>Brood_Tab!O36</f>
        <v>0</v>
      </c>
      <c r="Q38" s="39">
        <f t="shared" si="6"/>
        <v>7171.9204579992102</v>
      </c>
      <c r="R38" s="311">
        <f>Brood_Tab!P36</f>
        <v>831.60972283631918</v>
      </c>
      <c r="S38" s="311">
        <f>Brood_Tab!Q36</f>
        <v>31.3465849929383</v>
      </c>
      <c r="T38" s="311">
        <f>Brood_Tab!R36</f>
        <v>0</v>
      </c>
      <c r="U38" s="39">
        <f t="shared" si="5"/>
        <v>862.95630782925753</v>
      </c>
    </row>
    <row r="39" spans="1:29">
      <c r="A39" s="425">
        <v>2006</v>
      </c>
      <c r="B39" s="311">
        <f>Brood_Tab!D37</f>
        <v>0</v>
      </c>
      <c r="C39" s="311">
        <f>Brood_Tab!E37</f>
        <v>192.66124371339365</v>
      </c>
      <c r="D39" s="39">
        <f t="shared" si="8"/>
        <v>192.66124371339365</v>
      </c>
      <c r="E39" s="311">
        <f>Brood_Tab!F37</f>
        <v>0</v>
      </c>
      <c r="F39" s="311">
        <f>Brood_Tab!G37</f>
        <v>5400.9059432897675</v>
      </c>
      <c r="G39" s="311">
        <f>Brood_Tab!H37</f>
        <v>128.10768918285595</v>
      </c>
      <c r="H39" s="39">
        <f>SUM(E39:G39)</f>
        <v>5529.0136324726236</v>
      </c>
      <c r="I39" s="311">
        <f>Brood_Tab!I37</f>
        <v>0</v>
      </c>
      <c r="J39" s="311">
        <f>Brood_Tab!J37</f>
        <v>41071.275462397622</v>
      </c>
      <c r="K39" s="311">
        <f>Brood_Tab!K37</f>
        <v>130.89298247224838</v>
      </c>
      <c r="L39" s="39">
        <f t="shared" si="7"/>
        <v>41202.168444869872</v>
      </c>
      <c r="M39" s="311">
        <f>Brood_Tab!L37</f>
        <v>0</v>
      </c>
      <c r="N39" s="311">
        <f>Brood_Tab!M37</f>
        <v>5328.8870594280143</v>
      </c>
      <c r="O39" s="311">
        <f>Brood_Tab!N37</f>
        <v>984.22775254701094</v>
      </c>
      <c r="P39" s="311">
        <f>Brood_Tab!O37</f>
        <v>0</v>
      </c>
      <c r="Q39" s="39">
        <f t="shared" si="6"/>
        <v>6313.1148119750251</v>
      </c>
      <c r="R39" s="311">
        <f>Brood_Tab!P37</f>
        <v>0</v>
      </c>
      <c r="S39" s="311">
        <f>Brood_Tab!Q37</f>
        <v>0</v>
      </c>
      <c r="T39" s="311">
        <f>Brood_Tab!R37</f>
        <v>6.2433106730115568</v>
      </c>
      <c r="U39" s="39">
        <f t="shared" si="5"/>
        <v>6.2433106730115568</v>
      </c>
    </row>
    <row r="40" spans="1:29">
      <c r="A40" s="425">
        <v>2007</v>
      </c>
      <c r="B40" s="311">
        <f>Brood_Tab!D38</f>
        <v>0</v>
      </c>
      <c r="C40" s="311">
        <f>Brood_Tab!E38</f>
        <v>357.52080121494441</v>
      </c>
      <c r="D40" s="39">
        <f t="shared" ref="D40:D43" si="10">SUM(B40:C40)</f>
        <v>357.52080121494441</v>
      </c>
      <c r="E40" s="311">
        <f>Brood_Tab!F38</f>
        <v>0</v>
      </c>
      <c r="F40" s="311">
        <f>Brood_Tab!G38</f>
        <v>5474.0040915997633</v>
      </c>
      <c r="G40" s="311">
        <f>Brood_Tab!H38</f>
        <v>22.818765861749398</v>
      </c>
      <c r="H40" s="39">
        <f>SUM(E40:G40)</f>
        <v>5496.8228574615132</v>
      </c>
      <c r="I40" s="311">
        <f>Brood_Tab!I38</f>
        <v>0</v>
      </c>
      <c r="J40" s="311">
        <f>Brood_Tab!J38</f>
        <v>35349.790147950946</v>
      </c>
      <c r="K40" s="311">
        <f>Brood_Tab!K38</f>
        <v>68.95624130677372</v>
      </c>
      <c r="L40" s="39">
        <f t="shared" si="7"/>
        <v>35418.746389257722</v>
      </c>
      <c r="M40" s="311">
        <f>Brood_Tab!L38</f>
        <v>0</v>
      </c>
      <c r="N40" s="311">
        <f>Brood_Tab!M38</f>
        <v>4735.2952298273758</v>
      </c>
      <c r="O40" s="311">
        <f>Brood_Tab!N38</f>
        <v>1303.8738511149684</v>
      </c>
      <c r="P40" s="311">
        <f>Brood_Tab!O38</f>
        <v>0</v>
      </c>
      <c r="Q40" s="39">
        <f t="shared" si="6"/>
        <v>6039.1690809423444</v>
      </c>
      <c r="R40" s="311"/>
      <c r="S40" s="311"/>
      <c r="T40" s="311"/>
      <c r="U40" s="39"/>
    </row>
    <row r="41" spans="1:29">
      <c r="A41" s="425">
        <v>2008</v>
      </c>
      <c r="B41" s="311">
        <f>Brood_Tab!D39</f>
        <v>0</v>
      </c>
      <c r="C41" s="311">
        <f>Brood_Tab!E39</f>
        <v>0</v>
      </c>
      <c r="D41" s="39">
        <f t="shared" si="10"/>
        <v>0</v>
      </c>
      <c r="E41" s="311">
        <f>Brood_Tab!F39</f>
        <v>0</v>
      </c>
      <c r="F41" s="311">
        <f>Brood_Tab!G39</f>
        <v>3822.1399977816591</v>
      </c>
      <c r="G41" s="311">
        <f>Brood_Tab!H39</f>
        <v>12.024231652795928</v>
      </c>
      <c r="H41" s="39">
        <f>SUM(E41:G41)</f>
        <v>3834.1642294344551</v>
      </c>
      <c r="I41" s="311">
        <f>Brood_Tab!I39</f>
        <v>0</v>
      </c>
      <c r="J41" s="311">
        <f>Brood_Tab!J39</f>
        <v>26388.848851438826</v>
      </c>
      <c r="K41" s="311">
        <f>Brood_Tab!K39</f>
        <v>162.95168028273719</v>
      </c>
      <c r="L41" s="39">
        <f t="shared" si="7"/>
        <v>26551.800531721565</v>
      </c>
      <c r="M41" s="311"/>
      <c r="N41" s="311"/>
      <c r="O41" s="311"/>
      <c r="P41" s="311"/>
      <c r="Q41" s="39"/>
      <c r="R41" s="311"/>
      <c r="S41" s="311"/>
      <c r="T41" s="311"/>
      <c r="U41" s="39"/>
    </row>
    <row r="42" spans="1:29">
      <c r="A42" s="425">
        <v>2009</v>
      </c>
      <c r="B42" s="311">
        <f>Brood_Tab!D40</f>
        <v>12.024231652795928</v>
      </c>
      <c r="C42" s="311">
        <f>Brood_Tab!E40</f>
        <v>2.9940298507462684</v>
      </c>
      <c r="D42" s="39">
        <f t="shared" si="10"/>
        <v>15.018261503542195</v>
      </c>
      <c r="E42" s="311">
        <f>Brood_Tab!F40</f>
        <v>0</v>
      </c>
      <c r="F42" s="311">
        <f>Brood_Tab!G40</f>
        <v>5820.5946969665338</v>
      </c>
      <c r="G42" s="311">
        <f>Brood_Tab!H40</f>
        <v>25.742016212068805</v>
      </c>
      <c r="H42" s="39">
        <f>SUM(E42:G42)</f>
        <v>5846.3367131786026</v>
      </c>
      <c r="I42" s="311"/>
      <c r="J42" s="311"/>
      <c r="K42" s="311"/>
      <c r="L42" s="39"/>
      <c r="M42" s="45"/>
      <c r="N42" s="45"/>
      <c r="O42" s="45"/>
      <c r="P42" s="45"/>
      <c r="Q42" s="39"/>
      <c r="R42" s="45"/>
      <c r="S42" s="45"/>
      <c r="T42" s="45"/>
      <c r="U42" s="39"/>
    </row>
    <row r="43" spans="1:29">
      <c r="A43" s="425">
        <v>2010</v>
      </c>
      <c r="B43" s="311">
        <f>Brood_Tab!D41</f>
        <v>0</v>
      </c>
      <c r="C43" s="311">
        <f>Brood_Tab!E41</f>
        <v>4456.4503634844823</v>
      </c>
      <c r="D43" s="39">
        <f t="shared" si="10"/>
        <v>4456.4503634844823</v>
      </c>
      <c r="E43" s="311"/>
      <c r="F43" s="311"/>
      <c r="G43" s="311"/>
      <c r="H43" s="39"/>
      <c r="I43" s="45"/>
      <c r="J43" s="45"/>
      <c r="K43" s="45"/>
      <c r="L43" s="39"/>
      <c r="M43" s="45"/>
      <c r="N43" s="45"/>
      <c r="O43" s="45"/>
      <c r="P43" s="45"/>
      <c r="Q43" s="39"/>
      <c r="R43" s="45"/>
      <c r="S43" s="45"/>
      <c r="T43" s="45"/>
      <c r="U43" s="39"/>
    </row>
    <row r="44" spans="1:29">
      <c r="A44" s="425">
        <v>2011</v>
      </c>
      <c r="B44" s="311"/>
      <c r="C44" s="311"/>
      <c r="D44" s="39"/>
      <c r="E44" s="311"/>
      <c r="F44" s="311"/>
      <c r="G44" s="311"/>
      <c r="H44" s="39"/>
      <c r="I44" s="45"/>
      <c r="J44" s="45"/>
      <c r="K44" s="45"/>
      <c r="L44" s="39"/>
      <c r="M44" s="45"/>
      <c r="N44" s="45"/>
      <c r="O44" s="45"/>
      <c r="P44" s="45"/>
      <c r="Q44" s="39"/>
      <c r="R44" s="45"/>
      <c r="S44" s="45"/>
      <c r="T44" s="45"/>
      <c r="U44" s="39"/>
    </row>
    <row r="45" spans="1:29">
      <c r="A45" s="425">
        <v>2012</v>
      </c>
      <c r="B45" s="311"/>
      <c r="C45" s="311"/>
      <c r="D45" s="39"/>
      <c r="E45" s="311"/>
      <c r="F45" s="311"/>
      <c r="G45" s="311"/>
      <c r="H45" s="39"/>
      <c r="I45" s="45"/>
      <c r="J45" s="45"/>
      <c r="K45" s="45"/>
      <c r="L45" s="39"/>
      <c r="M45" s="45"/>
      <c r="N45" s="45"/>
      <c r="O45" s="45"/>
      <c r="P45" s="45"/>
      <c r="Q45" s="39"/>
      <c r="R45" s="45"/>
      <c r="S45" s="45"/>
      <c r="T45" s="45"/>
      <c r="U45" s="39"/>
    </row>
    <row r="46" spans="1:29">
      <c r="A46" s="425">
        <v>2013</v>
      </c>
      <c r="B46" s="311"/>
      <c r="C46" s="311"/>
      <c r="D46" s="39"/>
      <c r="E46" s="45"/>
      <c r="F46" s="45"/>
      <c r="G46" s="45"/>
      <c r="H46" s="39"/>
      <c r="I46" s="45"/>
      <c r="J46" s="45"/>
      <c r="K46" s="45"/>
      <c r="L46" s="39"/>
      <c r="M46" s="45"/>
      <c r="N46" s="45"/>
      <c r="O46" s="45"/>
      <c r="P46" s="45"/>
      <c r="Q46" s="39"/>
      <c r="R46" s="45"/>
      <c r="S46" s="45"/>
      <c r="T46" s="45"/>
      <c r="U46" s="39"/>
    </row>
    <row r="47" spans="1:29">
      <c r="A47" s="425">
        <v>2014</v>
      </c>
      <c r="B47" s="45"/>
      <c r="C47" s="45"/>
      <c r="D47" s="39"/>
      <c r="E47" s="45"/>
      <c r="F47" s="45"/>
      <c r="G47" s="45"/>
      <c r="H47" s="39"/>
      <c r="I47" s="45"/>
      <c r="J47" s="45"/>
      <c r="K47" s="45"/>
      <c r="L47" s="39"/>
      <c r="M47" s="45"/>
      <c r="N47" s="45"/>
      <c r="O47" s="45"/>
      <c r="P47" s="45"/>
      <c r="Q47" s="39"/>
      <c r="R47" s="45"/>
      <c r="S47" s="45"/>
      <c r="T47" s="45"/>
      <c r="U47" s="39"/>
    </row>
    <row r="48" spans="1:29" ht="15.6" thickBot="1">
      <c r="A48" s="52"/>
      <c r="B48" s="45"/>
      <c r="C48" s="45"/>
      <c r="D48" s="39"/>
      <c r="E48" s="45"/>
      <c r="F48" s="45"/>
      <c r="G48" s="45"/>
      <c r="H48" s="39"/>
      <c r="I48" s="45"/>
      <c r="J48" s="45"/>
      <c r="K48" s="45"/>
      <c r="L48" s="39"/>
      <c r="M48" s="45"/>
      <c r="N48" s="45"/>
      <c r="O48" s="45"/>
      <c r="P48" s="45"/>
      <c r="Q48" s="39"/>
      <c r="R48" s="45"/>
      <c r="S48" s="45"/>
      <c r="T48" s="45"/>
      <c r="U48" s="39"/>
    </row>
    <row r="49" spans="1:22" ht="15.6" thickBot="1">
      <c r="A49" s="52" t="s">
        <v>26</v>
      </c>
      <c r="B49" s="311">
        <f>AVERAGE(B8:B48)</f>
        <v>17.752764999921062</v>
      </c>
      <c r="C49" s="311">
        <f>AVERAGE(C8:C48)</f>
        <v>289.32458404197519</v>
      </c>
      <c r="D49" s="311">
        <f>AVERAGE(D8:D48)</f>
        <v>307.07734904189624</v>
      </c>
      <c r="E49" s="311">
        <f t="shared" ref="E49:T49" si="11">AVERAGE(E8:E48)</f>
        <v>49.375253784933285</v>
      </c>
      <c r="F49" s="311">
        <f>AVERAGE(F8:F48)</f>
        <v>4209.7427582583814</v>
      </c>
      <c r="G49" s="311">
        <f>AVERAGE(G8:G48)</f>
        <v>24.674040962592986</v>
      </c>
      <c r="H49" s="311">
        <f>AVERAGE(H8:H48)</f>
        <v>4283.79205300591</v>
      </c>
      <c r="I49" s="311">
        <f>AVERAGE(I8:I48)</f>
        <v>17.791533251202331</v>
      </c>
      <c r="J49" s="311">
        <f t="shared" si="11"/>
        <v>33156.917762889483</v>
      </c>
      <c r="K49" s="311">
        <f t="shared" si="11"/>
        <v>208.58055325062901</v>
      </c>
      <c r="L49" s="311">
        <f>AVERAGE(L8:L48)</f>
        <v>33383.289849391324</v>
      </c>
      <c r="M49" s="311">
        <f t="shared" si="11"/>
        <v>0.8532084757143773</v>
      </c>
      <c r="N49" s="311">
        <f>AVERAGE(N8:N48)</f>
        <v>19277.850184772778</v>
      </c>
      <c r="O49" s="311">
        <f t="shared" si="11"/>
        <v>1028.6859824916473</v>
      </c>
      <c r="P49" s="311">
        <f t="shared" si="11"/>
        <v>2.616294087718376</v>
      </c>
      <c r="Q49" s="311">
        <f>AVERAGE(Q8:Q48)</f>
        <v>20310.00566982786</v>
      </c>
      <c r="R49" s="311">
        <f>AVERAGE(R8:R48)</f>
        <v>227.97721362648633</v>
      </c>
      <c r="S49" s="311">
        <f t="shared" si="11"/>
        <v>718.72121736382212</v>
      </c>
      <c r="T49" s="311">
        <f t="shared" si="11"/>
        <v>3.2621881387907301</v>
      </c>
      <c r="U49" s="311">
        <f>AVERAGE(U8:U48)</f>
        <v>949.9606191290992</v>
      </c>
      <c r="V49" s="312">
        <f>SUM(R49:T49)+SUM(M49:P49)+SUM(I49:K49)+SUM(E49:G49)+SUM(B49:C49)</f>
        <v>59234.125540396068</v>
      </c>
    </row>
    <row r="50" spans="1:22" ht="15.6" thickBot="1">
      <c r="A50" s="52" t="s">
        <v>58</v>
      </c>
      <c r="B50" s="313">
        <f>B49/$V$49</f>
        <v>2.9970502371667759E-4</v>
      </c>
      <c r="C50" s="313">
        <f t="shared" ref="C50:U50" si="12">C49/$V$49</f>
        <v>4.8844239938118719E-3</v>
      </c>
      <c r="D50" s="314">
        <f>D49/$V$49</f>
        <v>5.1841290175285498E-3</v>
      </c>
      <c r="E50" s="313">
        <f>E49/$V$49</f>
        <v>8.3356094708042408E-4</v>
      </c>
      <c r="F50" s="314">
        <f t="shared" si="12"/>
        <v>7.1069551881667456E-2</v>
      </c>
      <c r="G50" s="313">
        <f t="shared" si="12"/>
        <v>4.1655111369485754E-4</v>
      </c>
      <c r="H50" s="314">
        <f t="shared" si="12"/>
        <v>7.2319663942442769E-2</v>
      </c>
      <c r="I50" s="313">
        <f t="shared" si="12"/>
        <v>3.0035951554765485E-4</v>
      </c>
      <c r="J50" s="314">
        <f>J49/$V$49</f>
        <v>0.5597603992697987</v>
      </c>
      <c r="K50" s="313">
        <f t="shared" si="12"/>
        <v>3.5212903262728632E-3</v>
      </c>
      <c r="L50" s="314">
        <f>L49/$V$49</f>
        <v>0.56358204911161935</v>
      </c>
      <c r="M50" s="313">
        <f t="shared" si="12"/>
        <v>1.4404002218830972E-5</v>
      </c>
      <c r="N50" s="314">
        <f t="shared" si="12"/>
        <v>0.32545175621147321</v>
      </c>
      <c r="O50" s="313">
        <f t="shared" si="12"/>
        <v>1.736644160957709E-2</v>
      </c>
      <c r="P50" s="313">
        <f t="shared" si="12"/>
        <v>4.4168696065819934E-5</v>
      </c>
      <c r="Q50" s="314">
        <f t="shared" si="12"/>
        <v>0.34287677051933496</v>
      </c>
      <c r="R50" s="313">
        <f t="shared" si="12"/>
        <v>3.8487478551702775E-3</v>
      </c>
      <c r="S50" s="313">
        <f t="shared" si="12"/>
        <v>1.2133566770959989E-2</v>
      </c>
      <c r="T50" s="313">
        <f t="shared" si="12"/>
        <v>5.50727829444533E-5</v>
      </c>
      <c r="U50" s="314">
        <f t="shared" si="12"/>
        <v>1.6037387409074719E-2</v>
      </c>
      <c r="V50" s="315">
        <f>V49/$V$49</f>
        <v>1</v>
      </c>
    </row>
  </sheetData>
  <phoneticPr fontId="52" type="noConversion"/>
  <pageMargins left="0.75" right="0.75" top="1" bottom="1" header="0.5" footer="0.5"/>
  <pageSetup scale="51"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55"/>
  <sheetViews>
    <sheetView workbookViewId="0">
      <pane ySplit="7" topLeftCell="A29" activePane="bottomLeft" state="frozen"/>
      <selection pane="bottomLeft" activeCell="A42" sqref="A42:XFD42"/>
    </sheetView>
  </sheetViews>
  <sheetFormatPr defaultRowHeight="13.2"/>
  <cols>
    <col min="17" max="17" width="20.6640625" customWidth="1"/>
    <col min="18" max="18" width="10.44140625" bestFit="1" customWidth="1"/>
  </cols>
  <sheetData>
    <row r="1" spans="1:16">
      <c r="A1" s="297" t="str">
        <f ca="1">CELL("filename",A1)</f>
        <v>C:\Users\rebrenner\Desktop\NCEAS\DATA\PWS&amp;CBR_SALMON\PWS&amp;CR_SALMON_FORECAST_DATA\[2015 Copper River Chinook forecast-FINAL.xlsm]FBrood</v>
      </c>
    </row>
    <row r="3" spans="1:16" ht="22.8">
      <c r="A3" s="51" t="s">
        <v>113</v>
      </c>
    </row>
    <row r="4" spans="1:16" ht="13.8" thickBot="1">
      <c r="D4" s="23"/>
      <c r="E4" s="23"/>
      <c r="F4" s="23"/>
      <c r="G4" s="23"/>
      <c r="H4" s="23"/>
      <c r="I4" s="23"/>
      <c r="J4" s="23"/>
      <c r="K4" s="23"/>
      <c r="L4" s="23"/>
      <c r="M4" s="23"/>
      <c r="N4" s="45"/>
      <c r="O4" s="53"/>
      <c r="P4" s="23"/>
    </row>
    <row r="5" spans="1:16">
      <c r="A5" s="184"/>
      <c r="B5" s="185" t="s">
        <v>28</v>
      </c>
      <c r="C5" s="186" t="s">
        <v>59</v>
      </c>
      <c r="D5" s="186"/>
      <c r="E5" s="187"/>
      <c r="F5" s="185" t="s">
        <v>28</v>
      </c>
      <c r="G5" s="188" t="s">
        <v>62</v>
      </c>
      <c r="H5" s="186"/>
      <c r="I5" s="187"/>
      <c r="J5" s="185" t="s">
        <v>28</v>
      </c>
      <c r="K5" s="188" t="s">
        <v>63</v>
      </c>
      <c r="L5" s="186"/>
      <c r="M5" s="50"/>
      <c r="N5" s="45"/>
      <c r="O5" s="53"/>
      <c r="P5" s="23"/>
    </row>
    <row r="6" spans="1:16" ht="15">
      <c r="A6" s="189" t="s">
        <v>27</v>
      </c>
      <c r="B6" s="54" t="s">
        <v>12</v>
      </c>
      <c r="C6" s="336" t="s">
        <v>60</v>
      </c>
      <c r="D6" s="336" t="s">
        <v>61</v>
      </c>
      <c r="E6" s="480" t="str">
        <f>"ln(R)^2"</f>
        <v>ln(R)^2</v>
      </c>
      <c r="F6" s="481" t="s">
        <v>12</v>
      </c>
      <c r="G6" s="336" t="s">
        <v>60</v>
      </c>
      <c r="H6" s="336" t="s">
        <v>61</v>
      </c>
      <c r="I6" s="480" t="str">
        <f>"ln(R)^2"</f>
        <v>ln(R)^2</v>
      </c>
      <c r="J6" s="481" t="s">
        <v>12</v>
      </c>
      <c r="K6" s="336" t="s">
        <v>60</v>
      </c>
      <c r="L6" s="336" t="s">
        <v>61</v>
      </c>
      <c r="M6" s="480" t="str">
        <f>"ln(R)^2"</f>
        <v>ln(R)^2</v>
      </c>
      <c r="N6" s="45"/>
      <c r="O6" s="53"/>
      <c r="P6" s="23"/>
    </row>
    <row r="7" spans="1:16" ht="15.6" thickBot="1">
      <c r="A7" s="190" t="s">
        <v>12</v>
      </c>
      <c r="B7" s="63">
        <v>2</v>
      </c>
      <c r="C7" s="64">
        <v>3</v>
      </c>
      <c r="D7" s="64">
        <v>4</v>
      </c>
      <c r="E7" s="65">
        <v>5</v>
      </c>
      <c r="F7" s="63">
        <v>6</v>
      </c>
      <c r="G7" s="64">
        <v>7</v>
      </c>
      <c r="H7" s="64">
        <v>8</v>
      </c>
      <c r="I7" s="65">
        <v>9</v>
      </c>
      <c r="J7" s="63">
        <v>10</v>
      </c>
      <c r="K7" s="64">
        <v>11</v>
      </c>
      <c r="L7" s="64">
        <v>12</v>
      </c>
      <c r="M7" s="191">
        <v>13</v>
      </c>
      <c r="N7" s="45"/>
      <c r="O7" s="53"/>
      <c r="P7" s="23"/>
    </row>
    <row r="8" spans="1:16" ht="16.2" thickTop="1">
      <c r="A8" s="192">
        <v>1975</v>
      </c>
      <c r="B8" s="55">
        <v>1979</v>
      </c>
      <c r="C8" s="53">
        <v>1</v>
      </c>
      <c r="D8" s="86">
        <f>LN(C8)</f>
        <v>0</v>
      </c>
      <c r="E8" s="87">
        <f>D8^2</f>
        <v>0</v>
      </c>
      <c r="F8" s="55">
        <v>1980</v>
      </c>
      <c r="G8" s="53">
        <f>Brood_Tab!J6</f>
        <v>2398.7488584474886</v>
      </c>
      <c r="H8" s="86">
        <f>LN(G8)</f>
        <v>7.7827025714270546</v>
      </c>
      <c r="I8" s="87">
        <f>H8^2</f>
        <v>60.570459315297285</v>
      </c>
      <c r="J8" s="55">
        <v>1981</v>
      </c>
      <c r="K8" s="53">
        <f>Brood_Tab!M6</f>
        <v>8321.7037037037026</v>
      </c>
      <c r="L8" s="86">
        <f>LN(K8)</f>
        <v>9.0266222849320847</v>
      </c>
      <c r="M8" s="193">
        <f>L8^2</f>
        <v>81.479909874832529</v>
      </c>
      <c r="N8" s="45"/>
      <c r="O8" s="53"/>
      <c r="P8" s="23"/>
    </row>
    <row r="9" spans="1:16" ht="15.6">
      <c r="A9" s="192">
        <v>1976</v>
      </c>
      <c r="B9" s="55">
        <v>1980</v>
      </c>
      <c r="C9" s="53">
        <f>Brood_Tab!G7</f>
        <v>77.378995433789953</v>
      </c>
      <c r="D9" s="86">
        <f t="shared" ref="D9:D27" si="0">LN(C9)</f>
        <v>4.3487153669419083</v>
      </c>
      <c r="E9" s="87">
        <f t="shared" ref="E9:E27" si="1">D9^2</f>
        <v>18.911325342676697</v>
      </c>
      <c r="F9" s="55">
        <v>1981</v>
      </c>
      <c r="G9" s="53">
        <f>Brood_Tab!J7</f>
        <v>8624.3111111111102</v>
      </c>
      <c r="H9" s="86">
        <f t="shared" ref="H9:H36" si="2">LN(G9)</f>
        <v>9.0623403675341656</v>
      </c>
      <c r="I9" s="87">
        <f t="shared" ref="I9:I37" si="3">H9^2</f>
        <v>82.126012937039278</v>
      </c>
      <c r="J9" s="55">
        <v>1982</v>
      </c>
      <c r="K9" s="53">
        <f>Brood_Tab!M7</f>
        <v>12053.313616207641</v>
      </c>
      <c r="L9" s="86">
        <f t="shared" ref="L9:L36" si="4">LN(K9)</f>
        <v>9.3970948900131841</v>
      </c>
      <c r="M9" s="193">
        <f t="shared" ref="M9:M36" si="5">L9^2</f>
        <v>88.305392371911893</v>
      </c>
      <c r="O9" s="53"/>
      <c r="P9" s="23"/>
    </row>
    <row r="10" spans="1:16" ht="15.6">
      <c r="A10" s="192">
        <v>1977</v>
      </c>
      <c r="B10" s="55">
        <v>1981</v>
      </c>
      <c r="C10" s="53">
        <f>Brood_Tab!G8</f>
        <v>1059.1259259259259</v>
      </c>
      <c r="D10" s="86">
        <f t="shared" si="0"/>
        <v>6.9651992487549279</v>
      </c>
      <c r="E10" s="87">
        <f t="shared" si="1"/>
        <v>48.514000574856212</v>
      </c>
      <c r="F10" s="55">
        <v>1982</v>
      </c>
      <c r="G10" s="53">
        <f>Brood_Tab!J8</f>
        <v>25211.19913754526</v>
      </c>
      <c r="H10" s="86">
        <f t="shared" si="2"/>
        <v>10.13504358499859</v>
      </c>
      <c r="I10" s="87">
        <f t="shared" si="3"/>
        <v>102.71910846982107</v>
      </c>
      <c r="J10" s="55">
        <v>1983</v>
      </c>
      <c r="K10" s="53">
        <f>Brood_Tab!M8</f>
        <v>16990.664727519888</v>
      </c>
      <c r="L10" s="86">
        <f t="shared" si="4"/>
        <v>9.7404193385339362</v>
      </c>
      <c r="M10" s="193">
        <f t="shared" si="5"/>
        <v>94.875768890485887</v>
      </c>
      <c r="N10" s="433">
        <v>7.4323019396056296</v>
      </c>
      <c r="O10" s="674">
        <v>10.280715217927799</v>
      </c>
      <c r="P10" s="23"/>
    </row>
    <row r="11" spans="1:16" ht="15.6">
      <c r="A11" s="192">
        <v>1978</v>
      </c>
      <c r="B11" s="55">
        <v>1982</v>
      </c>
      <c r="C11" s="53">
        <f>Brood_Tab!G9</f>
        <v>3576.5243073918882</v>
      </c>
      <c r="D11" s="86">
        <f t="shared" si="0"/>
        <v>8.1821467439441573</v>
      </c>
      <c r="E11" s="87">
        <f t="shared" si="1"/>
        <v>66.94752533943597</v>
      </c>
      <c r="F11" s="55">
        <v>1983</v>
      </c>
      <c r="G11" s="53">
        <f>Brood_Tab!J9</f>
        <v>33917.530726480349</v>
      </c>
      <c r="H11" s="86">
        <f t="shared" si="2"/>
        <v>10.431687290277248</v>
      </c>
      <c r="I11" s="87">
        <f t="shared" si="3"/>
        <v>108.82009972213187</v>
      </c>
      <c r="J11" s="55">
        <v>1984</v>
      </c>
      <c r="K11" s="53">
        <f>Brood_Tab!M9</f>
        <v>22116.792291994938</v>
      </c>
      <c r="L11" s="86">
        <f t="shared" si="4"/>
        <v>10.004092431196456</v>
      </c>
      <c r="M11" s="193">
        <f t="shared" si="5"/>
        <v>100.08186537192222</v>
      </c>
      <c r="N11" s="433">
        <v>8.3278183768733989</v>
      </c>
      <c r="O11" s="674">
        <v>10.714718205502871</v>
      </c>
      <c r="P11" s="23"/>
    </row>
    <row r="12" spans="1:16" ht="15.6">
      <c r="A12" s="192">
        <v>1979</v>
      </c>
      <c r="B12" s="55">
        <v>1983</v>
      </c>
      <c r="C12" s="53">
        <f>Brood_Tab!G10</f>
        <v>2052.1924353284553</v>
      </c>
      <c r="D12" s="86">
        <f t="shared" si="0"/>
        <v>7.6266639812934791</v>
      </c>
      <c r="E12" s="87">
        <f t="shared" si="1"/>
        <v>58.166003483559301</v>
      </c>
      <c r="F12" s="55">
        <v>1984</v>
      </c>
      <c r="G12" s="53">
        <f>Brood_Tab!J10</f>
        <v>13184.072404618604</v>
      </c>
      <c r="H12" s="86">
        <f t="shared" si="2"/>
        <v>9.4867647439893457</v>
      </c>
      <c r="I12" s="87">
        <f t="shared" si="3"/>
        <v>89.998705307799241</v>
      </c>
      <c r="J12" s="55">
        <v>1985</v>
      </c>
      <c r="K12" s="53">
        <f>Brood_Tab!M10</f>
        <v>25990.591971268575</v>
      </c>
      <c r="L12" s="86">
        <f t="shared" si="4"/>
        <v>10.165489904262202</v>
      </c>
      <c r="M12" s="193">
        <f t="shared" si="5"/>
        <v>103.33718499365675</v>
      </c>
      <c r="N12" s="433">
        <v>7.9096948965191025</v>
      </c>
      <c r="O12" s="674">
        <v>9.7075797450963464</v>
      </c>
      <c r="P12" s="23"/>
    </row>
    <row r="13" spans="1:16" ht="15.6">
      <c r="A13" s="192">
        <v>1980</v>
      </c>
      <c r="B13" s="55">
        <v>1984</v>
      </c>
      <c r="C13" s="53">
        <f>Brood_Tab!G11</f>
        <v>899.67646527006423</v>
      </c>
      <c r="D13" s="86">
        <f t="shared" si="0"/>
        <v>6.802035215661534</v>
      </c>
      <c r="E13" s="87">
        <f t="shared" si="1"/>
        <v>46.267683075099654</v>
      </c>
      <c r="F13" s="55">
        <v>1985</v>
      </c>
      <c r="G13" s="53">
        <f>Brood_Tab!J11</f>
        <v>12239.848971008672</v>
      </c>
      <c r="H13" s="86">
        <f t="shared" si="2"/>
        <v>9.4124522170203111</v>
      </c>
      <c r="I13" s="87">
        <f t="shared" si="3"/>
        <v>88.594256737690571</v>
      </c>
      <c r="J13" s="55">
        <v>1986</v>
      </c>
      <c r="K13" s="53">
        <f>Brood_Tab!M11</f>
        <v>14046.524022621099</v>
      </c>
      <c r="L13" s="86">
        <f t="shared" si="4"/>
        <v>9.5501302436281446</v>
      </c>
      <c r="M13" s="193">
        <f t="shared" si="5"/>
        <v>91.204987670260962</v>
      </c>
      <c r="N13" s="433">
        <v>7.0228502167685356</v>
      </c>
      <c r="O13" s="674">
        <v>9.5946207691723124</v>
      </c>
      <c r="P13" s="23"/>
    </row>
    <row r="14" spans="1:16" ht="15.6">
      <c r="A14" s="192">
        <v>1981</v>
      </c>
      <c r="B14" s="55">
        <v>1985</v>
      </c>
      <c r="C14" s="53">
        <f>Brood_Tab!G12</f>
        <v>2828.907969661886</v>
      </c>
      <c r="D14" s="86">
        <f t="shared" si="0"/>
        <v>7.9476460397232467</v>
      </c>
      <c r="E14" s="87">
        <f t="shared" si="1"/>
        <v>63.165077572728606</v>
      </c>
      <c r="F14" s="55">
        <v>1986</v>
      </c>
      <c r="G14" s="53">
        <f>Brood_Tab!J12</f>
        <v>21883.545512662899</v>
      </c>
      <c r="H14" s="86">
        <f t="shared" si="2"/>
        <v>9.9934902869486333</v>
      </c>
      <c r="I14" s="87">
        <f t="shared" si="3"/>
        <v>99.86984811533668</v>
      </c>
      <c r="J14" s="55">
        <v>1987</v>
      </c>
      <c r="K14" s="53">
        <f>Brood_Tab!M12</f>
        <v>26247.84048691803</v>
      </c>
      <c r="L14" s="86">
        <f t="shared" si="4"/>
        <v>10.175338997470613</v>
      </c>
      <c r="M14" s="193">
        <f t="shared" si="5"/>
        <v>103.53752371344625</v>
      </c>
      <c r="N14" s="433">
        <v>8.1298145918752471</v>
      </c>
      <c r="O14" s="674">
        <v>10.286611127551071</v>
      </c>
      <c r="P14" s="23"/>
    </row>
    <row r="15" spans="1:16" ht="15.6">
      <c r="A15" s="192">
        <v>1982</v>
      </c>
      <c r="B15" s="55">
        <v>1986</v>
      </c>
      <c r="C15" s="53">
        <f>Brood_Tab!G13</f>
        <v>2352.3127612490775</v>
      </c>
      <c r="D15" s="86">
        <f t="shared" si="0"/>
        <v>7.7631542768994439</v>
      </c>
      <c r="E15" s="87">
        <f t="shared" si="1"/>
        <v>60.266564326942131</v>
      </c>
      <c r="F15" s="55">
        <v>1987</v>
      </c>
      <c r="G15" s="53">
        <f>Brood_Tab!J13</f>
        <v>9968.171527942457</v>
      </c>
      <c r="H15" s="86">
        <f t="shared" si="2"/>
        <v>9.2071524487385759</v>
      </c>
      <c r="I15" s="87">
        <f t="shared" si="3"/>
        <v>84.771656214312756</v>
      </c>
      <c r="J15" s="55">
        <v>1988</v>
      </c>
      <c r="K15" s="53">
        <f>Brood_Tab!M13</f>
        <v>19096.623109347878</v>
      </c>
      <c r="L15" s="86">
        <f t="shared" si="4"/>
        <v>9.8572667978459574</v>
      </c>
      <c r="M15" s="193">
        <f t="shared" si="5"/>
        <v>97.165708723916296</v>
      </c>
      <c r="N15" s="433">
        <v>8.0562751175018814</v>
      </c>
      <c r="O15" s="674">
        <v>9.5128945211223783</v>
      </c>
      <c r="P15" s="23"/>
    </row>
    <row r="16" spans="1:16" ht="15.6">
      <c r="A16" s="192">
        <v>1983</v>
      </c>
      <c r="B16" s="55">
        <v>1987</v>
      </c>
      <c r="C16" s="53">
        <f>Brood_Tab!G14</f>
        <v>826.48628566911691</v>
      </c>
      <c r="D16" s="86">
        <f t="shared" si="0"/>
        <v>6.7171833238616028</v>
      </c>
      <c r="E16" s="87">
        <f t="shared" si="1"/>
        <v>45.120551806364411</v>
      </c>
      <c r="F16" s="55">
        <v>1988</v>
      </c>
      <c r="G16" s="53">
        <f>Brood_Tab!J14</f>
        <v>7774.8899436789352</v>
      </c>
      <c r="H16" s="86">
        <f t="shared" si="2"/>
        <v>8.9586545817934145</v>
      </c>
      <c r="I16" s="87">
        <f t="shared" si="3"/>
        <v>80.257491915888139</v>
      </c>
      <c r="J16" s="55">
        <v>1989</v>
      </c>
      <c r="K16" s="53">
        <f>Brood_Tab!M14</f>
        <v>19091.283918213925</v>
      </c>
      <c r="L16" s="86">
        <f t="shared" si="4"/>
        <v>9.8569871705196999</v>
      </c>
      <c r="M16" s="193">
        <f t="shared" si="5"/>
        <v>97.160196079789955</v>
      </c>
      <c r="N16" s="433">
        <v>7.0229253962454052</v>
      </c>
      <c r="O16" s="674">
        <v>9.3911369119724011</v>
      </c>
      <c r="P16" s="23"/>
    </row>
    <row r="17" spans="1:17" ht="15.6">
      <c r="A17" s="192">
        <v>1984</v>
      </c>
      <c r="B17" s="55">
        <v>1988</v>
      </c>
      <c r="C17" s="53">
        <f>Brood_Tab!G15</f>
        <v>970.49665261591872</v>
      </c>
      <c r="D17" s="86">
        <f t="shared" si="0"/>
        <v>6.8778079534695964</v>
      </c>
      <c r="E17" s="87">
        <f t="shared" si="1"/>
        <v>47.304242244809636</v>
      </c>
      <c r="F17" s="55">
        <v>1989</v>
      </c>
      <c r="G17" s="53">
        <f>Brood_Tab!J15</f>
        <v>7595.5972262726427</v>
      </c>
      <c r="H17" s="86">
        <f t="shared" si="2"/>
        <v>8.9353240460756513</v>
      </c>
      <c r="I17" s="87">
        <f t="shared" si="3"/>
        <v>79.840015808377743</v>
      </c>
      <c r="J17" s="55">
        <v>1990</v>
      </c>
      <c r="K17" s="53">
        <f>Brood_Tab!M15</f>
        <v>11753.018986175115</v>
      </c>
      <c r="L17" s="86">
        <f t="shared" si="4"/>
        <v>9.3718654215637898</v>
      </c>
      <c r="M17" s="193">
        <f t="shared" si="5"/>
        <v>87.831861479903026</v>
      </c>
      <c r="N17" s="433">
        <v>7.3102902836485821</v>
      </c>
      <c r="O17" s="674">
        <v>9.3014975053457469</v>
      </c>
      <c r="P17" s="23"/>
    </row>
    <row r="18" spans="1:17" ht="15.6">
      <c r="A18" s="192">
        <v>1985</v>
      </c>
      <c r="B18" s="55">
        <v>1989</v>
      </c>
      <c r="C18" s="53">
        <f>Brood_Tab!G16</f>
        <v>792.25268137779074</v>
      </c>
      <c r="D18" s="86">
        <f t="shared" si="0"/>
        <v>6.6748803830749788</v>
      </c>
      <c r="E18" s="87">
        <f t="shared" si="1"/>
        <v>44.554028128359178</v>
      </c>
      <c r="F18" s="55">
        <v>1990</v>
      </c>
      <c r="G18" s="53">
        <f>Brood_Tab!J16</f>
        <v>5455.0385253456225</v>
      </c>
      <c r="H18" s="86">
        <f t="shared" si="2"/>
        <v>8.6042949606337302</v>
      </c>
      <c r="I18" s="87">
        <f t="shared" si="3"/>
        <v>74.033891769587001</v>
      </c>
      <c r="J18" s="55">
        <v>1991</v>
      </c>
      <c r="K18" s="53">
        <f>Brood_Tab!M16</f>
        <v>11986.902983787513</v>
      </c>
      <c r="L18" s="86">
        <f t="shared" si="4"/>
        <v>9.3915699147220675</v>
      </c>
      <c r="M18" s="193">
        <f t="shared" si="5"/>
        <v>88.201585463112664</v>
      </c>
      <c r="N18" s="433">
        <v>7.0410538423450735</v>
      </c>
      <c r="O18" s="674">
        <v>9.0559998534880322</v>
      </c>
      <c r="P18" s="23"/>
    </row>
    <row r="19" spans="1:17" ht="15.6">
      <c r="A19" s="192">
        <v>1986</v>
      </c>
      <c r="B19" s="55">
        <v>1990</v>
      </c>
      <c r="C19" s="53">
        <f>Brood_Tab!G17</f>
        <v>1267.4234101382488</v>
      </c>
      <c r="D19" s="86">
        <f t="shared" si="0"/>
        <v>7.1447413077131872</v>
      </c>
      <c r="E19" s="87">
        <f t="shared" si="1"/>
        <v>51.047328354143147</v>
      </c>
      <c r="F19" s="55">
        <v>1991</v>
      </c>
      <c r="G19" s="53">
        <f>Brood_Tab!J17</f>
        <v>19733.028371852361</v>
      </c>
      <c r="H19" s="86">
        <f t="shared" si="2"/>
        <v>9.8900490779554673</v>
      </c>
      <c r="I19" s="87">
        <f t="shared" si="3"/>
        <v>97.813070764367794</v>
      </c>
      <c r="J19" s="55">
        <v>1992</v>
      </c>
      <c r="K19" s="53">
        <f>Brood_Tab!M17</f>
        <v>43279.314721733841</v>
      </c>
      <c r="L19" s="86">
        <f t="shared" si="4"/>
        <v>10.675430079793667</v>
      </c>
      <c r="M19" s="193">
        <f t="shared" si="5"/>
        <v>113.96480738856343</v>
      </c>
      <c r="N19" s="433">
        <v>7.59644620056749</v>
      </c>
      <c r="O19" s="674">
        <v>10.27582065916944</v>
      </c>
      <c r="P19" s="23"/>
    </row>
    <row r="20" spans="1:17" ht="15.6">
      <c r="A20" s="192">
        <v>1987</v>
      </c>
      <c r="B20" s="55">
        <v>1991</v>
      </c>
      <c r="C20" s="53">
        <f>Brood_Tab!G18</f>
        <v>1143.3321260204668</v>
      </c>
      <c r="D20" s="86">
        <f t="shared" si="0"/>
        <v>7.041702195532543</v>
      </c>
      <c r="E20" s="87">
        <f t="shared" si="1"/>
        <v>49.585569810567833</v>
      </c>
      <c r="F20" s="55">
        <v>1992</v>
      </c>
      <c r="G20" s="53">
        <f>Brood_Tab!J18</f>
        <v>9375.3263410620893</v>
      </c>
      <c r="H20" s="86">
        <f t="shared" si="2"/>
        <v>9.1458366599460579</v>
      </c>
      <c r="I20" s="87">
        <f t="shared" si="3"/>
        <v>83.646328210413259</v>
      </c>
      <c r="J20" s="55">
        <v>1993</v>
      </c>
      <c r="K20" s="53">
        <f>Brood_Tab!M18</f>
        <v>13878.130304960097</v>
      </c>
      <c r="L20" s="86">
        <f t="shared" si="4"/>
        <v>9.5380695207337673</v>
      </c>
      <c r="M20" s="193">
        <f t="shared" si="5"/>
        <v>90.974770182350483</v>
      </c>
      <c r="N20" s="433">
        <v>7.427473776746516</v>
      </c>
      <c r="O20" s="674">
        <v>8.8402886479881033</v>
      </c>
      <c r="P20" s="23"/>
    </row>
    <row r="21" spans="1:17" ht="15.6">
      <c r="A21" s="192">
        <v>1988</v>
      </c>
      <c r="B21" s="55">
        <v>1992</v>
      </c>
      <c r="C21" s="53">
        <f>Brood_Tab!G19</f>
        <v>3824.0334757690807</v>
      </c>
      <c r="D21" s="86">
        <f t="shared" si="0"/>
        <v>8.2490610282566887</v>
      </c>
      <c r="E21" s="87">
        <f t="shared" si="1"/>
        <v>68.047007847903302</v>
      </c>
      <c r="F21" s="55">
        <v>1993</v>
      </c>
      <c r="G21" s="53">
        <f>Brood_Tab!J19</f>
        <v>31347.247265871323</v>
      </c>
      <c r="H21" s="86">
        <f t="shared" si="2"/>
        <v>10.352881735694568</v>
      </c>
      <c r="I21" s="87">
        <f t="shared" si="3"/>
        <v>107.18216023327818</v>
      </c>
      <c r="J21" s="55">
        <v>1994</v>
      </c>
      <c r="K21" s="53">
        <f>Brood_Tab!M19</f>
        <v>36211.645151829012</v>
      </c>
      <c r="L21" s="86">
        <f t="shared" si="4"/>
        <v>10.497136035360006</v>
      </c>
      <c r="M21" s="193">
        <f t="shared" si="5"/>
        <v>110.18986494485358</v>
      </c>
      <c r="N21" s="433">
        <v>7.7369704682825811</v>
      </c>
      <c r="O21" s="674">
        <v>10.260452095544602</v>
      </c>
      <c r="P21" s="23"/>
    </row>
    <row r="22" spans="1:17" ht="15.6">
      <c r="A22" s="192">
        <v>1989</v>
      </c>
      <c r="B22" s="55">
        <v>1993</v>
      </c>
      <c r="C22" s="53">
        <f>Brood_Tab!G20</f>
        <v>4111.0821315700523</v>
      </c>
      <c r="D22" s="86">
        <f t="shared" si="0"/>
        <v>8.321441565187742</v>
      </c>
      <c r="E22" s="87">
        <f t="shared" si="1"/>
        <v>69.246389722834223</v>
      </c>
      <c r="F22" s="55">
        <v>1994</v>
      </c>
      <c r="G22" s="53">
        <f>Brood_Tab!J20</f>
        <v>31720.521207855119</v>
      </c>
      <c r="H22" s="86">
        <f t="shared" si="2"/>
        <v>10.364719107135071</v>
      </c>
      <c r="I22" s="87">
        <f t="shared" si="3"/>
        <v>107.42740216981083</v>
      </c>
      <c r="J22" s="55">
        <v>1995</v>
      </c>
      <c r="K22" s="53">
        <f>Brood_Tab!M20</f>
        <v>31949.172801461413</v>
      </c>
      <c r="L22" s="86">
        <f t="shared" si="4"/>
        <v>10.371901569062425</v>
      </c>
      <c r="M22" s="193">
        <f t="shared" si="5"/>
        <v>107.57634215831959</v>
      </c>
      <c r="N22" s="433">
        <v>7.9994963225305407</v>
      </c>
      <c r="O22" s="433">
        <v>10.125524147540505</v>
      </c>
      <c r="P22" s="23"/>
    </row>
    <row r="23" spans="1:17" ht="15.6">
      <c r="A23" s="192">
        <v>1990</v>
      </c>
      <c r="B23" s="55">
        <v>1994</v>
      </c>
      <c r="C23" s="53">
        <f>Brood_Tab!G21</f>
        <v>4110.4521949177479</v>
      </c>
      <c r="D23" s="86">
        <f t="shared" si="0"/>
        <v>8.3212883245325262</v>
      </c>
      <c r="E23" s="87">
        <f t="shared" si="1"/>
        <v>69.243839380001333</v>
      </c>
      <c r="F23" s="55">
        <v>1995</v>
      </c>
      <c r="G23" s="53">
        <f>Brood_Tab!J21</f>
        <v>55953.220203770397</v>
      </c>
      <c r="H23" s="86">
        <f t="shared" si="2"/>
        <v>10.932271267111018</v>
      </c>
      <c r="I23" s="87">
        <f t="shared" si="3"/>
        <v>119.51455505770114</v>
      </c>
      <c r="J23" s="55">
        <v>1996</v>
      </c>
      <c r="K23" s="53">
        <f>Brood_Tab!M21</f>
        <v>35388.394987142514</v>
      </c>
      <c r="L23" s="86">
        <f t="shared" si="4"/>
        <v>10.474139220153468</v>
      </c>
      <c r="M23" s="193">
        <f t="shared" si="5"/>
        <v>109.70759240315709</v>
      </c>
      <c r="N23" s="433">
        <v>8.1059731796246357</v>
      </c>
      <c r="O23" s="433">
        <v>10.741360093922069</v>
      </c>
      <c r="P23" s="23"/>
    </row>
    <row r="24" spans="1:17" ht="15.6">
      <c r="A24" s="192">
        <v>1991</v>
      </c>
      <c r="B24" s="55">
        <v>1995</v>
      </c>
      <c r="C24" s="53">
        <f>Brood_Tab!G22</f>
        <v>7142.7400904797742</v>
      </c>
      <c r="D24" s="86">
        <f t="shared" si="0"/>
        <v>8.8738517478878638</v>
      </c>
      <c r="E24" s="87">
        <f t="shared" si="1"/>
        <v>78.7452448434925</v>
      </c>
      <c r="F24" s="55">
        <v>1996</v>
      </c>
      <c r="G24" s="53">
        <f>Brood_Tab!J22</f>
        <v>42448.393087402495</v>
      </c>
      <c r="H24" s="86">
        <f t="shared" si="2"/>
        <v>10.656044336780424</v>
      </c>
      <c r="I24" s="87">
        <f t="shared" si="3"/>
        <v>113.55128090743014</v>
      </c>
      <c r="J24" s="55">
        <v>1997</v>
      </c>
      <c r="K24" s="53">
        <f>Brood_Tab!M22</f>
        <v>26201.568138228151</v>
      </c>
      <c r="L24" s="86">
        <f t="shared" si="4"/>
        <v>10.173574540562221</v>
      </c>
      <c r="M24" s="193">
        <f t="shared" si="5"/>
        <v>103.50161893237581</v>
      </c>
      <c r="N24" s="433">
        <v>8.5307814403745255</v>
      </c>
      <c r="O24" s="433">
        <v>10.49855311011517</v>
      </c>
      <c r="P24" s="23"/>
    </row>
    <row r="25" spans="1:17" ht="15.6">
      <c r="A25" s="192">
        <v>1992</v>
      </c>
      <c r="B25" s="55">
        <v>1996</v>
      </c>
      <c r="C25" s="53">
        <f>Brood_Tab!G23</f>
        <v>5838.5700065365445</v>
      </c>
      <c r="D25" s="86">
        <f t="shared" si="0"/>
        <v>8.6722411839442763</v>
      </c>
      <c r="E25" s="87">
        <f t="shared" si="1"/>
        <v>75.20776715249923</v>
      </c>
      <c r="F25" s="55">
        <v>1997</v>
      </c>
      <c r="G25" s="53">
        <f>Brood_Tab!J23</f>
        <v>56036.148750161839</v>
      </c>
      <c r="H25" s="86">
        <f t="shared" si="2"/>
        <v>10.933752274858877</v>
      </c>
      <c r="I25" s="87">
        <f t="shared" si="3"/>
        <v>119.54693880798168</v>
      </c>
      <c r="J25" s="55">
        <v>1998</v>
      </c>
      <c r="K25" s="53">
        <f>Brood_Tab!M23</f>
        <v>29655.106398145166</v>
      </c>
      <c r="L25" s="86">
        <f t="shared" si="4"/>
        <v>10.297389612131679</v>
      </c>
      <c r="M25" s="193">
        <f t="shared" si="5"/>
        <v>106.03623282403743</v>
      </c>
      <c r="N25" s="433">
        <v>8.5318023934121179</v>
      </c>
      <c r="O25" s="433">
        <v>10.70827763758877</v>
      </c>
      <c r="P25" s="23"/>
    </row>
    <row r="26" spans="1:17" ht="15.6">
      <c r="A26" s="192">
        <v>1993</v>
      </c>
      <c r="B26" s="55">
        <v>1997</v>
      </c>
      <c r="C26" s="53">
        <f>Brood_Tab!G24</f>
        <v>7114.5318999569718</v>
      </c>
      <c r="D26" s="86">
        <f t="shared" si="0"/>
        <v>8.8698947177703342</v>
      </c>
      <c r="E26" s="87">
        <f t="shared" si="1"/>
        <v>78.675032304330074</v>
      </c>
      <c r="F26" s="55">
        <v>1998</v>
      </c>
      <c r="G26" s="53">
        <f>Brood_Tab!J24</f>
        <v>68251.348966270903</v>
      </c>
      <c r="H26" s="86">
        <f t="shared" si="2"/>
        <v>11.130952477925446</v>
      </c>
      <c r="I26" s="87">
        <f t="shared" si="3"/>
        <v>123.89810306583462</v>
      </c>
      <c r="J26" s="55">
        <v>1999</v>
      </c>
      <c r="K26" s="53">
        <f>Brood_Tab!M24</f>
        <v>27830.432057365608</v>
      </c>
      <c r="L26" s="86">
        <f t="shared" si="4"/>
        <v>10.233885379277817</v>
      </c>
      <c r="M26" s="193">
        <f t="shared" si="5"/>
        <v>104.73240995619626</v>
      </c>
      <c r="N26" s="433">
        <v>8.8899990588655733</v>
      </c>
      <c r="O26" s="434">
        <v>10.993332469241006</v>
      </c>
    </row>
    <row r="27" spans="1:17" ht="15.6">
      <c r="A27" s="192">
        <v>1994</v>
      </c>
      <c r="B27" s="55">
        <v>1998</v>
      </c>
      <c r="C27" s="53">
        <f>Brood_Tab!G25</f>
        <v>6148.7831459402105</v>
      </c>
      <c r="D27" s="86">
        <f t="shared" si="0"/>
        <v>8.7240094787744606</v>
      </c>
      <c r="E27" s="87">
        <f t="shared" si="1"/>
        <v>76.108341385746641</v>
      </c>
      <c r="F27" s="55">
        <v>1999</v>
      </c>
      <c r="G27" s="53">
        <f>Brood_Tab!J25</f>
        <v>55667.160650015241</v>
      </c>
      <c r="H27" s="86">
        <f t="shared" si="2"/>
        <v>10.927145676643779</v>
      </c>
      <c r="I27" s="87">
        <f t="shared" si="3"/>
        <v>119.40251263859483</v>
      </c>
      <c r="J27" s="55">
        <v>2000</v>
      </c>
      <c r="K27" s="53">
        <f>Brood_Tab!M25</f>
        <v>16002.838661234568</v>
      </c>
      <c r="L27" s="86">
        <f t="shared" si="4"/>
        <v>9.6805214018126637</v>
      </c>
      <c r="M27" s="193">
        <f t="shared" si="5"/>
        <v>93.712494610953016</v>
      </c>
      <c r="N27" s="434">
        <v>8.7172282534965575</v>
      </c>
      <c r="O27" s="434">
        <v>10.815832022178485</v>
      </c>
    </row>
    <row r="28" spans="1:17" ht="15.6">
      <c r="A28" s="192">
        <v>1995</v>
      </c>
      <c r="B28" s="55">
        <v>1999</v>
      </c>
      <c r="C28" s="53">
        <f>Brood_Tab!G26</f>
        <v>10515.024349583715</v>
      </c>
      <c r="D28" s="86">
        <f t="shared" ref="D28:D38" si="6">LN(C28)</f>
        <v>9.2605604038339493</v>
      </c>
      <c r="E28" s="87">
        <f t="shared" ref="E28:E38" si="7">D28^2</f>
        <v>85.757978993057193</v>
      </c>
      <c r="F28" s="55">
        <v>2000</v>
      </c>
      <c r="G28" s="53">
        <f>Brood_Tab!J26</f>
        <v>48496.09767604938</v>
      </c>
      <c r="H28" s="86">
        <f t="shared" si="2"/>
        <v>10.78923861340083</v>
      </c>
      <c r="I28" s="87">
        <f t="shared" si="3"/>
        <v>116.40766985689946</v>
      </c>
      <c r="J28" s="55">
        <v>2001</v>
      </c>
      <c r="K28" s="53">
        <f>Brood_Tab!M26</f>
        <v>15068.4420361015</v>
      </c>
      <c r="L28" s="86">
        <f t="shared" si="4"/>
        <v>9.6203579044648269</v>
      </c>
      <c r="M28" s="193">
        <f t="shared" si="5"/>
        <v>92.551286209998878</v>
      </c>
      <c r="N28" s="434">
        <v>9.1310258680115481</v>
      </c>
      <c r="O28" s="434">
        <v>10.800113037532981</v>
      </c>
    </row>
    <row r="29" spans="1:17" ht="15.6">
      <c r="A29" s="228">
        <v>1996</v>
      </c>
      <c r="B29" s="227">
        <v>2000</v>
      </c>
      <c r="C29" s="53">
        <f>Brood_Tab!G27</f>
        <v>4772.061546296296</v>
      </c>
      <c r="D29" s="86">
        <f t="shared" si="6"/>
        <v>8.4705336805144125</v>
      </c>
      <c r="E29" s="87">
        <f t="shared" si="7"/>
        <v>71.749940832729038</v>
      </c>
      <c r="F29" s="227">
        <v>2001</v>
      </c>
      <c r="G29" s="53">
        <f>Brood_Tab!J27</f>
        <v>55991.032530968863</v>
      </c>
      <c r="H29" s="86">
        <f t="shared" si="2"/>
        <v>10.932946823519012</v>
      </c>
      <c r="I29" s="87">
        <f t="shared" si="3"/>
        <v>119.52932624589447</v>
      </c>
      <c r="J29" s="227">
        <v>2002</v>
      </c>
      <c r="K29" s="53">
        <f>Brood_Tab!M27</f>
        <v>14143.248853878613</v>
      </c>
      <c r="L29" s="86">
        <f t="shared" si="4"/>
        <v>9.5569926764167583</v>
      </c>
      <c r="M29" s="193">
        <f t="shared" si="5"/>
        <v>91.336109017083558</v>
      </c>
      <c r="N29" s="434">
        <v>8.3491945107627163</v>
      </c>
      <c r="O29" s="434">
        <v>10.864131521866808</v>
      </c>
    </row>
    <row r="30" spans="1:17" ht="15.6">
      <c r="A30" s="229">
        <v>1997</v>
      </c>
      <c r="B30" s="230">
        <v>2001</v>
      </c>
      <c r="C30" s="53">
        <f>Brood_Tab!G28</f>
        <v>8616.610270888119</v>
      </c>
      <c r="D30" s="86">
        <f t="shared" si="6"/>
        <v>9.061447046282419</v>
      </c>
      <c r="E30" s="87">
        <f t="shared" si="7"/>
        <v>82.10982257258037</v>
      </c>
      <c r="F30" s="230">
        <v>2002</v>
      </c>
      <c r="G30" s="53">
        <f>Brood_Tab!J28</f>
        <v>49172.428764518438</v>
      </c>
      <c r="H30" s="86">
        <f t="shared" si="2"/>
        <v>10.803088354437625</v>
      </c>
      <c r="I30" s="87">
        <f t="shared" si="3"/>
        <v>116.70671799378583</v>
      </c>
      <c r="J30" s="55">
        <v>2003</v>
      </c>
      <c r="K30" s="53">
        <f>Brood_Tab!M28</f>
        <v>24214.508840231327</v>
      </c>
      <c r="L30" s="86">
        <f t="shared" si="4"/>
        <v>10.094707271345696</v>
      </c>
      <c r="M30" s="193">
        <f t="shared" si="5"/>
        <v>101.90311489415966</v>
      </c>
      <c r="N30" s="434">
        <v>9.1790750314060698</v>
      </c>
      <c r="O30" s="434">
        <v>10.708056717042606</v>
      </c>
    </row>
    <row r="31" spans="1:17" ht="15.6">
      <c r="A31" s="229">
        <v>1998</v>
      </c>
      <c r="B31" s="230">
        <v>2002</v>
      </c>
      <c r="C31" s="53">
        <f>Brood_Tab!G29</f>
        <v>6610.3547149313254</v>
      </c>
      <c r="D31" s="86">
        <f t="shared" si="6"/>
        <v>8.7963925947843205</v>
      </c>
      <c r="E31" s="87">
        <f t="shared" si="7"/>
        <v>77.376522681576432</v>
      </c>
      <c r="F31" s="227">
        <v>2003</v>
      </c>
      <c r="G31" s="53">
        <f>Brood_Tab!J29</f>
        <v>61827.510455917312</v>
      </c>
      <c r="H31" s="86">
        <f t="shared" si="2"/>
        <v>11.032103697402947</v>
      </c>
      <c r="I31" s="87">
        <f t="shared" si="3"/>
        <v>121.70731199025178</v>
      </c>
      <c r="J31" s="227">
        <v>2004</v>
      </c>
      <c r="K31" s="53">
        <f>Brood_Tab!M29</f>
        <v>26015.359135178303</v>
      </c>
      <c r="L31" s="86">
        <f t="shared" si="4"/>
        <v>10.166442378556209</v>
      </c>
      <c r="M31" s="193">
        <f t="shared" si="5"/>
        <v>103.35655063650361</v>
      </c>
      <c r="N31" s="434">
        <v>9.1345342790197055</v>
      </c>
      <c r="O31" s="434">
        <v>10.994530674195421</v>
      </c>
      <c r="Q31" t="s">
        <v>32</v>
      </c>
    </row>
    <row r="32" spans="1:17" ht="16.2" thickBot="1">
      <c r="A32" s="192">
        <v>1999</v>
      </c>
      <c r="B32" s="230">
        <v>2003</v>
      </c>
      <c r="C32" s="53">
        <f>Brood_Tab!G30</f>
        <v>5974.2592968517056</v>
      </c>
      <c r="D32" s="86">
        <f t="shared" si="6"/>
        <v>8.6952154020610539</v>
      </c>
      <c r="E32" s="87">
        <f t="shared" si="7"/>
        <v>75.60677088823978</v>
      </c>
      <c r="F32" s="230">
        <v>2004</v>
      </c>
      <c r="G32" s="53">
        <f>Brood_Tab!J30</f>
        <v>47490.721342012861</v>
      </c>
      <c r="H32" s="86">
        <f t="shared" si="2"/>
        <v>10.768289630773207</v>
      </c>
      <c r="I32" s="87">
        <f t="shared" si="3"/>
        <v>115.95606157221778</v>
      </c>
      <c r="J32" s="55">
        <v>2005</v>
      </c>
      <c r="K32" s="53">
        <f>Brood_Tab!M30</f>
        <v>20299.583773261162</v>
      </c>
      <c r="L32" s="86">
        <f t="shared" si="4"/>
        <v>9.9183556610394348</v>
      </c>
      <c r="M32" s="193">
        <f t="shared" si="5"/>
        <v>98.373779018873009</v>
      </c>
      <c r="N32" s="434">
        <v>8.6164551837074619</v>
      </c>
      <c r="O32" s="434">
        <v>10.605833601150628</v>
      </c>
    </row>
    <row r="33" spans="1:25" ht="15.6">
      <c r="A33" s="228">
        <v>2000</v>
      </c>
      <c r="B33" s="230">
        <v>2004</v>
      </c>
      <c r="C33" s="53">
        <f>Brood_Tab!G31</f>
        <v>5019.1373507663429</v>
      </c>
      <c r="D33" s="86">
        <f t="shared" si="6"/>
        <v>8.5210133554423404</v>
      </c>
      <c r="E33" s="87">
        <f t="shared" si="7"/>
        <v>72.607668603626735</v>
      </c>
      <c r="F33" s="227">
        <v>2005</v>
      </c>
      <c r="G33" s="53">
        <f>Brood_Tab!J31</f>
        <v>37619.161498689777</v>
      </c>
      <c r="H33" s="86">
        <f t="shared" si="2"/>
        <v>10.535268813895561</v>
      </c>
      <c r="I33" s="87">
        <f t="shared" si="3"/>
        <v>110.99188898104038</v>
      </c>
      <c r="J33" s="227">
        <v>2006</v>
      </c>
      <c r="K33" s="53">
        <f>Brood_Tab!M31</f>
        <v>16359.593867404627</v>
      </c>
      <c r="L33" s="86">
        <f t="shared" si="4"/>
        <v>9.7025697851178307</v>
      </c>
      <c r="M33" s="193">
        <f t="shared" si="5"/>
        <v>94.139860435081474</v>
      </c>
      <c r="N33" s="434">
        <v>8.5167349436232485</v>
      </c>
      <c r="O33" s="434">
        <v>10.537832282158281</v>
      </c>
      <c r="Q33" s="22" t="s">
        <v>33</v>
      </c>
      <c r="R33" s="22"/>
    </row>
    <row r="34" spans="1:25" ht="15.6">
      <c r="A34" s="229">
        <v>2001</v>
      </c>
      <c r="B34" s="230">
        <v>2005</v>
      </c>
      <c r="C34" s="53">
        <f>Brood_Tab!G32</f>
        <v>5890.5726635800202</v>
      </c>
      <c r="D34" s="86">
        <f t="shared" si="6"/>
        <v>8.6811084983337157</v>
      </c>
      <c r="E34" s="87">
        <f t="shared" si="7"/>
        <v>75.361644759841866</v>
      </c>
      <c r="F34" s="230">
        <v>2006</v>
      </c>
      <c r="G34" s="53">
        <f>Brood_Tab!J32</f>
        <v>68219.100697904621</v>
      </c>
      <c r="H34" s="86">
        <f t="shared" si="2"/>
        <v>11.130479873503816</v>
      </c>
      <c r="I34" s="87">
        <f t="shared" si="3"/>
        <v>123.88758221447353</v>
      </c>
      <c r="J34" s="55">
        <v>2007</v>
      </c>
      <c r="K34" s="53">
        <f>Brood_Tab!M32</f>
        <v>22479.30776494227</v>
      </c>
      <c r="L34" s="86">
        <f t="shared" si="4"/>
        <v>10.020350510159048</v>
      </c>
      <c r="M34" s="193">
        <f t="shared" si="5"/>
        <v>100.4074243464447</v>
      </c>
      <c r="N34" s="434">
        <v>8.412525540193931</v>
      </c>
      <c r="O34" s="434">
        <v>11.016353353706744</v>
      </c>
      <c r="Q34" s="19" t="s">
        <v>34</v>
      </c>
      <c r="R34" s="19">
        <v>0.59903837653476566</v>
      </c>
    </row>
    <row r="35" spans="1:25" ht="15.6">
      <c r="A35" s="192">
        <v>2002</v>
      </c>
      <c r="B35" s="55">
        <v>2006</v>
      </c>
      <c r="C35" s="53">
        <f>Brood_Tab!G33</f>
        <v>9564.4699599625565</v>
      </c>
      <c r="D35" s="86">
        <f t="shared" si="6"/>
        <v>9.1658104658028474</v>
      </c>
      <c r="E35" s="87">
        <f t="shared" si="7"/>
        <v>84.012081495021008</v>
      </c>
      <c r="F35" s="227">
        <v>2007</v>
      </c>
      <c r="G35" s="53">
        <f>Brood_Tab!J33</f>
        <v>57978.039080006849</v>
      </c>
      <c r="H35" s="86">
        <f t="shared" si="2"/>
        <v>10.967819581276032</v>
      </c>
      <c r="I35" s="87">
        <f t="shared" si="3"/>
        <v>120.29306636742196</v>
      </c>
      <c r="J35" s="55">
        <v>2008</v>
      </c>
      <c r="K35" s="53">
        <f>Brood_Tab!M33</f>
        <v>17045.187504932786</v>
      </c>
      <c r="L35" s="86">
        <f t="shared" si="4"/>
        <v>9.7436231850942363</v>
      </c>
      <c r="M35" s="193">
        <f t="shared" si="5"/>
        <v>94.938192773105953</v>
      </c>
      <c r="N35" s="434">
        <v>9.6738424904218512</v>
      </c>
      <c r="O35" s="434">
        <v>10.929599293856935</v>
      </c>
      <c r="Q35" s="19" t="s">
        <v>35</v>
      </c>
      <c r="R35" s="19">
        <v>0.35884697656140763</v>
      </c>
    </row>
    <row r="36" spans="1:25" ht="15.6">
      <c r="A36" s="228">
        <v>2003</v>
      </c>
      <c r="B36" s="227">
        <v>2007</v>
      </c>
      <c r="C36" s="53">
        <f>Brood_Tab!G34</f>
        <v>5160.3299022645133</v>
      </c>
      <c r="D36" s="86">
        <f t="shared" si="6"/>
        <v>8.5487557909792695</v>
      </c>
      <c r="E36" s="87">
        <f t="shared" si="7"/>
        <v>73.081225573801589</v>
      </c>
      <c r="F36" s="227">
        <v>2008</v>
      </c>
      <c r="G36" s="53">
        <f>Brood_Tab!J34</f>
        <v>32182.444204813113</v>
      </c>
      <c r="H36" s="86">
        <f t="shared" si="2"/>
        <v>10.379176371820273</v>
      </c>
      <c r="I36" s="87">
        <f t="shared" si="3"/>
        <v>107.72730215735226</v>
      </c>
      <c r="J36" s="55">
        <v>2009</v>
      </c>
      <c r="K36" s="53">
        <f>Brood_Tab!M34</f>
        <v>9625.672480758838</v>
      </c>
      <c r="L36" s="86">
        <f t="shared" si="4"/>
        <v>9.1721890248461087</v>
      </c>
      <c r="M36" s="193">
        <f t="shared" si="5"/>
        <v>84.129051507507413</v>
      </c>
      <c r="N36" s="434">
        <v>8.9827229505794524</v>
      </c>
      <c r="O36" s="434">
        <v>10.328811917777667</v>
      </c>
      <c r="Q36" s="19" t="s">
        <v>36</v>
      </c>
      <c r="R36" s="19">
        <v>0.30541755794152498</v>
      </c>
    </row>
    <row r="37" spans="1:25" ht="15.6">
      <c r="A37" s="192">
        <v>2004</v>
      </c>
      <c r="B37" s="55">
        <v>2008</v>
      </c>
      <c r="C37" s="53">
        <f>Brood_Tab!G35</f>
        <v>3972.7109198777243</v>
      </c>
      <c r="D37" s="86">
        <f t="shared" si="6"/>
        <v>8.2872039919989202</v>
      </c>
      <c r="E37" s="87">
        <f t="shared" si="7"/>
        <v>68.677750005002835</v>
      </c>
      <c r="F37" s="230">
        <v>2009</v>
      </c>
      <c r="G37" s="53">
        <f>Brood_Tab!J35</f>
        <v>27038.839773421794</v>
      </c>
      <c r="H37" s="86">
        <f>LN(G37)</f>
        <v>10.205029621448679</v>
      </c>
      <c r="I37" s="87">
        <f t="shared" si="3"/>
        <v>104.14262957464497</v>
      </c>
      <c r="J37" s="444">
        <v>2010</v>
      </c>
      <c r="K37" s="53">
        <f>Brood_Tab!M35</f>
        <v>6759.2925226127109</v>
      </c>
      <c r="L37" s="86">
        <f t="shared" ref="L37:L38" si="8">LN(K37)</f>
        <v>8.8186735071419058</v>
      </c>
      <c r="M37" s="193">
        <f t="shared" ref="M37:M38" si="9">L37^2</f>
        <v>77.769002425566526</v>
      </c>
      <c r="N37" s="434"/>
      <c r="O37" s="434"/>
      <c r="Q37" s="19" t="s">
        <v>37</v>
      </c>
      <c r="R37" s="19">
        <v>0.29189355396653138</v>
      </c>
    </row>
    <row r="38" spans="1:25" ht="16.2" thickBot="1">
      <c r="A38" s="192">
        <v>2005</v>
      </c>
      <c r="B38" s="55">
        <v>2009</v>
      </c>
      <c r="C38" s="53">
        <f>Brood_Tab!G36</f>
        <v>4591.5178731503456</v>
      </c>
      <c r="D38" s="86">
        <f t="shared" si="6"/>
        <v>8.4319659397064264</v>
      </c>
      <c r="E38" s="87">
        <f t="shared" si="7"/>
        <v>71.09804960836928</v>
      </c>
      <c r="F38" s="444">
        <v>2010</v>
      </c>
      <c r="G38" s="53">
        <f>Brood_Tab!J36</f>
        <v>19724.564662776269</v>
      </c>
      <c r="H38" s="86">
        <f>LN(G38)</f>
        <v>9.8896200751423216</v>
      </c>
      <c r="I38" s="87">
        <f t="shared" ref="I38:I39" si="10">H38^2</f>
        <v>97.80458523065802</v>
      </c>
      <c r="J38" s="55">
        <v>2011</v>
      </c>
      <c r="K38" s="53">
        <f>Brood_Tab!M36</f>
        <v>6002.8139890854263</v>
      </c>
      <c r="L38" s="86">
        <f t="shared" si="8"/>
        <v>8.6999836364458236</v>
      </c>
      <c r="M38" s="193">
        <f t="shared" si="9"/>
        <v>75.689715274425097</v>
      </c>
      <c r="N38" s="434"/>
      <c r="O38" s="434"/>
      <c r="Q38" s="20" t="s">
        <v>38</v>
      </c>
      <c r="R38" s="20">
        <v>14</v>
      </c>
    </row>
    <row r="39" spans="1:25" ht="15.6">
      <c r="A39" s="443">
        <v>2006</v>
      </c>
      <c r="B39" s="444">
        <v>2010</v>
      </c>
      <c r="C39" s="53">
        <f>Brood_Tab!G37</f>
        <v>5400.9059432897675</v>
      </c>
      <c r="D39" s="86">
        <f t="shared" ref="D39:D40" si="11">LN(C39)</f>
        <v>8.5943219857568938</v>
      </c>
      <c r="E39" s="87">
        <f t="shared" ref="E39:E40" si="12">D39^2</f>
        <v>73.862370394864314</v>
      </c>
      <c r="F39" s="227">
        <v>2011</v>
      </c>
      <c r="G39" s="53">
        <f>Brood_Tab!J37</f>
        <v>41071.275462397622</v>
      </c>
      <c r="H39" s="86">
        <f t="shared" ref="H39" si="13">LN(G39)</f>
        <v>10.623064262285222</v>
      </c>
      <c r="I39" s="87">
        <f t="shared" si="10"/>
        <v>112.84949432064147</v>
      </c>
      <c r="J39" s="55">
        <v>2012</v>
      </c>
      <c r="K39" s="53">
        <f>Brood_Tab!M37</f>
        <v>5328.8870594280143</v>
      </c>
      <c r="L39" s="86">
        <f t="shared" ref="L39" si="14">LN(K39)</f>
        <v>8.5808976884951669</v>
      </c>
      <c r="M39" s="193">
        <f t="shared" ref="M39" si="15">L39^2</f>
        <v>73.631805140421704</v>
      </c>
      <c r="N39" s="434"/>
      <c r="O39" s="434"/>
    </row>
    <row r="40" spans="1:25" ht="16.2" thickBot="1">
      <c r="A40" s="228">
        <v>2007</v>
      </c>
      <c r="B40" s="55">
        <v>2011</v>
      </c>
      <c r="C40" s="53">
        <f>Brood_Tab!G38</f>
        <v>5474.0040915997633</v>
      </c>
      <c r="D40" s="86">
        <f t="shared" si="11"/>
        <v>8.6077656370610249</v>
      </c>
      <c r="E40" s="87">
        <f t="shared" si="12"/>
        <v>74.093629262568598</v>
      </c>
      <c r="F40" s="230">
        <v>2012</v>
      </c>
      <c r="G40" s="53">
        <f>Brood_Tab!J38</f>
        <v>35349.790147950946</v>
      </c>
      <c r="H40" s="86">
        <f t="shared" ref="H40:H41" si="16">LN(G40)</f>
        <v>10.473047734898355</v>
      </c>
      <c r="I40" s="87">
        <f t="shared" ref="I40:I41" si="17">H40^2</f>
        <v>109.68472885745956</v>
      </c>
      <c r="J40" s="55">
        <v>2013</v>
      </c>
      <c r="K40" s="53">
        <f>Brood_Tab!M38</f>
        <v>4735.2952298273758</v>
      </c>
      <c r="L40" s="86">
        <f t="shared" ref="L40:L41" si="18">LN(K40)</f>
        <v>8.4627993542207882</v>
      </c>
      <c r="M40" s="193">
        <f t="shared" ref="M40:M41" si="19">L40^2</f>
        <v>71.618972909799794</v>
      </c>
      <c r="N40" s="434"/>
      <c r="O40" s="434"/>
      <c r="Q40" t="s">
        <v>39</v>
      </c>
    </row>
    <row r="41" spans="1:25" ht="15.6">
      <c r="A41" s="192">
        <v>2008</v>
      </c>
      <c r="B41" s="55">
        <v>2012</v>
      </c>
      <c r="C41" s="53">
        <f>Brood_Tab!G39</f>
        <v>3822.1399977816591</v>
      </c>
      <c r="D41" s="86">
        <f t="shared" ref="D41:D42" si="20">LN(C41)</f>
        <v>8.2485657535855932</v>
      </c>
      <c r="E41" s="87">
        <f t="shared" ref="E41:E42" si="21">D41^2</f>
        <v>68.038836991225068</v>
      </c>
      <c r="F41" s="444">
        <v>2013</v>
      </c>
      <c r="G41" s="53">
        <f>Brood_Tab!J39</f>
        <v>26388.848851438826</v>
      </c>
      <c r="H41" s="86">
        <f t="shared" si="16"/>
        <v>10.180696807910829</v>
      </c>
      <c r="I41" s="87">
        <f t="shared" si="17"/>
        <v>103.64658749460574</v>
      </c>
      <c r="J41" s="55">
        <v>2014</v>
      </c>
      <c r="K41" s="53">
        <f>Brood_Tab!M39</f>
        <v>8894.1509866215965</v>
      </c>
      <c r="L41" s="86">
        <f t="shared" si="18"/>
        <v>9.0931491471601422</v>
      </c>
      <c r="M41" s="193">
        <f t="shared" si="19"/>
        <v>82.685361412499219</v>
      </c>
      <c r="Q41" s="21"/>
      <c r="R41" s="21" t="s">
        <v>43</v>
      </c>
      <c r="S41" s="21" t="s">
        <v>44</v>
      </c>
      <c r="T41" s="21" t="s">
        <v>45</v>
      </c>
      <c r="U41" s="21" t="s">
        <v>46</v>
      </c>
      <c r="V41" s="21" t="s">
        <v>47</v>
      </c>
    </row>
    <row r="42" spans="1:25" ht="15.6">
      <c r="A42" s="192">
        <v>2009</v>
      </c>
      <c r="B42" s="55">
        <v>2013</v>
      </c>
      <c r="C42" s="53">
        <f>Brood_Tab!G40</f>
        <v>5820.5946969665338</v>
      </c>
      <c r="D42" s="86">
        <f t="shared" si="20"/>
        <v>8.6691577171146683</v>
      </c>
      <c r="E42" s="87">
        <f t="shared" si="21"/>
        <v>75.154295524208806</v>
      </c>
      <c r="F42" s="227">
        <v>2014</v>
      </c>
      <c r="G42" s="53">
        <f>Brood_Tab!J40</f>
        <v>16056.832992717924</v>
      </c>
      <c r="H42" s="86">
        <f t="shared" ref="H42" si="22">LN(G42)</f>
        <v>9.6838897695936783</v>
      </c>
      <c r="I42" s="87">
        <f t="shared" ref="I42" si="23">H42^2</f>
        <v>93.777721069641103</v>
      </c>
      <c r="Q42" s="19" t="s">
        <v>40</v>
      </c>
      <c r="R42" s="19">
        <v>1</v>
      </c>
      <c r="S42" s="19">
        <v>0.57223952512170118</v>
      </c>
      <c r="T42" s="19">
        <v>0.57223952512170118</v>
      </c>
      <c r="U42" s="19">
        <v>6.7162807649917005</v>
      </c>
      <c r="V42" s="19">
        <v>2.3589183702265773E-2</v>
      </c>
    </row>
    <row r="43" spans="1:25" ht="15.6">
      <c r="A43" s="443">
        <v>2010</v>
      </c>
      <c r="B43" s="55">
        <v>2014</v>
      </c>
      <c r="C43" s="53">
        <f>Brood_Tab!G41</f>
        <v>8908.6805268225889</v>
      </c>
      <c r="D43" s="86">
        <f t="shared" ref="D43" si="24">LN(C43)</f>
        <v>9.0947814204775597</v>
      </c>
      <c r="E43" s="87">
        <f t="shared" ref="E43" si="25">D43^2</f>
        <v>82.715049086263818</v>
      </c>
      <c r="Q43" s="19" t="s">
        <v>41</v>
      </c>
      <c r="R43" s="19">
        <v>12</v>
      </c>
      <c r="S43" s="19">
        <v>1.0224221621665484</v>
      </c>
      <c r="T43" s="19">
        <v>8.5201846847212367E-2</v>
      </c>
      <c r="U43" s="19"/>
      <c r="V43" s="19"/>
    </row>
    <row r="44" spans="1:25" ht="16.2" thickBot="1">
      <c r="A44" s="228">
        <v>2011</v>
      </c>
      <c r="Q44" s="20" t="s">
        <v>0</v>
      </c>
      <c r="R44" s="20">
        <v>13</v>
      </c>
      <c r="S44" s="20">
        <v>1.5946616872882495</v>
      </c>
      <c r="T44" s="20"/>
      <c r="U44" s="20"/>
      <c r="V44" s="20"/>
    </row>
    <row r="45" spans="1:25" ht="16.2" thickBot="1">
      <c r="A45" s="192">
        <v>2012</v>
      </c>
    </row>
    <row r="46" spans="1:25" ht="15.6">
      <c r="A46" s="228">
        <v>2013</v>
      </c>
      <c r="Q46" s="21"/>
      <c r="R46" s="21" t="s">
        <v>48</v>
      </c>
      <c r="S46" s="21" t="s">
        <v>37</v>
      </c>
      <c r="T46" s="21" t="s">
        <v>49</v>
      </c>
      <c r="U46" s="21" t="s">
        <v>50</v>
      </c>
      <c r="V46" s="21" t="s">
        <v>51</v>
      </c>
      <c r="W46" s="21" t="s">
        <v>52</v>
      </c>
      <c r="X46" s="21" t="s">
        <v>438</v>
      </c>
      <c r="Y46" s="21" t="s">
        <v>439</v>
      </c>
    </row>
    <row r="47" spans="1:25" ht="15.6">
      <c r="A47" s="443">
        <v>2014</v>
      </c>
      <c r="Q47" s="19" t="s">
        <v>42</v>
      </c>
      <c r="R47" s="19">
        <v>4.7251213290442315</v>
      </c>
      <c r="S47" s="19">
        <v>2.2815165912799782</v>
      </c>
      <c r="T47" s="19">
        <v>2.0710440358416768</v>
      </c>
      <c r="U47" s="19">
        <v>6.0575985695000917E-2</v>
      </c>
      <c r="V47" s="19">
        <v>-0.24587629113522702</v>
      </c>
      <c r="W47" s="19">
        <v>9.6961189492236901</v>
      </c>
      <c r="X47" s="19">
        <v>1.6308889800887902</v>
      </c>
      <c r="Y47" s="19">
        <v>7.8193536779996728</v>
      </c>
    </row>
    <row r="48" spans="1:25" ht="13.8" thickBot="1">
      <c r="Q48" s="20" t="s">
        <v>53</v>
      </c>
      <c r="R48" s="20">
        <v>0.68162944793692315</v>
      </c>
      <c r="S48" s="20">
        <v>0.26301706259211727</v>
      </c>
      <c r="T48" s="20">
        <v>2.5915788170518175</v>
      </c>
      <c r="U48" s="20">
        <v>2.3589183702265773E-2</v>
      </c>
      <c r="V48" s="20">
        <v>0.10856449753982955</v>
      </c>
      <c r="W48" s="20">
        <v>1.2546943983340166</v>
      </c>
      <c r="X48" s="20">
        <v>0.32492114850562753</v>
      </c>
      <c r="Y48" s="20">
        <v>1.0383377473682187</v>
      </c>
    </row>
    <row r="54" spans="18:25">
      <c r="R54" s="788">
        <f>D42*R48+R47</f>
        <v>10.63427451783922</v>
      </c>
    </row>
    <row r="55" spans="18:25">
      <c r="R55" s="789">
        <f>EXP(R54)</f>
        <v>41534.285336914225</v>
      </c>
      <c r="V55" s="53"/>
      <c r="W55" s="53"/>
      <c r="X55" s="53"/>
      <c r="Y55" s="53"/>
    </row>
  </sheetData>
  <phoneticPr fontId="52" type="noConversion"/>
  <pageMargins left="0.75" right="0.75" top="1" bottom="1" header="0.5" footer="0.5"/>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T105"/>
  <sheetViews>
    <sheetView zoomScale="75" zoomScaleNormal="75" workbookViewId="0">
      <pane xSplit="1" ySplit="5" topLeftCell="B21" activePane="bottomRight" state="frozen"/>
      <selection pane="topRight" activeCell="B1" sqref="B1"/>
      <selection pane="bottomLeft" activeCell="A6" sqref="A6"/>
      <selection pane="bottomRight" activeCell="F40" sqref="F40"/>
    </sheetView>
  </sheetViews>
  <sheetFormatPr defaultRowHeight="13.2"/>
  <cols>
    <col min="1" max="1" width="15.77734375" customWidth="1"/>
    <col min="2" max="2" width="11.109375" customWidth="1"/>
    <col min="3" max="3" width="13" customWidth="1"/>
    <col min="6" max="6" width="10.77734375" customWidth="1"/>
    <col min="7" max="7" width="8.6640625" customWidth="1"/>
    <col min="8" max="8" width="11.109375" customWidth="1"/>
    <col min="9" max="9" width="10.77734375" customWidth="1"/>
    <col min="10" max="10" width="8.6640625" customWidth="1"/>
    <col min="11" max="11" width="9" customWidth="1"/>
    <col min="12" max="13" width="10.77734375" customWidth="1"/>
    <col min="14" max="14" width="8.44140625" customWidth="1"/>
    <col min="16" max="16" width="10.77734375" customWidth="1"/>
    <col min="17" max="18" width="10" customWidth="1"/>
    <col min="19" max="19" width="8.6640625" customWidth="1"/>
    <col min="20" max="20" width="19.6640625" customWidth="1"/>
  </cols>
  <sheetData>
    <row r="1" spans="1:20" ht="22.8">
      <c r="A1" s="5" t="s">
        <v>177</v>
      </c>
      <c r="B1" s="6"/>
      <c r="C1" s="6"/>
      <c r="D1" s="6"/>
      <c r="E1" s="6"/>
      <c r="F1" s="6"/>
      <c r="G1" s="6"/>
      <c r="H1" s="25" t="str">
        <f ca="1">CELL("filename",H1)</f>
        <v>C:\Users\rebrenner\Desktop\NCEAS\DATA\PWS&amp;CBR_SALMON\PWS&amp;CR_SALMON_FORECAST_DATA\[2015 Copper River Chinook forecast-FINAL.xlsm]RunXAge</v>
      </c>
      <c r="I1" s="6"/>
      <c r="J1" s="6"/>
      <c r="K1" s="6"/>
      <c r="L1" s="6"/>
      <c r="M1" s="6"/>
      <c r="N1" s="6"/>
      <c r="O1" s="6"/>
      <c r="P1" s="6"/>
      <c r="Q1" s="6"/>
      <c r="R1" s="6"/>
      <c r="S1" s="6"/>
      <c r="T1" s="6"/>
    </row>
    <row r="2" spans="1:20" ht="30.6">
      <c r="A2" s="258" t="s">
        <v>446</v>
      </c>
      <c r="B2" s="6"/>
      <c r="C2" s="6"/>
      <c r="D2" s="6"/>
      <c r="E2" s="6"/>
      <c r="F2" s="6"/>
      <c r="G2" s="6"/>
      <c r="H2" s="6"/>
      <c r="I2" s="6"/>
      <c r="J2" s="6"/>
      <c r="K2" s="6"/>
      <c r="L2" s="6"/>
      <c r="M2" s="176"/>
      <c r="N2" s="6"/>
      <c r="O2" s="6"/>
      <c r="P2" s="6"/>
      <c r="Q2" s="6"/>
      <c r="R2" s="6"/>
      <c r="S2" s="6"/>
      <c r="T2" s="4"/>
    </row>
    <row r="3" spans="1:20" ht="13.8" thickBot="1">
      <c r="A3" s="6"/>
      <c r="B3" s="6"/>
      <c r="C3" s="6"/>
      <c r="D3" s="6"/>
      <c r="E3" s="6"/>
      <c r="F3" s="6"/>
      <c r="G3" s="6"/>
      <c r="H3" s="6"/>
      <c r="I3" s="6"/>
      <c r="J3" s="6"/>
      <c r="K3" s="6"/>
      <c r="L3" s="6"/>
      <c r="M3" s="6"/>
      <c r="N3" s="6"/>
      <c r="O3" s="6"/>
      <c r="P3" s="6"/>
      <c r="Q3" s="6"/>
      <c r="R3" s="6"/>
      <c r="S3" s="6"/>
      <c r="T3" s="6"/>
    </row>
    <row r="4" spans="1:20" ht="15.6">
      <c r="A4" s="224" t="s">
        <v>444</v>
      </c>
      <c r="B4" s="8" t="s">
        <v>5</v>
      </c>
      <c r="C4" s="9" t="s">
        <v>6</v>
      </c>
      <c r="D4" s="10"/>
      <c r="E4" s="9" t="s">
        <v>7</v>
      </c>
      <c r="F4" s="11"/>
      <c r="G4" s="10"/>
      <c r="H4" s="9" t="s">
        <v>8</v>
      </c>
      <c r="I4" s="11"/>
      <c r="J4" s="10"/>
      <c r="K4" s="9" t="s">
        <v>9</v>
      </c>
      <c r="L4" s="89"/>
      <c r="M4" s="11"/>
      <c r="N4" s="10"/>
      <c r="O4" s="90" t="s">
        <v>10</v>
      </c>
      <c r="P4" s="11"/>
      <c r="Q4" s="91"/>
      <c r="R4" s="9" t="s">
        <v>11</v>
      </c>
      <c r="S4" s="11"/>
      <c r="T4" s="233"/>
    </row>
    <row r="5" spans="1:20" ht="15.6">
      <c r="A5" s="222" t="s">
        <v>12</v>
      </c>
      <c r="B5" s="231">
        <v>0.1</v>
      </c>
      <c r="C5" s="232">
        <v>0.2</v>
      </c>
      <c r="D5" s="225">
        <v>1.1000000000000001</v>
      </c>
      <c r="E5" s="232">
        <v>0.3</v>
      </c>
      <c r="F5" s="223">
        <v>1.2</v>
      </c>
      <c r="G5" s="225">
        <v>2.1</v>
      </c>
      <c r="H5" s="232">
        <v>0.4</v>
      </c>
      <c r="I5" s="223">
        <v>1.3</v>
      </c>
      <c r="J5" s="225">
        <v>2.2000000000000002</v>
      </c>
      <c r="K5" s="232">
        <v>0.5</v>
      </c>
      <c r="L5" s="223">
        <v>1.4</v>
      </c>
      <c r="M5" s="223">
        <v>2.2999999999999998</v>
      </c>
      <c r="N5" s="225">
        <v>3.2</v>
      </c>
      <c r="O5" s="232">
        <v>1.5</v>
      </c>
      <c r="P5" s="223">
        <v>2.4</v>
      </c>
      <c r="Q5" s="225">
        <v>3.3</v>
      </c>
      <c r="R5" s="232">
        <v>2.5</v>
      </c>
      <c r="S5" s="225">
        <v>3.4</v>
      </c>
      <c r="T5" s="234" t="s">
        <v>445</v>
      </c>
    </row>
    <row r="6" spans="1:20" ht="15.6">
      <c r="A6" s="330">
        <v>1980</v>
      </c>
      <c r="B6" s="92">
        <f>UCRNumber!C7+CCNumber!C7</f>
        <v>0</v>
      </c>
      <c r="C6" s="92">
        <f>UCRNumber!D7+CCNumber!D7</f>
        <v>0</v>
      </c>
      <c r="D6" s="92">
        <f>UCRNumber!E7+CCNumber!E7</f>
        <v>0</v>
      </c>
      <c r="E6" s="92">
        <f>UCRNumber!F7+CCNumber!F7</f>
        <v>0</v>
      </c>
      <c r="F6" s="92">
        <f>UCRNumber!G7+CCNumber!G7</f>
        <v>77.378995433789953</v>
      </c>
      <c r="G6" s="92">
        <f>UCRNumber!H7+CCNumber!H7</f>
        <v>0</v>
      </c>
      <c r="H6" s="92">
        <f>UCRNumber!I7+CCNumber!I7</f>
        <v>0</v>
      </c>
      <c r="I6" s="92">
        <f>UCRNumber!J7+CCNumber!J7</f>
        <v>2398.7488584474886</v>
      </c>
      <c r="J6" s="92">
        <f>UCRNumber!K7+CCNumber!K7</f>
        <v>38.689497716894977</v>
      </c>
      <c r="K6" s="92">
        <f>UCRNumber!L7+CCNumber!L7</f>
        <v>0</v>
      </c>
      <c r="L6" s="92">
        <f>UCRNumber!M7+CCNumber!M7</f>
        <v>0</v>
      </c>
      <c r="M6" s="92">
        <f>UCRNumber!N7+CCNumber!N7</f>
        <v>4681.4292237442924</v>
      </c>
      <c r="N6" s="92">
        <f>UCRNumber!O7+CCNumber!O7</f>
        <v>657.72146118721457</v>
      </c>
      <c r="O6" s="92">
        <f>UCRNumber!P7+CCNumber!P7</f>
        <v>0</v>
      </c>
      <c r="P6" s="92">
        <f>UCRNumber!Q7+CCNumber!Q7</f>
        <v>77.378995433789953</v>
      </c>
      <c r="Q6" s="92">
        <f>UCRNumber!R7+CCNumber!R7</f>
        <v>502.96347031963467</v>
      </c>
      <c r="R6" s="92">
        <f>UCRNumber!S7+CCNumber!S7</f>
        <v>0</v>
      </c>
      <c r="S6" s="92">
        <f>UCRNumber!T7+CCNumber!T7</f>
        <v>38.689497716894977</v>
      </c>
      <c r="T6" s="180">
        <f>SUM(B6:S6)</f>
        <v>8473.0000000000018</v>
      </c>
    </row>
    <row r="7" spans="1:20" ht="15.6">
      <c r="A7" s="330">
        <v>1981</v>
      </c>
      <c r="B7" s="92">
        <f>UCRNumber!C8+CCNumber!C8</f>
        <v>0</v>
      </c>
      <c r="C7" s="92">
        <f>UCRNumber!D8+CCNumber!D8</f>
        <v>0</v>
      </c>
      <c r="D7" s="92">
        <f>UCRNumber!E8+CCNumber!E8</f>
        <v>0</v>
      </c>
      <c r="E7" s="92">
        <f>UCRNumber!F8+CCNumber!F8</f>
        <v>756.51851851851848</v>
      </c>
      <c r="F7" s="92">
        <f>UCRNumber!G8+CCNumber!G8</f>
        <v>1059.1259259259259</v>
      </c>
      <c r="G7" s="92">
        <f>UCRNumber!H8+CCNumber!H8</f>
        <v>0</v>
      </c>
      <c r="H7" s="92">
        <f>UCRNumber!I8+CCNumber!I8</f>
        <v>0</v>
      </c>
      <c r="I7" s="92">
        <f>UCRNumber!J8+CCNumber!J8</f>
        <v>8624.3111111111102</v>
      </c>
      <c r="J7" s="92">
        <f>UCRNumber!K8+CCNumber!K8</f>
        <v>0</v>
      </c>
      <c r="K7" s="92">
        <f>UCRNumber!L8+CCNumber!L8</f>
        <v>0</v>
      </c>
      <c r="L7" s="92">
        <f>UCRNumber!M8+CCNumber!M8</f>
        <v>0</v>
      </c>
      <c r="M7" s="92">
        <f>UCRNumber!N8+CCNumber!N8</f>
        <v>8321.7037037037026</v>
      </c>
      <c r="N7" s="92">
        <f>UCRNumber!O8+CCNumber!O8</f>
        <v>151.30370370370372</v>
      </c>
      <c r="O7" s="92">
        <f>UCRNumber!P8+CCNumber!P8</f>
        <v>0</v>
      </c>
      <c r="P7" s="92">
        <f>UCRNumber!Q8+CCNumber!Q8</f>
        <v>0</v>
      </c>
      <c r="Q7" s="92">
        <f>UCRNumber!R8+CCNumber!R8</f>
        <v>1513.037037037037</v>
      </c>
      <c r="R7" s="92">
        <f>UCRNumber!S8+CCNumber!S8</f>
        <v>0</v>
      </c>
      <c r="S7" s="92">
        <f>UCRNumber!T8+CCNumber!T8</f>
        <v>0</v>
      </c>
      <c r="T7" s="180">
        <f t="shared" ref="T7:T39" si="0">SUM(B7:S7)</f>
        <v>20425.999999999996</v>
      </c>
    </row>
    <row r="8" spans="1:20" ht="15.6">
      <c r="A8" s="330">
        <v>1982</v>
      </c>
      <c r="B8" s="92">
        <f>UCRNumber!C9+CCNumber!C9</f>
        <v>0</v>
      </c>
      <c r="C8" s="92">
        <f>UCRNumber!D9+CCNumber!D9</f>
        <v>49.458443513282617</v>
      </c>
      <c r="D8" s="92">
        <f>UCRNumber!E9+CCNumber!E9</f>
        <v>103.76575403767137</v>
      </c>
      <c r="E8" s="92">
        <f>UCRNumber!F9+CCNumber!F9</f>
        <v>17.4559212399821</v>
      </c>
      <c r="F8" s="92">
        <f>UCRNumber!G9+CCNumber!G9</f>
        <v>3576.5243073918882</v>
      </c>
      <c r="G8" s="92">
        <f>UCRNumber!H9+CCNumber!H9</f>
        <v>0</v>
      </c>
      <c r="H8" s="92">
        <f>UCRNumber!I9+CCNumber!I9</f>
        <v>0</v>
      </c>
      <c r="I8" s="92">
        <f>UCRNumber!J9+CCNumber!J9</f>
        <v>25211.19913754526</v>
      </c>
      <c r="J8" s="92">
        <f>UCRNumber!K9+CCNumber!K9</f>
        <v>453.85395223953464</v>
      </c>
      <c r="K8" s="92">
        <f>UCRNumber!L9+CCNumber!L9</f>
        <v>0</v>
      </c>
      <c r="L8" s="92">
        <f>UCRNumber!M9+CCNumber!M9</f>
        <v>0</v>
      </c>
      <c r="M8" s="92">
        <f>UCRNumber!N9+CCNumber!N9</f>
        <v>12053.313616207641</v>
      </c>
      <c r="N8" s="92">
        <f>UCRNumber!O9+CCNumber!O9</f>
        <v>3976.0709491070338</v>
      </c>
      <c r="O8" s="92">
        <f>UCRNumber!P9+CCNumber!P9</f>
        <v>0</v>
      </c>
      <c r="P8" s="92">
        <f>UCRNumber!Q9+CCNumber!Q9</f>
        <v>46.549123306618931</v>
      </c>
      <c r="Q8" s="92">
        <f>UCRNumber!R9+CCNumber!R9</f>
        <v>2187.8087954110902</v>
      </c>
      <c r="R8" s="92">
        <f>UCRNumber!S9+CCNumber!S9</f>
        <v>0</v>
      </c>
      <c r="S8" s="92">
        <f>UCRNumber!T9+CCNumber!T9</f>
        <v>0</v>
      </c>
      <c r="T8" s="180">
        <f t="shared" si="0"/>
        <v>47676</v>
      </c>
    </row>
    <row r="9" spans="1:20" ht="15.6">
      <c r="A9" s="330">
        <v>1983</v>
      </c>
      <c r="B9" s="92">
        <f>UCRNumber!C10+CCNumber!C10</f>
        <v>0</v>
      </c>
      <c r="C9" s="92">
        <f>UCRNumber!D10+CCNumber!D10</f>
        <v>0</v>
      </c>
      <c r="D9" s="92">
        <f>UCRNumber!E10+CCNumber!E10</f>
        <v>23.392867138459078</v>
      </c>
      <c r="E9" s="92">
        <f>UCRNumber!F10+CCNumber!F10</f>
        <v>0</v>
      </c>
      <c r="F9" s="92">
        <f>UCRNumber!G10+CCNumber!G10</f>
        <v>2052.1924353284553</v>
      </c>
      <c r="G9" s="92">
        <f>UCRNumber!H10+CCNumber!H10</f>
        <v>0</v>
      </c>
      <c r="H9" s="92">
        <f>UCRNumber!I10+CCNumber!I10</f>
        <v>0</v>
      </c>
      <c r="I9" s="92">
        <f>UCRNumber!J10+CCNumber!J10</f>
        <v>33917.530726480349</v>
      </c>
      <c r="J9" s="92">
        <f>UCRNumber!K10+CCNumber!K10</f>
        <v>19.139618567830155</v>
      </c>
      <c r="K9" s="92">
        <f>UCRNumber!L10+CCNumber!L10</f>
        <v>0</v>
      </c>
      <c r="L9" s="92">
        <f>UCRNumber!M10+CCNumber!M10</f>
        <v>0</v>
      </c>
      <c r="M9" s="92">
        <f>UCRNumber!N10+CCNumber!N10</f>
        <v>16990.664727519888</v>
      </c>
      <c r="N9" s="92">
        <f>UCRNumber!O10+CCNumber!O10</f>
        <v>82.938347127263995</v>
      </c>
      <c r="O9" s="92">
        <f>UCRNumber!P10+CCNumber!P10</f>
        <v>0</v>
      </c>
      <c r="P9" s="92">
        <f>UCRNumber!Q10+CCNumber!Q10</f>
        <v>17.012994282515695</v>
      </c>
      <c r="Q9" s="92">
        <f>UCRNumber!R10+CCNumber!R10</f>
        <v>86.128283555235697</v>
      </c>
      <c r="R9" s="92">
        <f>UCRNumber!S10+CCNumber!S10</f>
        <v>0</v>
      </c>
      <c r="S9" s="92">
        <f>UCRNumber!T10+CCNumber!T10</f>
        <v>0</v>
      </c>
      <c r="T9" s="180">
        <f t="shared" si="0"/>
        <v>53189</v>
      </c>
    </row>
    <row r="10" spans="1:20" ht="15.6">
      <c r="A10" s="330">
        <v>1984</v>
      </c>
      <c r="B10" s="92">
        <f>UCRNumber!C11+CCNumber!C11</f>
        <v>0</v>
      </c>
      <c r="C10" s="92">
        <f>UCRNumber!D11+CCNumber!D11</f>
        <v>0</v>
      </c>
      <c r="D10" s="92">
        <f>UCRNumber!E11+CCNumber!E11</f>
        <v>0</v>
      </c>
      <c r="E10" s="92">
        <f>UCRNumber!F11+CCNumber!F11</f>
        <v>15.24875364864516</v>
      </c>
      <c r="F10" s="92">
        <f>UCRNumber!G11+CCNumber!G11</f>
        <v>899.67646527006423</v>
      </c>
      <c r="G10" s="92">
        <f>UCRNumber!H11+CCNumber!H11</f>
        <v>9.149252189187095</v>
      </c>
      <c r="H10" s="92">
        <f>UCRNumber!I11+CCNumber!I11</f>
        <v>0</v>
      </c>
      <c r="I10" s="92">
        <f>UCRNumber!J11+CCNumber!J11</f>
        <v>13184.072404618604</v>
      </c>
      <c r="J10" s="92">
        <f>UCRNumber!K11+CCNumber!K11</f>
        <v>170.78604086482576</v>
      </c>
      <c r="K10" s="92">
        <f>UCRNumber!L11+CCNumber!L11</f>
        <v>0</v>
      </c>
      <c r="L10" s="92">
        <f>UCRNumber!M11+CCNumber!M11</f>
        <v>0</v>
      </c>
      <c r="M10" s="92">
        <f>UCRNumber!N11+CCNumber!N11</f>
        <v>22116.792291994938</v>
      </c>
      <c r="N10" s="92">
        <f>UCRNumber!O11+CCNumber!O11</f>
        <v>1639.7493090176424</v>
      </c>
      <c r="O10" s="92">
        <f>UCRNumber!P11+CCNumber!P11</f>
        <v>0</v>
      </c>
      <c r="P10" s="92">
        <f>UCRNumber!Q11+CCNumber!Q11</f>
        <v>18.29850437837419</v>
      </c>
      <c r="Q10" s="92">
        <f>UCRNumber!R11+CCNumber!R11</f>
        <v>1241.2485469997159</v>
      </c>
      <c r="R10" s="92">
        <f>UCRNumber!S11+CCNumber!S11</f>
        <v>59.978431018004279</v>
      </c>
      <c r="S10" s="92">
        <f>UCRNumber!T11+CCNumber!T11</f>
        <v>0</v>
      </c>
      <c r="T10" s="180">
        <f t="shared" si="0"/>
        <v>39355.000000000007</v>
      </c>
    </row>
    <row r="11" spans="1:20" ht="15.6">
      <c r="A11" s="330">
        <v>1985</v>
      </c>
      <c r="B11" s="92">
        <f>UCRNumber!C12+CCNumber!C12</f>
        <v>0</v>
      </c>
      <c r="C11" s="92">
        <f>UCRNumber!D12+CCNumber!D12</f>
        <v>56.256692578503412</v>
      </c>
      <c r="D11" s="92">
        <f>UCRNumber!E12+CCNumber!E12</f>
        <v>0</v>
      </c>
      <c r="E11" s="92">
        <f>UCRNumber!F12+CCNumber!F12</f>
        <v>43.197103229922263</v>
      </c>
      <c r="F11" s="92">
        <f>UCRNumber!G12+CCNumber!G12</f>
        <v>2828.907969661886</v>
      </c>
      <c r="G11" s="92">
        <f>UCRNumber!H12+CCNumber!H12</f>
        <v>0</v>
      </c>
      <c r="H11" s="92">
        <f>UCRNumber!I12+CCNumber!I12</f>
        <v>62.284195354771633</v>
      </c>
      <c r="I11" s="92">
        <f>UCRNumber!J12+CCNumber!J12</f>
        <v>12239.848971008672</v>
      </c>
      <c r="J11" s="92">
        <f>UCRNumber!K12+CCNumber!K12</f>
        <v>70.320865723129259</v>
      </c>
      <c r="K11" s="92">
        <f>UCRNumber!L12+CCNumber!L12</f>
        <v>0</v>
      </c>
      <c r="L11" s="92">
        <f>UCRNumber!M12+CCNumber!M12</f>
        <v>0</v>
      </c>
      <c r="M11" s="92">
        <f>UCRNumber!N12+CCNumber!N12</f>
        <v>25990.591971268575</v>
      </c>
      <c r="N11" s="92">
        <f>UCRNumber!O12+CCNumber!O12</f>
        <v>344.5722420433334</v>
      </c>
      <c r="O11" s="92">
        <f>UCRNumber!P12+CCNumber!P12</f>
        <v>0</v>
      </c>
      <c r="P11" s="92">
        <f>UCRNumber!Q12+CCNumber!Q12</f>
        <v>228.04052170214777</v>
      </c>
      <c r="Q11" s="92">
        <f>UCRNumber!R12+CCNumber!R12</f>
        <v>652.97946742905742</v>
      </c>
      <c r="R11" s="92">
        <f>UCRNumber!S12+CCNumber!S12</f>
        <v>0</v>
      </c>
      <c r="S11" s="92">
        <f>UCRNumber!T12+CCNumber!T12</f>
        <v>0</v>
      </c>
      <c r="T11" s="180">
        <f t="shared" si="0"/>
        <v>42517</v>
      </c>
    </row>
    <row r="12" spans="1:20" ht="15.6">
      <c r="A12" s="330">
        <v>1986</v>
      </c>
      <c r="B12" s="92">
        <f>UCRNumber!C13+CCNumber!C13</f>
        <v>0</v>
      </c>
      <c r="C12" s="92">
        <f>UCRNumber!D13+CCNumber!D13</f>
        <v>28.147332185886405</v>
      </c>
      <c r="D12" s="92">
        <f>UCRNumber!E13+CCNumber!E13</f>
        <v>0</v>
      </c>
      <c r="E12" s="92">
        <f>UCRNumber!F13+CCNumber!F13</f>
        <v>0</v>
      </c>
      <c r="F12" s="92">
        <f>UCRNumber!G13+CCNumber!G13</f>
        <v>2352.3127612490775</v>
      </c>
      <c r="G12" s="92">
        <f>UCRNumber!H13+CCNumber!H13</f>
        <v>0</v>
      </c>
      <c r="H12" s="92">
        <f>UCRNumber!I13+CCNumber!I13</f>
        <v>38.199950823702977</v>
      </c>
      <c r="I12" s="92">
        <f>UCRNumber!J13+CCNumber!J13</f>
        <v>21883.545512662899</v>
      </c>
      <c r="J12" s="92">
        <f>UCRNumber!K13+CCNumber!K13</f>
        <v>46.242045733956232</v>
      </c>
      <c r="K12" s="92">
        <f>UCRNumber!L13+CCNumber!L13</f>
        <v>0</v>
      </c>
      <c r="L12" s="92">
        <f>UCRNumber!M13+CCNumber!M13</f>
        <v>0</v>
      </c>
      <c r="M12" s="92">
        <f>UCRNumber!N13+CCNumber!N13</f>
        <v>14046.524022621099</v>
      </c>
      <c r="N12" s="92">
        <f>UCRNumber!O13+CCNumber!O13</f>
        <v>1601.3821490041801</v>
      </c>
      <c r="O12" s="92">
        <f>UCRNumber!P13+CCNumber!P13</f>
        <v>0</v>
      </c>
      <c r="P12" s="92">
        <f>UCRNumber!Q13+CCNumber!Q13</f>
        <v>244.2786328989427</v>
      </c>
      <c r="Q12" s="92">
        <f>UCRNumber!R13+CCNumber!R13</f>
        <v>623.26235554462755</v>
      </c>
      <c r="R12" s="92">
        <f>UCRNumber!S13+CCNumber!S13</f>
        <v>20.105237275633144</v>
      </c>
      <c r="S12" s="92">
        <f>UCRNumber!T13+CCNumber!T13</f>
        <v>0</v>
      </c>
      <c r="T12" s="180">
        <f t="shared" si="0"/>
        <v>40884.000000000007</v>
      </c>
    </row>
    <row r="13" spans="1:20" ht="15.6">
      <c r="A13" s="330">
        <v>1987</v>
      </c>
      <c r="B13" s="92">
        <f>UCRNumber!C14+CCNumber!C14</f>
        <v>0</v>
      </c>
      <c r="C13" s="92">
        <f>UCRNumber!D14+CCNumber!D14</f>
        <v>19.484941901825945</v>
      </c>
      <c r="D13" s="92">
        <f>UCRNumber!E14+CCNumber!E14</f>
        <v>19.484941901825945</v>
      </c>
      <c r="E13" s="92">
        <f>UCRNumber!F14+CCNumber!F14</f>
        <v>19.484941901825945</v>
      </c>
      <c r="F13" s="92">
        <f>UCRNumber!G14+CCNumber!G14</f>
        <v>826.48628566911691</v>
      </c>
      <c r="G13" s="92">
        <f>UCRNumber!H14+CCNumber!H14</f>
        <v>0</v>
      </c>
      <c r="H13" s="92">
        <f>UCRNumber!I14+CCNumber!I14</f>
        <v>42.217374120622878</v>
      </c>
      <c r="I13" s="92">
        <f>UCRNumber!J14+CCNumber!J14</f>
        <v>9968.171527942457</v>
      </c>
      <c r="J13" s="92">
        <f>UCRNumber!K14+CCNumber!K14</f>
        <v>19.484941901825945</v>
      </c>
      <c r="K13" s="92">
        <f>UCRNumber!L14+CCNumber!L14</f>
        <v>0</v>
      </c>
      <c r="L13" s="92">
        <f>UCRNumber!M14+CCNumber!M14</f>
        <v>0</v>
      </c>
      <c r="M13" s="92">
        <f>UCRNumber!N14+CCNumber!N14</f>
        <v>26247.84048691803</v>
      </c>
      <c r="N13" s="92">
        <f>UCRNumber!O14+CCNumber!O14</f>
        <v>1328.2235396411349</v>
      </c>
      <c r="O13" s="92">
        <f>UCRNumber!P14+CCNumber!P14</f>
        <v>0</v>
      </c>
      <c r="P13" s="92">
        <f>UCRNumber!Q14+CCNumber!Q14</f>
        <v>506.60848944747454</v>
      </c>
      <c r="Q13" s="92">
        <f>UCRNumber!R14+CCNumber!R14</f>
        <v>2086.5125286538614</v>
      </c>
      <c r="R13" s="92">
        <f>UCRNumber!S14+CCNumber!S14</f>
        <v>0</v>
      </c>
      <c r="S13" s="92">
        <f>UCRNumber!T14+CCNumber!T14</f>
        <v>0</v>
      </c>
      <c r="T13" s="180">
        <f t="shared" si="0"/>
        <v>41084</v>
      </c>
    </row>
    <row r="14" spans="1:20" ht="15.6">
      <c r="A14" s="330">
        <v>1988</v>
      </c>
      <c r="B14" s="92">
        <f>UCRNumber!C15+CCNumber!C15</f>
        <v>0</v>
      </c>
      <c r="C14" s="92">
        <f>UCRNumber!D15+CCNumber!D15</f>
        <v>13.100067301902163</v>
      </c>
      <c r="D14" s="92">
        <f>UCRNumber!E15+CCNumber!E15</f>
        <v>43.666891006340542</v>
      </c>
      <c r="E14" s="92">
        <f>UCRNumber!F15+CCNumber!F15</f>
        <v>13.100067301902163</v>
      </c>
      <c r="F14" s="92">
        <f>UCRNumber!G15+CCNumber!G15</f>
        <v>970.49665261591872</v>
      </c>
      <c r="G14" s="92">
        <f>UCRNumber!H15+CCNumber!H15</f>
        <v>30.566823704438384</v>
      </c>
      <c r="H14" s="92">
        <f>UCRNumber!I15+CCNumber!I15</f>
        <v>28.383479154121357</v>
      </c>
      <c r="I14" s="92">
        <f>UCRNumber!J15+CCNumber!J15</f>
        <v>7774.8899436789352</v>
      </c>
      <c r="J14" s="92">
        <f>UCRNumber!K15+CCNumber!K15</f>
        <v>75.325386985937442</v>
      </c>
      <c r="K14" s="92">
        <f>UCRNumber!L15+CCNumber!L15</f>
        <v>0</v>
      </c>
      <c r="L14" s="92">
        <f>UCRNumber!M15+CCNumber!M15</f>
        <v>0</v>
      </c>
      <c r="M14" s="92">
        <f>UCRNumber!N15+CCNumber!N15</f>
        <v>19096.623109347878</v>
      </c>
      <c r="N14" s="92">
        <f>UCRNumber!O15+CCNumber!O15</f>
        <v>572.03627218306121</v>
      </c>
      <c r="O14" s="92">
        <f>UCRNumber!P15+CCNumber!P15</f>
        <v>0</v>
      </c>
      <c r="P14" s="92">
        <f>UCRNumber!Q15+CCNumber!Q15</f>
        <v>649.54500371931556</v>
      </c>
      <c r="Q14" s="92">
        <f>UCRNumber!R15+CCNumber!R15</f>
        <v>1551.2663030002479</v>
      </c>
      <c r="R14" s="92">
        <f>UCRNumber!S15+CCNumber!S15</f>
        <v>0</v>
      </c>
      <c r="S14" s="92">
        <f>UCRNumber!T15+CCNumber!T15</f>
        <v>0</v>
      </c>
      <c r="T14" s="180">
        <f t="shared" si="0"/>
        <v>30818.999999999996</v>
      </c>
    </row>
    <row r="15" spans="1:20" ht="15.6">
      <c r="A15" s="330">
        <v>1989</v>
      </c>
      <c r="B15" s="92">
        <f>UCRNumber!C16+CCNumber!C16</f>
        <v>0</v>
      </c>
      <c r="C15" s="92">
        <f>UCRNumber!D16+CCNumber!D16</f>
        <v>0</v>
      </c>
      <c r="D15" s="92">
        <f>UCRNumber!E16+CCNumber!E16</f>
        <v>45.128317293671628</v>
      </c>
      <c r="E15" s="92">
        <f>UCRNumber!F16+CCNumber!F16</f>
        <v>0</v>
      </c>
      <c r="F15" s="92">
        <f>UCRNumber!G16+CCNumber!G16</f>
        <v>792.25268137779074</v>
      </c>
      <c r="G15" s="92">
        <f>UCRNumber!H16+CCNumber!H16</f>
        <v>62.176792715725355</v>
      </c>
      <c r="H15" s="92">
        <f>UCRNumber!I16+CCNumber!I16</f>
        <v>14.039920935808949</v>
      </c>
      <c r="I15" s="92">
        <f>UCRNumber!J16+CCNumber!J16</f>
        <v>7595.5972262726427</v>
      </c>
      <c r="J15" s="92">
        <f>UCRNumber!K16+CCNumber!K16</f>
        <v>57.162535238650726</v>
      </c>
      <c r="K15" s="92">
        <f>UCRNumber!L16+CCNumber!L16</f>
        <v>0</v>
      </c>
      <c r="L15" s="92">
        <f>UCRNumber!M16+CCNumber!M16</f>
        <v>0</v>
      </c>
      <c r="M15" s="92">
        <f>UCRNumber!N16+CCNumber!N16</f>
        <v>19091.283918213925</v>
      </c>
      <c r="N15" s="92">
        <f>UCRNumber!O16+CCNumber!O16</f>
        <v>698.98749230420265</v>
      </c>
      <c r="O15" s="92">
        <f>UCRNumber!P16+CCNumber!P16</f>
        <v>0</v>
      </c>
      <c r="P15" s="92">
        <f>UCRNumber!Q16+CCNumber!Q16</f>
        <v>770.18994847866236</v>
      </c>
      <c r="Q15" s="92">
        <f>UCRNumber!R16+CCNumber!R16</f>
        <v>1822.1811671689186</v>
      </c>
      <c r="R15" s="92">
        <f>UCRNumber!S16+CCNumber!S16</f>
        <v>0</v>
      </c>
      <c r="S15" s="92">
        <f>UCRNumber!T16+CCNumber!T16</f>
        <v>0</v>
      </c>
      <c r="T15" s="180">
        <f t="shared" si="0"/>
        <v>30949</v>
      </c>
    </row>
    <row r="16" spans="1:20" ht="15.6">
      <c r="A16" s="330">
        <v>1990</v>
      </c>
      <c r="B16" s="92">
        <f>UCRNumber!C17+CCNumber!C17</f>
        <v>0</v>
      </c>
      <c r="C16" s="92">
        <f>UCRNumber!D17+CCNumber!D17</f>
        <v>54.189124423963136</v>
      </c>
      <c r="D16" s="92">
        <f>UCRNumber!E17+CCNumber!E17</f>
        <v>65.227649769585256</v>
      </c>
      <c r="E16" s="92">
        <f>UCRNumber!F17+CCNumber!F17</f>
        <v>5.0175115207373269</v>
      </c>
      <c r="F16" s="92">
        <f>UCRNumber!G17+CCNumber!G17</f>
        <v>1267.4234101382488</v>
      </c>
      <c r="G16" s="92">
        <f>UCRNumber!H17+CCNumber!H17</f>
        <v>46.161105990783412</v>
      </c>
      <c r="H16" s="92">
        <f>UCRNumber!I17+CCNumber!I17</f>
        <v>0</v>
      </c>
      <c r="I16" s="92">
        <f>UCRNumber!J17+CCNumber!J17</f>
        <v>5455.0385253456225</v>
      </c>
      <c r="J16" s="92">
        <f>UCRNumber!K17+CCNumber!K17</f>
        <v>279.97714285714284</v>
      </c>
      <c r="K16" s="92">
        <f>UCRNumber!L17+CCNumber!L17</f>
        <v>0</v>
      </c>
      <c r="L16" s="92">
        <f>UCRNumber!M17+CCNumber!M17</f>
        <v>0</v>
      </c>
      <c r="M16" s="92">
        <f>UCRNumber!N17+CCNumber!N17</f>
        <v>11753.018986175115</v>
      </c>
      <c r="N16" s="92">
        <f>UCRNumber!O17+CCNumber!O17</f>
        <v>459.60405529953914</v>
      </c>
      <c r="O16" s="92">
        <f>UCRNumber!P17+CCNumber!P17</f>
        <v>41.143594470046075</v>
      </c>
      <c r="P16" s="92">
        <f>UCRNumber!Q17+CCNumber!Q17</f>
        <v>382.33437788018432</v>
      </c>
      <c r="Q16" s="92">
        <f>UCRNumber!R17+CCNumber!R17</f>
        <v>1881.5668202764978</v>
      </c>
      <c r="R16" s="92">
        <f>UCRNumber!S17+CCNumber!S17</f>
        <v>18.063041474654376</v>
      </c>
      <c r="S16" s="92">
        <f>UCRNumber!T17+CCNumber!T17</f>
        <v>67.234654377880176</v>
      </c>
      <c r="T16" s="180">
        <f t="shared" si="0"/>
        <v>21776</v>
      </c>
    </row>
    <row r="17" spans="1:20" ht="15.6">
      <c r="A17" s="330">
        <v>1991</v>
      </c>
      <c r="B17" s="92">
        <f>UCRNumber!C18+CCNumber!C18</f>
        <v>9.0421697136943777</v>
      </c>
      <c r="C17" s="92">
        <f>UCRNumber!D18+CCNumber!D18</f>
        <v>80.374841899505569</v>
      </c>
      <c r="D17" s="92">
        <f>UCRNumber!E18+CCNumber!E18</f>
        <v>87.407640565712313</v>
      </c>
      <c r="E17" s="92">
        <f>UCRNumber!F18+CCNumber!F18</f>
        <v>174.81528113142463</v>
      </c>
      <c r="F17" s="92">
        <f>UCRNumber!G18+CCNumber!G18</f>
        <v>1143.3321260204668</v>
      </c>
      <c r="G17" s="92">
        <f>UCRNumber!H18+CCNumber!H18</f>
        <v>42.196791997240425</v>
      </c>
      <c r="H17" s="92">
        <f>UCRNumber!I18+CCNumber!I18</f>
        <v>197.92304817753245</v>
      </c>
      <c r="I17" s="92">
        <f>UCRNumber!J18+CCNumber!J18</f>
        <v>19733.028371852361</v>
      </c>
      <c r="J17" s="92">
        <f>UCRNumber!K18+CCNumber!K18</f>
        <v>164.76842589398643</v>
      </c>
      <c r="K17" s="92">
        <f>UCRNumber!L18+CCNumber!L18</f>
        <v>0</v>
      </c>
      <c r="L17" s="92">
        <f>UCRNumber!M18+CCNumber!M18</f>
        <v>0</v>
      </c>
      <c r="M17" s="92">
        <f>UCRNumber!N18+CCNumber!N18</f>
        <v>11986.902983787513</v>
      </c>
      <c r="N17" s="92">
        <f>UCRNumber!O18+CCNumber!O18</f>
        <v>524.44584339427388</v>
      </c>
      <c r="O17" s="92">
        <f>UCRNumber!P18+CCNumber!P18</f>
        <v>9.0421697136943777</v>
      </c>
      <c r="P17" s="92">
        <f>UCRNumber!Q18+CCNumber!Q18</f>
        <v>354.65398988156835</v>
      </c>
      <c r="Q17" s="92">
        <f>UCRNumber!R18+CCNumber!R18</f>
        <v>418.95386340117278</v>
      </c>
      <c r="R17" s="92">
        <f>UCRNumber!S18+CCNumber!S18</f>
        <v>0</v>
      </c>
      <c r="S17" s="92">
        <f>UCRNumber!T18+CCNumber!T18</f>
        <v>24.112452569851673</v>
      </c>
      <c r="T17" s="180">
        <f t="shared" si="0"/>
        <v>34950.999999999993</v>
      </c>
    </row>
    <row r="18" spans="1:20" ht="15.6">
      <c r="A18" s="330">
        <v>1992</v>
      </c>
      <c r="B18" s="92">
        <f>UCRNumber!C19+CCNumber!C19</f>
        <v>0</v>
      </c>
      <c r="C18" s="92">
        <f>UCRNumber!D19+CCNumber!D19</f>
        <v>0</v>
      </c>
      <c r="D18" s="92">
        <f>UCRNumber!E19+CCNumber!E19</f>
        <v>757.16878182425785</v>
      </c>
      <c r="E18" s="92">
        <f>UCRNumber!F19+CCNumber!F19</f>
        <v>64.270116819495044</v>
      </c>
      <c r="F18" s="92">
        <f>UCRNumber!G19+CCNumber!G19</f>
        <v>3824.0334757690807</v>
      </c>
      <c r="G18" s="92">
        <f>UCRNumber!H19+CCNumber!H19</f>
        <v>0</v>
      </c>
      <c r="H18" s="92">
        <f>UCRNumber!I19+CCNumber!I19</f>
        <v>140.59088054264538</v>
      </c>
      <c r="I18" s="92">
        <f>UCRNumber!J19+CCNumber!J19</f>
        <v>9375.3263410620893</v>
      </c>
      <c r="J18" s="92">
        <f>UCRNumber!K19+CCNumber!K19</f>
        <v>502.7752573840354</v>
      </c>
      <c r="K18" s="92">
        <f>UCRNumber!L19+CCNumber!L19</f>
        <v>0</v>
      </c>
      <c r="L18" s="92">
        <f>UCRNumber!M19+CCNumber!M19</f>
        <v>19.080190930787591</v>
      </c>
      <c r="M18" s="92">
        <f>UCRNumber!N19+CCNumber!N19</f>
        <v>43279.314721733841</v>
      </c>
      <c r="N18" s="92">
        <f>UCRNumber!O19+CCNumber!O19</f>
        <v>759.85572466201552</v>
      </c>
      <c r="O18" s="92">
        <f>UCRNumber!P19+CCNumber!P19</f>
        <v>36.15194071096596</v>
      </c>
      <c r="P18" s="92">
        <f>UCRNumber!Q19+CCNumber!Q19</f>
        <v>365.536289410878</v>
      </c>
      <c r="Q18" s="92">
        <f>UCRNumber!R19+CCNumber!R19</f>
        <v>1978.3145333500813</v>
      </c>
      <c r="R18" s="92">
        <f>UCRNumber!S19+CCNumber!S19</f>
        <v>0</v>
      </c>
      <c r="S18" s="92">
        <f>UCRNumber!T19+CCNumber!T19</f>
        <v>21.08863208139681</v>
      </c>
      <c r="T18" s="180">
        <f t="shared" si="0"/>
        <v>61123.506886281568</v>
      </c>
    </row>
    <row r="19" spans="1:20" ht="15.6">
      <c r="A19" s="330">
        <v>1993</v>
      </c>
      <c r="B19" s="92">
        <f>UCRNumber!C20+CCNumber!C20</f>
        <v>0</v>
      </c>
      <c r="C19" s="92">
        <f>UCRNumber!D20+CCNumber!D20</f>
        <v>107.8998553503549</v>
      </c>
      <c r="D19" s="92">
        <f>UCRNumber!E20+CCNumber!E20</f>
        <v>45.378443838934302</v>
      </c>
      <c r="E19" s="92">
        <f>UCRNumber!F20+CCNumber!F20</f>
        <v>12.100918357049148</v>
      </c>
      <c r="F19" s="92">
        <f>UCRNumber!G20+CCNumber!G20</f>
        <v>4111.0821315700523</v>
      </c>
      <c r="G19" s="92">
        <f>UCRNumber!H20+CCNumber!H20</f>
        <v>0</v>
      </c>
      <c r="H19" s="92">
        <f>UCRNumber!I20+CCNumber!I20</f>
        <v>36.302755071147438</v>
      </c>
      <c r="I19" s="92">
        <f>UCRNumber!J20+CCNumber!J20</f>
        <v>31347.247265871323</v>
      </c>
      <c r="J19" s="92">
        <f>UCRNumber!K20+CCNumber!K20</f>
        <v>57.479362195983448</v>
      </c>
      <c r="K19" s="92">
        <f>UCRNumber!L20+CCNumber!L20</f>
        <v>0</v>
      </c>
      <c r="L19" s="92">
        <f>UCRNumber!M20+CCNumber!M20</f>
        <v>9.0756887677868594</v>
      </c>
      <c r="M19" s="92">
        <f>UCRNumber!N20+CCNumber!N20</f>
        <v>13878.130304960097</v>
      </c>
      <c r="N19" s="92">
        <f>UCRNumber!O20+CCNumber!O20</f>
        <v>1397.5731968688765</v>
      </c>
      <c r="O19" s="92">
        <f>UCRNumber!P20+CCNumber!P20</f>
        <v>0</v>
      </c>
      <c r="P19" s="92">
        <f>UCRNumber!Q20+CCNumber!Q20</f>
        <v>401.34712550879675</v>
      </c>
      <c r="Q19" s="92">
        <f>UCRNumber!R20+CCNumber!R20</f>
        <v>1605.2664951680913</v>
      </c>
      <c r="R19" s="92">
        <f>UCRNumber!S20+CCNumber!S20</f>
        <v>0</v>
      </c>
      <c r="S19" s="92">
        <f>UCRNumber!T20+CCNumber!T20</f>
        <v>0</v>
      </c>
      <c r="T19" s="180">
        <f t="shared" si="0"/>
        <v>53008.883543528493</v>
      </c>
    </row>
    <row r="20" spans="1:20" ht="15.6">
      <c r="A20" s="330">
        <v>1994</v>
      </c>
      <c r="B20" s="92">
        <f>UCRNumber!C21+CCNumber!C21</f>
        <v>0</v>
      </c>
      <c r="C20" s="92">
        <f>UCRNumber!D21+CCNumber!D21</f>
        <v>50.08081344694957</v>
      </c>
      <c r="D20" s="92">
        <f>UCRNumber!E21+CCNumber!E21</f>
        <v>23.507320597547761</v>
      </c>
      <c r="E20" s="92">
        <f>UCRNumber!F21+CCNumber!F21</f>
        <v>0</v>
      </c>
      <c r="F20" s="92">
        <f>UCRNumber!G21+CCNumber!G21</f>
        <v>4110.4521949177479</v>
      </c>
      <c r="G20" s="92">
        <f>UCRNumber!H21+CCNumber!H21</f>
        <v>0</v>
      </c>
      <c r="H20" s="92">
        <f>UCRNumber!I21+CCNumber!I21</f>
        <v>44.970526360526151</v>
      </c>
      <c r="I20" s="92">
        <f>UCRNumber!J21+CCNumber!J21</f>
        <v>31720.521207855119</v>
      </c>
      <c r="J20" s="92">
        <f>UCRNumber!K21+CCNumber!K21</f>
        <v>0</v>
      </c>
      <c r="K20" s="92">
        <f>UCRNumber!L21+CCNumber!L21</f>
        <v>0</v>
      </c>
      <c r="L20" s="92">
        <f>UCRNumber!M21+CCNumber!M21</f>
        <v>0</v>
      </c>
      <c r="M20" s="92">
        <f>UCRNumber!N21+CCNumber!N21</f>
        <v>36211.645151829012</v>
      </c>
      <c r="N20" s="92">
        <f>UCRNumber!O21+CCNumber!O21</f>
        <v>117.5366029877388</v>
      </c>
      <c r="O20" s="92">
        <f>UCRNumber!P21+CCNumber!P21</f>
        <v>0</v>
      </c>
      <c r="P20" s="92">
        <f>UCRNumber!Q21+CCNumber!Q21</f>
        <v>213.61000021249919</v>
      </c>
      <c r="Q20" s="92">
        <f>UCRNumber!R21+CCNumber!R21</f>
        <v>551.61163518015383</v>
      </c>
      <c r="R20" s="92">
        <f>UCRNumber!S21+CCNumber!S21</f>
        <v>0</v>
      </c>
      <c r="S20" s="92">
        <f>UCRNumber!T21+CCNumber!T21</f>
        <v>0</v>
      </c>
      <c r="T20" s="180">
        <f t="shared" si="0"/>
        <v>73043.935453387297</v>
      </c>
    </row>
    <row r="21" spans="1:20" ht="15.6">
      <c r="A21" s="330">
        <v>1995</v>
      </c>
      <c r="B21" s="92">
        <f>UCRNumber!C22+CCNumber!C22</f>
        <v>0</v>
      </c>
      <c r="C21" s="92">
        <f>UCRNumber!D22+CCNumber!D22</f>
        <v>0</v>
      </c>
      <c r="D21" s="92">
        <f>UCRNumber!E22+CCNumber!E22</f>
        <v>189.28684106343454</v>
      </c>
      <c r="E21" s="92">
        <f>UCRNumber!F22+CCNumber!F22</f>
        <v>0</v>
      </c>
      <c r="F21" s="92">
        <f>UCRNumber!G22+CCNumber!G22</f>
        <v>7142.7400904797742</v>
      </c>
      <c r="G21" s="92">
        <f>UCRNumber!H22+CCNumber!H22</f>
        <v>0</v>
      </c>
      <c r="H21" s="92">
        <f>UCRNumber!I22+CCNumber!I22</f>
        <v>0</v>
      </c>
      <c r="I21" s="92">
        <f>UCRNumber!J22+CCNumber!J22</f>
        <v>55953.220203770397</v>
      </c>
      <c r="J21" s="92">
        <f>UCRNumber!K22+CCNumber!K22</f>
        <v>84.356092213052349</v>
      </c>
      <c r="K21" s="92">
        <f>UCRNumber!L22+CCNumber!L22</f>
        <v>0</v>
      </c>
      <c r="L21" s="92">
        <f>UCRNumber!M22+CCNumber!M22</f>
        <v>0</v>
      </c>
      <c r="M21" s="92">
        <f>UCRNumber!N22+CCNumber!N22</f>
        <v>31949.172801461413</v>
      </c>
      <c r="N21" s="92">
        <f>UCRNumber!O22+CCNumber!O22</f>
        <v>699.1884283150157</v>
      </c>
      <c r="O21" s="92">
        <f>UCRNumber!P22+CCNumber!P22</f>
        <v>0</v>
      </c>
      <c r="P21" s="92">
        <f>UCRNumber!Q22+CCNumber!Q22</f>
        <v>652.21661540335595</v>
      </c>
      <c r="Q21" s="92">
        <f>UCRNumber!R22+CCNumber!R22</f>
        <v>267.1206389310891</v>
      </c>
      <c r="R21" s="92">
        <f>UCRNumber!S22+CCNumber!S22</f>
        <v>0</v>
      </c>
      <c r="S21" s="92">
        <f>UCRNumber!T22+CCNumber!T22</f>
        <v>0</v>
      </c>
      <c r="T21" s="180">
        <f t="shared" si="0"/>
        <v>96937.301711637527</v>
      </c>
    </row>
    <row r="22" spans="1:20" ht="15.6">
      <c r="A22" s="330">
        <v>1996</v>
      </c>
      <c r="B22" s="92">
        <f>UCRNumber!C23+CCNumber!C23</f>
        <v>0</v>
      </c>
      <c r="C22" s="92">
        <f>UCRNumber!D23+CCNumber!D23</f>
        <v>0</v>
      </c>
      <c r="D22" s="92">
        <f>UCRNumber!E23+CCNumber!E23</f>
        <v>1359.8000469587732</v>
      </c>
      <c r="E22" s="92">
        <f>UCRNumber!F23+CCNumber!F23</f>
        <v>0</v>
      </c>
      <c r="F22" s="92">
        <f>UCRNumber!G23+CCNumber!G23</f>
        <v>5838.5700065365445</v>
      </c>
      <c r="G22" s="92">
        <f>UCRNumber!H23+CCNumber!H23</f>
        <v>85.766524098767221</v>
      </c>
      <c r="H22" s="92">
        <f>UCRNumber!I23+CCNumber!I23</f>
        <v>0</v>
      </c>
      <c r="I22" s="92">
        <f>UCRNumber!J23+CCNumber!J23</f>
        <v>42448.393087402495</v>
      </c>
      <c r="J22" s="92">
        <f>UCRNumber!K23+CCNumber!K23</f>
        <v>794.42971114786235</v>
      </c>
      <c r="K22" s="92">
        <f>UCRNumber!L23+CCNumber!L23</f>
        <v>42.88326204938361</v>
      </c>
      <c r="L22" s="92">
        <f>UCRNumber!M23+CCNumber!M23</f>
        <v>0</v>
      </c>
      <c r="M22" s="92">
        <f>UCRNumber!N23+CCNumber!N23</f>
        <v>35388.394987142514</v>
      </c>
      <c r="N22" s="92">
        <f>UCRNumber!O23+CCNumber!O23</f>
        <v>1397.4536429045736</v>
      </c>
      <c r="O22" s="92">
        <f>UCRNumber!P23+CCNumber!P23</f>
        <v>0</v>
      </c>
      <c r="P22" s="92">
        <f>UCRNumber!Q23+CCNumber!Q23</f>
        <v>76.353125112317144</v>
      </c>
      <c r="Q22" s="92">
        <f>UCRNumber!R23+CCNumber!R23</f>
        <v>261.48330517916827</v>
      </c>
      <c r="R22" s="92">
        <f>UCRNumber!S23+CCNumber!S23</f>
        <v>0</v>
      </c>
      <c r="S22" s="92">
        <f>UCRNumber!T23+CCNumber!T23</f>
        <v>24.056464076483486</v>
      </c>
      <c r="T22" s="180">
        <f t="shared" si="0"/>
        <v>87717.584162608866</v>
      </c>
    </row>
    <row r="23" spans="1:20" ht="15.6">
      <c r="A23" s="330">
        <v>1997</v>
      </c>
      <c r="B23" s="92">
        <f>UCRNumber!C24+CCNumber!C24</f>
        <v>0</v>
      </c>
      <c r="C23" s="92">
        <f>UCRNumber!D24+CCNumber!D24</f>
        <v>0</v>
      </c>
      <c r="D23" s="92">
        <f>UCRNumber!E24+CCNumber!E24</f>
        <v>132.69333385341497</v>
      </c>
      <c r="E23" s="92">
        <f>UCRNumber!F24+CCNumber!F24</f>
        <v>272.9091755475954</v>
      </c>
      <c r="F23" s="92">
        <f>UCRNumber!G24+CCNumber!G24</f>
        <v>7114.5318999569718</v>
      </c>
      <c r="G23" s="92">
        <f>UCRNumber!H24+CCNumber!H24</f>
        <v>0</v>
      </c>
      <c r="H23" s="92">
        <f>UCRNumber!I24+CCNumber!I24</f>
        <v>0</v>
      </c>
      <c r="I23" s="92">
        <f>UCRNumber!J24+CCNumber!J24</f>
        <v>56036.148750161839</v>
      </c>
      <c r="J23" s="92">
        <f>UCRNumber!K24+CCNumber!K24</f>
        <v>0</v>
      </c>
      <c r="K23" s="92">
        <f>UCRNumber!L24+CCNumber!L24</f>
        <v>0</v>
      </c>
      <c r="L23" s="92">
        <f>UCRNumber!M24+CCNumber!M24</f>
        <v>0</v>
      </c>
      <c r="M23" s="92">
        <f>UCRNumber!N24+CCNumber!N24</f>
        <v>26201.568138228151</v>
      </c>
      <c r="N23" s="92">
        <f>UCRNumber!O24+CCNumber!O24</f>
        <v>1417.3904747256352</v>
      </c>
      <c r="O23" s="92">
        <f>UCRNumber!P24+CCNumber!P24</f>
        <v>0</v>
      </c>
      <c r="P23" s="92">
        <f>UCRNumber!Q24+CCNumber!Q24</f>
        <v>77.147287124078488</v>
      </c>
      <c r="Q23" s="92">
        <f>UCRNumber!R24+CCNumber!R24</f>
        <v>515.66597236469568</v>
      </c>
      <c r="R23" s="92">
        <f>UCRNumber!S24+CCNumber!S24</f>
        <v>0</v>
      </c>
      <c r="S23" s="92">
        <f>UCRNumber!T24+CCNumber!T24</f>
        <v>0</v>
      </c>
      <c r="T23" s="180">
        <f t="shared" si="0"/>
        <v>91768.055031962387</v>
      </c>
    </row>
    <row r="24" spans="1:20" ht="15.6">
      <c r="A24" s="330">
        <v>1998</v>
      </c>
      <c r="B24" s="92">
        <f>UCRNumber!C25+CCNumber!C25</f>
        <v>0</v>
      </c>
      <c r="C24" s="92">
        <f>UCRNumber!D25+CCNumber!D25</f>
        <v>44.109564560419606</v>
      </c>
      <c r="D24" s="92">
        <f>UCRNumber!E25+CCNumber!E25</f>
        <v>179.51566972263797</v>
      </c>
      <c r="E24" s="92">
        <f>UCRNumber!F25+CCNumber!F25</f>
        <v>44.109564560419606</v>
      </c>
      <c r="F24" s="92">
        <f>UCRNumber!G25+CCNumber!G25</f>
        <v>6148.7831459402105</v>
      </c>
      <c r="G24" s="92">
        <f>UCRNumber!H25+CCNumber!H25</f>
        <v>44.109564560419606</v>
      </c>
      <c r="H24" s="92">
        <f>UCRNumber!I25+CCNumber!I25</f>
        <v>0</v>
      </c>
      <c r="I24" s="92">
        <f>UCRNumber!J25+CCNumber!J25</f>
        <v>68251.348966270903</v>
      </c>
      <c r="J24" s="92">
        <f>UCRNumber!K25+CCNumber!K25</f>
        <v>191.82531564647593</v>
      </c>
      <c r="K24" s="92">
        <f>UCRNumber!L25+CCNumber!L25</f>
        <v>0</v>
      </c>
      <c r="L24" s="92">
        <f>UCRNumber!M25+CCNumber!M25</f>
        <v>0</v>
      </c>
      <c r="M24" s="92">
        <f>UCRNumber!N25+CCNumber!N25</f>
        <v>29655.106398145166</v>
      </c>
      <c r="N24" s="92">
        <f>UCRNumber!O25+CCNumber!O25</f>
        <v>347.7474973484243</v>
      </c>
      <c r="O24" s="92">
        <f>UCRNumber!P25+CCNumber!P25</f>
        <v>0</v>
      </c>
      <c r="P24" s="92">
        <f>UCRNumber!Q25+CCNumber!Q25</f>
        <v>0</v>
      </c>
      <c r="Q24" s="92">
        <f>UCRNumber!R25+CCNumber!R25</f>
        <v>641.12739186656404</v>
      </c>
      <c r="R24" s="92">
        <f>UCRNumber!S25+CCNumber!S25</f>
        <v>0</v>
      </c>
      <c r="S24" s="92">
        <f>UCRNumber!T25+CCNumber!T25</f>
        <v>0</v>
      </c>
      <c r="T24" s="180">
        <f t="shared" si="0"/>
        <v>105547.78307862164</v>
      </c>
    </row>
    <row r="25" spans="1:20" ht="15.6">
      <c r="A25" s="330">
        <v>1999</v>
      </c>
      <c r="B25" s="92">
        <f>UCRNumber!C26+CCNumber!C26</f>
        <v>0</v>
      </c>
      <c r="C25" s="92">
        <f>UCRNumber!D26+CCNumber!D26</f>
        <v>0</v>
      </c>
      <c r="D25" s="92">
        <f>UCRNumber!E26+CCNumber!E26</f>
        <v>85.573333333333323</v>
      </c>
      <c r="E25" s="92">
        <f>UCRNumber!F26+CCNumber!F26</f>
        <v>0</v>
      </c>
      <c r="F25" s="92">
        <f>UCRNumber!G26+CCNumber!G26</f>
        <v>10515.024349583715</v>
      </c>
      <c r="G25" s="92">
        <f>UCRNumber!H26+CCNumber!H26</f>
        <v>0</v>
      </c>
      <c r="H25" s="92">
        <f>UCRNumber!I26+CCNumber!I26</f>
        <v>0</v>
      </c>
      <c r="I25" s="92">
        <f>UCRNumber!J26+CCNumber!J26</f>
        <v>55667.160650015241</v>
      </c>
      <c r="J25" s="92">
        <f>UCRNumber!K26+CCNumber!K26</f>
        <v>253.0385966600895</v>
      </c>
      <c r="K25" s="92">
        <f>UCRNumber!L26+CCNumber!L26</f>
        <v>0</v>
      </c>
      <c r="L25" s="92">
        <f>UCRNumber!M26+CCNumber!M26</f>
        <v>0</v>
      </c>
      <c r="M25" s="92">
        <f>UCRNumber!N26+CCNumber!N26</f>
        <v>27830.432057365608</v>
      </c>
      <c r="N25" s="92">
        <f>UCRNumber!O26+CCNumber!O26</f>
        <v>964.06923271893095</v>
      </c>
      <c r="O25" s="92">
        <f>UCRNumber!P26+CCNumber!P26</f>
        <v>0</v>
      </c>
      <c r="P25" s="92">
        <f>UCRNumber!Q26+CCNumber!Q26</f>
        <v>460.52121340455903</v>
      </c>
      <c r="Q25" s="92">
        <f>UCRNumber!R26+CCNumber!R26</f>
        <v>175.18056691852354</v>
      </c>
      <c r="R25" s="92">
        <f>UCRNumber!S26+CCNumber!S26</f>
        <v>0</v>
      </c>
      <c r="S25" s="92">
        <f>UCRNumber!T26+CCNumber!T26</f>
        <v>0</v>
      </c>
      <c r="T25" s="180">
        <f t="shared" si="0"/>
        <v>95951</v>
      </c>
    </row>
    <row r="26" spans="1:20" ht="15.6">
      <c r="A26" s="330">
        <v>2000</v>
      </c>
      <c r="B26" s="92">
        <f>UCRNumber!C27+CCNumber!C27</f>
        <v>0</v>
      </c>
      <c r="C26" s="92">
        <f>UCRNumber!D27+CCNumber!D27</f>
        <v>0</v>
      </c>
      <c r="D26" s="92">
        <f>UCRNumber!E27+CCNumber!E27</f>
        <v>246.62966469135802</v>
      </c>
      <c r="E26" s="92">
        <f>UCRNumber!F27+CCNumber!F27</f>
        <v>0</v>
      </c>
      <c r="F26" s="92">
        <f>UCRNumber!G27+CCNumber!G27</f>
        <v>4772.061546296296</v>
      </c>
      <c r="G26" s="92">
        <f>UCRNumber!H27+CCNumber!H27</f>
        <v>0</v>
      </c>
      <c r="H26" s="92">
        <f>UCRNumber!I27+CCNumber!I27</f>
        <v>0</v>
      </c>
      <c r="I26" s="92">
        <f>UCRNumber!J27+CCNumber!J27</f>
        <v>48496.09767604938</v>
      </c>
      <c r="J26" s="92">
        <f>UCRNumber!K27+CCNumber!K27</f>
        <v>240.70424234567901</v>
      </c>
      <c r="K26" s="92">
        <f>UCRNumber!L27+CCNumber!L27</f>
        <v>0</v>
      </c>
      <c r="L26" s="92">
        <f>UCRNumber!M27+CCNumber!M27</f>
        <v>0</v>
      </c>
      <c r="M26" s="92">
        <f>UCRNumber!N27+CCNumber!N27</f>
        <v>16002.838661234568</v>
      </c>
      <c r="N26" s="92">
        <f>UCRNumber!O27+CCNumber!O27</f>
        <v>541.24765469135809</v>
      </c>
      <c r="O26" s="92">
        <f>UCRNumber!P27+CCNumber!P27</f>
        <v>0</v>
      </c>
      <c r="P26" s="92">
        <f>UCRNumber!Q27+CCNumber!Q27</f>
        <v>77.169639999999987</v>
      </c>
      <c r="Q26" s="92">
        <f>UCRNumber!R27+CCNumber!R27</f>
        <v>368.26994469135798</v>
      </c>
      <c r="R26" s="92">
        <f>UCRNumber!S27+CCNumber!S27</f>
        <v>0</v>
      </c>
      <c r="S26" s="92">
        <f>UCRNumber!T27+CCNumber!T27</f>
        <v>0</v>
      </c>
      <c r="T26" s="180">
        <f t="shared" si="0"/>
        <v>70745.019029999996</v>
      </c>
    </row>
    <row r="27" spans="1:20" ht="15.6">
      <c r="A27" s="330">
        <v>2001</v>
      </c>
      <c r="B27" s="92">
        <f>UCRNumber!C28+CCNumber!C28</f>
        <v>0</v>
      </c>
      <c r="C27" s="92">
        <f>UCRNumber!D28+CCNumber!D28</f>
        <v>43.032079999999993</v>
      </c>
      <c r="D27" s="92">
        <f>UCRNumber!E28+CCNumber!E28</f>
        <v>243.10306454440598</v>
      </c>
      <c r="E27" s="92">
        <f>UCRNumber!F28+CCNumber!F28</f>
        <v>0</v>
      </c>
      <c r="F27" s="92">
        <f>UCRNumber!G28+CCNumber!G28</f>
        <v>8616.610270888119</v>
      </c>
      <c r="G27" s="92">
        <f>UCRNumber!H28+CCNumber!H28</f>
        <v>98.477259999999987</v>
      </c>
      <c r="H27" s="92">
        <f>UCRNumber!I28+CCNumber!I28</f>
        <v>0</v>
      </c>
      <c r="I27" s="92">
        <f>UCRNumber!J28+CCNumber!J28</f>
        <v>55991.032530968863</v>
      </c>
      <c r="J27" s="92">
        <f>UCRNumber!K28+CCNumber!K28</f>
        <v>112.54544000000001</v>
      </c>
      <c r="K27" s="92">
        <f>UCRNumber!L28+CCNumber!L28</f>
        <v>0</v>
      </c>
      <c r="L27" s="92">
        <f>UCRNumber!M28+CCNumber!M28</f>
        <v>0</v>
      </c>
      <c r="M27" s="92">
        <f>UCRNumber!N28+CCNumber!N28</f>
        <v>15068.4420361015</v>
      </c>
      <c r="N27" s="92">
        <f>UCRNumber!O28+CCNumber!O28</f>
        <v>762.60448908881199</v>
      </c>
      <c r="O27" s="92">
        <f>UCRNumber!P28+CCNumber!P28</f>
        <v>0</v>
      </c>
      <c r="P27" s="92">
        <f>UCRNumber!Q28+CCNumber!Q28</f>
        <v>81.878036136101485</v>
      </c>
      <c r="Q27" s="92">
        <f>UCRNumber!R28+CCNumber!R28</f>
        <v>135.619712272203</v>
      </c>
      <c r="R27" s="92">
        <f>UCRNumber!S28+CCNumber!S28</f>
        <v>0</v>
      </c>
      <c r="S27" s="92">
        <f>UCRNumber!T28+CCNumber!T28</f>
        <v>0</v>
      </c>
      <c r="T27" s="180">
        <f t="shared" si="0"/>
        <v>81153.344920000018</v>
      </c>
    </row>
    <row r="28" spans="1:20" ht="15.6">
      <c r="A28" s="330">
        <v>2002</v>
      </c>
      <c r="B28" s="92">
        <f>UCRNumber!C29+CCNumber!C29</f>
        <v>0</v>
      </c>
      <c r="C28" s="92">
        <f>UCRNumber!D29+CCNumber!D29</f>
        <v>10.246225074902723</v>
      </c>
      <c r="D28" s="92">
        <f>UCRNumber!E29+CCNumber!E29</f>
        <v>159.86525499049804</v>
      </c>
      <c r="E28" s="92">
        <f>UCRNumber!F29+CCNumber!F29</f>
        <v>0</v>
      </c>
      <c r="F28" s="92">
        <f>UCRNumber!G29+CCNumber!G29</f>
        <v>6610.3547149313254</v>
      </c>
      <c r="G28" s="92">
        <f>UCRNumber!H29+CCNumber!H29</f>
        <v>25.46286624768382</v>
      </c>
      <c r="H28" s="92">
        <f>UCRNumber!I29+CCNumber!I29</f>
        <v>0</v>
      </c>
      <c r="I28" s="92">
        <f>UCRNumber!J29+CCNumber!J29</f>
        <v>49172.428764518438</v>
      </c>
      <c r="J28" s="92">
        <f>UCRNumber!K29+CCNumber!K29</f>
        <v>452.3956617867812</v>
      </c>
      <c r="K28" s="92">
        <f>UCRNumber!L29+CCNumber!L29</f>
        <v>0</v>
      </c>
      <c r="L28" s="92">
        <f>UCRNumber!M29+CCNumber!M29</f>
        <v>0</v>
      </c>
      <c r="M28" s="92">
        <f>UCRNumber!N29+CCNumber!N29</f>
        <v>14143.248853878613</v>
      </c>
      <c r="N28" s="92">
        <f>UCRNumber!O29+CCNumber!O29</f>
        <v>1411.2921116803655</v>
      </c>
      <c r="O28" s="92">
        <f>UCRNumber!P29+CCNumber!P29</f>
        <v>0</v>
      </c>
      <c r="P28" s="92">
        <f>UCRNumber!Q29+CCNumber!Q29</f>
        <v>28.153983732753993</v>
      </c>
      <c r="Q28" s="92">
        <f>UCRNumber!R29+CCNumber!R29</f>
        <v>958.55156315864701</v>
      </c>
      <c r="R28" s="92">
        <f>UCRNumber!S29+CCNumber!S29</f>
        <v>0</v>
      </c>
      <c r="S28" s="92">
        <f>UCRNumber!T29+CCNumber!T29</f>
        <v>0</v>
      </c>
      <c r="T28" s="180">
        <f t="shared" si="0"/>
        <v>72972.000000000015</v>
      </c>
    </row>
    <row r="29" spans="1:20" ht="15.6">
      <c r="A29" s="330">
        <v>2003</v>
      </c>
      <c r="B29" s="92">
        <f>UCRNumber!C30+CCNumber!C30</f>
        <v>0</v>
      </c>
      <c r="C29" s="92">
        <f>UCRNumber!D30+CCNumber!D30</f>
        <v>37.852463267710093</v>
      </c>
      <c r="D29" s="92">
        <f>UCRNumber!E30+CCNumber!E30</f>
        <v>394.52204982652</v>
      </c>
      <c r="E29" s="92">
        <f>UCRNumber!F30+CCNumber!F30</f>
        <v>75.704926535420157</v>
      </c>
      <c r="F29" s="92">
        <f>UCRNumber!G30+CCNumber!G30</f>
        <v>5974.2592968517056</v>
      </c>
      <c r="G29" s="92">
        <f>UCRNumber!H30+CCNumber!H30</f>
        <v>32.226169217460139</v>
      </c>
      <c r="H29" s="92">
        <f>UCRNumber!I30+CCNumber!I30</f>
        <v>0</v>
      </c>
      <c r="I29" s="92">
        <f>UCRNumber!J30+CCNumber!J30</f>
        <v>61827.510455917312</v>
      </c>
      <c r="J29" s="92">
        <f>UCRNumber!K30+CCNumber!K30</f>
        <v>197.6335540838852</v>
      </c>
      <c r="K29" s="92">
        <f>UCRNumber!L30+CCNumber!L30</f>
        <v>0</v>
      </c>
      <c r="L29" s="92">
        <f>UCRNumber!M30+CCNumber!M30</f>
        <v>0</v>
      </c>
      <c r="M29" s="92">
        <f>UCRNumber!N30+CCNumber!N30</f>
        <v>24214.508840231327</v>
      </c>
      <c r="N29" s="92">
        <f>UCRNumber!O30+CCNumber!O30</f>
        <v>1275.7909201576731</v>
      </c>
      <c r="O29" s="92">
        <f>UCRNumber!P30+CCNumber!P30</f>
        <v>0</v>
      </c>
      <c r="P29" s="92">
        <f>UCRNumber!Q30+CCNumber!Q30</f>
        <v>112.06925049627687</v>
      </c>
      <c r="Q29" s="92">
        <f>UCRNumber!R30+CCNumber!R30</f>
        <v>362.92207341471556</v>
      </c>
      <c r="R29" s="92">
        <f>UCRNumber!S30+CCNumber!S30</f>
        <v>0</v>
      </c>
      <c r="S29" s="92">
        <f>UCRNumber!T30+CCNumber!T30</f>
        <v>0</v>
      </c>
      <c r="T29" s="180">
        <f t="shared" si="0"/>
        <v>94505</v>
      </c>
    </row>
    <row r="30" spans="1:20" ht="15.6">
      <c r="A30" s="330">
        <v>2004</v>
      </c>
      <c r="B30" s="92">
        <f>UCRNumber!C31+CCNumber!C31</f>
        <v>0</v>
      </c>
      <c r="C30" s="92">
        <f>UCRNumber!D31+CCNumber!D31</f>
        <v>0</v>
      </c>
      <c r="D30" s="92">
        <f>UCRNumber!E31+CCNumber!E31</f>
        <v>370.82825521321246</v>
      </c>
      <c r="E30" s="92">
        <f>UCRNumber!F31+CCNumber!F31</f>
        <v>115.23863636363636</v>
      </c>
      <c r="F30" s="92">
        <f>UCRNumber!G31+CCNumber!G31</f>
        <v>5019.1373507663429</v>
      </c>
      <c r="G30" s="92">
        <f>UCRNumber!H31+CCNumber!H31</f>
        <v>19.816932301810937</v>
      </c>
      <c r="H30" s="92">
        <f>UCRNumber!I31+CCNumber!I31</f>
        <v>0</v>
      </c>
      <c r="I30" s="92">
        <f>UCRNumber!J31+CCNumber!J31</f>
        <v>47490.721342012861</v>
      </c>
      <c r="J30" s="92">
        <f>UCRNumber!K31+CCNumber!K31</f>
        <v>205.99042473717347</v>
      </c>
      <c r="K30" s="92">
        <f>UCRNumber!L31+CCNumber!L31</f>
        <v>0</v>
      </c>
      <c r="L30" s="92">
        <f>UCRNumber!M31+CCNumber!M31</f>
        <v>0</v>
      </c>
      <c r="M30" s="92">
        <f>UCRNumber!N31+CCNumber!N31</f>
        <v>26015.359135178303</v>
      </c>
      <c r="N30" s="92">
        <f>UCRNumber!O31+CCNumber!O31</f>
        <v>1055.9996987850079</v>
      </c>
      <c r="O30" s="92">
        <f>UCRNumber!P31+CCNumber!P31</f>
        <v>0</v>
      </c>
      <c r="P30" s="92">
        <f>UCRNumber!Q31+CCNumber!Q31</f>
        <v>0</v>
      </c>
      <c r="Q30" s="92">
        <f>UCRNumber!R31+CCNumber!R31</f>
        <v>265.90822464165711</v>
      </c>
      <c r="R30" s="92">
        <f>UCRNumber!S31+CCNumber!S31</f>
        <v>0</v>
      </c>
      <c r="S30" s="92">
        <f>UCRNumber!T31+CCNumber!T31</f>
        <v>0</v>
      </c>
      <c r="T30" s="180">
        <f t="shared" si="0"/>
        <v>80559</v>
      </c>
    </row>
    <row r="31" spans="1:20" ht="15.6">
      <c r="A31" s="330">
        <v>2005</v>
      </c>
      <c r="B31" s="92">
        <f>UCRNumber!C32+CCNumber!C32</f>
        <v>0</v>
      </c>
      <c r="C31" s="92">
        <f>UCRNumber!D32+CCNumber!D32</f>
        <v>17.000529323872506</v>
      </c>
      <c r="D31" s="92">
        <f>UCRNumber!E32+CCNumber!E32</f>
        <v>350.8460716270979</v>
      </c>
      <c r="E31" s="92">
        <f>UCRNumber!F32+CCNumber!F32</f>
        <v>73.0797557112231</v>
      </c>
      <c r="F31" s="92">
        <f>UCRNumber!G32+CCNumber!G32</f>
        <v>5890.5726635800202</v>
      </c>
      <c r="G31" s="92">
        <f>UCRNumber!H32+CCNumber!H32</f>
        <v>17.889646743954227</v>
      </c>
      <c r="H31" s="92">
        <f>UCRNumber!I32+CCNumber!I32</f>
        <v>0</v>
      </c>
      <c r="I31" s="92">
        <f>UCRNumber!J32+CCNumber!J32</f>
        <v>37619.161498689777</v>
      </c>
      <c r="J31" s="92">
        <f>UCRNumber!K32+CCNumber!K32</f>
        <v>108.99016113230012</v>
      </c>
      <c r="K31" s="92">
        <f>UCRNumber!L32+CCNumber!L32</f>
        <v>0</v>
      </c>
      <c r="L31" s="92">
        <f>UCRNumber!M32+CCNumber!M32</f>
        <v>0</v>
      </c>
      <c r="M31" s="92">
        <f>UCRNumber!N32+CCNumber!N32</f>
        <v>20299.583773261162</v>
      </c>
      <c r="N31" s="92">
        <f>UCRNumber!O32+CCNumber!O32</f>
        <v>1381.760974072354</v>
      </c>
      <c r="O31" s="92">
        <f>UCRNumber!P32+CCNumber!P32</f>
        <v>0</v>
      </c>
      <c r="P31" s="92">
        <f>UCRNumber!Q32+CCNumber!Q32</f>
        <v>13.955283299943492</v>
      </c>
      <c r="Q31" s="92">
        <f>UCRNumber!R32+CCNumber!R32</f>
        <v>449.6713613082913</v>
      </c>
      <c r="R31" s="92">
        <f>UCRNumber!S32+CCNumber!S32</f>
        <v>0</v>
      </c>
      <c r="S31" s="92">
        <f>UCRNumber!T32+CCNumber!T32</f>
        <v>118.48828125</v>
      </c>
      <c r="T31" s="180">
        <f t="shared" si="0"/>
        <v>66341</v>
      </c>
    </row>
    <row r="32" spans="1:20" ht="15.6">
      <c r="A32" s="330">
        <v>2006</v>
      </c>
      <c r="B32" s="92">
        <f>UCRNumber!C33+CCNumber!C33</f>
        <v>0</v>
      </c>
      <c r="C32" s="92">
        <f>UCRNumber!D33+CCNumber!D33</f>
        <v>0</v>
      </c>
      <c r="D32" s="92">
        <f>UCRNumber!E33+CCNumber!E33</f>
        <v>364.41511228830996</v>
      </c>
      <c r="E32" s="92">
        <f>UCRNumber!F33+CCNumber!F33</f>
        <v>0</v>
      </c>
      <c r="F32" s="92">
        <f>UCRNumber!G33+CCNumber!G33</f>
        <v>9564.4699599625565</v>
      </c>
      <c r="G32" s="92">
        <f>UCRNumber!H33+CCNumber!H33</f>
        <v>0</v>
      </c>
      <c r="H32" s="92">
        <f>UCRNumber!I33+CCNumber!I33</f>
        <v>0</v>
      </c>
      <c r="I32" s="92">
        <f>UCRNumber!J33+CCNumber!J33</f>
        <v>68219.100697904621</v>
      </c>
      <c r="J32" s="92">
        <f>UCRNumber!K33+CCNumber!K33</f>
        <v>850.7367863423442</v>
      </c>
      <c r="K32" s="92">
        <f>UCRNumber!L33+CCNumber!L33</f>
        <v>0</v>
      </c>
      <c r="L32" s="92">
        <f>UCRNumber!M33+CCNumber!M33</f>
        <v>0</v>
      </c>
      <c r="M32" s="92">
        <f>UCRNumber!N33+CCNumber!N33</f>
        <v>16359.593867404627</v>
      </c>
      <c r="N32" s="92">
        <f>UCRNumber!O33+CCNumber!O33</f>
        <v>3549.1644384477754</v>
      </c>
      <c r="O32" s="92">
        <f>UCRNumber!P33+CCNumber!P33</f>
        <v>0</v>
      </c>
      <c r="P32" s="92">
        <f>UCRNumber!Q33+CCNumber!Q33</f>
        <v>413.87159666615844</v>
      </c>
      <c r="Q32" s="92">
        <f>UCRNumber!R33+CCNumber!R33</f>
        <v>555.64754098360663</v>
      </c>
      <c r="R32" s="92">
        <f>UCRNumber!S33+CCNumber!S33</f>
        <v>0</v>
      </c>
      <c r="S32" s="92">
        <f>UCRNumber!T33+CCNumber!T33</f>
        <v>0</v>
      </c>
      <c r="T32" s="180">
        <f t="shared" si="0"/>
        <v>99877</v>
      </c>
    </row>
    <row r="33" spans="1:20" ht="15.6">
      <c r="A33" s="330">
        <v>2007</v>
      </c>
      <c r="B33" s="92">
        <f>UCRNumber!C34+CCNumber!C34</f>
        <v>0</v>
      </c>
      <c r="C33" s="92">
        <f>UCRNumber!D34+CCNumber!D34</f>
        <v>0</v>
      </c>
      <c r="D33" s="92">
        <f>UCRNumber!E34+CCNumber!E34</f>
        <v>107.53828306264501</v>
      </c>
      <c r="E33" s="92">
        <f>UCRNumber!F34+CCNumber!F34</f>
        <v>25.882690084868258</v>
      </c>
      <c r="F33" s="92">
        <f>UCRNumber!G34+CCNumber!G34</f>
        <v>5160.3299022645133</v>
      </c>
      <c r="G33" s="92">
        <f>UCRNumber!H34+CCNumber!H34</f>
        <v>92.703365589683685</v>
      </c>
      <c r="H33" s="92">
        <f>UCRNumber!I34+CCNumber!I34</f>
        <v>0</v>
      </c>
      <c r="I33" s="92">
        <f>UCRNumber!J34+CCNumber!J34</f>
        <v>57978.039080006849</v>
      </c>
      <c r="J33" s="92">
        <f>UCRNumber!K34+CCNumber!K34</f>
        <v>501.60877126842792</v>
      </c>
      <c r="K33" s="92">
        <f>UCRNumber!L34+CCNumber!L34</f>
        <v>0</v>
      </c>
      <c r="L33" s="92">
        <f>UCRNumber!M34+CCNumber!M34</f>
        <v>0</v>
      </c>
      <c r="M33" s="92">
        <f>UCRNumber!N34+CCNumber!N34</f>
        <v>22479.30776494227</v>
      </c>
      <c r="N33" s="92">
        <f>UCRNumber!O34+CCNumber!O34</f>
        <v>830.48865435976597</v>
      </c>
      <c r="O33" s="92">
        <f>UCRNumber!P34+CCNumber!P34</f>
        <v>0</v>
      </c>
      <c r="P33" s="92">
        <f>UCRNumber!Q34+CCNumber!Q34</f>
        <v>215.07656612529001</v>
      </c>
      <c r="Q33" s="92">
        <f>UCRNumber!R34+CCNumber!R34</f>
        <v>379.02492229568588</v>
      </c>
      <c r="R33" s="92">
        <f>UCRNumber!S34+CCNumber!S34</f>
        <v>0</v>
      </c>
      <c r="S33" s="92">
        <f>UCRNumber!T34+CCNumber!T34</f>
        <v>0</v>
      </c>
      <c r="T33" s="180">
        <f t="shared" si="0"/>
        <v>87770.000000000015</v>
      </c>
    </row>
    <row r="34" spans="1:20" ht="15.6">
      <c r="A34" s="330">
        <v>2008</v>
      </c>
      <c r="B34" s="92">
        <f>UCRNumber!C35+CCNumber!C35</f>
        <v>0</v>
      </c>
      <c r="C34" s="92">
        <f>UCRNumber!D35+CCNumber!D35</f>
        <v>15.842333515283842</v>
      </c>
      <c r="D34" s="92">
        <f>UCRNumber!E35+CCNumber!E35</f>
        <v>7.3129980978916072</v>
      </c>
      <c r="E34" s="92">
        <f>UCRNumber!F35+CCNumber!F35</f>
        <v>0</v>
      </c>
      <c r="F34" s="92">
        <f>UCRNumber!G35+CCNumber!G35</f>
        <v>3972.7109198777243</v>
      </c>
      <c r="G34" s="92">
        <f>UCRNumber!H35+CCNumber!H35</f>
        <v>15.842333515283842</v>
      </c>
      <c r="H34" s="92">
        <f>UCRNumber!I35+CCNumber!I35</f>
        <v>0</v>
      </c>
      <c r="I34" s="92">
        <f>UCRNumber!J35+CCNumber!J35</f>
        <v>32182.444204813113</v>
      </c>
      <c r="J34" s="92">
        <f>UCRNumber!K35+CCNumber!K35</f>
        <v>198.99714555718967</v>
      </c>
      <c r="K34" s="92">
        <f>UCRNumber!L35+CCNumber!L35</f>
        <v>0</v>
      </c>
      <c r="L34" s="92">
        <f>UCRNumber!M35+CCNumber!M35</f>
        <v>0</v>
      </c>
      <c r="M34" s="92">
        <f>UCRNumber!N35+CCNumber!N35</f>
        <v>17045.187504932786</v>
      </c>
      <c r="N34" s="92">
        <f>UCRNumber!O35+CCNumber!O35</f>
        <v>395.56161647537806</v>
      </c>
      <c r="O34" s="92">
        <f>UCRNumber!P35+CCNumber!P35</f>
        <v>0</v>
      </c>
      <c r="P34" s="92">
        <f>UCRNumber!Q35+CCNumber!Q35</f>
        <v>21.54212393419624</v>
      </c>
      <c r="Q34" s="92">
        <f>UCRNumber!R35+CCNumber!R35</f>
        <v>24.558819281155525</v>
      </c>
      <c r="R34" s="92">
        <f>UCRNumber!S35+CCNumber!S35</f>
        <v>0</v>
      </c>
      <c r="S34" s="92">
        <f>UCRNumber!T35+CCNumber!T35</f>
        <v>0</v>
      </c>
      <c r="T34" s="180">
        <f t="shared" si="0"/>
        <v>53880</v>
      </c>
    </row>
    <row r="35" spans="1:20" ht="15.6">
      <c r="A35" s="330">
        <v>2009</v>
      </c>
      <c r="B35" s="92">
        <f>UCRNumber!C36+CCNumber!C36</f>
        <v>0</v>
      </c>
      <c r="C35" s="92">
        <f>UCRNumber!D36+CCNumber!D36</f>
        <v>0</v>
      </c>
      <c r="D35" s="92">
        <f>UCRNumber!E36+CCNumber!E36</f>
        <v>192.66124371339365</v>
      </c>
      <c r="E35" s="92">
        <f>UCRNumber!F36+CCNumber!F36</f>
        <v>0</v>
      </c>
      <c r="F35" s="92">
        <f>UCRNumber!G36+CCNumber!G36</f>
        <v>4591.5178731503456</v>
      </c>
      <c r="G35" s="92">
        <f>UCRNumber!H36+CCNumber!H36</f>
        <v>52.353301908846205</v>
      </c>
      <c r="H35" s="92">
        <f>UCRNumber!I36+CCNumber!I36</f>
        <v>0</v>
      </c>
      <c r="I35" s="92">
        <f>UCRNumber!J36+CCNumber!J36</f>
        <v>27038.839773421794</v>
      </c>
      <c r="J35" s="92">
        <f>UCRNumber!K36+CCNumber!K36</f>
        <v>358.10595873926673</v>
      </c>
      <c r="K35" s="92">
        <f>UCRNumber!L36+CCNumber!L36</f>
        <v>0</v>
      </c>
      <c r="L35" s="92">
        <f>UCRNumber!M36+CCNumber!M36</f>
        <v>0</v>
      </c>
      <c r="M35" s="92">
        <f>UCRNumber!N36+CCNumber!N36</f>
        <v>9625.672480758838</v>
      </c>
      <c r="N35" s="92">
        <f>UCRNumber!O36+CCNumber!O36</f>
        <v>353.04011136325988</v>
      </c>
      <c r="O35" s="92">
        <f>UCRNumber!P36+CCNumber!P36</f>
        <v>0</v>
      </c>
      <c r="P35" s="92">
        <f>UCRNumber!Q36+CCNumber!Q36</f>
        <v>35.701390668236186</v>
      </c>
      <c r="Q35" s="92">
        <f>UCRNumber!R36+CCNumber!R36</f>
        <v>763.1078662760217</v>
      </c>
      <c r="R35" s="92">
        <f>UCRNumber!S36+CCNumber!S36</f>
        <v>0</v>
      </c>
      <c r="S35" s="92">
        <f>UCRNumber!T36+CCNumber!T36</f>
        <v>0</v>
      </c>
      <c r="T35" s="180">
        <f t="shared" si="0"/>
        <v>43011</v>
      </c>
    </row>
    <row r="36" spans="1:20" ht="15.6">
      <c r="A36" s="330">
        <v>2010</v>
      </c>
      <c r="B36" s="92">
        <f>UCRNumber!C37+CCNumber!C37</f>
        <v>0</v>
      </c>
      <c r="C36" s="92">
        <f>UCRNumber!D37+CCNumber!D37</f>
        <v>0</v>
      </c>
      <c r="D36" s="92">
        <f>UCRNumber!E37+CCNumber!E37</f>
        <v>357.52080121494441</v>
      </c>
      <c r="E36" s="92">
        <f>UCRNumber!F37+CCNumber!F37</f>
        <v>0</v>
      </c>
      <c r="F36" s="92">
        <f>UCRNumber!G37+CCNumber!G37</f>
        <v>5400.9059432897675</v>
      </c>
      <c r="G36" s="92">
        <f>UCRNumber!H37+CCNumber!H37</f>
        <v>128.10768918285595</v>
      </c>
      <c r="H36" s="92">
        <f>UCRNumber!I37+CCNumber!I37</f>
        <v>0</v>
      </c>
      <c r="I36" s="92">
        <f>UCRNumber!J37+CCNumber!J37</f>
        <v>19724.564662776269</v>
      </c>
      <c r="J36" s="92">
        <f>UCRNumber!K37+CCNumber!K37</f>
        <v>221.57497149536761</v>
      </c>
      <c r="K36" s="92">
        <f>UCRNumber!L37+CCNumber!L37</f>
        <v>0</v>
      </c>
      <c r="L36" s="92">
        <f>UCRNumber!M37+CCNumber!M37</f>
        <v>0</v>
      </c>
      <c r="M36" s="92">
        <f>UCRNumber!N37+CCNumber!N37</f>
        <v>6759.2925226127109</v>
      </c>
      <c r="N36" s="92">
        <f>UCRNumber!O37+CCNumber!O37</f>
        <v>452.34997717026795</v>
      </c>
      <c r="O36" s="92">
        <f>UCRNumber!P37+CCNumber!P37</f>
        <v>0</v>
      </c>
      <c r="P36" s="92">
        <f>UCRNumber!Q37+CCNumber!Q37</f>
        <v>0</v>
      </c>
      <c r="Q36" s="92">
        <f>UCRNumber!R37+CCNumber!R37</f>
        <v>139.68343225782144</v>
      </c>
      <c r="R36" s="92">
        <f>UCRNumber!S37+CCNumber!S37</f>
        <v>0</v>
      </c>
      <c r="S36" s="92">
        <f>UCRNumber!T37+CCNumber!T37</f>
        <v>0</v>
      </c>
      <c r="T36" s="180">
        <f t="shared" si="0"/>
        <v>33184.000000000007</v>
      </c>
    </row>
    <row r="37" spans="1:20" ht="15.6">
      <c r="A37" s="330">
        <v>2011</v>
      </c>
      <c r="B37" s="92">
        <f>UCRNumber!C38+CCNumber!C38</f>
        <v>0</v>
      </c>
      <c r="C37" s="92">
        <f>UCRNumber!D38+CCNumber!D38</f>
        <v>0</v>
      </c>
      <c r="D37" s="92">
        <f>UCRNumber!E38+CCNumber!E38</f>
        <v>0</v>
      </c>
      <c r="E37" s="92">
        <f>UCRNumber!F38+CCNumber!F38</f>
        <v>0</v>
      </c>
      <c r="F37" s="92">
        <f>UCRNumber!G38+CCNumber!G38</f>
        <v>5474.0040915997633</v>
      </c>
      <c r="G37" s="92">
        <f>UCRNumber!H38+CCNumber!H38</f>
        <v>22.818765861749398</v>
      </c>
      <c r="H37" s="92">
        <f>UCRNumber!I38+CCNumber!I38</f>
        <v>0</v>
      </c>
      <c r="I37" s="92">
        <f>UCRNumber!J38+CCNumber!J38</f>
        <v>41071.275462397622</v>
      </c>
      <c r="J37" s="92">
        <f>UCRNumber!K38+CCNumber!K38</f>
        <v>130.89298247224838</v>
      </c>
      <c r="K37" s="92">
        <f>UCRNumber!L38+CCNumber!L38</f>
        <v>0</v>
      </c>
      <c r="L37" s="92">
        <f>UCRNumber!M38+CCNumber!M38</f>
        <v>0</v>
      </c>
      <c r="M37" s="92">
        <f>UCRNumber!N38+CCNumber!N38</f>
        <v>6002.8139890854263</v>
      </c>
      <c r="N37" s="92">
        <f>UCRNumber!O38+CCNumber!O38</f>
        <v>1169.1064689137836</v>
      </c>
      <c r="O37" s="92">
        <f>UCRNumber!P38+CCNumber!P38</f>
        <v>0</v>
      </c>
      <c r="P37" s="92">
        <f>UCRNumber!Q38+CCNumber!Q38</f>
        <v>0</v>
      </c>
      <c r="Q37" s="92">
        <f>UCRNumber!R38+CCNumber!R38</f>
        <v>17.088239669415429</v>
      </c>
      <c r="R37" s="92">
        <f>UCRNumber!S38+CCNumber!S38</f>
        <v>0</v>
      </c>
      <c r="S37" s="92">
        <f>UCRNumber!T38+CCNumber!T38</f>
        <v>0</v>
      </c>
      <c r="T37" s="180">
        <f t="shared" si="0"/>
        <v>53888.000000000015</v>
      </c>
    </row>
    <row r="38" spans="1:20" ht="15.6">
      <c r="A38" s="330">
        <v>2012</v>
      </c>
      <c r="B38" s="92">
        <f>UCRNumber!C39+CCNumber!C39</f>
        <v>0</v>
      </c>
      <c r="C38" s="92">
        <f>UCRNumber!D39+CCNumber!D39</f>
        <v>12.024231652795928</v>
      </c>
      <c r="D38" s="92">
        <f>UCRNumber!E39+CCNumber!E39</f>
        <v>2.9940298507462684</v>
      </c>
      <c r="E38" s="92">
        <f>UCRNumber!F39+CCNumber!F39</f>
        <v>0</v>
      </c>
      <c r="F38" s="92">
        <f>UCRNumber!G39+CCNumber!G39</f>
        <v>3822.1399977816591</v>
      </c>
      <c r="G38" s="92">
        <f>UCRNumber!H39+CCNumber!H39</f>
        <v>12.024231652795928</v>
      </c>
      <c r="H38" s="92">
        <f>UCRNumber!I39+CCNumber!I39</f>
        <v>0</v>
      </c>
      <c r="I38" s="92">
        <f>UCRNumber!J39+CCNumber!J39</f>
        <v>35349.790147950946</v>
      </c>
      <c r="J38" s="92">
        <f>UCRNumber!K39+CCNumber!K39</f>
        <v>68.95624130677372</v>
      </c>
      <c r="K38" s="92">
        <f>UCRNumber!L39+CCNumber!L39</f>
        <v>0</v>
      </c>
      <c r="L38" s="92">
        <f>UCRNumber!M39+CCNumber!M39</f>
        <v>0</v>
      </c>
      <c r="M38" s="92">
        <f>UCRNumber!N39+CCNumber!N39</f>
        <v>5328.8870594280143</v>
      </c>
      <c r="N38" s="92">
        <f>UCRNumber!O39+CCNumber!O39</f>
        <v>984.22775254701094</v>
      </c>
      <c r="O38" s="92">
        <f>UCRNumber!P39+CCNumber!P39</f>
        <v>0</v>
      </c>
      <c r="P38" s="92">
        <f>UCRNumber!Q39+CCNumber!Q39</f>
        <v>831.60972283631918</v>
      </c>
      <c r="Q38" s="92">
        <f>UCRNumber!R39+CCNumber!R39</f>
        <v>31.3465849929383</v>
      </c>
      <c r="R38" s="92">
        <f>UCRNumber!S39+CCNumber!S39</f>
        <v>0</v>
      </c>
      <c r="S38" s="92">
        <f>UCRNumber!T39+CCNumber!T39</f>
        <v>0</v>
      </c>
      <c r="T38" s="180">
        <f t="shared" si="0"/>
        <v>46444.000000000007</v>
      </c>
    </row>
    <row r="39" spans="1:20" ht="15.6">
      <c r="A39" s="330">
        <v>2013</v>
      </c>
      <c r="B39" s="92">
        <f>UCRNumber!C40+CCNumber!C40</f>
        <v>0</v>
      </c>
      <c r="C39" s="92">
        <f>UCRNumber!D40+CCNumber!D40</f>
        <v>0</v>
      </c>
      <c r="D39" s="718">
        <f>UCRNumber!E40+CCNumber!E40</f>
        <v>4456.4503634844823</v>
      </c>
      <c r="E39" s="92">
        <f>UCRNumber!F40+CCNumber!F40</f>
        <v>0</v>
      </c>
      <c r="F39" s="718">
        <f>UCRNumber!G40+CCNumber!G40</f>
        <v>5820.5946969665338</v>
      </c>
      <c r="G39" s="92">
        <f>UCRNumber!H40+CCNumber!H40</f>
        <v>25.742016212068805</v>
      </c>
      <c r="H39" s="92">
        <f>UCRNumber!I40+CCNumber!I40</f>
        <v>0</v>
      </c>
      <c r="I39" s="92">
        <f>UCRNumber!J40+CCNumber!J40</f>
        <v>26388.848851438826</v>
      </c>
      <c r="J39" s="92">
        <f>UCRNumber!K40+CCNumber!K40</f>
        <v>162.95168028273719</v>
      </c>
      <c r="K39" s="92">
        <f>UCRNumber!L40+CCNumber!L40</f>
        <v>0</v>
      </c>
      <c r="L39" s="92">
        <f>UCRNumber!M40+CCNumber!M40</f>
        <v>0</v>
      </c>
      <c r="M39" s="92">
        <f>UCRNumber!N40+CCNumber!N40</f>
        <v>4735.2952298273758</v>
      </c>
      <c r="N39" s="92">
        <f>UCRNumber!O40+CCNumber!O40</f>
        <v>1303.8738511149684</v>
      </c>
      <c r="O39" s="92">
        <f>UCRNumber!P40+CCNumber!P40</f>
        <v>0</v>
      </c>
      <c r="P39" s="92">
        <f>UCRNumber!Q40+CCNumber!Q40</f>
        <v>0</v>
      </c>
      <c r="Q39" s="92">
        <f>UCRNumber!R40+CCNumber!R40</f>
        <v>0</v>
      </c>
      <c r="R39" s="92">
        <f>UCRNumber!S40+CCNumber!S40</f>
        <v>6.2433106730115568</v>
      </c>
      <c r="S39" s="92">
        <f>UCRNumber!T40+CCNumber!T40</f>
        <v>0</v>
      </c>
      <c r="T39" s="180">
        <f t="shared" si="0"/>
        <v>42900</v>
      </c>
    </row>
    <row r="40" spans="1:20" ht="15.6">
      <c r="A40" s="330">
        <v>2014</v>
      </c>
      <c r="B40" s="92">
        <f>UCRNumber!C41+CCNumber!C41</f>
        <v>0</v>
      </c>
      <c r="C40" s="92">
        <f>UCRNumber!D41+CCNumber!D41</f>
        <v>0</v>
      </c>
      <c r="D40" s="92">
        <f>UCRNumber!E41+CCNumber!E41</f>
        <v>491.11944161837243</v>
      </c>
      <c r="E40" s="92">
        <f>UCRNumber!F41+CCNumber!F41</f>
        <v>0</v>
      </c>
      <c r="F40" s="92">
        <f>UCRNumber!G41+CCNumber!G41</f>
        <v>8908.6805268225889</v>
      </c>
      <c r="G40" s="92">
        <f>UCRNumber!H41+CCNumber!H41</f>
        <v>25.614782600544824</v>
      </c>
      <c r="H40" s="92">
        <f>UCRNumber!I41+CCNumber!I41</f>
        <v>0</v>
      </c>
      <c r="I40" s="92">
        <f>UCRNumber!J41+CCNumber!J41</f>
        <v>16056.832992717924</v>
      </c>
      <c r="J40" s="92">
        <f>UCRNumber!K41+CCNumber!K41</f>
        <v>440.38904649064045</v>
      </c>
      <c r="K40" s="92">
        <f>UCRNumber!L41+CCNumber!L41</f>
        <v>0</v>
      </c>
      <c r="L40" s="92">
        <f>UCRNumber!M41+CCNumber!M41</f>
        <v>0</v>
      </c>
      <c r="M40" s="92">
        <f>UCRNumber!N41+CCNumber!N41</f>
        <v>8894.1509866215965</v>
      </c>
      <c r="N40" s="92">
        <f>UCRNumber!O41+CCNumber!O41</f>
        <v>587.97080096521563</v>
      </c>
      <c r="O40" s="92">
        <f>UCRNumber!P41+CCNumber!P41</f>
        <v>0</v>
      </c>
      <c r="P40" s="92">
        <f>UCRNumber!Q41+CCNumber!Q41</f>
        <v>4.5664937080391175</v>
      </c>
      <c r="Q40" s="92">
        <f>UCRNumber!R41+CCNumber!R41</f>
        <v>119.6749284550766</v>
      </c>
      <c r="R40" s="92">
        <f>UCRNumber!S41+CCNumber!S41</f>
        <v>0</v>
      </c>
      <c r="S40" s="92">
        <f>UCRNumber!T41+CCNumber!T41</f>
        <v>0</v>
      </c>
      <c r="T40" s="180">
        <f t="shared" ref="T40" si="1">SUM(B40:S40)</f>
        <v>35528.999999999993</v>
      </c>
    </row>
    <row r="41" spans="1:20" ht="15.6">
      <c r="A41" s="330"/>
      <c r="B41" s="92"/>
      <c r="C41" s="92"/>
      <c r="D41" s="92"/>
      <c r="E41" s="92"/>
      <c r="F41" s="92"/>
      <c r="G41" s="92"/>
      <c r="H41" s="106"/>
      <c r="I41" s="107"/>
      <c r="J41" s="107"/>
      <c r="K41" s="107"/>
      <c r="L41" s="712"/>
      <c r="M41" s="107"/>
      <c r="N41" s="107"/>
      <c r="O41" s="107"/>
      <c r="P41" s="107"/>
      <c r="Q41" s="107"/>
      <c r="R41" s="107"/>
      <c r="S41" s="107"/>
      <c r="T41" s="180"/>
    </row>
    <row r="42" spans="1:20" ht="16.2" thickBot="1">
      <c r="A42" s="13"/>
      <c r="B42" s="92"/>
      <c r="C42" s="92"/>
      <c r="D42" s="92"/>
      <c r="E42" s="92"/>
      <c r="F42" s="92"/>
      <c r="G42" s="92"/>
      <c r="H42" s="106"/>
      <c r="I42" s="107"/>
      <c r="J42" s="107"/>
      <c r="K42" s="107"/>
      <c r="L42" s="712"/>
      <c r="M42" s="107"/>
      <c r="N42" s="107"/>
      <c r="O42" s="107"/>
      <c r="P42" s="107"/>
      <c r="Q42" s="107"/>
      <c r="R42" s="107"/>
      <c r="S42" s="107"/>
      <c r="T42" s="180"/>
    </row>
    <row r="43" spans="1:20" ht="18" customHeight="1" thickBot="1">
      <c r="A43" s="177" t="s">
        <v>425</v>
      </c>
      <c r="B43" s="445">
        <f>AVERAGE(B35:B39)</f>
        <v>0</v>
      </c>
      <c r="C43" s="445">
        <f t="shared" ref="C43:S43" si="2">AVERAGE(C35:C39)</f>
        <v>2.4048463305591854</v>
      </c>
      <c r="D43" s="445">
        <f t="shared" si="2"/>
        <v>1001.9252876527132</v>
      </c>
      <c r="E43" s="445">
        <f t="shared" si="2"/>
        <v>0</v>
      </c>
      <c r="F43" s="445">
        <f t="shared" si="2"/>
        <v>5021.8325205576139</v>
      </c>
      <c r="G43" s="445">
        <f t="shared" si="2"/>
        <v>48.209200963663264</v>
      </c>
      <c r="H43" s="445">
        <f t="shared" si="2"/>
        <v>0</v>
      </c>
      <c r="I43" s="445">
        <f t="shared" si="2"/>
        <v>29914.663779597089</v>
      </c>
      <c r="J43" s="445">
        <f t="shared" si="2"/>
        <v>188.49636685927871</v>
      </c>
      <c r="K43" s="445">
        <f t="shared" si="2"/>
        <v>0</v>
      </c>
      <c r="L43" s="445">
        <f t="shared" si="2"/>
        <v>0</v>
      </c>
      <c r="M43" s="445">
        <f t="shared" si="2"/>
        <v>6490.392256342473</v>
      </c>
      <c r="N43" s="445">
        <f t="shared" si="2"/>
        <v>852.51963222185827</v>
      </c>
      <c r="O43" s="445">
        <f t="shared" si="2"/>
        <v>0</v>
      </c>
      <c r="P43" s="445">
        <f t="shared" si="2"/>
        <v>173.46222270091107</v>
      </c>
      <c r="Q43" s="445">
        <f t="shared" si="2"/>
        <v>190.24522463923938</v>
      </c>
      <c r="R43" s="445">
        <f t="shared" si="2"/>
        <v>1.2486621346023115</v>
      </c>
      <c r="S43" s="445">
        <f t="shared" si="2"/>
        <v>0</v>
      </c>
      <c r="T43" s="178">
        <f>SUM(B43:S43)</f>
        <v>43885.4</v>
      </c>
    </row>
    <row r="44" spans="1:20" ht="18" customHeight="1" thickBot="1">
      <c r="A44" s="173" t="s">
        <v>424</v>
      </c>
      <c r="B44" s="660">
        <f t="shared" ref="B44:S44" si="3">AVERAGE(B6:B42)</f>
        <v>0.25834770610555363</v>
      </c>
      <c r="C44" s="660">
        <f t="shared" si="3"/>
        <v>18.259986857061662</v>
      </c>
      <c r="D44" s="660">
        <f t="shared" si="3"/>
        <v>311.62298477512792</v>
      </c>
      <c r="E44" s="660">
        <f t="shared" si="3"/>
        <v>49.375253784933285</v>
      </c>
      <c r="F44" s="660">
        <f t="shared" si="3"/>
        <v>4464.2764875961702</v>
      </c>
      <c r="G44" s="660">
        <f t="shared" si="3"/>
        <v>25.405891894037126</v>
      </c>
      <c r="H44" s="660">
        <f t="shared" si="3"/>
        <v>17.283203729739409</v>
      </c>
      <c r="I44" s="660">
        <f t="shared" si="3"/>
        <v>32668.343912313154</v>
      </c>
      <c r="J44" s="660">
        <f t="shared" si="3"/>
        <v>215.20365305748646</v>
      </c>
      <c r="K44" s="660">
        <f t="shared" si="3"/>
        <v>1.2252360585538173</v>
      </c>
      <c r="L44" s="660">
        <f t="shared" si="3"/>
        <v>0.80445370567355579</v>
      </c>
      <c r="M44" s="660">
        <f t="shared" si="3"/>
        <v>18564.132465939074</v>
      </c>
      <c r="N44" s="660">
        <f t="shared" si="3"/>
        <v>1005.4951338393369</v>
      </c>
      <c r="O44" s="660">
        <f t="shared" si="3"/>
        <v>2.4667915684201831</v>
      </c>
      <c r="P44" s="660">
        <f t="shared" si="3"/>
        <v>210.77760929112549</v>
      </c>
      <c r="Q44" s="660">
        <f t="shared" si="3"/>
        <v>718.13583975583026</v>
      </c>
      <c r="R44" s="660">
        <f t="shared" si="3"/>
        <v>2.9825720126086677</v>
      </c>
      <c r="S44" s="660">
        <f t="shared" si="3"/>
        <v>8.3905709163573459</v>
      </c>
      <c r="T44" s="178">
        <f t="shared" ref="T44:T45" si="4">SUM(B44:S44)</f>
        <v>58284.440394800789</v>
      </c>
    </row>
    <row r="45" spans="1:20" ht="18" customHeight="1">
      <c r="A45" s="173" t="s">
        <v>58</v>
      </c>
      <c r="B45" s="108">
        <f>B43/$T$43</f>
        <v>0</v>
      </c>
      <c r="C45" s="108">
        <f>C43/$T$43</f>
        <v>5.4798323145264378E-5</v>
      </c>
      <c r="D45" s="108">
        <f>D43/$T$43</f>
        <v>2.2830492319831041E-2</v>
      </c>
      <c r="E45" s="108">
        <f t="shared" ref="E45:S45" si="5">E43/$T$43</f>
        <v>0</v>
      </c>
      <c r="F45" s="446">
        <f t="shared" si="5"/>
        <v>0.11443059697661669</v>
      </c>
      <c r="G45" s="108">
        <f t="shared" si="5"/>
        <v>1.0985248160815047E-3</v>
      </c>
      <c r="H45" s="108">
        <f t="shared" si="5"/>
        <v>0</v>
      </c>
      <c r="I45" s="340">
        <f>I43/$T$43</f>
        <v>0.68165412140705306</v>
      </c>
      <c r="J45" s="108">
        <f>J43/$T$43</f>
        <v>4.2951953692863393E-3</v>
      </c>
      <c r="K45" s="108">
        <f>K43/$T$43</f>
        <v>0</v>
      </c>
      <c r="L45" s="713">
        <f>L43/$T$43</f>
        <v>0</v>
      </c>
      <c r="M45" s="108">
        <f>M43/$T$43</f>
        <v>0.14789411185365686</v>
      </c>
      <c r="N45" s="108">
        <f t="shared" si="5"/>
        <v>1.9426042196763804E-2</v>
      </c>
      <c r="O45" s="108">
        <f t="shared" si="5"/>
        <v>0</v>
      </c>
      <c r="P45" s="108">
        <f t="shared" si="5"/>
        <v>3.9526180164909299E-3</v>
      </c>
      <c r="Q45" s="108">
        <f t="shared" si="5"/>
        <v>4.3350459296084658E-3</v>
      </c>
      <c r="R45" s="108">
        <f t="shared" si="5"/>
        <v>2.8452791466007178E-5</v>
      </c>
      <c r="S45" s="108">
        <f t="shared" si="5"/>
        <v>0</v>
      </c>
      <c r="T45" s="717">
        <f t="shared" si="4"/>
        <v>1</v>
      </c>
    </row>
    <row r="46" spans="1:20" ht="18" customHeight="1">
      <c r="A46" s="173" t="s">
        <v>149</v>
      </c>
      <c r="B46" s="718">
        <f>COUNT(B35:B39)</f>
        <v>5</v>
      </c>
      <c r="C46" s="718">
        <f t="shared" ref="C46:S46" si="6">COUNT(C35:C39)</f>
        <v>5</v>
      </c>
      <c r="D46" s="718">
        <f t="shared" si="6"/>
        <v>5</v>
      </c>
      <c r="E46" s="718">
        <f t="shared" si="6"/>
        <v>5</v>
      </c>
      <c r="F46" s="718">
        <f t="shared" si="6"/>
        <v>5</v>
      </c>
      <c r="G46" s="718">
        <f t="shared" si="6"/>
        <v>5</v>
      </c>
      <c r="H46" s="718">
        <f t="shared" si="6"/>
        <v>5</v>
      </c>
      <c r="I46" s="718">
        <f t="shared" si="6"/>
        <v>5</v>
      </c>
      <c r="J46" s="718">
        <f t="shared" si="6"/>
        <v>5</v>
      </c>
      <c r="K46" s="718">
        <f t="shared" si="6"/>
        <v>5</v>
      </c>
      <c r="L46" s="718">
        <f t="shared" si="6"/>
        <v>5</v>
      </c>
      <c r="M46" s="718">
        <f t="shared" si="6"/>
        <v>5</v>
      </c>
      <c r="N46" s="718">
        <f t="shared" si="6"/>
        <v>5</v>
      </c>
      <c r="O46" s="718">
        <f t="shared" si="6"/>
        <v>5</v>
      </c>
      <c r="P46" s="718">
        <f t="shared" si="6"/>
        <v>5</v>
      </c>
      <c r="Q46" s="718">
        <f t="shared" si="6"/>
        <v>5</v>
      </c>
      <c r="R46" s="718">
        <f t="shared" si="6"/>
        <v>5</v>
      </c>
      <c r="S46" s="718">
        <f t="shared" si="6"/>
        <v>5</v>
      </c>
      <c r="T46" s="179"/>
    </row>
    <row r="47" spans="1:20" ht="18" customHeight="1">
      <c r="A47" s="173" t="s">
        <v>150</v>
      </c>
      <c r="B47" s="719">
        <f>STDEVP(B35:B39)</f>
        <v>0</v>
      </c>
      <c r="C47" s="719">
        <f t="shared" ref="C47:S47" si="7">STDEVP(C35:C39)</f>
        <v>4.8096926611183708</v>
      </c>
      <c r="D47" s="719">
        <f t="shared" si="7"/>
        <v>1732.3756448505289</v>
      </c>
      <c r="E47" s="719">
        <f t="shared" si="7"/>
        <v>0</v>
      </c>
      <c r="F47" s="719">
        <f t="shared" si="7"/>
        <v>722.58005077913242</v>
      </c>
      <c r="G47" s="719">
        <f t="shared" si="7"/>
        <v>42.094518839657788</v>
      </c>
      <c r="H47" s="719">
        <f t="shared" si="7"/>
        <v>0</v>
      </c>
      <c r="I47" s="719">
        <f t="shared" si="7"/>
        <v>7463.9190444903261</v>
      </c>
      <c r="J47" s="719">
        <f t="shared" si="7"/>
        <v>98.104159202970791</v>
      </c>
      <c r="K47" s="719">
        <f t="shared" si="7"/>
        <v>0</v>
      </c>
      <c r="L47" s="719">
        <f t="shared" si="7"/>
        <v>0</v>
      </c>
      <c r="M47" s="719">
        <f t="shared" si="7"/>
        <v>1707.0138781192941</v>
      </c>
      <c r="N47" s="719">
        <f t="shared" si="7"/>
        <v>382.33765956809339</v>
      </c>
      <c r="O47" s="719">
        <f t="shared" si="7"/>
        <v>0</v>
      </c>
      <c r="P47" s="719">
        <f t="shared" si="7"/>
        <v>329.364116712748</v>
      </c>
      <c r="Q47" s="719">
        <f t="shared" si="7"/>
        <v>290.56960118195906</v>
      </c>
      <c r="R47" s="719">
        <f t="shared" si="7"/>
        <v>2.4973242692046229</v>
      </c>
      <c r="S47" s="719">
        <f t="shared" si="7"/>
        <v>0</v>
      </c>
      <c r="T47" s="179"/>
    </row>
    <row r="48" spans="1:20" ht="18" customHeight="1">
      <c r="A48" s="173" t="s">
        <v>151</v>
      </c>
      <c r="B48" s="720">
        <f>VLOOKUP(B46-1,tval,4)</f>
        <v>1.5329999999999999</v>
      </c>
      <c r="C48" s="720">
        <f t="shared" ref="C48:S48" si="8">VLOOKUP(C46-1,tval,4)</f>
        <v>1.5329999999999999</v>
      </c>
      <c r="D48" s="720">
        <f>VLOOKUP(D46-1,tval,4)</f>
        <v>1.5329999999999999</v>
      </c>
      <c r="E48" s="720">
        <f t="shared" si="8"/>
        <v>1.5329999999999999</v>
      </c>
      <c r="F48" s="720">
        <f t="shared" si="8"/>
        <v>1.5329999999999999</v>
      </c>
      <c r="G48" s="720">
        <f t="shared" si="8"/>
        <v>1.5329999999999999</v>
      </c>
      <c r="H48" s="720">
        <f t="shared" si="8"/>
        <v>1.5329999999999999</v>
      </c>
      <c r="I48" s="720">
        <f>VLOOKUP(I46-1,tval,4)</f>
        <v>1.5329999999999999</v>
      </c>
      <c r="J48" s="720">
        <f>VLOOKUP(J46-1,tval,4)</f>
        <v>1.5329999999999999</v>
      </c>
      <c r="K48" s="720">
        <f>VLOOKUP(K46-1,tval,4)</f>
        <v>1.5329999999999999</v>
      </c>
      <c r="L48" s="721">
        <f>VLOOKUP(L46-1,tval,4)</f>
        <v>1.5329999999999999</v>
      </c>
      <c r="M48" s="720">
        <f t="shared" si="8"/>
        <v>1.5329999999999999</v>
      </c>
      <c r="N48" s="720">
        <f t="shared" si="8"/>
        <v>1.5329999999999999</v>
      </c>
      <c r="O48" s="720">
        <f t="shared" si="8"/>
        <v>1.5329999999999999</v>
      </c>
      <c r="P48" s="720">
        <f t="shared" si="8"/>
        <v>1.5329999999999999</v>
      </c>
      <c r="Q48" s="720">
        <f t="shared" si="8"/>
        <v>1.5329999999999999</v>
      </c>
      <c r="R48" s="720">
        <f t="shared" si="8"/>
        <v>1.5329999999999999</v>
      </c>
      <c r="S48" s="720">
        <f t="shared" si="8"/>
        <v>1.5329999999999999</v>
      </c>
      <c r="T48" s="179"/>
    </row>
    <row r="49" spans="1:20" ht="18" customHeight="1" thickBot="1">
      <c r="A49" s="181"/>
      <c r="B49" s="182"/>
      <c r="C49" s="182"/>
      <c r="D49" s="182"/>
      <c r="E49" s="182"/>
      <c r="F49" s="182"/>
      <c r="G49" s="182"/>
      <c r="H49" s="182"/>
      <c r="I49" s="182"/>
      <c r="J49" s="182"/>
      <c r="K49" s="182"/>
      <c r="L49" s="714"/>
      <c r="M49" s="182"/>
      <c r="N49" s="182"/>
      <c r="O49" s="182"/>
      <c r="P49" s="182"/>
      <c r="Q49" s="182"/>
      <c r="R49" s="182"/>
      <c r="S49" s="182"/>
      <c r="T49" s="183"/>
    </row>
    <row r="50" spans="1:20" ht="18" customHeight="1">
      <c r="B50" s="105"/>
      <c r="C50" s="105"/>
      <c r="D50" s="105"/>
      <c r="E50" s="105"/>
      <c r="F50" s="105"/>
      <c r="G50" s="105"/>
      <c r="H50" s="105"/>
      <c r="I50" s="105"/>
      <c r="J50" s="105"/>
      <c r="K50" s="105"/>
      <c r="L50" s="105"/>
      <c r="M50" s="105"/>
      <c r="N50" s="105"/>
      <c r="O50" s="105"/>
      <c r="P50" s="105"/>
      <c r="Q50" s="105"/>
      <c r="R50" s="105"/>
      <c r="S50" s="105"/>
      <c r="T50" s="6"/>
    </row>
    <row r="51" spans="1:20" ht="18" customHeight="1">
      <c r="A51" s="6"/>
      <c r="B51" s="105"/>
      <c r="C51" s="105"/>
      <c r="D51" s="105"/>
      <c r="E51" s="105"/>
      <c r="F51" s="105"/>
      <c r="G51" s="105"/>
      <c r="H51" s="105"/>
      <c r="I51" s="105">
        <f>SUM(I14:I34)/SUM(T14:T33)</f>
        <v>0.59153067063953058</v>
      </c>
      <c r="J51" s="105"/>
      <c r="K51" s="105"/>
      <c r="L51" s="105"/>
      <c r="M51" s="105"/>
      <c r="N51" s="105"/>
      <c r="O51" s="105"/>
      <c r="P51" s="105"/>
      <c r="Q51" s="105"/>
      <c r="R51" s="105"/>
      <c r="S51" s="105"/>
      <c r="T51" s="6"/>
    </row>
    <row r="52" spans="1:20" ht="18" customHeight="1">
      <c r="A52" s="6"/>
      <c r="B52" s="105"/>
      <c r="C52" s="105"/>
      <c r="D52" s="105"/>
      <c r="E52" s="105"/>
      <c r="F52" s="105"/>
      <c r="G52" s="105"/>
      <c r="H52" s="105"/>
      <c r="I52" s="105"/>
      <c r="J52" s="105"/>
      <c r="K52" s="105"/>
      <c r="L52" s="105"/>
      <c r="M52" s="105"/>
      <c r="N52" s="105"/>
      <c r="O52" s="105"/>
      <c r="P52" s="105"/>
      <c r="Q52" s="105"/>
      <c r="R52" s="105"/>
      <c r="S52" s="105"/>
      <c r="T52" s="6"/>
    </row>
    <row r="53" spans="1:20" ht="18" customHeight="1">
      <c r="A53" s="6"/>
      <c r="B53" s="105"/>
      <c r="C53" s="105"/>
      <c r="D53" s="105"/>
      <c r="E53" s="105"/>
      <c r="F53" s="105"/>
      <c r="G53" s="105"/>
      <c r="H53" s="105"/>
      <c r="I53" s="105"/>
      <c r="J53" s="105"/>
      <c r="K53" s="105"/>
      <c r="L53" s="105"/>
      <c r="M53" s="105"/>
      <c r="N53" s="105"/>
      <c r="O53" s="105"/>
      <c r="P53" s="105"/>
      <c r="Q53" s="105"/>
      <c r="R53" s="105"/>
      <c r="S53" s="105"/>
      <c r="T53" s="6"/>
    </row>
    <row r="54" spans="1:20" ht="18" customHeight="1">
      <c r="A54" s="6"/>
      <c r="B54" s="105"/>
      <c r="C54" s="105"/>
      <c r="D54" s="105"/>
      <c r="E54" s="105"/>
      <c r="F54" s="105"/>
      <c r="G54" s="105"/>
      <c r="H54" s="105"/>
      <c r="I54" s="105"/>
      <c r="J54" s="105"/>
      <c r="K54" s="105"/>
      <c r="L54" s="105"/>
      <c r="M54" s="105"/>
      <c r="N54" s="105"/>
      <c r="O54" s="105"/>
      <c r="P54" s="105"/>
      <c r="Q54" s="105"/>
      <c r="R54" s="105"/>
      <c r="S54" s="105"/>
      <c r="T54" s="6"/>
    </row>
    <row r="55" spans="1:20" ht="18" customHeight="1">
      <c r="A55" s="6"/>
      <c r="B55" s="33"/>
      <c r="C55" s="33"/>
      <c r="D55" s="33"/>
      <c r="E55" s="33"/>
      <c r="F55" s="33"/>
      <c r="G55" s="33"/>
      <c r="H55" s="33"/>
      <c r="I55" s="33"/>
      <c r="J55" s="33"/>
      <c r="K55" s="33"/>
      <c r="L55" s="33"/>
      <c r="M55" s="33"/>
      <c r="N55" s="33"/>
      <c r="O55" s="33"/>
      <c r="P55" s="33"/>
      <c r="Q55" s="33"/>
      <c r="R55" s="33"/>
      <c r="S55" s="33"/>
      <c r="T55" s="6"/>
    </row>
    <row r="103" spans="11:20" ht="15.6">
      <c r="K103" s="4"/>
      <c r="L103" s="4"/>
      <c r="M103" s="4"/>
      <c r="N103" s="4"/>
      <c r="O103" s="4"/>
      <c r="P103" s="4"/>
      <c r="Q103" s="4"/>
      <c r="R103" s="4"/>
      <c r="S103" s="4"/>
      <c r="T103" s="4"/>
    </row>
    <row r="104" spans="11:20" ht="15.6">
      <c r="K104" s="4"/>
      <c r="L104" s="4"/>
      <c r="M104" s="4"/>
      <c r="N104" s="4"/>
      <c r="O104" s="4"/>
      <c r="P104" s="4"/>
      <c r="Q104" s="4"/>
      <c r="R104" s="4"/>
      <c r="S104" s="4"/>
      <c r="T104" s="4"/>
    </row>
    <row r="105" spans="11:20" ht="15.6">
      <c r="K105" s="4"/>
      <c r="L105" s="4"/>
      <c r="M105" s="4"/>
      <c r="N105" s="4"/>
      <c r="O105" s="4"/>
      <c r="P105" s="4"/>
      <c r="Q105" s="4"/>
      <c r="R105" s="4"/>
      <c r="S105" s="4"/>
      <c r="T105" s="4"/>
    </row>
  </sheetData>
  <conditionalFormatting sqref="F6:F40">
    <cfRule type="top10" dxfId="3" priority="4" rank="10"/>
  </conditionalFormatting>
  <conditionalFormatting sqref="I6:I40">
    <cfRule type="top10" dxfId="2" priority="3" rank="10"/>
  </conditionalFormatting>
  <conditionalFormatting sqref="M6:M40">
    <cfRule type="top10" dxfId="1" priority="2" rank="10"/>
  </conditionalFormatting>
  <conditionalFormatting sqref="T6:T40">
    <cfRule type="top10" dxfId="0" priority="1" rank="10"/>
  </conditionalFormatting>
  <pageMargins left="0.75" right="0.75" top="1" bottom="1" header="0.5" footer="0.5"/>
  <pageSetup scale="82"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A110"/>
  <sheetViews>
    <sheetView zoomScale="75" zoomScaleNormal="75" workbookViewId="0">
      <pane xSplit="1" ySplit="5" topLeftCell="B18" activePane="bottomRight" state="frozen"/>
      <selection pane="topRight" activeCell="B1" sqref="B1"/>
      <selection pane="bottomLeft" activeCell="A6" sqref="A6"/>
      <selection pane="bottomRight" activeCell="A39" sqref="A39:XFD39"/>
    </sheetView>
  </sheetViews>
  <sheetFormatPr defaultRowHeight="13.2"/>
  <cols>
    <col min="1" max="1" width="15.77734375" customWidth="1"/>
    <col min="2" max="2" width="16.44140625" customWidth="1"/>
    <col min="3" max="3" width="11.109375" customWidth="1"/>
    <col min="4" max="4" width="13" customWidth="1"/>
    <col min="5" max="5" width="12.33203125" bestFit="1" customWidth="1"/>
    <col min="7" max="7" width="10.77734375" customWidth="1"/>
    <col min="8" max="8" width="8.6640625" customWidth="1"/>
    <col min="9" max="9" width="11.109375" customWidth="1"/>
    <col min="10" max="10" width="10.77734375" customWidth="1"/>
    <col min="11" max="11" width="8.6640625" customWidth="1"/>
    <col min="12" max="12" width="9" customWidth="1"/>
    <col min="13" max="14" width="10.77734375" customWidth="1"/>
    <col min="15" max="15" width="8.44140625" customWidth="1"/>
    <col min="17" max="17" width="10.77734375" customWidth="1"/>
    <col min="18" max="19" width="10" customWidth="1"/>
    <col min="20" max="20" width="8.6640625" customWidth="1"/>
    <col min="21" max="21" width="19.6640625" customWidth="1"/>
    <col min="22" max="22" width="11.44140625" customWidth="1"/>
    <col min="23" max="23" width="1.77734375" customWidth="1"/>
  </cols>
  <sheetData>
    <row r="1" spans="1:27" ht="22.8">
      <c r="A1" s="5" t="s">
        <v>177</v>
      </c>
      <c r="B1" s="5"/>
      <c r="C1" s="6"/>
      <c r="D1" s="6"/>
      <c r="E1" s="6"/>
      <c r="F1" s="6"/>
      <c r="G1" s="6"/>
      <c r="H1" s="6"/>
      <c r="I1" s="25" t="str">
        <f ca="1">CELL("filename",I1)</f>
        <v>C:\Users\rebrenner\Desktop\NCEAS\DATA\PWS&amp;CBR_SALMON\PWS&amp;CR_SALMON_FORECAST_DATA\[2015 Copper River Chinook forecast-FINAL.xlsm]Brood_Tab</v>
      </c>
      <c r="J1" s="6"/>
      <c r="K1" s="6"/>
      <c r="L1" s="6"/>
      <c r="M1" s="6"/>
      <c r="N1" s="6"/>
      <c r="O1" s="6"/>
      <c r="P1" s="6"/>
      <c r="Q1" s="6"/>
      <c r="R1" s="6"/>
      <c r="S1" s="6"/>
      <c r="T1" s="6"/>
      <c r="U1" s="6"/>
      <c r="V1" s="6"/>
      <c r="W1" s="6"/>
    </row>
    <row r="2" spans="1:27" ht="30.6">
      <c r="A2" s="258" t="s">
        <v>223</v>
      </c>
      <c r="B2" s="258"/>
      <c r="C2" s="6"/>
      <c r="D2" s="6"/>
      <c r="E2" s="6"/>
      <c r="F2" s="6"/>
      <c r="G2" s="6"/>
      <c r="H2" s="6"/>
      <c r="I2" s="6"/>
      <c r="J2" s="6"/>
      <c r="K2" s="6"/>
      <c r="L2" s="6"/>
      <c r="M2" s="6"/>
      <c r="N2" s="176" t="s">
        <v>176</v>
      </c>
      <c r="O2" s="6"/>
      <c r="P2" s="6"/>
      <c r="Q2" s="6"/>
      <c r="R2" s="6"/>
      <c r="S2" s="6"/>
      <c r="T2" s="6"/>
      <c r="U2" s="4"/>
      <c r="V2" s="6"/>
      <c r="W2" s="6"/>
    </row>
    <row r="3" spans="1:27" ht="13.8" thickBot="1">
      <c r="A3" s="6"/>
      <c r="B3" s="6"/>
      <c r="C3" s="6"/>
      <c r="D3" s="6"/>
      <c r="E3" s="6"/>
      <c r="F3" s="6"/>
      <c r="G3" s="6"/>
      <c r="H3" s="6"/>
      <c r="I3" s="6"/>
      <c r="J3" s="6"/>
      <c r="K3" s="6"/>
      <c r="L3" s="6"/>
      <c r="M3" s="6"/>
      <c r="N3" s="6"/>
      <c r="O3" s="6"/>
      <c r="P3" s="6"/>
      <c r="Q3" s="6"/>
      <c r="R3" s="6"/>
      <c r="S3" s="6"/>
      <c r="T3" s="6"/>
      <c r="U3" s="6"/>
      <c r="V3" s="6"/>
      <c r="W3" s="6"/>
    </row>
    <row r="4" spans="1:27" ht="15.6">
      <c r="A4" s="224" t="s">
        <v>27</v>
      </c>
      <c r="B4" s="742" t="s">
        <v>431</v>
      </c>
      <c r="C4" s="8" t="s">
        <v>5</v>
      </c>
      <c r="D4" s="9" t="s">
        <v>6</v>
      </c>
      <c r="E4" s="10"/>
      <c r="F4" s="9" t="s">
        <v>7</v>
      </c>
      <c r="G4" s="11"/>
      <c r="H4" s="10"/>
      <c r="I4" s="9" t="s">
        <v>8</v>
      </c>
      <c r="J4" s="11"/>
      <c r="K4" s="10"/>
      <c r="L4" s="9" t="s">
        <v>9</v>
      </c>
      <c r="M4" s="89"/>
      <c r="N4" s="11"/>
      <c r="O4" s="10"/>
      <c r="P4" s="90" t="s">
        <v>10</v>
      </c>
      <c r="Q4" s="11"/>
      <c r="R4" s="91"/>
      <c r="S4" s="9" t="s">
        <v>11</v>
      </c>
      <c r="T4" s="11"/>
      <c r="U4" s="233" t="s">
        <v>30</v>
      </c>
      <c r="V4" s="309" t="s">
        <v>27</v>
      </c>
      <c r="W4" s="333"/>
      <c r="X4" s="334"/>
      <c r="Y4" s="334"/>
    </row>
    <row r="5" spans="1:27" ht="15.6">
      <c r="A5" s="222" t="s">
        <v>12</v>
      </c>
      <c r="B5" s="743" t="s">
        <v>222</v>
      </c>
      <c r="C5" s="231">
        <v>0.1</v>
      </c>
      <c r="D5" s="232">
        <v>0.2</v>
      </c>
      <c r="E5" s="225">
        <v>1.1000000000000001</v>
      </c>
      <c r="F5" s="232">
        <v>0.3</v>
      </c>
      <c r="G5" s="223">
        <v>1.2</v>
      </c>
      <c r="H5" s="225">
        <v>2.1</v>
      </c>
      <c r="I5" s="232">
        <v>0.4</v>
      </c>
      <c r="J5" s="223">
        <v>1.3</v>
      </c>
      <c r="K5" s="225">
        <v>2.2000000000000002</v>
      </c>
      <c r="L5" s="232">
        <v>0.5</v>
      </c>
      <c r="M5" s="223">
        <v>1.4</v>
      </c>
      <c r="N5" s="223">
        <v>2.2999999999999998</v>
      </c>
      <c r="O5" s="225">
        <v>3.2</v>
      </c>
      <c r="P5" s="232">
        <v>1.5</v>
      </c>
      <c r="Q5" s="223">
        <v>2.4</v>
      </c>
      <c r="R5" s="225">
        <v>3.3</v>
      </c>
      <c r="S5" s="232">
        <v>2.5</v>
      </c>
      <c r="T5" s="225">
        <v>3.4</v>
      </c>
      <c r="U5" s="234" t="s">
        <v>28</v>
      </c>
      <c r="V5" s="310" t="s">
        <v>12</v>
      </c>
      <c r="W5" s="335"/>
      <c r="X5" s="336" t="s">
        <v>196</v>
      </c>
      <c r="Y5" s="336" t="s">
        <v>194</v>
      </c>
      <c r="AA5" t="s">
        <v>62</v>
      </c>
    </row>
    <row r="6" spans="1:27" ht="15.6">
      <c r="A6" s="288">
        <v>1975</v>
      </c>
      <c r="B6" s="245"/>
      <c r="C6" s="246"/>
      <c r="D6" s="247"/>
      <c r="E6" s="246"/>
      <c r="F6" s="246"/>
      <c r="G6" s="246"/>
      <c r="H6" s="246"/>
      <c r="I6" s="92">
        <f>CCNumber!I7+UCRNumber!I7</f>
        <v>0</v>
      </c>
      <c r="J6" s="92">
        <f>CCNumber!J7+UCRNumber!J7</f>
        <v>2398.7488584474886</v>
      </c>
      <c r="K6" s="92">
        <f>CCNumber!K7+UCRNumber!K7</f>
        <v>38.689497716894977</v>
      </c>
      <c r="L6" s="92">
        <f>CCNumber!M8+UCRNumber!M8</f>
        <v>0</v>
      </c>
      <c r="M6" s="92">
        <f>CCNumber!N8+UCRNumber!N8</f>
        <v>8321.7037037037026</v>
      </c>
      <c r="N6" s="92">
        <f>CCNumber!O8+UCRNumber!O8</f>
        <v>151.30370370370372</v>
      </c>
      <c r="O6" s="92">
        <f>CCNumber!P8+UCRNumber!P8</f>
        <v>0</v>
      </c>
      <c r="P6" s="92">
        <f>CCNumber!Q9+UCRNumber!Q9</f>
        <v>46.549123306618931</v>
      </c>
      <c r="Q6" s="92">
        <f>CCNumber!R9+UCRNumber!R9</f>
        <v>2187.8087954110902</v>
      </c>
      <c r="R6" s="92">
        <f>CCNumber!S9+UCRNumber!S9</f>
        <v>0</v>
      </c>
      <c r="S6" s="92">
        <f>CCNumber!T10+UCRNumber!T10</f>
        <v>0</v>
      </c>
      <c r="T6" s="92">
        <f>CCNumber!U10+UCRNumber!U10</f>
        <v>0</v>
      </c>
      <c r="U6" s="248">
        <f>SUM(C6:T6)</f>
        <v>13144.803682289497</v>
      </c>
      <c r="V6" s="245">
        <v>1975</v>
      </c>
      <c r="W6" s="109"/>
      <c r="X6" s="23"/>
    </row>
    <row r="7" spans="1:27" ht="15.6">
      <c r="A7" s="330">
        <v>1976</v>
      </c>
      <c r="B7" s="13"/>
      <c r="C7" s="92"/>
      <c r="D7" s="92"/>
      <c r="E7" s="92"/>
      <c r="F7" s="92">
        <f>CCNumber!F7+UCRNumber!F7</f>
        <v>0</v>
      </c>
      <c r="G7" s="92">
        <f>CCNumber!G7+UCRNumber!G7</f>
        <v>77.378995433789953</v>
      </c>
      <c r="H7" s="92">
        <f>CCNumber!H7+UCRNumber!H7</f>
        <v>0</v>
      </c>
      <c r="I7" s="92">
        <f>CCNumber!I8+UCRNumber!I8</f>
        <v>0</v>
      </c>
      <c r="J7" s="92">
        <f>CCNumber!J8+UCRNumber!J8</f>
        <v>8624.3111111111102</v>
      </c>
      <c r="K7" s="92">
        <f>CCNumber!K8+UCRNumber!K8</f>
        <v>0</v>
      </c>
      <c r="L7" s="92">
        <f>CCNumber!M9+UCRNumber!M9</f>
        <v>0</v>
      </c>
      <c r="M7" s="92">
        <f>CCNumber!N9+UCRNumber!N9</f>
        <v>12053.313616207641</v>
      </c>
      <c r="N7" s="92">
        <f>CCNumber!O9+UCRNumber!O9</f>
        <v>3976.0709491070338</v>
      </c>
      <c r="O7" s="92">
        <f>CCNumber!P9+UCRNumber!P9</f>
        <v>0</v>
      </c>
      <c r="P7" s="92">
        <f>CCNumber!Q10+UCRNumber!Q10</f>
        <v>17.012994282515695</v>
      </c>
      <c r="Q7" s="92">
        <f>CCNumber!R10+UCRNumber!R10</f>
        <v>86.128283555235697</v>
      </c>
      <c r="R7" s="92">
        <f>CCNumber!S10+UCRNumber!S10</f>
        <v>0</v>
      </c>
      <c r="S7" s="92">
        <f>CCNumber!T11+UCRNumber!T11</f>
        <v>0</v>
      </c>
      <c r="T7" s="92">
        <f>CCNumber!U11+UCRNumber!U11</f>
        <v>0</v>
      </c>
      <c r="U7" s="180">
        <f>SUM(C7:T7)</f>
        <v>24834.215949697325</v>
      </c>
      <c r="V7" s="13">
        <v>1976</v>
      </c>
      <c r="W7" s="109"/>
      <c r="X7" s="338"/>
      <c r="Y7" s="339"/>
    </row>
    <row r="8" spans="1:27" ht="15.6">
      <c r="A8" s="330">
        <v>1977</v>
      </c>
      <c r="B8" s="13"/>
      <c r="C8" s="92"/>
      <c r="D8" s="92">
        <f>CCNumber!D7+UCRNumber!D7</f>
        <v>0</v>
      </c>
      <c r="E8" s="92">
        <f>CCNumber!E7+UCRNumber!E7</f>
        <v>0</v>
      </c>
      <c r="F8" s="92">
        <f>CCNumber!F8+UCRNumber!F8</f>
        <v>756.51851851851848</v>
      </c>
      <c r="G8" s="92">
        <f>CCNumber!G8+UCRNumber!G8</f>
        <v>1059.1259259259259</v>
      </c>
      <c r="H8" s="92">
        <f>CCNumber!H8+UCRNumber!H8</f>
        <v>0</v>
      </c>
      <c r="I8" s="92">
        <f>CCNumber!I9+UCRNumber!I9</f>
        <v>0</v>
      </c>
      <c r="J8" s="92">
        <f>CCNumber!J9+UCRNumber!J9</f>
        <v>25211.19913754526</v>
      </c>
      <c r="K8" s="92">
        <f>CCNumber!K9+UCRNumber!K9</f>
        <v>453.85395223953464</v>
      </c>
      <c r="L8" s="92">
        <f>CCNumber!M10+UCRNumber!M10</f>
        <v>0</v>
      </c>
      <c r="M8" s="92">
        <f>CCNumber!N10+UCRNumber!N10</f>
        <v>16990.664727519888</v>
      </c>
      <c r="N8" s="92">
        <f>CCNumber!O10+UCRNumber!O10</f>
        <v>82.938347127263995</v>
      </c>
      <c r="O8" s="92">
        <f>CCNumber!P10+UCRNumber!P10</f>
        <v>0</v>
      </c>
      <c r="P8" s="92">
        <f>CCNumber!Q11+UCRNumber!Q11</f>
        <v>18.29850437837419</v>
      </c>
      <c r="Q8" s="92">
        <f>CCNumber!R11+UCRNumber!R11</f>
        <v>1241.2485469997159</v>
      </c>
      <c r="R8" s="92">
        <f>CCNumber!S11+UCRNumber!S11</f>
        <v>59.978431018004279</v>
      </c>
      <c r="S8" s="92">
        <f>CCNumber!T12+UCRNumber!T12</f>
        <v>0</v>
      </c>
      <c r="T8" s="92">
        <f>CCNumber!U12+UCRNumber!U12</f>
        <v>0</v>
      </c>
      <c r="U8" s="180">
        <f t="shared" ref="U8:U22" si="0">SUM(C8:T8)</f>
        <v>45873.826091272495</v>
      </c>
      <c r="V8" s="13">
        <v>1977</v>
      </c>
      <c r="W8" s="109"/>
      <c r="X8" s="338"/>
      <c r="Y8" s="339"/>
    </row>
    <row r="9" spans="1:27" ht="15.6">
      <c r="A9" s="330">
        <v>1978</v>
      </c>
      <c r="B9" s="13"/>
      <c r="C9" s="92">
        <f>CCNumber!C7+UCRNumber!C7</f>
        <v>0</v>
      </c>
      <c r="D9" s="92">
        <f>CCNumber!D8+UCRNumber!D8</f>
        <v>0</v>
      </c>
      <c r="E9" s="92">
        <f>CCNumber!E8+UCRNumber!E8</f>
        <v>0</v>
      </c>
      <c r="F9" s="92">
        <f>CCNumber!F9+UCRNumber!F9</f>
        <v>17.4559212399821</v>
      </c>
      <c r="G9" s="92">
        <f>CCNumber!G9+UCRNumber!G9</f>
        <v>3576.5243073918882</v>
      </c>
      <c r="H9" s="92">
        <f>CCNumber!H9+UCRNumber!H9</f>
        <v>0</v>
      </c>
      <c r="I9" s="92">
        <f>CCNumber!I10+UCRNumber!I10</f>
        <v>0</v>
      </c>
      <c r="J9" s="92">
        <f>CCNumber!J10+UCRNumber!J10</f>
        <v>33917.530726480349</v>
      </c>
      <c r="K9" s="92">
        <f>CCNumber!K10+UCRNumber!K10</f>
        <v>19.139618567830155</v>
      </c>
      <c r="L9" s="92">
        <f>CCNumber!M11+UCRNumber!M11</f>
        <v>0</v>
      </c>
      <c r="M9" s="92">
        <f>CCNumber!N11+UCRNumber!N11</f>
        <v>22116.792291994938</v>
      </c>
      <c r="N9" s="92">
        <f>CCNumber!O11+UCRNumber!O11</f>
        <v>1639.7493090176424</v>
      </c>
      <c r="O9" s="92">
        <f>CCNumber!P11+UCRNumber!P11</f>
        <v>0</v>
      </c>
      <c r="P9" s="92">
        <f>CCNumber!Q12+UCRNumber!Q12</f>
        <v>228.04052170214777</v>
      </c>
      <c r="Q9" s="92">
        <f>CCNumber!R12+UCRNumber!R12</f>
        <v>652.97946742905742</v>
      </c>
      <c r="R9" s="92">
        <f>CCNumber!S12+UCRNumber!S12</f>
        <v>0</v>
      </c>
      <c r="S9" s="92">
        <f>CCNumber!T13+UCRNumber!T13</f>
        <v>0</v>
      </c>
      <c r="T9" s="92">
        <f>CCNumber!U13+UCRNumber!U13</f>
        <v>0</v>
      </c>
      <c r="U9" s="180">
        <f t="shared" si="0"/>
        <v>62168.212163823846</v>
      </c>
      <c r="V9" s="13">
        <v>1978</v>
      </c>
      <c r="W9" s="109"/>
      <c r="X9" s="338"/>
      <c r="Y9" s="339"/>
      <c r="AA9" s="787">
        <f>J9/U9</f>
        <v>0.54557674325750061</v>
      </c>
    </row>
    <row r="10" spans="1:27" ht="15.6">
      <c r="A10" s="330">
        <v>1979</v>
      </c>
      <c r="B10" s="13"/>
      <c r="C10" s="92">
        <f>CCNumber!C8+UCRNumber!C8</f>
        <v>0</v>
      </c>
      <c r="D10" s="92">
        <f>CCNumber!D9+UCRNumber!D9</f>
        <v>49.458443513282617</v>
      </c>
      <c r="E10" s="92">
        <f>CCNumber!E9+UCRNumber!E9</f>
        <v>103.76575403767137</v>
      </c>
      <c r="F10" s="92">
        <f>CCNumber!F10+UCRNumber!F10</f>
        <v>0</v>
      </c>
      <c r="G10" s="92">
        <f>CCNumber!G10+UCRNumber!G10</f>
        <v>2052.1924353284553</v>
      </c>
      <c r="H10" s="92">
        <f>CCNumber!H10+UCRNumber!H10</f>
        <v>0</v>
      </c>
      <c r="I10" s="92">
        <f>CCNumber!I11+UCRNumber!I11</f>
        <v>0</v>
      </c>
      <c r="J10" s="92">
        <f>CCNumber!J11+UCRNumber!J11</f>
        <v>13184.072404618604</v>
      </c>
      <c r="K10" s="92">
        <f>CCNumber!K11+UCRNumber!K11</f>
        <v>170.78604086482576</v>
      </c>
      <c r="L10" s="92">
        <f>CCNumber!M12+UCRNumber!M12</f>
        <v>0</v>
      </c>
      <c r="M10" s="92">
        <f>CCNumber!N12+UCRNumber!N12</f>
        <v>25990.591971268575</v>
      </c>
      <c r="N10" s="92">
        <f>CCNumber!O12+UCRNumber!O12</f>
        <v>344.5722420433334</v>
      </c>
      <c r="O10" s="92">
        <f>CCNumber!P12+UCRNumber!P12</f>
        <v>0</v>
      </c>
      <c r="P10" s="92">
        <f>CCNumber!Q13+UCRNumber!Q13</f>
        <v>244.2786328989427</v>
      </c>
      <c r="Q10" s="92">
        <f>CCNumber!R13+UCRNumber!R13</f>
        <v>623.26235554462755</v>
      </c>
      <c r="R10" s="92">
        <f>CCNumber!S13+UCRNumber!S13</f>
        <v>20.105237275633144</v>
      </c>
      <c r="S10" s="92">
        <f>CCNumber!T14+UCRNumber!T14</f>
        <v>0</v>
      </c>
      <c r="T10" s="92">
        <f>CCNumber!U14+UCRNumber!U14</f>
        <v>0</v>
      </c>
      <c r="U10" s="180">
        <f t="shared" si="0"/>
        <v>42783.085517393949</v>
      </c>
      <c r="V10" s="13">
        <v>1979</v>
      </c>
      <c r="W10" s="109"/>
      <c r="X10" s="338"/>
      <c r="Y10" s="339"/>
      <c r="AA10" s="787">
        <f t="shared" ref="AA10:AA37" si="1">J10/U10</f>
        <v>0.30816085948869842</v>
      </c>
    </row>
    <row r="11" spans="1:27" ht="15.6">
      <c r="A11" s="330">
        <v>1980</v>
      </c>
      <c r="B11" s="630">
        <f>Total_Run_Size!C96</f>
        <v>14283</v>
      </c>
      <c r="C11" s="92">
        <f>CCNumber!C9+UCRNumber!C9</f>
        <v>0</v>
      </c>
      <c r="D11" s="92">
        <f>CCNumber!D10+UCRNumber!D10</f>
        <v>0</v>
      </c>
      <c r="E11" s="92">
        <f>CCNumber!E10+UCRNumber!E10</f>
        <v>23.392867138459078</v>
      </c>
      <c r="F11" s="92">
        <f>CCNumber!F11+UCRNumber!F11</f>
        <v>15.24875364864516</v>
      </c>
      <c r="G11" s="92">
        <f>CCNumber!G11+UCRNumber!G11</f>
        <v>899.67646527006423</v>
      </c>
      <c r="H11" s="92">
        <f>CCNumber!H11+UCRNumber!H11</f>
        <v>9.149252189187095</v>
      </c>
      <c r="I11" s="92">
        <f>CCNumber!I12+UCRNumber!I12</f>
        <v>62.284195354771633</v>
      </c>
      <c r="J11" s="92">
        <f>CCNumber!J12+UCRNumber!J12</f>
        <v>12239.848971008672</v>
      </c>
      <c r="K11" s="92">
        <f>CCNumber!K12+UCRNumber!K12</f>
        <v>70.320865723129259</v>
      </c>
      <c r="L11" s="92">
        <f>CCNumber!M13+UCRNumber!M13</f>
        <v>0</v>
      </c>
      <c r="M11" s="92">
        <f>CCNumber!N13+UCRNumber!N13</f>
        <v>14046.524022621099</v>
      </c>
      <c r="N11" s="92">
        <f>CCNumber!O13+UCRNumber!O13</f>
        <v>1601.3821490041801</v>
      </c>
      <c r="O11" s="92">
        <f>CCNumber!P13+UCRNumber!P13</f>
        <v>0</v>
      </c>
      <c r="P11" s="92">
        <f>CCNumber!Q14+UCRNumber!Q14</f>
        <v>506.60848944747454</v>
      </c>
      <c r="Q11" s="92">
        <f>CCNumber!R14+UCRNumber!R14</f>
        <v>2086.5125286538614</v>
      </c>
      <c r="R11" s="92">
        <f>CCNumber!S14+UCRNumber!S14</f>
        <v>0</v>
      </c>
      <c r="S11" s="92">
        <f>CCNumber!T15+UCRNumber!T15</f>
        <v>0</v>
      </c>
      <c r="T11" s="92">
        <f>CCNumber!U15+UCRNumber!U15</f>
        <v>0</v>
      </c>
      <c r="U11" s="180">
        <f t="shared" si="0"/>
        <v>31560.948560059544</v>
      </c>
      <c r="V11" s="13">
        <v>1980</v>
      </c>
      <c r="W11" s="109"/>
      <c r="X11" s="338">
        <f t="shared" ref="X11:X29" si="2">U11-B11</f>
        <v>17277.948560059544</v>
      </c>
      <c r="Y11" s="339">
        <f t="shared" ref="Y11:Y29" si="3">U11/B11</f>
        <v>2.2096862395896899</v>
      </c>
      <c r="AA11" s="787">
        <f t="shared" si="1"/>
        <v>0.3878162580480306</v>
      </c>
    </row>
    <row r="12" spans="1:27" ht="15.6">
      <c r="A12" s="330">
        <v>1981</v>
      </c>
      <c r="B12" s="630">
        <f>Total_Run_Size!C97</f>
        <v>15084</v>
      </c>
      <c r="C12" s="92">
        <f>CCNumber!C10+UCRNumber!C10</f>
        <v>0</v>
      </c>
      <c r="D12" s="92">
        <f>CCNumber!D11+UCRNumber!D11</f>
        <v>0</v>
      </c>
      <c r="E12" s="92">
        <f>CCNumber!E11+UCRNumber!E11</f>
        <v>0</v>
      </c>
      <c r="F12" s="92">
        <f>CCNumber!F12+UCRNumber!F12</f>
        <v>43.197103229922263</v>
      </c>
      <c r="G12" s="92">
        <f>CCNumber!G12+UCRNumber!G12</f>
        <v>2828.907969661886</v>
      </c>
      <c r="H12" s="92">
        <f>CCNumber!H12+UCRNumber!H12</f>
        <v>0</v>
      </c>
      <c r="I12" s="92">
        <f>CCNumber!I13+UCRNumber!I13</f>
        <v>38.199950823702977</v>
      </c>
      <c r="J12" s="92">
        <f>CCNumber!J13+UCRNumber!J13</f>
        <v>21883.545512662899</v>
      </c>
      <c r="K12" s="92">
        <f>CCNumber!K13+UCRNumber!K13</f>
        <v>46.242045733956232</v>
      </c>
      <c r="L12" s="92">
        <f>CCNumber!M14+UCRNumber!M14</f>
        <v>0</v>
      </c>
      <c r="M12" s="92">
        <f>CCNumber!N14+UCRNumber!N14</f>
        <v>26247.84048691803</v>
      </c>
      <c r="N12" s="92">
        <f>CCNumber!O14+UCRNumber!O14</f>
        <v>1328.2235396411349</v>
      </c>
      <c r="O12" s="92">
        <f>CCNumber!P14+UCRNumber!P14</f>
        <v>0</v>
      </c>
      <c r="P12" s="92">
        <f>CCNumber!Q15+UCRNumber!Q15</f>
        <v>649.54500371931556</v>
      </c>
      <c r="Q12" s="92">
        <f>CCNumber!R15+UCRNumber!R15</f>
        <v>1551.2663030002479</v>
      </c>
      <c r="R12" s="92">
        <f>CCNumber!S15+UCRNumber!S15</f>
        <v>0</v>
      </c>
      <c r="S12" s="92">
        <f>CCNumber!T16+UCRNumber!T16</f>
        <v>0</v>
      </c>
      <c r="T12" s="92">
        <f>CCNumber!U16+UCRNumber!U16</f>
        <v>0</v>
      </c>
      <c r="U12" s="180">
        <f t="shared" si="0"/>
        <v>54616.967915391098</v>
      </c>
      <c r="V12" s="13">
        <v>1981</v>
      </c>
      <c r="W12" s="109"/>
      <c r="X12" s="338">
        <f t="shared" si="2"/>
        <v>39532.967915391098</v>
      </c>
      <c r="Y12" s="339">
        <f t="shared" si="3"/>
        <v>3.6208544096652808</v>
      </c>
      <c r="AA12" s="787">
        <f t="shared" si="1"/>
        <v>0.40067302063643301</v>
      </c>
    </row>
    <row r="13" spans="1:27" ht="15.6">
      <c r="A13" s="330">
        <v>1982</v>
      </c>
      <c r="B13" s="630">
        <f>Total_Run_Size!C98</f>
        <v>29956</v>
      </c>
      <c r="C13" s="92">
        <f>CCNumber!C11+UCRNumber!C11</f>
        <v>0</v>
      </c>
      <c r="D13" s="92">
        <f>CCNumber!D12+UCRNumber!D12</f>
        <v>56.256692578503412</v>
      </c>
      <c r="E13" s="92">
        <f>CCNumber!E12+UCRNumber!E12</f>
        <v>0</v>
      </c>
      <c r="F13" s="92">
        <f>CCNumber!F13+UCRNumber!F13</f>
        <v>0</v>
      </c>
      <c r="G13" s="92">
        <f>CCNumber!G13+UCRNumber!G13</f>
        <v>2352.3127612490775</v>
      </c>
      <c r="H13" s="92">
        <f>CCNumber!H13+UCRNumber!H13</f>
        <v>0</v>
      </c>
      <c r="I13" s="92">
        <f>CCNumber!I14+UCRNumber!I14</f>
        <v>42.217374120622878</v>
      </c>
      <c r="J13" s="92">
        <f>CCNumber!J14+UCRNumber!J14</f>
        <v>9968.171527942457</v>
      </c>
      <c r="K13" s="92">
        <f>CCNumber!K14+UCRNumber!K14</f>
        <v>19.484941901825945</v>
      </c>
      <c r="L13" s="92">
        <f>CCNumber!M15+UCRNumber!M15</f>
        <v>0</v>
      </c>
      <c r="M13" s="92">
        <f>CCNumber!N15+UCRNumber!N15</f>
        <v>19096.623109347878</v>
      </c>
      <c r="N13" s="92">
        <f>CCNumber!O15+UCRNumber!O15</f>
        <v>572.03627218306121</v>
      </c>
      <c r="O13" s="92">
        <f>CCNumber!P15+UCRNumber!P15</f>
        <v>0</v>
      </c>
      <c r="P13" s="92">
        <f>CCNumber!Q16+UCRNumber!Q16</f>
        <v>770.18994847866236</v>
      </c>
      <c r="Q13" s="92">
        <f>CCNumber!R16+UCRNumber!R16</f>
        <v>1822.1811671689186</v>
      </c>
      <c r="R13" s="92">
        <f>CCNumber!S16+UCRNumber!S16</f>
        <v>0</v>
      </c>
      <c r="S13" s="92">
        <f>CCNumber!T17+UCRNumber!T17</f>
        <v>67.234654377880176</v>
      </c>
      <c r="T13" s="92">
        <f>CCNumber!U17+UCRNumber!U17</f>
        <v>0</v>
      </c>
      <c r="U13" s="180">
        <f t="shared" si="0"/>
        <v>34766.708449348887</v>
      </c>
      <c r="V13" s="13">
        <v>1982</v>
      </c>
      <c r="W13" s="109"/>
      <c r="X13" s="338">
        <f t="shared" si="2"/>
        <v>4810.7084493488874</v>
      </c>
      <c r="Y13" s="339">
        <f t="shared" si="3"/>
        <v>1.1605924839547632</v>
      </c>
      <c r="AA13" s="787">
        <f t="shared" si="1"/>
        <v>0.28671599850946322</v>
      </c>
    </row>
    <row r="14" spans="1:27" ht="15.6">
      <c r="A14" s="330">
        <v>1983</v>
      </c>
      <c r="B14" s="630">
        <f>Total_Run_Size!C99</f>
        <v>16757</v>
      </c>
      <c r="C14" s="92">
        <f>CCNumber!C12+UCRNumber!C12</f>
        <v>0</v>
      </c>
      <c r="D14" s="92">
        <f>CCNumber!D13+UCRNumber!D13</f>
        <v>28.147332185886405</v>
      </c>
      <c r="E14" s="92">
        <f>CCNumber!E13+UCRNumber!E13</f>
        <v>0</v>
      </c>
      <c r="F14" s="92">
        <f>CCNumber!F14+UCRNumber!F14</f>
        <v>19.484941901825945</v>
      </c>
      <c r="G14" s="92">
        <f>CCNumber!G14+UCRNumber!G14</f>
        <v>826.48628566911691</v>
      </c>
      <c r="H14" s="92">
        <f>CCNumber!H14+UCRNumber!H14</f>
        <v>0</v>
      </c>
      <c r="I14" s="92">
        <f>CCNumber!I15+UCRNumber!I15</f>
        <v>28.383479154121357</v>
      </c>
      <c r="J14" s="92">
        <f>CCNumber!J15+UCRNumber!J15</f>
        <v>7774.8899436789352</v>
      </c>
      <c r="K14" s="92">
        <f>CCNumber!K15+UCRNumber!K15</f>
        <v>75.325386985937442</v>
      </c>
      <c r="L14" s="92">
        <f>CCNumber!M16+UCRNumber!M16</f>
        <v>0</v>
      </c>
      <c r="M14" s="92">
        <f>CCNumber!N16+UCRNumber!N16</f>
        <v>19091.283918213925</v>
      </c>
      <c r="N14" s="92">
        <f>CCNumber!O16+UCRNumber!O16</f>
        <v>698.98749230420265</v>
      </c>
      <c r="O14" s="92">
        <f>CCNumber!P16+UCRNumber!P16</f>
        <v>0</v>
      </c>
      <c r="P14" s="92">
        <f>CCNumber!Q17+UCRNumber!Q17</f>
        <v>382.33437788018432</v>
      </c>
      <c r="Q14" s="92">
        <f>CCNumber!R17+UCRNumber!R17</f>
        <v>1881.5668202764978</v>
      </c>
      <c r="R14" s="92">
        <f>CCNumber!S17+UCRNumber!S17</f>
        <v>18.063041474654376</v>
      </c>
      <c r="S14" s="92">
        <f>CCNumber!T18+UCRNumber!T18</f>
        <v>24.112452569851673</v>
      </c>
      <c r="T14" s="92">
        <f>CCNumber!U18+UCRNumber!U18</f>
        <v>0</v>
      </c>
      <c r="U14" s="180">
        <f t="shared" si="0"/>
        <v>30849.06547229514</v>
      </c>
      <c r="V14" s="13">
        <v>1983</v>
      </c>
      <c r="W14" s="109"/>
      <c r="X14" s="338">
        <f t="shared" si="2"/>
        <v>14092.06547229514</v>
      </c>
      <c r="Y14" s="339">
        <f t="shared" si="3"/>
        <v>1.8409658931965829</v>
      </c>
      <c r="AA14" s="787">
        <f t="shared" si="1"/>
        <v>0.25202999911492913</v>
      </c>
    </row>
    <row r="15" spans="1:27" ht="15.6">
      <c r="A15" s="330">
        <v>1984</v>
      </c>
      <c r="B15" s="630">
        <f>Total_Run_Size!C100</f>
        <v>41962</v>
      </c>
      <c r="C15" s="92">
        <f>CCNumber!C13+UCRNumber!C13</f>
        <v>0</v>
      </c>
      <c r="D15" s="92">
        <f>CCNumber!D14+UCRNumber!D14</f>
        <v>19.484941901825945</v>
      </c>
      <c r="E15" s="92">
        <f>CCNumber!E14+UCRNumber!E14</f>
        <v>19.484941901825945</v>
      </c>
      <c r="F15" s="92">
        <f>CCNumber!F15+UCRNumber!F15</f>
        <v>13.100067301902163</v>
      </c>
      <c r="G15" s="92">
        <f>CCNumber!G15+UCRNumber!G15</f>
        <v>970.49665261591872</v>
      </c>
      <c r="H15" s="92">
        <f>CCNumber!H15+UCRNumber!H15</f>
        <v>30.566823704438384</v>
      </c>
      <c r="I15" s="92">
        <f>CCNumber!I16+UCRNumber!I16</f>
        <v>14.039920935808949</v>
      </c>
      <c r="J15" s="92">
        <f>CCNumber!J16+UCRNumber!J16</f>
        <v>7595.5972262726427</v>
      </c>
      <c r="K15" s="92">
        <f>CCNumber!K16+UCRNumber!K16</f>
        <v>57.162535238650726</v>
      </c>
      <c r="L15" s="92">
        <f>CCNumber!M17+UCRNumber!M17</f>
        <v>0</v>
      </c>
      <c r="M15" s="92">
        <f>CCNumber!N17+UCRNumber!N17</f>
        <v>11753.018986175115</v>
      </c>
      <c r="N15" s="92">
        <f>CCNumber!O17+UCRNumber!O17</f>
        <v>459.60405529953914</v>
      </c>
      <c r="O15" s="92">
        <f>CCNumber!P17+UCRNumber!P17</f>
        <v>41.143594470046075</v>
      </c>
      <c r="P15" s="92">
        <f>CCNumber!Q18+UCRNumber!Q18</f>
        <v>354.65398988156835</v>
      </c>
      <c r="Q15" s="92">
        <f>CCNumber!R18+UCRNumber!R18</f>
        <v>418.95386340117278</v>
      </c>
      <c r="R15" s="92">
        <f>CCNumber!S18+UCRNumber!S18</f>
        <v>0</v>
      </c>
      <c r="S15" s="92">
        <f>CCNumber!T19+UCRNumber!T19</f>
        <v>21.08863208139681</v>
      </c>
      <c r="T15" s="92">
        <f>CCNumber!U19+UCRNumber!U19</f>
        <v>58.244793367667377</v>
      </c>
      <c r="U15" s="180">
        <f t="shared" si="0"/>
        <v>21826.641024549521</v>
      </c>
      <c r="V15" s="13">
        <v>1984</v>
      </c>
      <c r="W15" s="109"/>
      <c r="X15" s="338">
        <f t="shared" si="2"/>
        <v>-20135.358975450479</v>
      </c>
      <c r="Y15" s="339">
        <f t="shared" si="3"/>
        <v>0.5201525433618398</v>
      </c>
      <c r="AA15" s="787">
        <f t="shared" si="1"/>
        <v>0.34799661650775732</v>
      </c>
    </row>
    <row r="16" spans="1:27" ht="15.6">
      <c r="A16" s="330">
        <v>1985</v>
      </c>
      <c r="B16" s="630">
        <f>Total_Run_Size!C101</f>
        <v>8254</v>
      </c>
      <c r="C16" s="92">
        <f>CCNumber!C14+UCRNumber!C14</f>
        <v>0</v>
      </c>
      <c r="D16" s="92">
        <f>CCNumber!D15+UCRNumber!D15</f>
        <v>13.100067301902163</v>
      </c>
      <c r="E16" s="92">
        <f>CCNumber!E15+UCRNumber!E15</f>
        <v>43.666891006340542</v>
      </c>
      <c r="F16" s="92">
        <f>CCNumber!F16+UCRNumber!F16</f>
        <v>0</v>
      </c>
      <c r="G16" s="92">
        <f>CCNumber!G16+UCRNumber!G16</f>
        <v>792.25268137779074</v>
      </c>
      <c r="H16" s="92">
        <f>CCNumber!H16+UCRNumber!H16</f>
        <v>62.176792715725355</v>
      </c>
      <c r="I16" s="92">
        <f>CCNumber!I17+UCRNumber!I17</f>
        <v>0</v>
      </c>
      <c r="J16" s="92">
        <f>CCNumber!J17+UCRNumber!J17</f>
        <v>5455.0385253456225</v>
      </c>
      <c r="K16" s="92">
        <f>CCNumber!K17+UCRNumber!K17</f>
        <v>279.97714285714284</v>
      </c>
      <c r="L16" s="92">
        <f>CCNumber!M18+UCRNumber!M18</f>
        <v>0</v>
      </c>
      <c r="M16" s="92">
        <f>CCNumber!N18+UCRNumber!N18</f>
        <v>11986.902983787513</v>
      </c>
      <c r="N16" s="92">
        <f>CCNumber!O18+UCRNumber!O18</f>
        <v>524.44584339427388</v>
      </c>
      <c r="O16" s="92">
        <f>CCNumber!P18+UCRNumber!P18</f>
        <v>9.0421697136943777</v>
      </c>
      <c r="P16" s="92">
        <f>CCNumber!Q19+UCRNumber!Q19</f>
        <v>365.536289410878</v>
      </c>
      <c r="Q16" s="92">
        <f>CCNumber!R19+UCRNumber!R19</f>
        <v>1978.3145333500813</v>
      </c>
      <c r="R16" s="92">
        <f>CCNumber!S19+UCRNumber!S19</f>
        <v>0</v>
      </c>
      <c r="S16" s="92">
        <f>CCNumber!T20+UCRNumber!T20</f>
        <v>0</v>
      </c>
      <c r="T16" s="92">
        <f>CCNumber!U20+UCRNumber!U20</f>
        <v>0</v>
      </c>
      <c r="U16" s="180">
        <f t="shared" si="0"/>
        <v>21510.453920260963</v>
      </c>
      <c r="V16" s="13">
        <v>1985</v>
      </c>
      <c r="W16" s="109"/>
      <c r="X16" s="338">
        <f t="shared" si="2"/>
        <v>13256.453920260963</v>
      </c>
      <c r="Y16" s="339">
        <f t="shared" si="3"/>
        <v>2.6060642016308413</v>
      </c>
      <c r="AA16" s="787">
        <f t="shared" si="1"/>
        <v>0.25359941475746611</v>
      </c>
    </row>
    <row r="17" spans="1:27" ht="15.6">
      <c r="A17" s="330">
        <v>1986</v>
      </c>
      <c r="B17" s="630">
        <f>Total_Run_Size!C102</f>
        <v>55424</v>
      </c>
      <c r="C17" s="92">
        <f>CCNumber!C15+UCRNumber!C15</f>
        <v>0</v>
      </c>
      <c r="D17" s="92">
        <f>CCNumber!D16+UCRNumber!D16</f>
        <v>0</v>
      </c>
      <c r="E17" s="92">
        <f>CCNumber!E16+UCRNumber!E16</f>
        <v>45.128317293671628</v>
      </c>
      <c r="F17" s="92">
        <f>CCNumber!F17+UCRNumber!F17</f>
        <v>5.0175115207373269</v>
      </c>
      <c r="G17" s="92">
        <f>CCNumber!G17+UCRNumber!G17</f>
        <v>1267.4234101382488</v>
      </c>
      <c r="H17" s="92">
        <f>CCNumber!H17+UCRNumber!H17</f>
        <v>46.161105990783412</v>
      </c>
      <c r="I17" s="92">
        <f>CCNumber!I18+UCRNumber!I18</f>
        <v>197.92304817753245</v>
      </c>
      <c r="J17" s="92">
        <f>CCNumber!J18+UCRNumber!J18</f>
        <v>19733.028371852361</v>
      </c>
      <c r="K17" s="92">
        <f>CCNumber!K18+UCRNumber!K18</f>
        <v>164.76842589398643</v>
      </c>
      <c r="L17" s="92">
        <f>CCNumber!M19+UCRNumber!M19</f>
        <v>19.080190930787591</v>
      </c>
      <c r="M17" s="92">
        <f>CCNumber!N19+UCRNumber!N19</f>
        <v>43279.314721733841</v>
      </c>
      <c r="N17" s="92">
        <f>CCNumber!O19+UCRNumber!O19</f>
        <v>759.85572466201552</v>
      </c>
      <c r="O17" s="92">
        <f>CCNumber!P19+UCRNumber!P19</f>
        <v>36.15194071096596</v>
      </c>
      <c r="P17" s="92">
        <f>CCNumber!Q20+UCRNumber!Q20</f>
        <v>401.34712550879675</v>
      </c>
      <c r="Q17" s="92">
        <f>CCNumber!R20+UCRNumber!R20</f>
        <v>1605.2664951680913</v>
      </c>
      <c r="R17" s="92">
        <f>CCNumber!S20+UCRNumber!S20</f>
        <v>0</v>
      </c>
      <c r="S17" s="92">
        <f>CCNumber!T21+UCRNumber!T21</f>
        <v>0</v>
      </c>
      <c r="T17" s="92">
        <f>CCNumber!U21+UCRNumber!U21</f>
        <v>0</v>
      </c>
      <c r="U17" s="180">
        <f t="shared" si="0"/>
        <v>67560.466389581823</v>
      </c>
      <c r="V17" s="13">
        <v>1986</v>
      </c>
      <c r="W17" s="109"/>
      <c r="X17" s="338">
        <f t="shared" si="2"/>
        <v>12136.466389581823</v>
      </c>
      <c r="Y17" s="339">
        <f t="shared" si="3"/>
        <v>1.218974927641127</v>
      </c>
      <c r="AA17" s="787">
        <f t="shared" si="1"/>
        <v>0.29207951671120047</v>
      </c>
    </row>
    <row r="18" spans="1:27" ht="15.6">
      <c r="A18" s="330">
        <v>1987</v>
      </c>
      <c r="B18" s="630">
        <f>Total_Run_Size!C103</f>
        <v>22744</v>
      </c>
      <c r="C18" s="92">
        <f>CCNumber!C16+UCRNumber!C16</f>
        <v>0</v>
      </c>
      <c r="D18" s="92">
        <f>CCNumber!D17+UCRNumber!D17</f>
        <v>54.189124423963136</v>
      </c>
      <c r="E18" s="92">
        <f>CCNumber!E17+UCRNumber!E17</f>
        <v>65.227649769585256</v>
      </c>
      <c r="F18" s="92">
        <f>CCNumber!F18+UCRNumber!F18</f>
        <v>174.81528113142463</v>
      </c>
      <c r="G18" s="92">
        <f>CCNumber!G18+UCRNumber!G18</f>
        <v>1143.3321260204668</v>
      </c>
      <c r="H18" s="92">
        <f>CCNumber!H18+UCRNumber!H18</f>
        <v>42.196791997240425</v>
      </c>
      <c r="I18" s="92">
        <f>CCNumber!I19+UCRNumber!I19</f>
        <v>140.59088054264538</v>
      </c>
      <c r="J18" s="92">
        <f>CCNumber!J19+UCRNumber!J19</f>
        <v>9375.3263410620893</v>
      </c>
      <c r="K18" s="92">
        <f>CCNumber!K19+UCRNumber!K19</f>
        <v>502.7752573840354</v>
      </c>
      <c r="L18" s="92">
        <f>CCNumber!M20+UCRNumber!M20</f>
        <v>9.0756887677868594</v>
      </c>
      <c r="M18" s="92">
        <f>CCNumber!N20+UCRNumber!N20</f>
        <v>13878.130304960097</v>
      </c>
      <c r="N18" s="92">
        <f>CCNumber!O20+UCRNumber!O20</f>
        <v>1397.5731968688765</v>
      </c>
      <c r="O18" s="92">
        <f>CCNumber!P20+UCRNumber!P20</f>
        <v>0</v>
      </c>
      <c r="P18" s="92">
        <f>CCNumber!Q21+UCRNumber!Q21</f>
        <v>213.61000021249919</v>
      </c>
      <c r="Q18" s="92">
        <f>CCNumber!R21+UCRNumber!R21</f>
        <v>551.61163518015383</v>
      </c>
      <c r="R18" s="92">
        <f>CCNumber!S21+UCRNumber!S21</f>
        <v>0</v>
      </c>
      <c r="S18" s="92">
        <f>CCNumber!T22+UCRNumber!T22</f>
        <v>0</v>
      </c>
      <c r="T18" s="92">
        <f>CCNumber!U22+UCRNumber!U22</f>
        <v>0</v>
      </c>
      <c r="U18" s="180">
        <f t="shared" si="0"/>
        <v>27548.454278320864</v>
      </c>
      <c r="V18" s="13">
        <v>1987</v>
      </c>
      <c r="W18" s="109"/>
      <c r="X18" s="338">
        <f t="shared" si="2"/>
        <v>4804.4542783208635</v>
      </c>
      <c r="Y18" s="339">
        <f t="shared" si="3"/>
        <v>1.211240515226911</v>
      </c>
      <c r="AA18" s="787">
        <f t="shared" si="1"/>
        <v>0.34032132062088005</v>
      </c>
    </row>
    <row r="19" spans="1:27" ht="15.6">
      <c r="A19" s="330">
        <v>1988</v>
      </c>
      <c r="B19" s="630">
        <f>Total_Run_Size!C104</f>
        <v>19434</v>
      </c>
      <c r="C19" s="92">
        <f>CCNumber!C17+UCRNumber!C17</f>
        <v>0</v>
      </c>
      <c r="D19" s="92">
        <f>CCNumber!D18+UCRNumber!D18</f>
        <v>80.374841899505569</v>
      </c>
      <c r="E19" s="92">
        <f>CCNumber!E18+UCRNumber!E18</f>
        <v>87.407640565712313</v>
      </c>
      <c r="F19" s="92">
        <f>CCNumber!F19+UCRNumber!F19</f>
        <v>64.270116819495044</v>
      </c>
      <c r="G19" s="92">
        <f>CCNumber!G19+UCRNumber!G19</f>
        <v>3824.0334757690807</v>
      </c>
      <c r="H19" s="92">
        <f>CCNumber!H19+UCRNumber!H19</f>
        <v>0</v>
      </c>
      <c r="I19" s="92">
        <f>CCNumber!I20+UCRNumber!I20</f>
        <v>36.302755071147438</v>
      </c>
      <c r="J19" s="92">
        <f>CCNumber!J20+UCRNumber!J20</f>
        <v>31347.247265871323</v>
      </c>
      <c r="K19" s="92">
        <f>CCNumber!K20+UCRNumber!K20</f>
        <v>57.479362195983448</v>
      </c>
      <c r="L19" s="92">
        <f>CCNumber!M21+UCRNumber!M21</f>
        <v>0</v>
      </c>
      <c r="M19" s="92">
        <f>CCNumber!N21+UCRNumber!N21</f>
        <v>36211.645151829012</v>
      </c>
      <c r="N19" s="92">
        <f>CCNumber!O21+UCRNumber!O21</f>
        <v>117.5366029877388</v>
      </c>
      <c r="O19" s="92">
        <f>CCNumber!P21+UCRNumber!P21</f>
        <v>0</v>
      </c>
      <c r="P19" s="92">
        <f>CCNumber!Q22+UCRNumber!Q22</f>
        <v>652.21661540335595</v>
      </c>
      <c r="Q19" s="92">
        <f>CCNumber!R22+UCRNumber!R22</f>
        <v>267.1206389310891</v>
      </c>
      <c r="R19" s="92">
        <f>CCNumber!S22+UCRNumber!S22</f>
        <v>0</v>
      </c>
      <c r="S19" s="92">
        <f>CCNumber!T23+UCRNumber!T23</f>
        <v>24.056464076483486</v>
      </c>
      <c r="T19" s="92">
        <f>CCNumber!U23+UCRNumber!U23</f>
        <v>0</v>
      </c>
      <c r="U19" s="180">
        <f t="shared" si="0"/>
        <v>72769.690931419915</v>
      </c>
      <c r="V19" s="13">
        <v>1988</v>
      </c>
      <c r="W19" s="109"/>
      <c r="X19" s="338">
        <f t="shared" si="2"/>
        <v>53335.690931419915</v>
      </c>
      <c r="Y19" s="339">
        <f t="shared" si="3"/>
        <v>3.7444525538448037</v>
      </c>
      <c r="AA19" s="787">
        <f t="shared" si="1"/>
        <v>0.43077340118723056</v>
      </c>
    </row>
    <row r="20" spans="1:27" ht="15.6">
      <c r="A20" s="330">
        <v>1989</v>
      </c>
      <c r="B20" s="630">
        <f>Total_Run_Size!C105</f>
        <v>37080</v>
      </c>
      <c r="C20" s="92">
        <f>CCNumber!C18+UCRNumber!C18</f>
        <v>9.0421697136943777</v>
      </c>
      <c r="D20" s="92">
        <f>CCNumber!D19+UCRNumber!D19</f>
        <v>0</v>
      </c>
      <c r="E20" s="92">
        <f>CCNumber!E19+UCRNumber!E19</f>
        <v>757.16878182425785</v>
      </c>
      <c r="F20" s="92">
        <f>CCNumber!F20+UCRNumber!F20</f>
        <v>12.100918357049148</v>
      </c>
      <c r="G20" s="92">
        <f>CCNumber!G20+UCRNumber!G20</f>
        <v>4111.0821315700523</v>
      </c>
      <c r="H20" s="92">
        <f>CCNumber!H20+UCRNumber!H20</f>
        <v>0</v>
      </c>
      <c r="I20" s="92">
        <f>CCNumber!I21+UCRNumber!I21</f>
        <v>44.970526360526151</v>
      </c>
      <c r="J20" s="92">
        <f>CCNumber!J21+UCRNumber!J21</f>
        <v>31720.521207855119</v>
      </c>
      <c r="K20" s="92">
        <f>CCNumber!K21+UCRNumber!K21</f>
        <v>0</v>
      </c>
      <c r="L20" s="92">
        <f>CCNumber!M22+UCRNumber!M22</f>
        <v>0</v>
      </c>
      <c r="M20" s="92">
        <f>CCNumber!N22+UCRNumber!N22</f>
        <v>31949.172801461413</v>
      </c>
      <c r="N20" s="92">
        <f>CCNumber!O22+UCRNumber!O22</f>
        <v>699.1884283150157</v>
      </c>
      <c r="O20" s="92">
        <f>CCNumber!P22+UCRNumber!P22</f>
        <v>0</v>
      </c>
      <c r="P20" s="92">
        <f>CCNumber!Q23+UCRNumber!Q23</f>
        <v>76.353125112317144</v>
      </c>
      <c r="Q20" s="92">
        <f>CCNumber!R23+UCRNumber!R23</f>
        <v>261.48330517916827</v>
      </c>
      <c r="R20" s="92">
        <f>CCNumber!S23+UCRNumber!S23</f>
        <v>0</v>
      </c>
      <c r="S20" s="92">
        <f>CCNumber!T24+UCRNumber!T24</f>
        <v>0</v>
      </c>
      <c r="T20" s="92">
        <f>CCNumber!U24+UCRNumber!U24</f>
        <v>0</v>
      </c>
      <c r="U20" s="180">
        <f>SUM(C20:T20)</f>
        <v>69641.083395748617</v>
      </c>
      <c r="V20" s="13">
        <v>1989</v>
      </c>
      <c r="W20" s="109"/>
      <c r="X20" s="338">
        <f t="shared" si="2"/>
        <v>32561.083395748617</v>
      </c>
      <c r="Y20" s="339">
        <f t="shared" si="3"/>
        <v>1.8781306201658203</v>
      </c>
      <c r="AA20" s="787">
        <f t="shared" si="1"/>
        <v>0.45548575152970067</v>
      </c>
    </row>
    <row r="21" spans="1:27" ht="15.6">
      <c r="A21" s="330">
        <v>1990</v>
      </c>
      <c r="B21" s="630">
        <f>Total_Run_Size!C106</f>
        <v>25466</v>
      </c>
      <c r="C21" s="92">
        <f>CCNumber!C19+UCRNumber!C19</f>
        <v>0</v>
      </c>
      <c r="D21" s="92">
        <f>CCNumber!D20+UCRNumber!D20</f>
        <v>107.8998553503549</v>
      </c>
      <c r="E21" s="92">
        <f>CCNumber!E20+UCRNumber!E20</f>
        <v>45.378443838934302</v>
      </c>
      <c r="F21" s="92">
        <f>CCNumber!F21+UCRNumber!F21</f>
        <v>0</v>
      </c>
      <c r="G21" s="92">
        <f>CCNumber!G21+UCRNumber!G21</f>
        <v>4110.4521949177479</v>
      </c>
      <c r="H21" s="92">
        <f>CCNumber!H21+UCRNumber!H21</f>
        <v>0</v>
      </c>
      <c r="I21" s="92">
        <f>CCNumber!I22+UCRNumber!I22</f>
        <v>0</v>
      </c>
      <c r="J21" s="92">
        <f>CCNumber!J22+UCRNumber!J22</f>
        <v>55953.220203770397</v>
      </c>
      <c r="K21" s="92">
        <f>CCNumber!K22+UCRNumber!K22</f>
        <v>84.356092213052349</v>
      </c>
      <c r="L21" s="92">
        <f>CCNumber!M23+UCRNumber!M23</f>
        <v>0</v>
      </c>
      <c r="M21" s="92">
        <f>CCNumber!N23+UCRNumber!N23</f>
        <v>35388.394987142514</v>
      </c>
      <c r="N21" s="92">
        <f>CCNumber!O23+UCRNumber!O23</f>
        <v>1397.4536429045736</v>
      </c>
      <c r="O21" s="92">
        <f>CCNumber!P23+UCRNumber!P23</f>
        <v>0</v>
      </c>
      <c r="P21" s="92">
        <f>CCNumber!Q24+UCRNumber!Q24</f>
        <v>77.147287124078488</v>
      </c>
      <c r="Q21" s="92">
        <f>CCNumber!R24+UCRNumber!R24</f>
        <v>515.66597236469568</v>
      </c>
      <c r="R21" s="92">
        <f>CCNumber!S24+UCRNumber!S24</f>
        <v>0</v>
      </c>
      <c r="S21" s="92">
        <f>CCNumber!T25+UCRNumber!T25</f>
        <v>0</v>
      </c>
      <c r="T21" s="92">
        <f>CCNumber!U25+UCRNumber!U25</f>
        <v>0</v>
      </c>
      <c r="U21" s="180">
        <f t="shared" si="0"/>
        <v>97679.968679626356</v>
      </c>
      <c r="V21" s="13">
        <v>1990</v>
      </c>
      <c r="W21" s="109"/>
      <c r="X21" s="338">
        <f t="shared" si="2"/>
        <v>72213.968679626356</v>
      </c>
      <c r="Y21" s="339">
        <f t="shared" si="3"/>
        <v>3.8357012754113859</v>
      </c>
      <c r="AA21" s="787">
        <f t="shared" si="1"/>
        <v>0.57282184832887717</v>
      </c>
    </row>
    <row r="22" spans="1:27" ht="15.6">
      <c r="A22" s="330">
        <v>1991</v>
      </c>
      <c r="B22" s="630">
        <f>Total_Run_Size!C107</f>
        <v>22956</v>
      </c>
      <c r="C22" s="92">
        <f>CCNumber!C20+UCRNumber!C20</f>
        <v>0</v>
      </c>
      <c r="D22" s="92">
        <f>CCNumber!D21+UCRNumber!D21</f>
        <v>50.08081344694957</v>
      </c>
      <c r="E22" s="92">
        <f>CCNumber!E21+UCRNumber!E21</f>
        <v>23.507320597547761</v>
      </c>
      <c r="F22" s="92">
        <f>CCNumber!F22+UCRNumber!F22</f>
        <v>0</v>
      </c>
      <c r="G22" s="92">
        <f>CCNumber!G22+UCRNumber!G22</f>
        <v>7142.7400904797742</v>
      </c>
      <c r="H22" s="92">
        <f>CCNumber!H22+UCRNumber!H22</f>
        <v>0</v>
      </c>
      <c r="I22" s="92">
        <f>CCNumber!I23+UCRNumber!I23</f>
        <v>0</v>
      </c>
      <c r="J22" s="92">
        <f>CCNumber!J23+UCRNumber!J23</f>
        <v>42448.393087402495</v>
      </c>
      <c r="K22" s="92">
        <f>CCNumber!K23+UCRNumber!K23</f>
        <v>794.42971114786235</v>
      </c>
      <c r="L22" s="92">
        <f>CCNumber!M24+UCRNumber!M24</f>
        <v>0</v>
      </c>
      <c r="M22" s="92">
        <f>CCNumber!N24+UCRNumber!N24</f>
        <v>26201.568138228151</v>
      </c>
      <c r="N22" s="92">
        <f>CCNumber!O24+UCRNumber!O24</f>
        <v>1417.3904747256352</v>
      </c>
      <c r="O22" s="92">
        <f>CCNumber!P24+UCRNumber!P24</f>
        <v>0</v>
      </c>
      <c r="P22" s="92">
        <f>CCNumber!Q25+UCRNumber!Q25</f>
        <v>0</v>
      </c>
      <c r="Q22" s="92">
        <f>CCNumber!R25+UCRNumber!R25</f>
        <v>641.12739186656404</v>
      </c>
      <c r="R22" s="92">
        <f>CCNumber!S25+UCRNumber!S25</f>
        <v>0</v>
      </c>
      <c r="S22" s="92">
        <f>CCNumber!T26+UCRNumber!T26</f>
        <v>0</v>
      </c>
      <c r="T22" s="92">
        <f>CCNumber!U26+UCRNumber!U26</f>
        <v>0</v>
      </c>
      <c r="U22" s="180">
        <f t="shared" si="0"/>
        <v>78719.237027894982</v>
      </c>
      <c r="V22" s="13">
        <v>1991</v>
      </c>
      <c r="W22" s="109"/>
      <c r="X22" s="338">
        <f t="shared" si="2"/>
        <v>55763.237027894982</v>
      </c>
      <c r="Y22" s="339">
        <f t="shared" si="3"/>
        <v>3.4291356084637994</v>
      </c>
      <c r="AA22" s="787">
        <f t="shared" si="1"/>
        <v>0.5392378621805044</v>
      </c>
    </row>
    <row r="23" spans="1:27" ht="15.6">
      <c r="A23" s="330">
        <v>1992</v>
      </c>
      <c r="B23" s="630">
        <f>Total_Run_Size!C108</f>
        <v>14933</v>
      </c>
      <c r="C23" s="92">
        <f>CCNumber!C21+UCRNumber!C21</f>
        <v>0</v>
      </c>
      <c r="D23" s="92">
        <f>CCNumber!D22+UCRNumber!D22</f>
        <v>0</v>
      </c>
      <c r="E23" s="92">
        <f>CCNumber!E22+UCRNumber!E22</f>
        <v>189.28684106343454</v>
      </c>
      <c r="F23" s="92">
        <f>CCNumber!F23+UCRNumber!F23</f>
        <v>0</v>
      </c>
      <c r="G23" s="92">
        <f>CCNumber!G23+UCRNumber!G23</f>
        <v>5838.5700065365445</v>
      </c>
      <c r="H23" s="92">
        <f>CCNumber!H23+UCRNumber!H23</f>
        <v>85.766524098767221</v>
      </c>
      <c r="I23" s="92">
        <f>CCNumber!I24+UCRNumber!I24</f>
        <v>0</v>
      </c>
      <c r="J23" s="92">
        <f>CCNumber!J24+UCRNumber!J24</f>
        <v>56036.148750161839</v>
      </c>
      <c r="K23" s="92">
        <f>CCNumber!K24+UCRNumber!K24</f>
        <v>0</v>
      </c>
      <c r="L23" s="92">
        <f>CCNumber!M25+UCRNumber!M25</f>
        <v>0</v>
      </c>
      <c r="M23" s="92">
        <f>CCNumber!N25+UCRNumber!N25</f>
        <v>29655.106398145166</v>
      </c>
      <c r="N23" s="92">
        <f>CCNumber!O25+UCRNumber!O25</f>
        <v>347.7474973484243</v>
      </c>
      <c r="O23" s="92">
        <f>CCNumber!P25+UCRNumber!P25</f>
        <v>0</v>
      </c>
      <c r="P23" s="92">
        <f>CCNumber!Q26+UCRNumber!Q26</f>
        <v>460.52121340455903</v>
      </c>
      <c r="Q23" s="92">
        <f>CCNumber!R26+UCRNumber!R26</f>
        <v>175.18056691852354</v>
      </c>
      <c r="R23" s="92">
        <f>CCNumber!S26+UCRNumber!S26</f>
        <v>0</v>
      </c>
      <c r="S23" s="92">
        <f>CCNumber!T27+UCRNumber!T27</f>
        <v>0</v>
      </c>
      <c r="T23" s="92">
        <f>CCNumber!U27+UCRNumber!U27</f>
        <v>0</v>
      </c>
      <c r="U23" s="180">
        <f t="shared" ref="U23:U28" si="4">SUM(C23:T23)</f>
        <v>92788.327797677266</v>
      </c>
      <c r="V23" s="13">
        <v>1992</v>
      </c>
      <c r="W23" s="109"/>
      <c r="X23" s="338">
        <f t="shared" si="2"/>
        <v>77855.327797677266</v>
      </c>
      <c r="Y23" s="339">
        <f t="shared" si="3"/>
        <v>6.2136427909781871</v>
      </c>
      <c r="AA23" s="787">
        <f t="shared" si="1"/>
        <v>0.60391376889933102</v>
      </c>
    </row>
    <row r="24" spans="1:27" ht="15.6">
      <c r="A24" s="330">
        <v>1993</v>
      </c>
      <c r="B24" s="630">
        <f>Total_Run_Size!C109</f>
        <v>22827</v>
      </c>
      <c r="C24" s="92">
        <f>CCNumber!C22+UCRNumber!C22</f>
        <v>0</v>
      </c>
      <c r="D24" s="92">
        <f>CCNumber!D23+UCRNumber!D23</f>
        <v>0</v>
      </c>
      <c r="E24" s="92">
        <f>CCNumber!E23+UCRNumber!E23</f>
        <v>1359.8000469587732</v>
      </c>
      <c r="F24" s="92">
        <f>CCNumber!F24+UCRNumber!F24</f>
        <v>272.9091755475954</v>
      </c>
      <c r="G24" s="92">
        <f>CCNumber!G24+UCRNumber!G24</f>
        <v>7114.5318999569718</v>
      </c>
      <c r="H24" s="92">
        <f>CCNumber!H24+UCRNumber!H24</f>
        <v>0</v>
      </c>
      <c r="I24" s="92">
        <f>CCNumber!I25+UCRNumber!I25</f>
        <v>0</v>
      </c>
      <c r="J24" s="92">
        <f>CCNumber!J25+UCRNumber!J25</f>
        <v>68251.348966270903</v>
      </c>
      <c r="K24" s="92">
        <f>CCNumber!K25+UCRNumber!K25</f>
        <v>191.82531564647593</v>
      </c>
      <c r="L24" s="92">
        <f>CCNumber!M26+UCRNumber!M26</f>
        <v>0</v>
      </c>
      <c r="M24" s="92">
        <f>CCNumber!N26+UCRNumber!N26</f>
        <v>27830.432057365608</v>
      </c>
      <c r="N24" s="92">
        <f>CCNumber!O26+UCRNumber!O26</f>
        <v>964.06923271893095</v>
      </c>
      <c r="O24" s="92">
        <f>CCNumber!P26+UCRNumber!P26</f>
        <v>0</v>
      </c>
      <c r="P24" s="92">
        <f>CCNumber!Q27+UCRNumber!Q27</f>
        <v>77.169639999999987</v>
      </c>
      <c r="Q24" s="92">
        <f>CCNumber!R27+UCRNumber!R27</f>
        <v>368.26994469135798</v>
      </c>
      <c r="R24" s="92">
        <f>CCNumber!S27+UCRNumber!S27</f>
        <v>0</v>
      </c>
      <c r="S24" s="92">
        <f>CCNumber!T28+UCRNumber!T28</f>
        <v>0</v>
      </c>
      <c r="T24" s="92">
        <f>CCNumber!U28+UCRNumber!U28</f>
        <v>0</v>
      </c>
      <c r="U24" s="180">
        <f t="shared" si="4"/>
        <v>106430.35627915662</v>
      </c>
      <c r="V24" s="13">
        <v>1993</v>
      </c>
      <c r="W24" s="109"/>
      <c r="X24" s="338">
        <f t="shared" si="2"/>
        <v>83603.356279156622</v>
      </c>
      <c r="Y24" s="339">
        <f t="shared" si="3"/>
        <v>4.6624767283986781</v>
      </c>
      <c r="AA24" s="787">
        <f t="shared" si="1"/>
        <v>0.64127708815757567</v>
      </c>
    </row>
    <row r="25" spans="1:27" ht="15.6">
      <c r="A25" s="330">
        <v>1994</v>
      </c>
      <c r="B25" s="630">
        <f>Total_Run_Size!C110</f>
        <v>29813</v>
      </c>
      <c r="C25" s="92">
        <f>CCNumber!C23+UCRNumber!C23</f>
        <v>0</v>
      </c>
      <c r="D25" s="92">
        <f>CCNumber!D24+UCRNumber!D24</f>
        <v>0</v>
      </c>
      <c r="E25" s="92">
        <f>CCNumber!E24+UCRNumber!E24</f>
        <v>132.69333385341497</v>
      </c>
      <c r="F25" s="92">
        <f>CCNumber!F25+UCRNumber!F25</f>
        <v>44.109564560419606</v>
      </c>
      <c r="G25" s="92">
        <f>CCNumber!G25+UCRNumber!G25</f>
        <v>6148.7831459402105</v>
      </c>
      <c r="H25" s="92">
        <f>CCNumber!H25+UCRNumber!H25</f>
        <v>44.109564560419606</v>
      </c>
      <c r="I25" s="92">
        <f>CCNumber!I26+UCRNumber!I26</f>
        <v>0</v>
      </c>
      <c r="J25" s="92">
        <f>CCNumber!J26+UCRNumber!J26</f>
        <v>55667.160650015241</v>
      </c>
      <c r="K25" s="92">
        <f>CCNumber!K26+UCRNumber!K26</f>
        <v>253.0385966600895</v>
      </c>
      <c r="L25" s="92">
        <f>CCNumber!M27+UCRNumber!M27</f>
        <v>0</v>
      </c>
      <c r="M25" s="92">
        <f>CCNumber!N27+UCRNumber!N27</f>
        <v>16002.838661234568</v>
      </c>
      <c r="N25" s="92">
        <f>CCNumber!O27+UCRNumber!O27</f>
        <v>541.24765469135809</v>
      </c>
      <c r="O25" s="92">
        <f>CCNumber!P27+UCRNumber!P27</f>
        <v>0</v>
      </c>
      <c r="P25" s="92">
        <f>CCNumber!Q28+UCRNumber!Q28</f>
        <v>81.878036136101485</v>
      </c>
      <c r="Q25" s="92">
        <f>CCNumber!R28+UCRNumber!R28</f>
        <v>135.619712272203</v>
      </c>
      <c r="R25" s="92">
        <f>CCNumber!S28+UCRNumber!S28</f>
        <v>0</v>
      </c>
      <c r="S25" s="92">
        <f>CCNumber!T29+UCRNumber!T29</f>
        <v>0</v>
      </c>
      <c r="T25" s="92">
        <f>CCNumber!U29+UCRNumber!U29</f>
        <v>0</v>
      </c>
      <c r="U25" s="180">
        <f t="shared" si="4"/>
        <v>79051.478919924019</v>
      </c>
      <c r="V25" s="13">
        <v>1994</v>
      </c>
      <c r="W25" s="109"/>
      <c r="X25" s="338">
        <f t="shared" si="2"/>
        <v>49238.478919924019</v>
      </c>
      <c r="Y25" s="339">
        <f t="shared" si="3"/>
        <v>2.6515774635200757</v>
      </c>
      <c r="AA25" s="787">
        <f t="shared" si="1"/>
        <v>0.70418873132536641</v>
      </c>
    </row>
    <row r="26" spans="1:27" ht="15.6">
      <c r="A26" s="330">
        <v>1995</v>
      </c>
      <c r="B26" s="630">
        <f>Total_Run_Size!C111</f>
        <v>15841</v>
      </c>
      <c r="C26" s="92">
        <f>CCNumber!C24+UCRNumber!C24</f>
        <v>0</v>
      </c>
      <c r="D26" s="92">
        <f>CCNumber!D25+UCRNumber!D25</f>
        <v>44.109564560419606</v>
      </c>
      <c r="E26" s="92">
        <f>CCNumber!E25+UCRNumber!E25</f>
        <v>179.51566972263797</v>
      </c>
      <c r="F26" s="92">
        <f>CCNumber!F26+UCRNumber!F26</f>
        <v>0</v>
      </c>
      <c r="G26" s="92">
        <f>CCNumber!G26+UCRNumber!G26</f>
        <v>10515.024349583715</v>
      </c>
      <c r="H26" s="92">
        <f>CCNumber!H26+UCRNumber!H26</f>
        <v>0</v>
      </c>
      <c r="I26" s="92">
        <f>CCNumber!I27+UCRNumber!I27</f>
        <v>0</v>
      </c>
      <c r="J26" s="92">
        <f>CCNumber!J27+UCRNumber!J27</f>
        <v>48496.09767604938</v>
      </c>
      <c r="K26" s="92">
        <f>CCNumber!K27+UCRNumber!K27</f>
        <v>240.70424234567901</v>
      </c>
      <c r="L26" s="92">
        <f>CCNumber!M28+UCRNumber!M28</f>
        <v>0</v>
      </c>
      <c r="M26" s="92">
        <f>CCNumber!N28+UCRNumber!N28</f>
        <v>15068.4420361015</v>
      </c>
      <c r="N26" s="92">
        <f>CCNumber!O28+UCRNumber!O28</f>
        <v>762.60448908881199</v>
      </c>
      <c r="O26" s="92">
        <f>CCNumber!P28+UCRNumber!P28</f>
        <v>0</v>
      </c>
      <c r="P26" s="92">
        <f>CCNumber!Q29+UCRNumber!Q29</f>
        <v>28.153983732753993</v>
      </c>
      <c r="Q26" s="92">
        <f>CCNumber!R29+UCRNumber!R29</f>
        <v>958.55156315864701</v>
      </c>
      <c r="R26" s="92">
        <f>CCNumber!S29+UCRNumber!S29</f>
        <v>0</v>
      </c>
      <c r="S26" s="92">
        <f>CCNumber!T30+UCRNumber!T30</f>
        <v>0</v>
      </c>
      <c r="T26" s="92">
        <f>CCNumber!U30+UCRNumber!U30</f>
        <v>0</v>
      </c>
      <c r="U26" s="180">
        <f t="shared" si="4"/>
        <v>76293.203574343555</v>
      </c>
      <c r="V26" s="13">
        <v>1995</v>
      </c>
      <c r="W26" s="109"/>
      <c r="X26" s="338">
        <f t="shared" si="2"/>
        <v>60452.203574343555</v>
      </c>
      <c r="Y26" s="339">
        <f t="shared" si="3"/>
        <v>4.8161860724918597</v>
      </c>
      <c r="AA26" s="787">
        <f t="shared" si="1"/>
        <v>0.63565423136010513</v>
      </c>
    </row>
    <row r="27" spans="1:27" ht="15.6">
      <c r="A27" s="330">
        <v>1996</v>
      </c>
      <c r="B27" s="630">
        <f>Total_Run_Size!C112</f>
        <v>41484</v>
      </c>
      <c r="C27" s="92">
        <f>CCNumber!C25+UCRNumber!C25</f>
        <v>0</v>
      </c>
      <c r="D27" s="92">
        <f>CCNumber!D26+UCRNumber!D26</f>
        <v>0</v>
      </c>
      <c r="E27" s="92">
        <f>CCNumber!E26+UCRNumber!E26</f>
        <v>85.573333333333323</v>
      </c>
      <c r="F27" s="92">
        <f>CCNumber!F27+UCRNumber!F27</f>
        <v>0</v>
      </c>
      <c r="G27" s="92">
        <f>CCNumber!G27+UCRNumber!G27</f>
        <v>4772.061546296296</v>
      </c>
      <c r="H27" s="92">
        <f>CCNumber!H27+UCRNumber!H27</f>
        <v>0</v>
      </c>
      <c r="I27" s="92">
        <f>CCNumber!I28+UCRNumber!I28</f>
        <v>0</v>
      </c>
      <c r="J27" s="92">
        <f>CCNumber!J28+UCRNumber!J28</f>
        <v>55991.032530968863</v>
      </c>
      <c r="K27" s="92">
        <f>CCNumber!K28+UCRNumber!K28</f>
        <v>112.54544000000001</v>
      </c>
      <c r="L27" s="92">
        <f>CCNumber!M29+UCRNumber!M29</f>
        <v>0</v>
      </c>
      <c r="M27" s="92">
        <f>CCNumber!N29+UCRNumber!N29</f>
        <v>14143.248853878613</v>
      </c>
      <c r="N27" s="92">
        <f>CCNumber!O29+UCRNumber!O29</f>
        <v>1411.2921116803655</v>
      </c>
      <c r="O27" s="92">
        <f>CCNumber!P29+UCRNumber!P29</f>
        <v>0</v>
      </c>
      <c r="P27" s="92">
        <f>CCNumber!Q30+UCRNumber!Q30</f>
        <v>112.06925049627687</v>
      </c>
      <c r="Q27" s="92">
        <f>CCNumber!R30+UCRNumber!R30</f>
        <v>362.92207341471556</v>
      </c>
      <c r="R27" s="92">
        <f>CCNumber!S30+UCRNumber!S30</f>
        <v>0</v>
      </c>
      <c r="S27" s="92">
        <f>CCNumber!T31+UCRNumber!T31</f>
        <v>0</v>
      </c>
      <c r="T27" s="92">
        <f>CCNumber!U31+UCRNumber!U31</f>
        <v>0</v>
      </c>
      <c r="U27" s="180">
        <f t="shared" si="4"/>
        <v>76990.745140068466</v>
      </c>
      <c r="V27" s="13">
        <v>1996</v>
      </c>
      <c r="W27" s="109"/>
      <c r="X27" s="338">
        <f t="shared" si="2"/>
        <v>35506.745140068466</v>
      </c>
      <c r="Y27" s="339">
        <f t="shared" si="3"/>
        <v>1.8559142112638238</v>
      </c>
      <c r="AA27" s="787">
        <f t="shared" si="1"/>
        <v>0.72724367622504438</v>
      </c>
    </row>
    <row r="28" spans="1:27" ht="15.6">
      <c r="A28" s="330">
        <v>1997</v>
      </c>
      <c r="B28" s="630">
        <f>Total_Run_Size!C113</f>
        <v>38642</v>
      </c>
      <c r="C28" s="92">
        <f>CCNumber!C26+UCRNumber!C26</f>
        <v>0</v>
      </c>
      <c r="D28" s="92">
        <f>CCNumber!D27+UCRNumber!D27</f>
        <v>0</v>
      </c>
      <c r="E28" s="92">
        <f>CCNumber!E27+UCRNumber!E27</f>
        <v>246.62966469135802</v>
      </c>
      <c r="F28" s="92">
        <f>CCNumber!F28+UCRNumber!F28</f>
        <v>0</v>
      </c>
      <c r="G28" s="92">
        <f>CCNumber!G28+UCRNumber!G28</f>
        <v>8616.610270888119</v>
      </c>
      <c r="H28" s="92">
        <f>CCNumber!H28+UCRNumber!H28</f>
        <v>98.477259999999987</v>
      </c>
      <c r="I28" s="92">
        <f>CCNumber!I29+UCRNumber!I29</f>
        <v>0</v>
      </c>
      <c r="J28" s="92">
        <f>CCNumber!J29+UCRNumber!J29</f>
        <v>49172.428764518438</v>
      </c>
      <c r="K28" s="92">
        <f>CCNumber!K29+UCRNumber!K29</f>
        <v>452.3956617867812</v>
      </c>
      <c r="L28" s="92">
        <f>CCNumber!M30+UCRNumber!M30</f>
        <v>0</v>
      </c>
      <c r="M28" s="92">
        <f>CCNumber!N30+UCRNumber!N30</f>
        <v>24214.508840231327</v>
      </c>
      <c r="N28" s="92">
        <f>CCNumber!O30+UCRNumber!O30</f>
        <v>1275.7909201576731</v>
      </c>
      <c r="O28" s="92">
        <f>CCNumber!P30+UCRNumber!P30</f>
        <v>0</v>
      </c>
      <c r="P28" s="92">
        <f>CCNumber!Q31+UCRNumber!Q31</f>
        <v>0</v>
      </c>
      <c r="Q28" s="92">
        <f>CCNumber!R31+UCRNumber!R31</f>
        <v>265.90822464165711</v>
      </c>
      <c r="R28" s="92">
        <f>CCNumber!S31+UCRNumber!S31</f>
        <v>0</v>
      </c>
      <c r="S28" s="92">
        <f>CCNumber!T32+UCRNumber!T32</f>
        <v>118.48828125</v>
      </c>
      <c r="T28" s="92">
        <f>CCNumber!U32+UCRNumber!U32</f>
        <v>0</v>
      </c>
      <c r="U28" s="180">
        <f t="shared" si="4"/>
        <v>84461.237888165342</v>
      </c>
      <c r="V28" s="13">
        <v>1997</v>
      </c>
      <c r="W28" s="109"/>
      <c r="X28" s="338">
        <f t="shared" si="2"/>
        <v>45819.237888165342</v>
      </c>
      <c r="Y28" s="339">
        <f t="shared" si="3"/>
        <v>2.1857367084562225</v>
      </c>
      <c r="AA28" s="787">
        <f t="shared" si="1"/>
        <v>0.58218929764713345</v>
      </c>
    </row>
    <row r="29" spans="1:27" ht="15.6">
      <c r="A29" s="330">
        <v>1998</v>
      </c>
      <c r="B29" s="630">
        <f>Total_Run_Size!C114</f>
        <v>24952</v>
      </c>
      <c r="C29" s="92">
        <f>CCNumber!C27+UCRNumber!C27</f>
        <v>0</v>
      </c>
      <c r="D29" s="92">
        <f>CCNumber!D28+UCRNumber!D28</f>
        <v>43.032079999999993</v>
      </c>
      <c r="E29" s="92">
        <f>CCNumber!E28+UCRNumber!E28</f>
        <v>243.10306454440598</v>
      </c>
      <c r="F29" s="92">
        <f>CCNumber!F29+UCRNumber!F29</f>
        <v>0</v>
      </c>
      <c r="G29" s="92">
        <f>CCNumber!G29+UCRNumber!G29</f>
        <v>6610.3547149313254</v>
      </c>
      <c r="H29" s="92">
        <f>CCNumber!H29+UCRNumber!H29</f>
        <v>25.46286624768382</v>
      </c>
      <c r="I29" s="92">
        <f>CCNumber!I30+UCRNumber!I30</f>
        <v>0</v>
      </c>
      <c r="J29" s="92">
        <f>CCNumber!J30+UCRNumber!J30</f>
        <v>61827.510455917312</v>
      </c>
      <c r="K29" s="92">
        <f>CCNumber!K30+UCRNumber!K30</f>
        <v>197.6335540838852</v>
      </c>
      <c r="L29" s="92">
        <f>CCNumber!M31+UCRNumber!M31</f>
        <v>0</v>
      </c>
      <c r="M29" s="92">
        <f>CCNumber!N31+UCRNumber!N31</f>
        <v>26015.359135178303</v>
      </c>
      <c r="N29" s="92">
        <f>CCNumber!O31+UCRNumber!O31</f>
        <v>1055.9996987850079</v>
      </c>
      <c r="O29" s="92">
        <f>CCNumber!P31+UCRNumber!P31</f>
        <v>0</v>
      </c>
      <c r="P29" s="92">
        <f>CCNumber!Q32+UCRNumber!Q32</f>
        <v>13.955283299943492</v>
      </c>
      <c r="Q29" s="92">
        <f>CCNumber!R32+UCRNumber!R32</f>
        <v>449.6713613082913</v>
      </c>
      <c r="R29" s="92">
        <f>CCNumber!S32+UCRNumber!S32</f>
        <v>0</v>
      </c>
      <c r="S29" s="92">
        <f>CCNumber!T33+UCRNumber!T33</f>
        <v>0</v>
      </c>
      <c r="T29" s="92">
        <f>CCNumber!U33+UCRNumber!U33</f>
        <v>0</v>
      </c>
      <c r="U29" s="180">
        <f t="shared" ref="U29:U34" si="5">SUM(C29:T29)</f>
        <v>96482.08221429617</v>
      </c>
      <c r="V29" s="13">
        <v>1998</v>
      </c>
      <c r="W29" s="109"/>
      <c r="X29" s="338">
        <f t="shared" si="2"/>
        <v>71530.08221429617</v>
      </c>
      <c r="Y29" s="339">
        <f t="shared" si="3"/>
        <v>3.8667073667159415</v>
      </c>
      <c r="AA29" s="787">
        <f t="shared" si="1"/>
        <v>0.64081857518987151</v>
      </c>
    </row>
    <row r="30" spans="1:27" ht="15.6">
      <c r="A30" s="888">
        <v>1999</v>
      </c>
      <c r="B30" s="630">
        <f>Total_Run_Size!C115</f>
        <v>16157</v>
      </c>
      <c r="C30" s="799">
        <f>CCNumber!C28+UCRNumber!C28</f>
        <v>0</v>
      </c>
      <c r="D30" s="799">
        <f>CCNumber!D29+UCRNumber!D29</f>
        <v>10.246225074902723</v>
      </c>
      <c r="E30" s="799">
        <f>CCNumber!E29+UCRNumber!E29</f>
        <v>159.86525499049804</v>
      </c>
      <c r="F30" s="799">
        <f>CCNumber!F30+UCRNumber!F30</f>
        <v>75.704926535420157</v>
      </c>
      <c r="G30" s="799">
        <f>CCNumber!G30+UCRNumber!G30</f>
        <v>5974.2592968517056</v>
      </c>
      <c r="H30" s="799">
        <f>CCNumber!H30+UCRNumber!H30</f>
        <v>32.226169217460139</v>
      </c>
      <c r="I30" s="799">
        <f>CCNumber!I31+UCRNumber!I31</f>
        <v>0</v>
      </c>
      <c r="J30" s="92">
        <f>CCNumber!J31+UCRNumber!J31</f>
        <v>47490.721342012861</v>
      </c>
      <c r="K30" s="92">
        <f>CCNumber!K31+UCRNumber!K31</f>
        <v>205.99042473717347</v>
      </c>
      <c r="L30" s="92">
        <f>CCNumber!M32+UCRNumber!M32</f>
        <v>0</v>
      </c>
      <c r="M30" s="92">
        <f>CCNumber!N32+UCRNumber!N32</f>
        <v>20299.583773261162</v>
      </c>
      <c r="N30" s="92">
        <f>CCNumber!O32+UCRNumber!O32</f>
        <v>1381.760974072354</v>
      </c>
      <c r="O30" s="92">
        <f>CCNumber!P32+UCRNumber!P32</f>
        <v>0</v>
      </c>
      <c r="P30" s="92">
        <f>CCNumber!Q33+UCRNumber!Q33</f>
        <v>413.87159666615844</v>
      </c>
      <c r="Q30" s="92">
        <f>CCNumber!R33+UCRNumber!R33</f>
        <v>555.64754098360663</v>
      </c>
      <c r="R30" s="92">
        <f>CCNumber!S33+UCRNumber!S33</f>
        <v>0</v>
      </c>
      <c r="S30" s="92">
        <f>CCNumber!T34+UCRNumber!T34</f>
        <v>0</v>
      </c>
      <c r="T30" s="92">
        <f>CCNumber!U34+UCRNumber!U34</f>
        <v>0</v>
      </c>
      <c r="U30" s="180">
        <f t="shared" si="5"/>
        <v>76599.877524403302</v>
      </c>
      <c r="V30" s="13">
        <v>1999</v>
      </c>
      <c r="W30" s="109"/>
      <c r="X30" s="338">
        <f>U30-B30</f>
        <v>60442.877524403302</v>
      </c>
      <c r="Y30" s="339">
        <f>U30/B30</f>
        <v>4.740971561824801</v>
      </c>
      <c r="AA30" s="787">
        <f t="shared" si="1"/>
        <v>0.61998429862871773</v>
      </c>
    </row>
    <row r="31" spans="1:27" ht="15.6">
      <c r="A31" s="330">
        <v>2000</v>
      </c>
      <c r="B31" s="630">
        <f>Total_Run_Size!C116</f>
        <v>24492</v>
      </c>
      <c r="C31" s="799">
        <f>CCNumber!C29+UCRNumber!C29</f>
        <v>0</v>
      </c>
      <c r="D31" s="799">
        <f>CCNumber!D30+UCRNumber!D30</f>
        <v>37.852463267710093</v>
      </c>
      <c r="E31" s="799">
        <f>CCNumber!E30+UCRNumber!E30</f>
        <v>394.52204982652</v>
      </c>
      <c r="F31" s="799">
        <f>CCNumber!F31+UCRNumber!F31</f>
        <v>115.23863636363636</v>
      </c>
      <c r="G31" s="799">
        <f>CCNumber!G31+UCRNumber!G31</f>
        <v>5019.1373507663429</v>
      </c>
      <c r="H31" s="799">
        <f>CCNumber!H31+UCRNumber!H31</f>
        <v>19.816932301810937</v>
      </c>
      <c r="I31" s="799">
        <f>CCNumber!I32+UCRNumber!I32</f>
        <v>0</v>
      </c>
      <c r="J31" s="92">
        <f>CCNumber!J32+UCRNumber!J32</f>
        <v>37619.161498689777</v>
      </c>
      <c r="K31" s="92">
        <f>CCNumber!K32+UCRNumber!K32</f>
        <v>108.99016113230012</v>
      </c>
      <c r="L31" s="92">
        <f>CCNumber!M33+UCRNumber!M33</f>
        <v>0</v>
      </c>
      <c r="M31" s="92">
        <f>CCNumber!N33+UCRNumber!N33</f>
        <v>16359.593867404627</v>
      </c>
      <c r="N31" s="92">
        <f>CCNumber!O33+UCRNumber!O33</f>
        <v>3549.1644384477754</v>
      </c>
      <c r="O31" s="92">
        <f>CCNumber!P33+UCRNumber!P33</f>
        <v>0</v>
      </c>
      <c r="P31" s="92">
        <f>CCNumber!Q34+UCRNumber!Q34</f>
        <v>215.07656612529001</v>
      </c>
      <c r="Q31" s="92">
        <f>CCNumber!R34+UCRNumber!R34</f>
        <v>379.02492229568588</v>
      </c>
      <c r="R31" s="92">
        <f>CCNumber!S34+UCRNumber!S34</f>
        <v>0</v>
      </c>
      <c r="S31" s="92">
        <f>CCNumber!T35+UCRNumber!T35</f>
        <v>0</v>
      </c>
      <c r="T31" s="92">
        <f>CCNumber!U35+UCRNumber!U35</f>
        <v>0</v>
      </c>
      <c r="U31" s="180">
        <f t="shared" si="5"/>
        <v>63817.578886621472</v>
      </c>
      <c r="V31" s="13">
        <v>2000</v>
      </c>
      <c r="W31" s="109"/>
      <c r="X31" s="338">
        <f t="shared" ref="X31:X35" si="6">U31-B31</f>
        <v>39325.578886621472</v>
      </c>
      <c r="Y31" s="339">
        <f t="shared" ref="Y31:Y37" si="7">U31/B31</f>
        <v>2.6056499627070666</v>
      </c>
      <c r="AA31" s="787">
        <f t="shared" si="1"/>
        <v>0.58947960977216174</v>
      </c>
    </row>
    <row r="32" spans="1:27" ht="15.6">
      <c r="A32" s="330">
        <v>2001</v>
      </c>
      <c r="B32" s="630">
        <f>Total_Run_Size!C117</f>
        <v>28208</v>
      </c>
      <c r="C32" s="799">
        <f>CCNumber!C30+UCRNumber!C30</f>
        <v>0</v>
      </c>
      <c r="D32" s="799">
        <f>CCNumber!D31+UCRNumber!D31</f>
        <v>0</v>
      </c>
      <c r="E32" s="799">
        <f>CCNumber!E31+UCRNumber!E31</f>
        <v>370.82825521321246</v>
      </c>
      <c r="F32" s="799">
        <f>CCNumber!F32+UCRNumber!F32</f>
        <v>73.0797557112231</v>
      </c>
      <c r="G32" s="799">
        <f>CCNumber!G32+UCRNumber!G32</f>
        <v>5890.5726635800202</v>
      </c>
      <c r="H32" s="799">
        <f>CCNumber!H32+UCRNumber!H32</f>
        <v>17.889646743954227</v>
      </c>
      <c r="I32" s="799">
        <f>CCNumber!I33+UCRNumber!I33</f>
        <v>0</v>
      </c>
      <c r="J32" s="92">
        <f>CCNumber!J33+UCRNumber!J33</f>
        <v>68219.100697904621</v>
      </c>
      <c r="K32" s="92">
        <f>CCNumber!K33+UCRNumber!K33</f>
        <v>850.7367863423442</v>
      </c>
      <c r="L32" s="92">
        <f>CCNumber!M34+UCRNumber!M34</f>
        <v>0</v>
      </c>
      <c r="M32" s="92">
        <f>CCNumber!N34+UCRNumber!N34</f>
        <v>22479.30776494227</v>
      </c>
      <c r="N32" s="92">
        <f>CCNumber!O34+UCRNumber!O34</f>
        <v>830.48865435976597</v>
      </c>
      <c r="O32" s="92">
        <f>CCNumber!P34+UCRNumber!P34</f>
        <v>0</v>
      </c>
      <c r="P32" s="92">
        <f>CCNumber!Q35+UCRNumber!Q35</f>
        <v>21.54212393419624</v>
      </c>
      <c r="Q32" s="92">
        <f>CCNumber!R35+UCRNumber!R35</f>
        <v>24.558819281155525</v>
      </c>
      <c r="R32" s="92">
        <f>CCNumber!S35+UCRNumber!S35</f>
        <v>0</v>
      </c>
      <c r="S32" s="92">
        <f>CCNumber!T36+UCRNumber!T36</f>
        <v>0</v>
      </c>
      <c r="T32" s="92">
        <f>CCNumber!U36+UCRNumber!U36</f>
        <v>0</v>
      </c>
      <c r="U32" s="631">
        <f>SUM(C32:T32)</f>
        <v>98778.105168012771</v>
      </c>
      <c r="V32" s="13">
        <v>2001</v>
      </c>
      <c r="W32" s="109"/>
      <c r="X32" s="338">
        <f t="shared" si="6"/>
        <v>70570.105168012771</v>
      </c>
      <c r="Y32" s="339">
        <f t="shared" si="7"/>
        <v>3.5017762750997155</v>
      </c>
      <c r="AA32" s="787">
        <f t="shared" si="1"/>
        <v>0.69062977652658952</v>
      </c>
    </row>
    <row r="33" spans="1:27" ht="15.6">
      <c r="A33" s="330">
        <v>2002</v>
      </c>
      <c r="B33" s="630">
        <f>Total_Run_Size!C118</f>
        <v>21469</v>
      </c>
      <c r="C33" s="799">
        <f>CCNumber!C31+UCRNumber!C31</f>
        <v>0</v>
      </c>
      <c r="D33" s="799">
        <f>CCNumber!D32+UCRNumber!D32</f>
        <v>17.000529323872506</v>
      </c>
      <c r="E33" s="799">
        <f>CCNumber!E32+UCRNumber!E32</f>
        <v>350.8460716270979</v>
      </c>
      <c r="F33" s="799">
        <f>CCNumber!F33+UCRNumber!F33</f>
        <v>0</v>
      </c>
      <c r="G33" s="799">
        <f>CCNumber!G33+UCRNumber!G33</f>
        <v>9564.4699599625565</v>
      </c>
      <c r="H33" s="799">
        <f>CCNumber!H33+UCRNumber!H33</f>
        <v>0</v>
      </c>
      <c r="I33" s="799">
        <f>CCNumber!I34+UCRNumber!I34</f>
        <v>0</v>
      </c>
      <c r="J33" s="92">
        <f>CCNumber!J34+UCRNumber!J34</f>
        <v>57978.039080006849</v>
      </c>
      <c r="K33" s="92">
        <f>CCNumber!K34+UCRNumber!K34</f>
        <v>501.60877126842792</v>
      </c>
      <c r="L33" s="92">
        <f>CCNumber!M35+UCRNumber!M35</f>
        <v>0</v>
      </c>
      <c r="M33" s="92">
        <f>CCNumber!N35+UCRNumber!N35</f>
        <v>17045.187504932786</v>
      </c>
      <c r="N33" s="92">
        <f>CCNumber!O35+UCRNumber!O35</f>
        <v>395.56161647537806</v>
      </c>
      <c r="O33" s="92">
        <f>CCNumber!P35+UCRNumber!P35</f>
        <v>0</v>
      </c>
      <c r="P33" s="92">
        <f>CCNumber!Q36+UCRNumber!Q36</f>
        <v>35.701390668236186</v>
      </c>
      <c r="Q33" s="92">
        <f>CCNumber!R36+UCRNumber!R36</f>
        <v>763.1078662760217</v>
      </c>
      <c r="R33" s="92">
        <f>CCNumber!S36+UCRNumber!S36</f>
        <v>0</v>
      </c>
      <c r="S33" s="92">
        <f>CCNumber!T37+UCRNumber!T37</f>
        <v>0</v>
      </c>
      <c r="T33" s="92">
        <f>CCNumber!U37+UCRNumber!U37</f>
        <v>0</v>
      </c>
      <c r="U33" s="631">
        <f>SUM(C33:T33)</f>
        <v>86651.522790541218</v>
      </c>
      <c r="V33" s="13">
        <v>2002</v>
      </c>
      <c r="W33" s="109"/>
      <c r="X33" s="338">
        <f t="shared" si="6"/>
        <v>65182.522790541218</v>
      </c>
      <c r="Y33" s="339">
        <f t="shared" si="7"/>
        <v>4.0361229116652479</v>
      </c>
      <c r="AA33" s="787">
        <f t="shared" si="1"/>
        <v>0.6690942895505082</v>
      </c>
    </row>
    <row r="34" spans="1:27" ht="15.6">
      <c r="A34" s="330">
        <v>2003</v>
      </c>
      <c r="B34" s="630">
        <f>Total_Run_Size!C119</f>
        <v>34016</v>
      </c>
      <c r="C34" s="799">
        <f>CCNumber!C32+UCRNumber!C32</f>
        <v>0</v>
      </c>
      <c r="D34" s="799">
        <f>CCNumber!D33+UCRNumber!D33</f>
        <v>0</v>
      </c>
      <c r="E34" s="799">
        <f>CCNumber!E33+UCRNumber!E33</f>
        <v>364.41511228830996</v>
      </c>
      <c r="F34" s="799">
        <f>CCNumber!F34+UCRNumber!F34</f>
        <v>25.882690084868258</v>
      </c>
      <c r="G34" s="799">
        <f>CCNumber!G34+UCRNumber!G34</f>
        <v>5160.3299022645133</v>
      </c>
      <c r="H34" s="799">
        <f>CCNumber!H34+UCRNumber!H34</f>
        <v>92.703365589683685</v>
      </c>
      <c r="I34" s="799">
        <f>CCNumber!I35+UCRNumber!I35</f>
        <v>0</v>
      </c>
      <c r="J34" s="92">
        <f>CCNumber!J35+UCRNumber!J35</f>
        <v>32182.444204813113</v>
      </c>
      <c r="K34" s="92">
        <f>CCNumber!K35+UCRNumber!K35</f>
        <v>198.99714555718967</v>
      </c>
      <c r="L34" s="92">
        <f>CCNumber!M36+UCRNumber!M36</f>
        <v>0</v>
      </c>
      <c r="M34" s="92">
        <f>CCNumber!N36+UCRNumber!N36</f>
        <v>9625.672480758838</v>
      </c>
      <c r="N34" s="92">
        <f>CCNumber!O36+UCRNumber!O36</f>
        <v>353.04011136325988</v>
      </c>
      <c r="O34" s="92">
        <f>CCNumber!P36+UCRNumber!P36</f>
        <v>0</v>
      </c>
      <c r="P34" s="92">
        <f>CCNumber!Q37+UCRNumber!Q37</f>
        <v>0</v>
      </c>
      <c r="Q34" s="92">
        <f>CCNumber!R37+UCRNumber!R37</f>
        <v>139.68343225782144</v>
      </c>
      <c r="R34" s="92">
        <f>CCNumber!S37+UCRNumber!S37</f>
        <v>0</v>
      </c>
      <c r="S34" s="92">
        <f>CCNumber!T38+UCRNumber!T38</f>
        <v>0</v>
      </c>
      <c r="T34" s="92">
        <f>CCNumber!U38+UCRNumber!U38</f>
        <v>0</v>
      </c>
      <c r="U34" s="631">
        <f t="shared" si="5"/>
        <v>48143.1684449776</v>
      </c>
      <c r="V34" s="13">
        <v>2003</v>
      </c>
      <c r="W34" s="109"/>
      <c r="X34" s="338">
        <f t="shared" si="6"/>
        <v>14127.1684449776</v>
      </c>
      <c r="Y34" s="339">
        <f t="shared" si="7"/>
        <v>1.4153095144925212</v>
      </c>
      <c r="AA34" s="787">
        <f t="shared" si="1"/>
        <v>0.66847374704043716</v>
      </c>
    </row>
    <row r="35" spans="1:27" ht="15.6">
      <c r="A35" s="330">
        <v>2004</v>
      </c>
      <c r="B35" s="630">
        <f>Total_Run_Size!C120</f>
        <v>30638</v>
      </c>
      <c r="C35" s="799">
        <f>CCNumber!C33+UCRNumber!C33</f>
        <v>0</v>
      </c>
      <c r="D35" s="799">
        <f>CCNumber!D34+UCRNumber!D34</f>
        <v>0</v>
      </c>
      <c r="E35" s="799">
        <f>CCNumber!E34+UCRNumber!E34</f>
        <v>107.53828306264501</v>
      </c>
      <c r="F35" s="799">
        <f>CCNumber!F35+UCRNumber!F35</f>
        <v>0</v>
      </c>
      <c r="G35" s="799">
        <f>CCNumber!G35+UCRNumber!G35</f>
        <v>3972.7109198777243</v>
      </c>
      <c r="H35" s="799">
        <f>CCNumber!H35+UCRNumber!H35</f>
        <v>15.842333515283842</v>
      </c>
      <c r="I35" s="799">
        <f>CCNumber!I36+UCRNumber!I36</f>
        <v>0</v>
      </c>
      <c r="J35" s="92">
        <f>CCNumber!J36+UCRNumber!J36</f>
        <v>27038.839773421794</v>
      </c>
      <c r="K35" s="92">
        <f>CCNumber!K36+UCRNumber!K36</f>
        <v>358.10595873926673</v>
      </c>
      <c r="L35" s="92">
        <f>CCNumber!M37+UCRNumber!M37</f>
        <v>0</v>
      </c>
      <c r="M35" s="92">
        <f>CCNumber!N37+UCRNumber!N37</f>
        <v>6759.2925226127109</v>
      </c>
      <c r="N35" s="92">
        <f>CCNumber!O37+UCRNumber!O37</f>
        <v>452.34997717026795</v>
      </c>
      <c r="O35" s="92">
        <f>CCNumber!P37+UCRNumber!P37</f>
        <v>0</v>
      </c>
      <c r="P35" s="92">
        <f>CCNumber!Q38+UCRNumber!Q38</f>
        <v>0</v>
      </c>
      <c r="Q35" s="92">
        <f>CCNumber!R38+UCRNumber!R38</f>
        <v>17.088239669415429</v>
      </c>
      <c r="R35" s="92">
        <f>CCNumber!S38+UCRNumber!S38</f>
        <v>0</v>
      </c>
      <c r="S35" s="92">
        <f>CCNumber!T39+UCRNumber!T39</f>
        <v>0</v>
      </c>
      <c r="T35" s="92">
        <f>CCNumber!U39+UCRNumber!U39</f>
        <v>0</v>
      </c>
      <c r="U35" s="631">
        <f>SUM(C35:T35)</f>
        <v>38721.768008069106</v>
      </c>
      <c r="V35" s="13">
        <v>2004</v>
      </c>
      <c r="W35" s="109"/>
      <c r="X35" s="338">
        <f t="shared" si="6"/>
        <v>8083.7680080691061</v>
      </c>
      <c r="Y35" s="339">
        <f t="shared" si="7"/>
        <v>1.2638477710055849</v>
      </c>
      <c r="AA35" s="787">
        <f t="shared" si="1"/>
        <v>0.69828525825027554</v>
      </c>
    </row>
    <row r="36" spans="1:27" ht="15.6">
      <c r="A36" s="330">
        <v>2005</v>
      </c>
      <c r="B36" s="630">
        <f>Total_Run_Size!C121</f>
        <v>21506</v>
      </c>
      <c r="C36" s="92">
        <f>CCNumber!C34+UCRNumber!C34</f>
        <v>0</v>
      </c>
      <c r="D36" s="92">
        <f>CCNumber!D35+UCRNumber!D35</f>
        <v>15.842333515283842</v>
      </c>
      <c r="E36" s="92">
        <f>CCNumber!E35+UCRNumber!E35</f>
        <v>7.3129980978916072</v>
      </c>
      <c r="F36" s="92">
        <f>CCNumber!F36+UCRNumber!F36</f>
        <v>0</v>
      </c>
      <c r="G36" s="92">
        <f>CCNumber!G36+UCRNumber!G36</f>
        <v>4591.5178731503456</v>
      </c>
      <c r="H36" s="92">
        <f>CCNumber!H36+UCRNumber!H36</f>
        <v>52.353301908846205</v>
      </c>
      <c r="I36" s="92">
        <f>CCNumber!I37+UCRNumber!I37</f>
        <v>0</v>
      </c>
      <c r="J36" s="92">
        <f>CCNumber!J37+UCRNumber!J37</f>
        <v>19724.564662776269</v>
      </c>
      <c r="K36" s="92">
        <f>CCNumber!K37+UCRNumber!K37</f>
        <v>221.57497149536761</v>
      </c>
      <c r="L36" s="92">
        <f>CCNumber!M38+UCRNumber!M38</f>
        <v>0</v>
      </c>
      <c r="M36" s="92">
        <f>CCNumber!N38+UCRNumber!N38</f>
        <v>6002.8139890854263</v>
      </c>
      <c r="N36" s="92">
        <f>CCNumber!O38+UCRNumber!O38</f>
        <v>1169.1064689137836</v>
      </c>
      <c r="O36" s="92">
        <f>CCNumber!P38+UCRNumber!P38</f>
        <v>0</v>
      </c>
      <c r="P36" s="92">
        <f>CCNumber!Q39+UCRNumber!Q39</f>
        <v>831.60972283631918</v>
      </c>
      <c r="Q36" s="92">
        <f>CCNumber!R39+UCRNumber!R39</f>
        <v>31.3465849929383</v>
      </c>
      <c r="R36" s="92">
        <f>CCNumber!S39+UCRNumber!S39</f>
        <v>0</v>
      </c>
      <c r="S36" s="92">
        <f>CCNumber!T40+UCRNumber!T40</f>
        <v>0</v>
      </c>
      <c r="T36" s="92">
        <f>CCNumber!U40+UCRNumber!U40</f>
        <v>0</v>
      </c>
      <c r="U36" s="631">
        <f>SUM(C36:T36)</f>
        <v>32648.042906772465</v>
      </c>
      <c r="V36" s="13">
        <v>2005</v>
      </c>
      <c r="W36" s="109"/>
      <c r="X36" s="338">
        <f>U36-B36</f>
        <v>11142.042906772465</v>
      </c>
      <c r="Y36" s="339">
        <f t="shared" si="7"/>
        <v>1.5180899705557735</v>
      </c>
      <c r="AA36" s="787">
        <f t="shared" si="1"/>
        <v>0.60415764335707345</v>
      </c>
    </row>
    <row r="37" spans="1:27" ht="15.6">
      <c r="A37" s="330">
        <v>2006</v>
      </c>
      <c r="B37" s="630">
        <f>Total_Run_Size!C122</f>
        <v>58436</v>
      </c>
      <c r="C37" s="92">
        <f>CCNumber!C35+UCRNumber!C35</f>
        <v>0</v>
      </c>
      <c r="D37" s="92">
        <f>CCNumber!D36+UCRNumber!D36</f>
        <v>0</v>
      </c>
      <c r="E37" s="92">
        <f>CCNumber!E36+UCRNumber!E36</f>
        <v>192.66124371339365</v>
      </c>
      <c r="F37" s="92">
        <f>CCNumber!F37+UCRNumber!F37</f>
        <v>0</v>
      </c>
      <c r="G37" s="92">
        <f>CCNumber!G37+UCRNumber!G37</f>
        <v>5400.9059432897675</v>
      </c>
      <c r="H37" s="92">
        <f>CCNumber!H37+UCRNumber!H37</f>
        <v>128.10768918285595</v>
      </c>
      <c r="I37" s="92">
        <f>CCNumber!I38+UCRNumber!I38</f>
        <v>0</v>
      </c>
      <c r="J37" s="92">
        <f>CCNumber!J38+UCRNumber!J38</f>
        <v>41071.275462397622</v>
      </c>
      <c r="K37" s="92">
        <f>CCNumber!K38+UCRNumber!K38</f>
        <v>130.89298247224838</v>
      </c>
      <c r="L37" s="92">
        <f>CCNumber!M39+UCRNumber!M39</f>
        <v>0</v>
      </c>
      <c r="M37" s="92">
        <f>CCNumber!N39+UCRNumber!N39</f>
        <v>5328.8870594280143</v>
      </c>
      <c r="N37" s="92">
        <f>CCNumber!O39+UCRNumber!O39</f>
        <v>984.22775254701094</v>
      </c>
      <c r="O37" s="92">
        <f>CCNumber!P39+UCRNumber!P39</f>
        <v>0</v>
      </c>
      <c r="P37" s="92">
        <f>CCNumber!Q40+UCRNumber!Q40</f>
        <v>0</v>
      </c>
      <c r="Q37" s="92">
        <f>CCNumber!R40+UCRNumber!R40</f>
        <v>0</v>
      </c>
      <c r="R37" s="92">
        <f>CCNumber!S40+UCRNumber!S40</f>
        <v>6.2433106730115568</v>
      </c>
      <c r="S37" s="92">
        <f>CCNumber!T41+UCRNumber!T41</f>
        <v>0</v>
      </c>
      <c r="T37" s="92">
        <f>CCNumber!U41+UCRNumber!U41</f>
        <v>0</v>
      </c>
      <c r="U37" s="631">
        <f>SUM(C37:T37)</f>
        <v>53243.201443703925</v>
      </c>
      <c r="V37" s="13">
        <v>2006</v>
      </c>
      <c r="W37" s="109"/>
      <c r="X37" s="338">
        <f>U37-B37</f>
        <v>-5192.7985562960748</v>
      </c>
      <c r="Y37" s="339">
        <f t="shared" si="7"/>
        <v>0.91113699506646462</v>
      </c>
      <c r="AA37" s="787">
        <f t="shared" si="1"/>
        <v>0.77139004321188032</v>
      </c>
    </row>
    <row r="38" spans="1:27" ht="15.6">
      <c r="A38" s="330">
        <v>2007</v>
      </c>
      <c r="B38" s="630">
        <f>Total_Run_Size!C123</f>
        <v>34537</v>
      </c>
      <c r="C38" s="92">
        <f>CCNumber!C36+UCRNumber!C36</f>
        <v>0</v>
      </c>
      <c r="D38" s="92">
        <f>CCNumber!D37+UCRNumber!D37</f>
        <v>0</v>
      </c>
      <c r="E38" s="92">
        <f>CCNumber!E37+UCRNumber!E37</f>
        <v>357.52080121494441</v>
      </c>
      <c r="F38" s="92">
        <f>CCNumber!F38+UCRNumber!F38</f>
        <v>0</v>
      </c>
      <c r="G38" s="92">
        <f>CCNumber!G38+UCRNumber!G38</f>
        <v>5474.0040915997633</v>
      </c>
      <c r="H38" s="92">
        <f>CCNumber!H38+UCRNumber!H38</f>
        <v>22.818765861749398</v>
      </c>
      <c r="I38" s="92">
        <f>CCNumber!I39+UCRNumber!I39</f>
        <v>0</v>
      </c>
      <c r="J38" s="92">
        <f>CCNumber!J39+UCRNumber!J39</f>
        <v>35349.790147950946</v>
      </c>
      <c r="K38" s="92">
        <f>CCNumber!K39+UCRNumber!K39</f>
        <v>68.95624130677372</v>
      </c>
      <c r="L38" s="92">
        <f>CCNumber!M40+UCRNumber!M40</f>
        <v>0</v>
      </c>
      <c r="M38" s="92">
        <f>CCNumber!N40+UCRNumber!N40</f>
        <v>4735.2952298273758</v>
      </c>
      <c r="N38" s="92">
        <f>CCNumber!O40+UCRNumber!O40</f>
        <v>1303.8738511149684</v>
      </c>
      <c r="O38" s="92">
        <f>CCNumber!P40+UCRNumber!P40</f>
        <v>0</v>
      </c>
      <c r="P38" s="92">
        <f>CCNumber!Q41+UCRNumber!Q41</f>
        <v>4.5664937080391175</v>
      </c>
      <c r="Q38" s="92">
        <f>CCNumber!R41+UCRNumber!R41</f>
        <v>119.6749284550766</v>
      </c>
      <c r="R38" s="92">
        <f>CCNumber!S41+UCRNumber!S41</f>
        <v>0</v>
      </c>
      <c r="S38" s="107"/>
      <c r="T38" s="107"/>
      <c r="U38" s="631">
        <f>SUM(C38:T38)</f>
        <v>47436.500551039637</v>
      </c>
      <c r="V38" s="13">
        <v>2007</v>
      </c>
      <c r="W38" s="109"/>
      <c r="X38" s="23"/>
      <c r="AA38" s="787">
        <f>J38/U38</f>
        <v>0.74520231756801047</v>
      </c>
    </row>
    <row r="39" spans="1:27" ht="15.6">
      <c r="A39" s="330">
        <v>2008</v>
      </c>
      <c r="B39" s="630">
        <f>Total_Run_Size!C124</f>
        <v>32464</v>
      </c>
      <c r="C39" s="92">
        <f>CCNumber!C37+UCRNumber!C37</f>
        <v>0</v>
      </c>
      <c r="D39" s="92">
        <f>CCNumber!D38+UCRNumber!D38</f>
        <v>0</v>
      </c>
      <c r="E39" s="92">
        <f>CCNumber!E38+UCRNumber!E38</f>
        <v>0</v>
      </c>
      <c r="F39" s="92">
        <f>CCNumber!F39+UCRNumber!F39</f>
        <v>0</v>
      </c>
      <c r="G39" s="92">
        <f>CCNumber!G39+UCRNumber!G39</f>
        <v>3822.1399977816591</v>
      </c>
      <c r="H39" s="92">
        <f>CCNumber!H39+UCRNumber!H39</f>
        <v>12.024231652795928</v>
      </c>
      <c r="I39" s="92">
        <f>CCNumber!I40+UCRNumber!I40</f>
        <v>0</v>
      </c>
      <c r="J39" s="92">
        <f>CCNumber!J40+UCRNumber!J40</f>
        <v>26388.848851438826</v>
      </c>
      <c r="K39" s="92">
        <f>CCNumber!K40+UCRNumber!K40</f>
        <v>162.95168028273719</v>
      </c>
      <c r="L39" s="92">
        <f>CCNumber!M41+UCRNumber!M41</f>
        <v>0</v>
      </c>
      <c r="M39" s="92">
        <f>CCNumber!N41+UCRNumber!N41</f>
        <v>8894.1509866215965</v>
      </c>
      <c r="N39" s="92">
        <f>CCNumber!O41+UCRNumber!O41</f>
        <v>587.97080096521563</v>
      </c>
      <c r="O39" s="92">
        <f>CCNumber!P41+UCRNumber!P41</f>
        <v>0</v>
      </c>
      <c r="P39" s="92"/>
      <c r="Q39" s="92"/>
      <c r="R39" s="92"/>
      <c r="S39" s="107"/>
      <c r="T39" s="107"/>
      <c r="U39" s="631">
        <f>SUM(C39:T39)</f>
        <v>39868.086548742831</v>
      </c>
      <c r="V39" s="13">
        <v>2008</v>
      </c>
      <c r="W39" s="109"/>
      <c r="X39" s="23"/>
    </row>
    <row r="40" spans="1:27" ht="15.6">
      <c r="A40" s="330">
        <v>2009</v>
      </c>
      <c r="B40" s="630">
        <f>Total_Run_Size!C125</f>
        <v>27778</v>
      </c>
      <c r="C40" s="92">
        <f>CCNumber!C38+UCRNumber!C38</f>
        <v>0</v>
      </c>
      <c r="D40" s="92">
        <f>CCNumber!D39+UCRNumber!D39</f>
        <v>12.024231652795928</v>
      </c>
      <c r="E40" s="92">
        <f>CCNumber!E39+UCRNumber!E39</f>
        <v>2.9940298507462684</v>
      </c>
      <c r="F40" s="92">
        <f>CCNumber!F40+UCRNumber!F40</f>
        <v>0</v>
      </c>
      <c r="G40" s="92">
        <f>CCNumber!G40+UCRNumber!G40</f>
        <v>5820.5946969665338</v>
      </c>
      <c r="H40" s="92">
        <f>CCNumber!H40+UCRNumber!H40</f>
        <v>25.742016212068805</v>
      </c>
      <c r="I40" s="92">
        <f>CCNumber!I41+UCRNumber!I41</f>
        <v>0</v>
      </c>
      <c r="J40" s="92">
        <f>CCNumber!J41+UCRNumber!J41</f>
        <v>16056.832992717924</v>
      </c>
      <c r="K40" s="92">
        <f>CCNumber!K41+UCRNumber!K41</f>
        <v>440.38904649064045</v>
      </c>
      <c r="L40" s="92"/>
      <c r="M40" s="92"/>
      <c r="N40" s="92"/>
      <c r="O40" s="92"/>
      <c r="P40" s="92"/>
      <c r="Q40" s="92"/>
      <c r="R40" s="92"/>
      <c r="S40" s="107"/>
      <c r="T40" s="107"/>
      <c r="U40" s="337"/>
      <c r="V40" s="13">
        <v>2009</v>
      </c>
      <c r="W40" s="109"/>
      <c r="X40" s="23"/>
    </row>
    <row r="41" spans="1:27" ht="15.6">
      <c r="A41" s="330">
        <v>2010</v>
      </c>
      <c r="B41" s="630">
        <f>Total_Run_Size!C126</f>
        <v>16771</v>
      </c>
      <c r="C41" s="92">
        <f>CCNumber!C39+UCRNumber!C39</f>
        <v>0</v>
      </c>
      <c r="D41" s="92">
        <f>CCNumber!D40+UCRNumber!D40</f>
        <v>0</v>
      </c>
      <c r="E41" s="92">
        <f>CCNumber!E40+UCRNumber!E40</f>
        <v>4456.4503634844823</v>
      </c>
      <c r="F41" s="92">
        <f>CCNumber!F41+UCRNumber!F41</f>
        <v>0</v>
      </c>
      <c r="G41" s="92">
        <f>CCNumber!G41+UCRNumber!G41</f>
        <v>8908.6805268225889</v>
      </c>
      <c r="H41" s="92">
        <f>CCNumber!H41+UCRNumber!H41</f>
        <v>25.614782600544824</v>
      </c>
      <c r="I41" s="92"/>
      <c r="J41" s="92"/>
      <c r="K41" s="92"/>
      <c r="L41" s="92"/>
      <c r="M41" s="92"/>
      <c r="N41" s="92"/>
      <c r="O41" s="92"/>
      <c r="P41" s="107"/>
      <c r="Q41" s="107"/>
      <c r="R41" s="107"/>
      <c r="S41" s="107"/>
      <c r="T41" s="107"/>
      <c r="U41" s="337"/>
      <c r="V41" s="13">
        <v>2010</v>
      </c>
      <c r="W41" s="109"/>
      <c r="X41" s="23"/>
    </row>
    <row r="42" spans="1:27" ht="15.6">
      <c r="A42" s="330">
        <v>2011</v>
      </c>
      <c r="B42" s="630">
        <f>Total_Run_Size!C127</f>
        <v>27994</v>
      </c>
      <c r="C42" s="92">
        <f>CCNumber!C40+UCRNumber!C40</f>
        <v>0</v>
      </c>
      <c r="D42" s="92">
        <f>CCNumber!D41+UCRNumber!D41</f>
        <v>0</v>
      </c>
      <c r="E42" s="92">
        <f>CCNumber!E41+UCRNumber!E41</f>
        <v>491.11944161837243</v>
      </c>
      <c r="F42" s="92"/>
      <c r="G42" s="92"/>
      <c r="H42" s="92"/>
      <c r="I42" s="92"/>
      <c r="J42" s="92"/>
      <c r="K42" s="92"/>
      <c r="L42" s="92"/>
      <c r="M42" s="92"/>
      <c r="N42" s="92"/>
      <c r="O42" s="92"/>
      <c r="P42" s="107"/>
      <c r="Q42" s="107"/>
      <c r="R42" s="107"/>
      <c r="S42" s="107"/>
      <c r="T42" s="107"/>
      <c r="U42" s="337"/>
      <c r="V42" s="13">
        <v>2011</v>
      </c>
      <c r="W42" s="109"/>
      <c r="X42" s="23"/>
    </row>
    <row r="43" spans="1:27" ht="15.6">
      <c r="A43" s="330">
        <v>2012</v>
      </c>
      <c r="B43" s="630">
        <f>Total_Run_Size!C128</f>
        <v>29595</v>
      </c>
      <c r="C43" s="92">
        <f>CCNumber!C41+UCRNumber!C41</f>
        <v>0</v>
      </c>
      <c r="D43" s="92"/>
      <c r="E43" s="92"/>
      <c r="F43" s="92"/>
      <c r="G43" s="92"/>
      <c r="H43" s="92"/>
      <c r="I43" s="92"/>
      <c r="J43" s="92"/>
      <c r="K43" s="92"/>
      <c r="L43" s="92"/>
      <c r="M43" s="92"/>
      <c r="N43" s="92"/>
      <c r="O43" s="92"/>
      <c r="P43" s="107"/>
      <c r="Q43" s="107"/>
      <c r="R43" s="107"/>
      <c r="S43" s="107"/>
      <c r="T43" s="107"/>
      <c r="U43" s="337"/>
      <c r="V43" s="13">
        <v>2012</v>
      </c>
      <c r="W43" s="109"/>
      <c r="X43" s="23"/>
    </row>
    <row r="44" spans="1:27" ht="15.6">
      <c r="A44" s="330">
        <v>2013</v>
      </c>
      <c r="B44" s="630">
        <f>Total_Run_Size!C129</f>
        <v>29012</v>
      </c>
      <c r="C44" s="92"/>
      <c r="D44" s="92"/>
      <c r="E44" s="92"/>
      <c r="F44" s="92"/>
      <c r="G44" s="92"/>
      <c r="H44" s="92"/>
      <c r="I44" s="106"/>
      <c r="J44" s="107"/>
      <c r="K44" s="107"/>
      <c r="L44" s="107"/>
      <c r="M44" s="712"/>
      <c r="N44" s="107"/>
      <c r="O44" s="107"/>
      <c r="P44" s="107"/>
      <c r="Q44" s="107"/>
      <c r="R44" s="107"/>
      <c r="S44" s="107"/>
      <c r="T44" s="107"/>
      <c r="U44" s="180"/>
      <c r="V44" s="13">
        <v>2013</v>
      </c>
      <c r="W44" s="109"/>
      <c r="X44" s="23"/>
    </row>
    <row r="45" spans="1:27" ht="15.6">
      <c r="A45" s="330">
        <v>2014</v>
      </c>
      <c r="B45" s="630">
        <f>Total_Run_Size!C130</f>
        <v>19432.8</v>
      </c>
      <c r="C45" s="92"/>
      <c r="D45" s="92"/>
      <c r="E45" s="92"/>
      <c r="F45" s="92"/>
      <c r="G45" s="92"/>
      <c r="H45" s="92"/>
      <c r="I45" s="106"/>
      <c r="J45" s="107"/>
      <c r="K45" s="107"/>
      <c r="L45" s="107"/>
      <c r="M45" s="712"/>
      <c r="N45" s="107"/>
      <c r="O45" s="107"/>
      <c r="P45" s="107"/>
      <c r="Q45" s="107"/>
      <c r="R45" s="107"/>
      <c r="S45" s="107"/>
      <c r="T45" s="107"/>
      <c r="U45" s="180"/>
      <c r="V45" s="13">
        <v>2014</v>
      </c>
      <c r="W45" s="109"/>
      <c r="X45" s="23"/>
    </row>
    <row r="46" spans="1:27" ht="15.6">
      <c r="A46" s="330"/>
      <c r="B46" s="629"/>
      <c r="C46" s="92"/>
      <c r="D46" s="92"/>
      <c r="E46" s="92"/>
      <c r="F46" s="92"/>
      <c r="G46" s="92"/>
      <c r="H46" s="92"/>
      <c r="I46" s="106"/>
      <c r="J46" s="107"/>
      <c r="K46" s="107"/>
      <c r="L46" s="107"/>
      <c r="M46" s="712"/>
      <c r="N46" s="107"/>
      <c r="O46" s="107"/>
      <c r="P46" s="107"/>
      <c r="Q46" s="107"/>
      <c r="R46" s="107"/>
      <c r="S46" s="107"/>
      <c r="T46" s="107"/>
      <c r="U46" s="180"/>
      <c r="V46" s="13"/>
      <c r="W46" s="109"/>
      <c r="X46" s="23"/>
    </row>
    <row r="47" spans="1:27" ht="16.2" thickBot="1">
      <c r="A47" s="13"/>
      <c r="B47" s="13"/>
      <c r="C47" s="92"/>
      <c r="D47" s="92"/>
      <c r="E47" s="92"/>
      <c r="F47" s="92"/>
      <c r="G47" s="92"/>
      <c r="H47" s="92"/>
      <c r="I47" s="106"/>
      <c r="J47" s="107"/>
      <c r="K47" s="107"/>
      <c r="L47" s="107"/>
      <c r="M47" s="712"/>
      <c r="N47" s="107"/>
      <c r="O47" s="107"/>
      <c r="P47" s="107"/>
      <c r="Q47" s="107"/>
      <c r="R47" s="107"/>
      <c r="S47" s="107"/>
      <c r="T47" s="107"/>
      <c r="U47" s="180"/>
      <c r="V47" s="13"/>
      <c r="W47" s="109"/>
      <c r="X47" s="23"/>
    </row>
    <row r="48" spans="1:27" ht="18" customHeight="1" thickBot="1">
      <c r="A48" s="177" t="s">
        <v>425</v>
      </c>
      <c r="B48" s="331"/>
      <c r="C48" s="445">
        <f>AVERAGE(C39:C43)</f>
        <v>0</v>
      </c>
      <c r="D48" s="445">
        <f>AVERAGE(D38:D42)</f>
        <v>2.4048463305591854</v>
      </c>
      <c r="E48" s="445">
        <f>AVERAGE(E38:E42)</f>
        <v>1061.616927233709</v>
      </c>
      <c r="F48" s="445">
        <f>AVERAGE(F37:F41)</f>
        <v>0</v>
      </c>
      <c r="G48" s="445">
        <f>AVERAGE(G37:G41)</f>
        <v>5885.2650512920618</v>
      </c>
      <c r="H48" s="445">
        <f>AVERAGE(H37:H41)</f>
        <v>42.861497102002986</v>
      </c>
      <c r="I48" s="445">
        <f>AVERAGE(I36:I40)</f>
        <v>0</v>
      </c>
      <c r="J48" s="445">
        <f>AVERAGE(J36:J40)</f>
        <v>27718.262423456319</v>
      </c>
      <c r="K48" s="445">
        <f>AVERAGE(K36:K40)</f>
        <v>204.95298440955349</v>
      </c>
      <c r="L48" s="445">
        <f>AVERAGE(L35:L39)</f>
        <v>0</v>
      </c>
      <c r="M48" s="445">
        <f>AVERAGE(M35:M39)</f>
        <v>6344.0879575150238</v>
      </c>
      <c r="N48" s="445">
        <f>AVERAGE(N35:N39)</f>
        <v>899.50577014224928</v>
      </c>
      <c r="O48" s="445">
        <f>AVERAGE(O35:O39)</f>
        <v>0</v>
      </c>
      <c r="P48" s="445">
        <f>AVERAGE(P34:P38)</f>
        <v>167.23524330887167</v>
      </c>
      <c r="Q48" s="445">
        <f>AVERAGE(Q34:Q38)</f>
        <v>61.558637075050356</v>
      </c>
      <c r="R48" s="445">
        <f>AVERAGE(R34:R38)</f>
        <v>1.2486621346023115</v>
      </c>
      <c r="S48" s="445">
        <f>AVERAGE(S33:S37)</f>
        <v>0</v>
      </c>
      <c r="T48" s="445">
        <f>AVERAGE(T33:T37)</f>
        <v>0</v>
      </c>
      <c r="U48" s="178">
        <f>SUM(C48:T48)</f>
        <v>42389.000000000007</v>
      </c>
      <c r="V48" s="6"/>
      <c r="W48" s="6"/>
    </row>
    <row r="49" spans="1:23" ht="18" customHeight="1" thickBot="1">
      <c r="A49" s="173" t="s">
        <v>424</v>
      </c>
      <c r="B49" s="13"/>
      <c r="C49" s="660">
        <f>AVERAGE(C6:C47)</f>
        <v>0.25834770610555363</v>
      </c>
      <c r="D49" s="660">
        <f t="shared" ref="D49:T49" si="8">AVERAGE(D6:D47)</f>
        <v>18.259986857061662</v>
      </c>
      <c r="E49" s="660">
        <f t="shared" si="8"/>
        <v>311.62298477512792</v>
      </c>
      <c r="F49" s="660">
        <f t="shared" si="8"/>
        <v>49.375253784933285</v>
      </c>
      <c r="G49" s="660">
        <f t="shared" si="8"/>
        <v>4464.2764875961702</v>
      </c>
      <c r="H49" s="660">
        <f t="shared" si="8"/>
        <v>25.405891894037126</v>
      </c>
      <c r="I49" s="660">
        <f t="shared" si="8"/>
        <v>17.283203729739409</v>
      </c>
      <c r="J49" s="660">
        <f t="shared" si="8"/>
        <v>32668.343912313154</v>
      </c>
      <c r="K49" s="660">
        <f t="shared" si="8"/>
        <v>215.20365305748646</v>
      </c>
      <c r="L49" s="660">
        <f t="shared" si="8"/>
        <v>0.82811410878160152</v>
      </c>
      <c r="M49" s="660">
        <f t="shared" si="8"/>
        <v>18972.447267180098</v>
      </c>
      <c r="N49" s="660">
        <f t="shared" si="8"/>
        <v>1015.7237712702818</v>
      </c>
      <c r="O49" s="660">
        <f t="shared" si="8"/>
        <v>2.5393442616090121</v>
      </c>
      <c r="P49" s="660">
        <f t="shared" si="8"/>
        <v>221.20719181077581</v>
      </c>
      <c r="Q49" s="660">
        <f t="shared" si="8"/>
        <v>700.56829951810255</v>
      </c>
      <c r="R49" s="660">
        <f t="shared" si="8"/>
        <v>3.1633339527667688</v>
      </c>
      <c r="S49" s="660">
        <f t="shared" si="8"/>
        <v>7.9681401361128792</v>
      </c>
      <c r="T49" s="660">
        <f t="shared" si="8"/>
        <v>1.8201497927396055</v>
      </c>
      <c r="U49" s="178">
        <f>SUM(C49:T49)</f>
        <v>58696.295333745089</v>
      </c>
      <c r="V49" s="6"/>
      <c r="W49" s="6"/>
    </row>
    <row r="50" spans="1:23" ht="18" customHeight="1">
      <c r="A50" s="173" t="s">
        <v>58</v>
      </c>
      <c r="B50" s="13"/>
      <c r="C50" s="108">
        <f>C48/$U$48</f>
        <v>0</v>
      </c>
      <c r="D50" s="108">
        <f>D48/$U$48</f>
        <v>5.6732792247025997E-5</v>
      </c>
      <c r="E50" s="108">
        <f>E48/$U$48</f>
        <v>2.5044632504510812E-2</v>
      </c>
      <c r="F50" s="108">
        <f t="shared" ref="F50:H50" si="9">F48/$U$48</f>
        <v>0</v>
      </c>
      <c r="G50" s="446">
        <f>G48/$U$48</f>
        <v>0.13883944068725521</v>
      </c>
      <c r="H50" s="108">
        <f t="shared" si="9"/>
        <v>1.0111466914058595E-3</v>
      </c>
      <c r="I50" s="108">
        <f t="shared" ref="I50:T50" si="10">I48/$U$48</f>
        <v>0</v>
      </c>
      <c r="J50" s="340">
        <f>J48/$U$48</f>
        <v>0.65390224877813385</v>
      </c>
      <c r="K50" s="108">
        <f>K48/$U$48</f>
        <v>4.8350511785971231E-3</v>
      </c>
      <c r="L50" s="108">
        <f>L48/$U$48</f>
        <v>0</v>
      </c>
      <c r="M50" s="713">
        <f>M48/$U$48</f>
        <v>0.14966354378529861</v>
      </c>
      <c r="N50" s="108">
        <f>N48/$U$48</f>
        <v>2.1220263986936449E-2</v>
      </c>
      <c r="O50" s="108">
        <f t="shared" si="10"/>
        <v>0</v>
      </c>
      <c r="P50" s="108">
        <f t="shared" si="10"/>
        <v>3.9452509686209074E-3</v>
      </c>
      <c r="Q50" s="108">
        <f t="shared" si="10"/>
        <v>1.4522314061442909E-3</v>
      </c>
      <c r="R50" s="108">
        <f t="shared" si="10"/>
        <v>2.9457220849803282E-5</v>
      </c>
      <c r="S50" s="108">
        <f t="shared" si="10"/>
        <v>0</v>
      </c>
      <c r="T50" s="108">
        <f t="shared" si="10"/>
        <v>0</v>
      </c>
      <c r="U50" s="717">
        <f>SUM(C50:T50)</f>
        <v>0.99999999999999978</v>
      </c>
      <c r="V50" s="6"/>
      <c r="W50" s="6"/>
    </row>
    <row r="51" spans="1:23" ht="18" customHeight="1">
      <c r="A51" s="173" t="s">
        <v>149</v>
      </c>
      <c r="B51" s="13"/>
      <c r="C51" s="718">
        <f>COUNT(C39:C43)</f>
        <v>5</v>
      </c>
      <c r="D51" s="718">
        <f>COUNT(D38:D42)</f>
        <v>5</v>
      </c>
      <c r="E51" s="718">
        <f>COUNT(E38:E42)</f>
        <v>5</v>
      </c>
      <c r="F51" s="718">
        <f>COUNT(F37:F41)</f>
        <v>5</v>
      </c>
      <c r="G51" s="718">
        <f>COUNT(G37:G41)</f>
        <v>5</v>
      </c>
      <c r="H51" s="718">
        <f>COUNT(H37:H41)</f>
        <v>5</v>
      </c>
      <c r="I51" s="718">
        <f>COUNT(I36:I40)</f>
        <v>5</v>
      </c>
      <c r="J51" s="718">
        <f>COUNT(J36:J40)</f>
        <v>5</v>
      </c>
      <c r="K51" s="718">
        <f>COUNT(K36:K40)</f>
        <v>5</v>
      </c>
      <c r="L51" s="718">
        <f>COUNT(L35:L39)</f>
        <v>5</v>
      </c>
      <c r="M51" s="718">
        <f>COUNT(M35:M39)</f>
        <v>5</v>
      </c>
      <c r="N51" s="718">
        <f>COUNT(N35:N39)</f>
        <v>5</v>
      </c>
      <c r="O51" s="718">
        <f>COUNT(O35:O39)</f>
        <v>5</v>
      </c>
      <c r="P51" s="718">
        <f>COUNT(P34:P38)</f>
        <v>5</v>
      </c>
      <c r="Q51" s="718">
        <f>COUNT(Q34:Q38)</f>
        <v>5</v>
      </c>
      <c r="R51" s="718">
        <f>COUNT(R34:R38)</f>
        <v>5</v>
      </c>
      <c r="S51" s="718">
        <f>COUNT(S33:S37)</f>
        <v>5</v>
      </c>
      <c r="T51" s="718">
        <f>COUNT(T33:T37)</f>
        <v>5</v>
      </c>
      <c r="U51" s="179"/>
      <c r="V51" s="6"/>
      <c r="W51" s="6"/>
    </row>
    <row r="52" spans="1:23" ht="18" customHeight="1">
      <c r="A52" s="173" t="s">
        <v>150</v>
      </c>
      <c r="B52" s="13"/>
      <c r="C52" s="719">
        <f>STDEVP(C39:C43)</f>
        <v>0</v>
      </c>
      <c r="D52" s="719">
        <f>STDEVP(D38:D42)</f>
        <v>4.8096926611183708</v>
      </c>
      <c r="E52" s="719">
        <f>STDEVP(E38:E42)</f>
        <v>1708.4393893086713</v>
      </c>
      <c r="F52" s="719">
        <f>STDEVP(F37:F41)</f>
        <v>0</v>
      </c>
      <c r="G52" s="719">
        <f>STDEVP(G37:G41)</f>
        <v>1661.6526533123711</v>
      </c>
      <c r="H52" s="719">
        <f>STDEVP(H37:H41)</f>
        <v>42.918730333678802</v>
      </c>
      <c r="I52" s="719">
        <f>STDEVP(I36:I40)</f>
        <v>0</v>
      </c>
      <c r="J52" s="719">
        <f>STDEVP(J36:J40)</f>
        <v>9361.6094057648334</v>
      </c>
      <c r="K52" s="719">
        <f>STDEVP(K36:K40)</f>
        <v>127.63270533276402</v>
      </c>
      <c r="L52" s="719">
        <f>STDEVP(L35:L39)</f>
        <v>0</v>
      </c>
      <c r="M52" s="719">
        <f>STDEVP(M35:M39)</f>
        <v>1442.9505264532961</v>
      </c>
      <c r="N52" s="719">
        <f>STDEVP(N35:N39)</f>
        <v>328.74860796626621</v>
      </c>
      <c r="O52" s="719">
        <f>STDEVP(O35:O39)</f>
        <v>0</v>
      </c>
      <c r="P52" s="719">
        <f>STDEVP(P34:P38)</f>
        <v>332.19194781264571</v>
      </c>
      <c r="Q52" s="719">
        <f>STDEVP(Q34:Q38)</f>
        <v>56.852154015627519</v>
      </c>
      <c r="R52" s="719">
        <f>STDEVP(R34:R38)</f>
        <v>2.4973242692046229</v>
      </c>
      <c r="S52" s="719">
        <f>STDEVP(S33:S37)</f>
        <v>0</v>
      </c>
      <c r="T52" s="719">
        <f>STDEVP(T33:T37)</f>
        <v>0</v>
      </c>
      <c r="U52" s="179"/>
      <c r="V52" s="6"/>
      <c r="W52" s="6"/>
    </row>
    <row r="53" spans="1:23" ht="18" customHeight="1">
      <c r="A53" s="173" t="s">
        <v>151</v>
      </c>
      <c r="B53" s="13"/>
      <c r="C53" s="720">
        <f>VLOOKUP(C51-1,tval,4)</f>
        <v>1.5329999999999999</v>
      </c>
      <c r="D53" s="720">
        <f t="shared" ref="D53:H53" si="11">VLOOKUP(D51-1,tval,4)</f>
        <v>1.5329999999999999</v>
      </c>
      <c r="E53" s="720">
        <f>VLOOKUP(E51-1,tval,4)</f>
        <v>1.5329999999999999</v>
      </c>
      <c r="F53" s="720">
        <f t="shared" si="11"/>
        <v>1.5329999999999999</v>
      </c>
      <c r="G53" s="720">
        <f t="shared" si="11"/>
        <v>1.5329999999999999</v>
      </c>
      <c r="H53" s="720">
        <f t="shared" si="11"/>
        <v>1.5329999999999999</v>
      </c>
      <c r="I53" s="720">
        <f t="shared" ref="I53:T53" si="12">VLOOKUP(I51-1,tval,4)</f>
        <v>1.5329999999999999</v>
      </c>
      <c r="J53" s="720">
        <f>VLOOKUP(J51-1,tval,4)</f>
        <v>1.5329999999999999</v>
      </c>
      <c r="K53" s="720">
        <f>VLOOKUP(K51-1,tval,4)</f>
        <v>1.5329999999999999</v>
      </c>
      <c r="L53" s="720">
        <f>VLOOKUP(L51-1,tval,4)</f>
        <v>1.5329999999999999</v>
      </c>
      <c r="M53" s="721">
        <f>VLOOKUP(M51-1,tval,4)</f>
        <v>1.5329999999999999</v>
      </c>
      <c r="N53" s="720">
        <f t="shared" si="12"/>
        <v>1.5329999999999999</v>
      </c>
      <c r="O53" s="720">
        <f t="shared" si="12"/>
        <v>1.5329999999999999</v>
      </c>
      <c r="P53" s="720">
        <f t="shared" si="12"/>
        <v>1.5329999999999999</v>
      </c>
      <c r="Q53" s="720">
        <f t="shared" si="12"/>
        <v>1.5329999999999999</v>
      </c>
      <c r="R53" s="720">
        <f t="shared" si="12"/>
        <v>1.5329999999999999</v>
      </c>
      <c r="S53" s="720">
        <f t="shared" si="12"/>
        <v>1.5329999999999999</v>
      </c>
      <c r="T53" s="720">
        <f t="shared" si="12"/>
        <v>1.5329999999999999</v>
      </c>
      <c r="U53" s="179"/>
      <c r="V53" s="6"/>
      <c r="W53" s="6"/>
    </row>
    <row r="54" spans="1:23" ht="18" customHeight="1" thickBot="1">
      <c r="A54" s="181"/>
      <c r="B54" s="332"/>
      <c r="C54" s="182"/>
      <c r="D54" s="182"/>
      <c r="E54" s="182"/>
      <c r="F54" s="182"/>
      <c r="G54" s="182"/>
      <c r="H54" s="182"/>
      <c r="I54" s="182"/>
      <c r="J54" s="182"/>
      <c r="K54" s="182"/>
      <c r="L54" s="182"/>
      <c r="M54" s="714"/>
      <c r="N54" s="182"/>
      <c r="O54" s="182"/>
      <c r="P54" s="182"/>
      <c r="Q54" s="182"/>
      <c r="R54" s="182"/>
      <c r="S54" s="182"/>
      <c r="T54" s="182"/>
      <c r="U54" s="183"/>
      <c r="V54" s="6"/>
      <c r="W54" s="6"/>
    </row>
    <row r="55" spans="1:23" ht="18" customHeight="1">
      <c r="C55" s="105"/>
      <c r="D55" s="105"/>
      <c r="E55" s="105"/>
      <c r="F55" s="105"/>
      <c r="G55" s="105"/>
      <c r="H55" s="105"/>
      <c r="I55" s="105"/>
      <c r="J55" s="105"/>
      <c r="K55" s="105"/>
      <c r="L55" s="105"/>
      <c r="M55" s="105"/>
      <c r="N55" s="105"/>
      <c r="O55" s="105"/>
      <c r="P55" s="105"/>
      <c r="Q55" s="105"/>
      <c r="R55" s="105"/>
      <c r="S55" s="105"/>
      <c r="T55" s="105"/>
      <c r="U55" s="6"/>
      <c r="V55" s="6"/>
      <c r="W55" s="6"/>
    </row>
    <row r="56" spans="1:23" ht="18" customHeight="1">
      <c r="A56" s="6"/>
      <c r="B56" s="6"/>
      <c r="C56" s="105"/>
      <c r="D56" s="105"/>
      <c r="E56" s="894">
        <f>MEDIAN(E8:E42)</f>
        <v>103.76575403767137</v>
      </c>
      <c r="F56" s="105"/>
      <c r="G56" s="105"/>
      <c r="H56" s="105"/>
      <c r="I56" s="105"/>
      <c r="J56" s="105">
        <f>SUM(J19:J39)/SUM(U19:U38)</f>
        <v>0.64302684548474642</v>
      </c>
      <c r="K56" s="105"/>
      <c r="L56" s="105"/>
      <c r="M56" s="105"/>
      <c r="N56" s="105"/>
      <c r="O56" s="105"/>
      <c r="P56" s="105"/>
      <c r="Q56" s="105"/>
      <c r="R56" s="105"/>
      <c r="S56" s="105"/>
      <c r="T56" s="105"/>
      <c r="U56" s="6"/>
      <c r="V56" s="6"/>
      <c r="W56" s="6"/>
    </row>
    <row r="57" spans="1:23" ht="18" customHeight="1">
      <c r="A57" s="6"/>
      <c r="B57" s="6"/>
      <c r="C57" s="105"/>
      <c r="D57" s="105"/>
      <c r="E57" s="105"/>
      <c r="F57" s="105"/>
      <c r="G57" s="105"/>
      <c r="H57" s="105"/>
      <c r="I57" s="105"/>
      <c r="J57" s="105"/>
      <c r="K57" s="105"/>
      <c r="L57" s="105"/>
      <c r="M57" s="105"/>
      <c r="N57" s="105"/>
      <c r="O57" s="105"/>
      <c r="P57" s="105"/>
      <c r="Q57" s="105"/>
      <c r="R57" s="105"/>
      <c r="S57" s="105"/>
      <c r="T57" s="105"/>
      <c r="U57" s="6"/>
      <c r="V57" s="6"/>
      <c r="W57" s="6"/>
    </row>
    <row r="58" spans="1:23" ht="18" customHeight="1">
      <c r="A58" s="6"/>
      <c r="B58" s="6"/>
      <c r="C58" s="105"/>
      <c r="D58" s="105"/>
      <c r="E58" s="105"/>
      <c r="F58" s="105"/>
      <c r="G58" s="105"/>
      <c r="H58" s="105"/>
      <c r="I58" s="105"/>
      <c r="J58" s="105"/>
      <c r="K58" s="105"/>
      <c r="L58" s="105"/>
      <c r="M58" s="105"/>
      <c r="N58" s="105"/>
      <c r="O58" s="105"/>
      <c r="P58" s="105"/>
      <c r="Q58" s="105"/>
      <c r="R58" s="105"/>
      <c r="S58" s="105"/>
      <c r="T58" s="105"/>
      <c r="U58" s="6"/>
      <c r="V58" s="6"/>
      <c r="W58" s="6"/>
    </row>
    <row r="59" spans="1:23" ht="18" customHeight="1">
      <c r="A59" s="6"/>
      <c r="B59" s="6"/>
      <c r="C59" s="105"/>
      <c r="D59" s="105"/>
      <c r="E59" s="105"/>
      <c r="F59" s="105"/>
      <c r="G59" s="105"/>
      <c r="H59" s="105"/>
      <c r="I59" s="105"/>
      <c r="J59" s="105"/>
      <c r="K59" s="105"/>
      <c r="L59" s="105"/>
      <c r="M59" s="105"/>
      <c r="N59" s="105"/>
      <c r="O59" s="105"/>
      <c r="P59" s="105"/>
      <c r="Q59" s="105"/>
      <c r="R59" s="105"/>
      <c r="S59" s="105"/>
      <c r="T59" s="105"/>
      <c r="U59" s="6"/>
      <c r="V59" s="6"/>
      <c r="W59" s="6"/>
    </row>
    <row r="60" spans="1:23" ht="18" customHeight="1">
      <c r="A60" s="6"/>
      <c r="B60" s="6"/>
      <c r="C60" s="33"/>
      <c r="D60" s="33"/>
      <c r="E60" s="33"/>
      <c r="F60" s="33"/>
      <c r="G60" s="33"/>
      <c r="H60" s="33"/>
      <c r="I60" s="33"/>
      <c r="J60" s="33"/>
      <c r="K60" s="33"/>
      <c r="L60" s="33"/>
      <c r="M60" s="33"/>
      <c r="N60" s="33"/>
      <c r="O60" s="33"/>
      <c r="P60" s="33"/>
      <c r="Q60" s="33"/>
      <c r="R60" s="33"/>
      <c r="S60" s="33"/>
      <c r="T60" s="33"/>
      <c r="U60" s="6"/>
      <c r="V60" s="6"/>
      <c r="W60" s="6"/>
    </row>
    <row r="108" spans="12:23" ht="15.6">
      <c r="L108" s="4"/>
      <c r="M108" s="4"/>
      <c r="N108" s="4"/>
      <c r="O108" s="4"/>
      <c r="P108" s="4"/>
      <c r="Q108" s="4"/>
      <c r="R108" s="4"/>
      <c r="S108" s="4"/>
      <c r="T108" s="4"/>
      <c r="U108" s="4"/>
      <c r="V108" s="4"/>
      <c r="W108" s="4"/>
    </row>
    <row r="109" spans="12:23" ht="15.6">
      <c r="L109" s="4"/>
      <c r="M109" s="4"/>
      <c r="N109" s="4"/>
      <c r="O109" s="4"/>
      <c r="P109" s="4"/>
      <c r="Q109" s="4"/>
      <c r="R109" s="4"/>
      <c r="S109" s="4"/>
      <c r="T109" s="4"/>
      <c r="U109" s="4"/>
      <c r="V109" s="4"/>
      <c r="W109" s="4"/>
    </row>
    <row r="110" spans="12:23" ht="15.6">
      <c r="L110" s="4"/>
      <c r="M110" s="4"/>
      <c r="N110" s="4"/>
      <c r="O110" s="4"/>
      <c r="P110" s="4"/>
      <c r="Q110" s="4"/>
      <c r="R110" s="4"/>
      <c r="S110" s="4"/>
      <c r="T110" s="4"/>
      <c r="U110" s="4"/>
      <c r="V110" s="4"/>
      <c r="W110" s="4"/>
    </row>
  </sheetData>
  <phoneticPr fontId="52" type="noConversion"/>
  <pageMargins left="0.75" right="0.75" top="1" bottom="1" header="0.5" footer="0.5"/>
  <pageSetup scale="82" orientation="portrait"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F106"/>
  <sheetViews>
    <sheetView topLeftCell="W1" workbookViewId="0">
      <pane ySplit="9" topLeftCell="A10" activePane="bottomLeft" state="frozen"/>
      <selection pane="bottomLeft" activeCell="N46" sqref="N46"/>
    </sheetView>
  </sheetViews>
  <sheetFormatPr defaultRowHeight="13.2"/>
  <cols>
    <col min="1" max="1" width="9.44140625" bestFit="1" customWidth="1"/>
    <col min="2" max="2" width="11" customWidth="1"/>
    <col min="3" max="3" width="14" customWidth="1"/>
    <col min="4" max="4" width="13.6640625" customWidth="1"/>
    <col min="5" max="5" width="5.44140625" customWidth="1"/>
    <col min="6" max="6" width="6.44140625" customWidth="1"/>
    <col min="7" max="7" width="11.44140625" customWidth="1"/>
    <col min="8" max="8" width="12" customWidth="1"/>
    <col min="9" max="9" width="10.44140625" customWidth="1"/>
    <col min="10" max="10" width="9.44140625" bestFit="1" customWidth="1"/>
    <col min="11" max="11" width="9.6640625" bestFit="1" customWidth="1"/>
    <col min="12" max="12" width="9.44140625" bestFit="1" customWidth="1"/>
    <col min="13" max="13" width="14.77734375" customWidth="1"/>
    <col min="14" max="14" width="13.44140625" customWidth="1"/>
    <col min="15" max="15" width="13.33203125" customWidth="1"/>
    <col min="16" max="16" width="16" customWidth="1"/>
    <col min="17" max="17" width="13.6640625" customWidth="1"/>
    <col min="18" max="18" width="18.6640625" customWidth="1"/>
    <col min="19" max="19" width="16.44140625" customWidth="1"/>
    <col min="20" max="20" width="18.109375" customWidth="1"/>
    <col min="21" max="21" width="14.109375" customWidth="1"/>
    <col min="22" max="22" width="10.109375" customWidth="1"/>
    <col min="23" max="23" width="13.6640625" customWidth="1"/>
    <col min="24" max="24" width="12.44140625" customWidth="1"/>
    <col min="25" max="25" width="14.44140625" customWidth="1"/>
    <col min="27" max="27" width="12.77734375" customWidth="1"/>
    <col min="29" max="29" width="14.109375" customWidth="1"/>
    <col min="30" max="30" width="10" customWidth="1"/>
    <col min="31" max="31" width="13.6640625" customWidth="1"/>
    <col min="32" max="32" width="11.77734375" customWidth="1"/>
  </cols>
  <sheetData>
    <row r="1" spans="1:32" s="6" customFormat="1" ht="24.75" customHeight="1">
      <c r="A1" s="250" t="s">
        <v>174</v>
      </c>
    </row>
    <row r="2" spans="1:32" s="6" customFormat="1" ht="12.75" customHeight="1">
      <c r="G2" s="110" t="s">
        <v>93</v>
      </c>
      <c r="H2" s="6" t="s">
        <v>94</v>
      </c>
    </row>
    <row r="3" spans="1:32" s="6" customFormat="1" ht="12.75" customHeight="1">
      <c r="G3" s="110" t="s">
        <v>95</v>
      </c>
      <c r="H3" s="6" t="s">
        <v>96</v>
      </c>
    </row>
    <row r="4" spans="1:32" s="6" customFormat="1" ht="12.75" customHeight="1">
      <c r="G4" s="111" t="s">
        <v>92</v>
      </c>
      <c r="H4" s="6">
        <v>5</v>
      </c>
    </row>
    <row r="5" spans="1:32" s="6" customFormat="1" ht="12.75" customHeight="1"/>
    <row r="6" spans="1:32" s="6" customFormat="1" ht="12.75" customHeight="1"/>
    <row r="7" spans="1:32" s="6" customFormat="1" ht="12.75" customHeight="1">
      <c r="A7" s="112"/>
      <c r="B7" s="112"/>
      <c r="C7" s="113" t="s">
        <v>64</v>
      </c>
      <c r="D7" s="114"/>
      <c r="E7" s="113"/>
      <c r="F7" s="115"/>
      <c r="G7" s="116"/>
      <c r="H7" s="115" t="s">
        <v>65</v>
      </c>
      <c r="I7" s="115"/>
      <c r="J7" s="115"/>
      <c r="K7" s="115"/>
      <c r="L7" s="115"/>
      <c r="M7" s="117"/>
      <c r="N7" s="113" t="s">
        <v>66</v>
      </c>
      <c r="O7" s="115"/>
      <c r="P7" s="115"/>
      <c r="Q7" s="115"/>
      <c r="R7" s="114"/>
      <c r="S7" s="113" t="s">
        <v>178</v>
      </c>
      <c r="T7" s="115"/>
      <c r="U7" s="115"/>
      <c r="V7" s="115"/>
      <c r="W7" s="114"/>
      <c r="X7" s="118" t="s">
        <v>67</v>
      </c>
      <c r="Y7" s="118" t="s">
        <v>339</v>
      </c>
      <c r="Z7" s="119" t="s">
        <v>68</v>
      </c>
      <c r="AA7" s="119" t="s">
        <v>69</v>
      </c>
      <c r="AB7" s="119" t="s">
        <v>70</v>
      </c>
      <c r="AC7" s="119" t="s">
        <v>71</v>
      </c>
      <c r="AD7" s="90" t="s">
        <v>72</v>
      </c>
      <c r="AE7" s="91"/>
    </row>
    <row r="8" spans="1:32" s="6" customFormat="1" ht="12.75" customHeight="1">
      <c r="A8" s="120" t="s">
        <v>27</v>
      </c>
      <c r="B8" s="895" t="s">
        <v>484</v>
      </c>
      <c r="C8" s="118" t="s">
        <v>73</v>
      </c>
      <c r="D8" s="118" t="s">
        <v>74</v>
      </c>
      <c r="E8" s="112"/>
      <c r="F8" s="112"/>
      <c r="G8" s="122"/>
      <c r="H8" s="112"/>
      <c r="I8" s="118" t="s">
        <v>75</v>
      </c>
      <c r="J8" s="118" t="s">
        <v>76</v>
      </c>
      <c r="K8" s="118" t="s">
        <v>75</v>
      </c>
      <c r="L8" s="112"/>
      <c r="M8" s="123" t="s">
        <v>77</v>
      </c>
      <c r="N8" s="112"/>
      <c r="O8" s="112"/>
      <c r="P8" s="118" t="s">
        <v>78</v>
      </c>
      <c r="Q8" s="118" t="s">
        <v>79</v>
      </c>
      <c r="R8" s="118" t="s">
        <v>80</v>
      </c>
      <c r="S8" s="112"/>
      <c r="T8" s="112"/>
      <c r="U8" s="118" t="s">
        <v>78</v>
      </c>
      <c r="V8" s="118" t="s">
        <v>79</v>
      </c>
      <c r="W8" s="118" t="s">
        <v>80</v>
      </c>
      <c r="X8" s="120" t="s">
        <v>81</v>
      </c>
      <c r="Y8" s="120" t="s">
        <v>340</v>
      </c>
      <c r="Z8" s="121"/>
      <c r="AA8" s="118" t="s">
        <v>82</v>
      </c>
      <c r="AB8" s="118" t="s">
        <v>83</v>
      </c>
      <c r="AC8" s="118" t="s">
        <v>28</v>
      </c>
      <c r="AD8" s="119" t="s">
        <v>84</v>
      </c>
      <c r="AE8" s="119" t="s">
        <v>85</v>
      </c>
    </row>
    <row r="9" spans="1:32" s="6" customFormat="1" ht="14.25" customHeight="1">
      <c r="A9" s="124" t="s">
        <v>12</v>
      </c>
      <c r="B9" s="124" t="s">
        <v>12</v>
      </c>
      <c r="C9" s="126" t="s">
        <v>68</v>
      </c>
      <c r="D9" s="127" t="s">
        <v>154</v>
      </c>
      <c r="E9" s="124" t="s">
        <v>31</v>
      </c>
      <c r="F9" s="124" t="s">
        <v>86</v>
      </c>
      <c r="G9" s="127" t="s">
        <v>87</v>
      </c>
      <c r="H9" s="128" t="s">
        <v>88</v>
      </c>
      <c r="I9" s="129" t="s">
        <v>88</v>
      </c>
      <c r="J9" s="127" t="s">
        <v>155</v>
      </c>
      <c r="K9" s="124" t="s">
        <v>76</v>
      </c>
      <c r="L9" s="124" t="s">
        <v>156</v>
      </c>
      <c r="M9" s="130" t="s">
        <v>89</v>
      </c>
      <c r="N9" s="124" t="s">
        <v>157</v>
      </c>
      <c r="O9" s="130" t="s">
        <v>158</v>
      </c>
      <c r="P9" s="127" t="s">
        <v>155</v>
      </c>
      <c r="Q9" s="124" t="s">
        <v>159</v>
      </c>
      <c r="R9" s="124" t="s">
        <v>159</v>
      </c>
      <c r="S9" s="124" t="s">
        <v>157</v>
      </c>
      <c r="T9" s="130" t="s">
        <v>158</v>
      </c>
      <c r="U9" s="127" t="s">
        <v>155</v>
      </c>
      <c r="V9" s="124" t="s">
        <v>159</v>
      </c>
      <c r="W9" s="124" t="s">
        <v>159</v>
      </c>
      <c r="X9" s="131" t="s">
        <v>160</v>
      </c>
      <c r="Y9" s="131" t="s">
        <v>341</v>
      </c>
      <c r="Z9" s="124" t="s">
        <v>110</v>
      </c>
      <c r="AA9" s="124" t="s">
        <v>90</v>
      </c>
      <c r="AB9" s="124" t="s">
        <v>90</v>
      </c>
      <c r="AC9" s="124" t="s">
        <v>12</v>
      </c>
      <c r="AD9" s="119" t="s">
        <v>79</v>
      </c>
      <c r="AE9" s="119" t="s">
        <v>80</v>
      </c>
      <c r="AF9" s="119" t="s">
        <v>91</v>
      </c>
    </row>
    <row r="10" spans="1:32" s="6" customFormat="1" ht="12.75" customHeight="1">
      <c r="A10" s="134"/>
      <c r="B10" s="109"/>
      <c r="C10" s="132"/>
      <c r="D10" s="133"/>
      <c r="E10" s="134"/>
      <c r="F10" s="134"/>
      <c r="G10" s="133"/>
      <c r="H10" s="135"/>
      <c r="I10" s="136"/>
      <c r="J10" s="133"/>
      <c r="K10" s="134"/>
      <c r="L10" s="134"/>
      <c r="M10" s="137"/>
      <c r="N10" s="134"/>
      <c r="O10" s="137"/>
      <c r="P10" s="133"/>
      <c r="Q10" s="134"/>
      <c r="R10" s="134"/>
      <c r="S10" s="134"/>
      <c r="T10" s="137"/>
      <c r="U10" s="133"/>
      <c r="V10" s="134"/>
      <c r="W10" s="134"/>
      <c r="X10" s="138"/>
      <c r="Y10" s="138"/>
      <c r="Z10" s="134"/>
      <c r="AA10" s="134"/>
      <c r="AB10" s="134"/>
      <c r="AC10" s="134"/>
      <c r="AD10" s="134"/>
      <c r="AE10" s="134"/>
      <c r="AF10" s="134"/>
    </row>
    <row r="11" spans="1:32" s="6" customFormat="1" ht="12.75" customHeight="1">
      <c r="A11" s="134">
        <v>1977</v>
      </c>
      <c r="B11" s="451">
        <f t="shared" ref="B11:B43" si="0">A11+$H$4</f>
        <v>1982</v>
      </c>
      <c r="C11" s="67">
        <f>VLOOKUP($A11,FBrood!$A$8:$M$50,4)</f>
        <v>6.9651992487549279</v>
      </c>
      <c r="D11" s="67">
        <f>VLOOKUP($A11,FBrood!$A$8:$M$50,8)</f>
        <v>10.13504358499859</v>
      </c>
      <c r="E11" s="448">
        <v>32</v>
      </c>
      <c r="F11" s="449">
        <v>30</v>
      </c>
      <c r="G11" s="6">
        <v>3.2405488272386531</v>
      </c>
      <c r="H11" s="139">
        <v>0.85242548688032971</v>
      </c>
      <c r="I11" s="139">
        <v>8.5042651699101315E-2</v>
      </c>
      <c r="J11" s="139">
        <v>9.1778621880770785</v>
      </c>
      <c r="K11" s="139">
        <v>0.352978827658329</v>
      </c>
      <c r="L11" s="139">
        <v>0.77006325075783488</v>
      </c>
      <c r="M11" s="139">
        <v>0.13430346500214688</v>
      </c>
      <c r="N11" s="462">
        <f t="shared" ref="N11:N43" si="1">D11-J11</f>
        <v>0.95718139692151105</v>
      </c>
      <c r="O11" s="68">
        <f t="shared" ref="O11:O43" si="2">N11^2</f>
        <v>0.91619622661261524</v>
      </c>
      <c r="P11" s="463">
        <f t="shared" ref="P11:P43" si="3">J11</f>
        <v>9.1778621880770785</v>
      </c>
      <c r="Q11" s="25">
        <f t="shared" ref="Q11:Q43" si="4">$P11-SQRT($O$48)*$Q$48</f>
        <v>8.657152125502968</v>
      </c>
      <c r="R11" s="25">
        <f t="shared" ref="R11:R43" si="5">$P11+SQRT($O$48)*$Q$48</f>
        <v>9.6985722506511891</v>
      </c>
      <c r="S11" s="70">
        <f t="shared" ref="S11:S43" si="6">EXP(D11)-U11</f>
        <v>15530.763452174206</v>
      </c>
      <c r="T11" s="478">
        <f t="shared" ref="T11:T43" si="7">S11^2</f>
        <v>241204613.40739006</v>
      </c>
      <c r="U11" s="70">
        <f t="shared" ref="U11:U43" si="8">EXP(P11)</f>
        <v>9680.4356853710397</v>
      </c>
      <c r="V11" s="71">
        <f t="shared" ref="V11:V43" si="9">EXP(Q11)</f>
        <v>5751.1328139153511</v>
      </c>
      <c r="W11" s="71">
        <f t="shared" ref="W11:W43" si="10">EXP(R11)</f>
        <v>16294.326368513663</v>
      </c>
      <c r="X11" s="72">
        <f t="shared" ref="X11:X43" si="11">(+U11-EXP(D11))/(EXP(D11))</f>
        <v>-0.61602636857702431</v>
      </c>
      <c r="Y11" s="72">
        <f t="shared" ref="Y11:Y43" si="12">ABS(X11)</f>
        <v>0.61602636857702431</v>
      </c>
      <c r="Z11" s="447">
        <f t="shared" ref="Z11:Z43" si="13">C11</f>
        <v>6.9651992487549279</v>
      </c>
      <c r="AA11" s="74">
        <f t="shared" ref="AA11:AA43" si="14">(+$G$45+$H$45*C11)</f>
        <v>9.281774082849104</v>
      </c>
      <c r="AB11" s="73">
        <f t="shared" ref="AB11:AB43" si="15">D11</f>
        <v>10.13504358499859</v>
      </c>
      <c r="AC11" s="476" t="str">
        <f t="shared" ref="AC11:AC43" si="16">RIGHT(B11,2)</f>
        <v>82</v>
      </c>
      <c r="AD11" s="84">
        <f t="shared" ref="AD11:AD43" si="17">AA11-SQRT($O$47)*$Q$47</f>
        <v>8.8050219052779095</v>
      </c>
      <c r="AE11" s="85">
        <f t="shared" ref="AE11:AE43" si="18">AA11+SQRT($O$47)*$Q$47</f>
        <v>9.7585262604202985</v>
      </c>
      <c r="AF11" s="469">
        <f t="shared" ref="AF11:AF43" si="19">AB11+SQRT($O$47)*$Q$47</f>
        <v>10.611795762569784</v>
      </c>
    </row>
    <row r="12" spans="1:32" s="6" customFormat="1" ht="12.75" customHeight="1">
      <c r="A12" s="134">
        <v>1978</v>
      </c>
      <c r="B12" s="451">
        <f t="shared" si="0"/>
        <v>1983</v>
      </c>
      <c r="C12" s="67">
        <f>VLOOKUP($A12,FBrood!$A$8:$M$50,4)</f>
        <v>8.1821467439441573</v>
      </c>
      <c r="D12" s="67">
        <f>VLOOKUP($A12,FBrood!$A$8:$M$50,8)</f>
        <v>10.431687290277248</v>
      </c>
      <c r="E12" s="448">
        <v>32</v>
      </c>
      <c r="F12" s="449">
        <v>30</v>
      </c>
      <c r="G12" s="6">
        <v>3.7699234507242823</v>
      </c>
      <c r="H12" s="139">
        <v>0.79050937496302709</v>
      </c>
      <c r="I12" s="139">
        <v>8.9647319088326696E-2</v>
      </c>
      <c r="J12" s="139">
        <v>10.237987159135345</v>
      </c>
      <c r="K12" s="139">
        <v>0.38807956954684586</v>
      </c>
      <c r="L12" s="139">
        <v>0.72159578513053069</v>
      </c>
      <c r="M12" s="139">
        <v>0.16176210518365391</v>
      </c>
      <c r="N12" s="462">
        <f t="shared" si="1"/>
        <v>0.19370013114190243</v>
      </c>
      <c r="O12" s="68">
        <f t="shared" si="2"/>
        <v>3.7519740804390203E-2</v>
      </c>
      <c r="P12" s="463">
        <f t="shared" si="3"/>
        <v>10.237987159135345</v>
      </c>
      <c r="Q12" s="25">
        <f t="shared" si="4"/>
        <v>9.7172770965612347</v>
      </c>
      <c r="R12" s="25">
        <f t="shared" si="5"/>
        <v>10.758697221709456</v>
      </c>
      <c r="S12" s="70">
        <f t="shared" si="6"/>
        <v>5972.7099251312175</v>
      </c>
      <c r="T12" s="25">
        <f t="shared" si="7"/>
        <v>35673263.84976095</v>
      </c>
      <c r="U12" s="70">
        <f t="shared" si="8"/>
        <v>27944.820801349138</v>
      </c>
      <c r="V12" s="71">
        <f t="shared" si="9"/>
        <v>16601.977546578091</v>
      </c>
      <c r="W12" s="71">
        <f t="shared" si="10"/>
        <v>47037.348859712984</v>
      </c>
      <c r="X12" s="72">
        <f t="shared" si="11"/>
        <v>-0.17609506934029714</v>
      </c>
      <c r="Y12" s="72">
        <f t="shared" si="12"/>
        <v>0.17609506934029714</v>
      </c>
      <c r="Z12" s="73">
        <f t="shared" si="13"/>
        <v>8.1821467439441573</v>
      </c>
      <c r="AA12" s="74">
        <f t="shared" si="14"/>
        <v>10.24385722498522</v>
      </c>
      <c r="AB12" s="73">
        <f t="shared" si="15"/>
        <v>10.431687290277248</v>
      </c>
      <c r="AC12" s="476" t="str">
        <f t="shared" si="16"/>
        <v>83</v>
      </c>
      <c r="AD12" s="84">
        <f t="shared" si="17"/>
        <v>9.7671050474140255</v>
      </c>
      <c r="AE12" s="85">
        <f t="shared" si="18"/>
        <v>10.720609402556414</v>
      </c>
      <c r="AF12" s="469">
        <f t="shared" si="19"/>
        <v>10.908439467848442</v>
      </c>
    </row>
    <row r="13" spans="1:32" s="6" customFormat="1" ht="12.75" customHeight="1">
      <c r="A13" s="134">
        <v>1979</v>
      </c>
      <c r="B13" s="451">
        <f t="shared" si="0"/>
        <v>1984</v>
      </c>
      <c r="C13" s="67">
        <f>VLOOKUP($A13,FBrood!$A$8:$M$50,4)</f>
        <v>7.6266639812934791</v>
      </c>
      <c r="D13" s="67">
        <f>VLOOKUP($A13,FBrood!$A$8:$M$50,8)</f>
        <v>9.4867647439893457</v>
      </c>
      <c r="E13" s="448">
        <v>32</v>
      </c>
      <c r="F13" s="449">
        <v>30</v>
      </c>
      <c r="G13" s="6">
        <v>3.8653370097564226</v>
      </c>
      <c r="H13" s="139">
        <v>0.78079335182881437</v>
      </c>
      <c r="I13" s="139">
        <v>8.9702293835484198E-2</v>
      </c>
      <c r="J13" s="139">
        <v>9.8201855429826495</v>
      </c>
      <c r="K13" s="139">
        <v>0.38507774639990622</v>
      </c>
      <c r="L13" s="139">
        <v>0.71635064751159472</v>
      </c>
      <c r="M13" s="139">
        <v>0.15946055242124946</v>
      </c>
      <c r="N13" s="462">
        <f t="shared" si="1"/>
        <v>-0.33342079899330379</v>
      </c>
      <c r="O13" s="68">
        <f t="shared" si="2"/>
        <v>0.11116942920133309</v>
      </c>
      <c r="P13" s="463">
        <f t="shared" si="3"/>
        <v>9.8201855429826495</v>
      </c>
      <c r="Q13" s="25">
        <f t="shared" si="4"/>
        <v>9.2994754804085389</v>
      </c>
      <c r="R13" s="25">
        <f t="shared" si="5"/>
        <v>10.34089560555676</v>
      </c>
      <c r="S13" s="70">
        <f t="shared" si="6"/>
        <v>-5217.3922823692537</v>
      </c>
      <c r="T13" s="25">
        <f t="shared" si="7"/>
        <v>27221182.22812625</v>
      </c>
      <c r="U13" s="70">
        <f t="shared" si="8"/>
        <v>18401.464686987852</v>
      </c>
      <c r="V13" s="71">
        <f t="shared" si="9"/>
        <v>10932.283507173994</v>
      </c>
      <c r="W13" s="71">
        <f t="shared" si="10"/>
        <v>30973.757898270327</v>
      </c>
      <c r="X13" s="72">
        <f t="shared" si="11"/>
        <v>0.3957344985864546</v>
      </c>
      <c r="Y13" s="72">
        <f t="shared" si="12"/>
        <v>0.3957344985864546</v>
      </c>
      <c r="Z13" s="73">
        <f t="shared" si="13"/>
        <v>7.6266639812934791</v>
      </c>
      <c r="AA13" s="74">
        <f t="shared" si="14"/>
        <v>9.8047087787243434</v>
      </c>
      <c r="AB13" s="73">
        <f t="shared" si="15"/>
        <v>9.4867647439893457</v>
      </c>
      <c r="AC13" s="476" t="str">
        <f t="shared" si="16"/>
        <v>84</v>
      </c>
      <c r="AD13" s="84">
        <f t="shared" si="17"/>
        <v>9.327956601153149</v>
      </c>
      <c r="AE13" s="85">
        <f t="shared" si="18"/>
        <v>10.281460956295538</v>
      </c>
      <c r="AF13" s="469">
        <f t="shared" si="19"/>
        <v>9.9635169215605401</v>
      </c>
    </row>
    <row r="14" spans="1:32" s="6" customFormat="1" ht="12.75" customHeight="1">
      <c r="A14" s="134">
        <v>1980</v>
      </c>
      <c r="B14" s="451">
        <f t="shared" si="0"/>
        <v>1985</v>
      </c>
      <c r="C14" s="67">
        <f>VLOOKUP($A14,FBrood!$A$8:$M$50,4)</f>
        <v>6.802035215661534</v>
      </c>
      <c r="D14" s="67">
        <f>VLOOKUP($A14,FBrood!$A$8:$M$50,8)</f>
        <v>9.4124522170203111</v>
      </c>
      <c r="E14" s="448">
        <v>32</v>
      </c>
      <c r="F14" s="449">
        <v>30</v>
      </c>
      <c r="G14" s="6">
        <v>3.5870665460108464</v>
      </c>
      <c r="H14" s="139">
        <v>0.81248422341893267</v>
      </c>
      <c r="I14" s="139">
        <v>9.4269713153629642E-2</v>
      </c>
      <c r="J14" s="139">
        <v>9.1136128458758403</v>
      </c>
      <c r="K14" s="139">
        <v>0.3863053801921042</v>
      </c>
      <c r="L14" s="139">
        <v>0.71231942400397064</v>
      </c>
      <c r="M14" s="139">
        <v>0.1601438167792279</v>
      </c>
      <c r="N14" s="462">
        <f t="shared" si="1"/>
        <v>0.29883937114447079</v>
      </c>
      <c r="O14" s="68">
        <f t="shared" si="2"/>
        <v>8.9304969746022755E-2</v>
      </c>
      <c r="P14" s="463">
        <f t="shared" si="3"/>
        <v>9.1136128458758403</v>
      </c>
      <c r="Q14" s="25">
        <f t="shared" si="4"/>
        <v>8.5929027833017297</v>
      </c>
      <c r="R14" s="25">
        <f t="shared" si="5"/>
        <v>9.6343229084499509</v>
      </c>
      <c r="S14" s="70">
        <f t="shared" si="6"/>
        <v>3161.8157195098665</v>
      </c>
      <c r="T14" s="25">
        <f t="shared" si="7"/>
        <v>9997078.6441396959</v>
      </c>
      <c r="U14" s="70">
        <f t="shared" si="8"/>
        <v>9078.0332514987986</v>
      </c>
      <c r="V14" s="71">
        <f t="shared" si="9"/>
        <v>5393.2464008212964</v>
      </c>
      <c r="W14" s="71">
        <f t="shared" si="10"/>
        <v>15280.349086733389</v>
      </c>
      <c r="X14" s="72">
        <f t="shared" si="11"/>
        <v>-0.25832146515851223</v>
      </c>
      <c r="Y14" s="72">
        <f t="shared" si="12"/>
        <v>0.25832146515851223</v>
      </c>
      <c r="Z14" s="73">
        <f t="shared" si="13"/>
        <v>6.802035215661534</v>
      </c>
      <c r="AA14" s="74">
        <f t="shared" si="14"/>
        <v>9.1527813643771516</v>
      </c>
      <c r="AB14" s="73">
        <f t="shared" si="15"/>
        <v>9.4124522170203111</v>
      </c>
      <c r="AC14" s="476" t="str">
        <f t="shared" si="16"/>
        <v>85</v>
      </c>
      <c r="AD14" s="84">
        <f t="shared" si="17"/>
        <v>8.6760291868059571</v>
      </c>
      <c r="AE14" s="85">
        <f t="shared" si="18"/>
        <v>9.6295335419483461</v>
      </c>
      <c r="AF14" s="469">
        <f t="shared" si="19"/>
        <v>9.8892043945915056</v>
      </c>
    </row>
    <row r="15" spans="1:32" s="6" customFormat="1" ht="12.75" customHeight="1">
      <c r="A15" s="134">
        <v>1981</v>
      </c>
      <c r="B15" s="451">
        <f t="shared" si="0"/>
        <v>1986</v>
      </c>
      <c r="C15" s="67">
        <f>VLOOKUP($A15,FBrood!$A$8:$M$50,4)</f>
        <v>7.9476460397232467</v>
      </c>
      <c r="D15" s="67">
        <f>VLOOKUP($A15,FBrood!$A$8:$M$50,8)</f>
        <v>9.9934902869486333</v>
      </c>
      <c r="E15" s="448">
        <v>32</v>
      </c>
      <c r="F15" s="449">
        <v>30</v>
      </c>
      <c r="G15" s="6">
        <v>3.7840287263014645</v>
      </c>
      <c r="H15" s="139">
        <v>0.7897511781357559</v>
      </c>
      <c r="I15" s="139">
        <v>9.0093884839338848E-2</v>
      </c>
      <c r="J15" s="139">
        <v>10.060691549578873</v>
      </c>
      <c r="K15" s="139">
        <v>0.38945212393539891</v>
      </c>
      <c r="L15" s="139">
        <v>0.71920748976448479</v>
      </c>
      <c r="M15" s="139">
        <v>0.16279347178069428</v>
      </c>
      <c r="N15" s="462">
        <f t="shared" si="1"/>
        <v>-6.7201262630240066E-2</v>
      </c>
      <c r="O15" s="68">
        <f t="shared" si="2"/>
        <v>4.5160096990985001E-3</v>
      </c>
      <c r="P15" s="463">
        <f t="shared" si="3"/>
        <v>10.060691549578873</v>
      </c>
      <c r="Q15" s="25">
        <f t="shared" si="4"/>
        <v>9.5399814870047628</v>
      </c>
      <c r="R15" s="25">
        <f t="shared" si="5"/>
        <v>10.581401612152984</v>
      </c>
      <c r="S15" s="70">
        <f t="shared" si="6"/>
        <v>-1521.1407651849477</v>
      </c>
      <c r="T15" s="25">
        <f t="shared" si="7"/>
        <v>2313869.2275074483</v>
      </c>
      <c r="U15" s="70">
        <f t="shared" si="8"/>
        <v>23404.686277847853</v>
      </c>
      <c r="V15" s="71">
        <f t="shared" si="9"/>
        <v>13904.69020473286</v>
      </c>
      <c r="W15" s="71">
        <f t="shared" si="10"/>
        <v>39395.29264578849</v>
      </c>
      <c r="X15" s="72">
        <f t="shared" si="11"/>
        <v>6.9510709053281161E-2</v>
      </c>
      <c r="Y15" s="72">
        <f t="shared" si="12"/>
        <v>6.9510709053281161E-2</v>
      </c>
      <c r="Z15" s="73">
        <f t="shared" si="13"/>
        <v>7.9476460397232467</v>
      </c>
      <c r="AA15" s="74">
        <f t="shared" si="14"/>
        <v>10.058467818094741</v>
      </c>
      <c r="AB15" s="73">
        <f t="shared" si="15"/>
        <v>9.9934902869486333</v>
      </c>
      <c r="AC15" s="476" t="str">
        <f t="shared" si="16"/>
        <v>86</v>
      </c>
      <c r="AD15" s="84">
        <f t="shared" si="17"/>
        <v>9.5817156405235462</v>
      </c>
      <c r="AE15" s="85">
        <f t="shared" si="18"/>
        <v>10.535219995665935</v>
      </c>
      <c r="AF15" s="469">
        <f t="shared" si="19"/>
        <v>10.470242464519828</v>
      </c>
    </row>
    <row r="16" spans="1:32" s="6" customFormat="1" ht="12.75" customHeight="1">
      <c r="A16" s="134">
        <v>1982</v>
      </c>
      <c r="B16" s="451">
        <f t="shared" si="0"/>
        <v>1987</v>
      </c>
      <c r="C16" s="67">
        <f>VLOOKUP($A16,FBrood!$A$8:$M$50,4)</f>
        <v>7.7631542768994439</v>
      </c>
      <c r="D16" s="67">
        <f>VLOOKUP($A16,FBrood!$A$8:$M$50,8)</f>
        <v>9.2071524487385759</v>
      </c>
      <c r="E16" s="448">
        <v>32</v>
      </c>
      <c r="F16" s="449">
        <v>30</v>
      </c>
      <c r="G16" s="6">
        <v>3.9298948695503171</v>
      </c>
      <c r="H16" s="139">
        <v>0.77438366602137976</v>
      </c>
      <c r="I16" s="139">
        <v>8.5134246808612674E-2</v>
      </c>
      <c r="J16" s="139">
        <v>9.9415547383852623</v>
      </c>
      <c r="K16" s="139">
        <v>0.3668088823193783</v>
      </c>
      <c r="L16" s="139">
        <v>0.73389572970467343</v>
      </c>
      <c r="M16" s="139">
        <v>0.14608001198884435</v>
      </c>
      <c r="N16" s="462">
        <f t="shared" si="1"/>
        <v>-0.73440228964668641</v>
      </c>
      <c r="O16" s="68">
        <f t="shared" si="2"/>
        <v>0.53934672303829545</v>
      </c>
      <c r="P16" s="463">
        <f t="shared" si="3"/>
        <v>9.9415547383852623</v>
      </c>
      <c r="Q16" s="25">
        <f t="shared" si="4"/>
        <v>9.4208446758111517</v>
      </c>
      <c r="R16" s="25">
        <f t="shared" si="5"/>
        <v>10.462264800959373</v>
      </c>
      <c r="S16" s="70">
        <f t="shared" si="6"/>
        <v>-10807.848937314306</v>
      </c>
      <c r="T16" s="25">
        <f t="shared" si="7"/>
        <v>116809598.65180597</v>
      </c>
      <c r="U16" s="70">
        <f t="shared" si="8"/>
        <v>20776.020465256755</v>
      </c>
      <c r="V16" s="71">
        <f t="shared" si="9"/>
        <v>12343.003654358276</v>
      </c>
      <c r="W16" s="71">
        <f t="shared" si="10"/>
        <v>34970.663418734046</v>
      </c>
      <c r="X16" s="72">
        <f t="shared" si="11"/>
        <v>1.0842358507794634</v>
      </c>
      <c r="Y16" s="72">
        <f t="shared" si="12"/>
        <v>1.0842358507794634</v>
      </c>
      <c r="Z16" s="73">
        <f t="shared" si="13"/>
        <v>7.7631542768994439</v>
      </c>
      <c r="AA16" s="74">
        <f t="shared" si="14"/>
        <v>9.9126140194900962</v>
      </c>
      <c r="AB16" s="73">
        <f t="shared" si="15"/>
        <v>9.2071524487385759</v>
      </c>
      <c r="AC16" s="476" t="str">
        <f t="shared" si="16"/>
        <v>87</v>
      </c>
      <c r="AD16" s="84">
        <f t="shared" si="17"/>
        <v>9.4358618419189018</v>
      </c>
      <c r="AE16" s="85">
        <f t="shared" si="18"/>
        <v>10.389366197061291</v>
      </c>
      <c r="AF16" s="469">
        <f t="shared" si="19"/>
        <v>9.6839046263097703</v>
      </c>
    </row>
    <row r="17" spans="1:32" s="6" customFormat="1" ht="12.75" customHeight="1">
      <c r="A17" s="134">
        <v>1983</v>
      </c>
      <c r="B17" s="451">
        <f t="shared" si="0"/>
        <v>1988</v>
      </c>
      <c r="C17" s="67">
        <f>VLOOKUP($A17,FBrood!$A$8:$M$50,4)</f>
        <v>6.7171833238616028</v>
      </c>
      <c r="D17" s="67">
        <f>VLOOKUP($A17,FBrood!$A$8:$M$50,8)</f>
        <v>8.9586545817934145</v>
      </c>
      <c r="E17" s="448">
        <v>32</v>
      </c>
      <c r="F17" s="449">
        <v>30</v>
      </c>
      <c r="G17" s="6">
        <v>3.8742546363251353</v>
      </c>
      <c r="H17" s="139">
        <v>0.7790169374184327</v>
      </c>
      <c r="I17" s="139">
        <v>9.5594468766246263E-2</v>
      </c>
      <c r="J17" s="139">
        <v>9.1070542173579696</v>
      </c>
      <c r="K17" s="139">
        <v>0.38883165992560204</v>
      </c>
      <c r="L17" s="139">
        <v>0.68882638927218998</v>
      </c>
      <c r="M17" s="139">
        <v>0.16224639546392569</v>
      </c>
      <c r="N17" s="462">
        <f t="shared" si="1"/>
        <v>-0.14839963556455515</v>
      </c>
      <c r="O17" s="68">
        <f t="shared" si="2"/>
        <v>2.2022451835692784E-2</v>
      </c>
      <c r="P17" s="463">
        <f t="shared" si="3"/>
        <v>9.1070542173579696</v>
      </c>
      <c r="Q17" s="25">
        <f t="shared" si="4"/>
        <v>8.586344154783859</v>
      </c>
      <c r="R17" s="25">
        <f t="shared" si="5"/>
        <v>9.6277642799320802</v>
      </c>
      <c r="S17" s="70">
        <f t="shared" si="6"/>
        <v>-1243.7986824551681</v>
      </c>
      <c r="T17" s="25">
        <f t="shared" si="7"/>
        <v>1547035.162477212</v>
      </c>
      <c r="U17" s="70">
        <f t="shared" si="8"/>
        <v>9018.6886261340987</v>
      </c>
      <c r="V17" s="71">
        <f t="shared" si="9"/>
        <v>5357.9898448813401</v>
      </c>
      <c r="W17" s="71">
        <f t="shared" si="10"/>
        <v>15180.458882889478</v>
      </c>
      <c r="X17" s="72">
        <f t="shared" si="11"/>
        <v>0.15997637155833824</v>
      </c>
      <c r="Y17" s="72">
        <f t="shared" si="12"/>
        <v>0.15997637155833824</v>
      </c>
      <c r="Z17" s="73">
        <f t="shared" si="13"/>
        <v>6.7171833238616028</v>
      </c>
      <c r="AA17" s="74">
        <f t="shared" si="14"/>
        <v>9.085699937280431</v>
      </c>
      <c r="AB17" s="73">
        <f t="shared" si="15"/>
        <v>8.9586545817934145</v>
      </c>
      <c r="AC17" s="476" t="str">
        <f t="shared" si="16"/>
        <v>88</v>
      </c>
      <c r="AD17" s="84">
        <f t="shared" si="17"/>
        <v>8.6089477597092365</v>
      </c>
      <c r="AE17" s="85">
        <f t="shared" si="18"/>
        <v>9.5624521148516255</v>
      </c>
      <c r="AF17" s="469">
        <f t="shared" si="19"/>
        <v>9.4354067593646089</v>
      </c>
    </row>
    <row r="18" spans="1:32" s="6" customFormat="1" ht="12.75" customHeight="1">
      <c r="A18" s="134">
        <v>1984</v>
      </c>
      <c r="B18" s="451">
        <f t="shared" si="0"/>
        <v>1989</v>
      </c>
      <c r="C18" s="67">
        <f>VLOOKUP($A18,FBrood!$A$8:$M$50,4)</f>
        <v>6.8778079534695964</v>
      </c>
      <c r="D18" s="67">
        <f>VLOOKUP($A18,FBrood!$A$8:$M$50,8)</f>
        <v>8.9353240460756513</v>
      </c>
      <c r="E18" s="448">
        <v>32</v>
      </c>
      <c r="F18" s="449">
        <v>30</v>
      </c>
      <c r="G18" s="6">
        <v>3.9634458708127651</v>
      </c>
      <c r="H18" s="139">
        <v>0.76872679155656143</v>
      </c>
      <c r="I18" s="139">
        <v>9.3585868222093471E-2</v>
      </c>
      <c r="J18" s="139">
        <v>9.2506011118256488</v>
      </c>
      <c r="K18" s="139">
        <v>0.38588036596497383</v>
      </c>
      <c r="L18" s="139">
        <v>0.69221925660811223</v>
      </c>
      <c r="M18" s="139">
        <v>0.15982835870291834</v>
      </c>
      <c r="N18" s="462">
        <f t="shared" si="1"/>
        <v>-0.31527706574999748</v>
      </c>
      <c r="O18" s="68">
        <f t="shared" si="2"/>
        <v>9.9399628187928232E-2</v>
      </c>
      <c r="P18" s="463">
        <f t="shared" si="3"/>
        <v>9.2506011118256488</v>
      </c>
      <c r="Q18" s="25">
        <f t="shared" si="4"/>
        <v>8.7298910492515382</v>
      </c>
      <c r="R18" s="25">
        <f t="shared" si="5"/>
        <v>9.7713111743997594</v>
      </c>
      <c r="S18" s="70">
        <f t="shared" si="6"/>
        <v>-2815.2246779268526</v>
      </c>
      <c r="T18" s="25">
        <f t="shared" si="7"/>
        <v>7925489.9872083506</v>
      </c>
      <c r="U18" s="70">
        <f t="shared" si="8"/>
        <v>10410.821904199493</v>
      </c>
      <c r="V18" s="71">
        <f t="shared" si="9"/>
        <v>6185.0542082058673</v>
      </c>
      <c r="W18" s="71">
        <f t="shared" si="10"/>
        <v>17523.728826363811</v>
      </c>
      <c r="X18" s="72">
        <f t="shared" si="11"/>
        <v>0.3706390154798081</v>
      </c>
      <c r="Y18" s="72">
        <f t="shared" si="12"/>
        <v>0.3706390154798081</v>
      </c>
      <c r="Z18" s="73">
        <f t="shared" si="13"/>
        <v>6.8778079534695964</v>
      </c>
      <c r="AA18" s="74">
        <f t="shared" si="14"/>
        <v>9.212685077533898</v>
      </c>
      <c r="AB18" s="73">
        <f t="shared" si="15"/>
        <v>8.9353240460756513</v>
      </c>
      <c r="AC18" s="476" t="str">
        <f t="shared" si="16"/>
        <v>89</v>
      </c>
      <c r="AD18" s="84">
        <f t="shared" si="17"/>
        <v>8.7359328999627035</v>
      </c>
      <c r="AE18" s="85">
        <f t="shared" si="18"/>
        <v>9.6894372551050925</v>
      </c>
      <c r="AF18" s="469">
        <f t="shared" si="19"/>
        <v>9.4120762236468458</v>
      </c>
    </row>
    <row r="19" spans="1:32" s="6" customFormat="1" ht="12.75" customHeight="1">
      <c r="A19" s="134">
        <v>1985</v>
      </c>
      <c r="B19" s="451">
        <f t="shared" si="0"/>
        <v>1990</v>
      </c>
      <c r="C19" s="67">
        <f>VLOOKUP($A19,FBrood!$A$8:$M$50,4)</f>
        <v>6.6748803830749788</v>
      </c>
      <c r="D19" s="67">
        <f>VLOOKUP($A19,FBrood!$A$8:$M$50,8)</f>
        <v>8.6042949606337302</v>
      </c>
      <c r="E19" s="448">
        <v>32</v>
      </c>
      <c r="F19" s="449">
        <v>30</v>
      </c>
      <c r="G19" s="6">
        <v>4.136715243375801</v>
      </c>
      <c r="H19" s="139">
        <v>0.74832096571945639</v>
      </c>
      <c r="I19" s="139">
        <v>9.3641682970609527E-2</v>
      </c>
      <c r="J19" s="139">
        <v>9.1316681777003232</v>
      </c>
      <c r="K19" s="139">
        <v>0.37939919065180494</v>
      </c>
      <c r="L19" s="139">
        <v>0.68037927832543965</v>
      </c>
      <c r="M19" s="139">
        <v>0.15424326864381707</v>
      </c>
      <c r="N19" s="462">
        <f t="shared" si="1"/>
        <v>-0.52737321706659301</v>
      </c>
      <c r="O19" s="68">
        <f t="shared" si="2"/>
        <v>0.27812251007916783</v>
      </c>
      <c r="P19" s="463">
        <f t="shared" si="3"/>
        <v>9.1316681777003232</v>
      </c>
      <c r="Q19" s="25">
        <f t="shared" si="4"/>
        <v>8.6109581151262127</v>
      </c>
      <c r="R19" s="25">
        <f t="shared" si="5"/>
        <v>9.6523782402744338</v>
      </c>
      <c r="S19" s="70">
        <f t="shared" si="6"/>
        <v>-3788.3902713960861</v>
      </c>
      <c r="T19" s="25">
        <f t="shared" si="7"/>
        <v>14351900.848408511</v>
      </c>
      <c r="U19" s="70">
        <f t="shared" si="8"/>
        <v>9243.4287967417058</v>
      </c>
      <c r="V19" s="71">
        <f t="shared" si="9"/>
        <v>5491.5076545951697</v>
      </c>
      <c r="W19" s="71">
        <f t="shared" si="10"/>
        <v>15558.746576441303</v>
      </c>
      <c r="X19" s="72">
        <f t="shared" si="11"/>
        <v>0.69447543840326253</v>
      </c>
      <c r="Y19" s="72">
        <f t="shared" si="12"/>
        <v>0.69447543840326253</v>
      </c>
      <c r="Z19" s="73">
        <f t="shared" si="13"/>
        <v>6.6748803830749788</v>
      </c>
      <c r="AA19" s="74">
        <f t="shared" si="14"/>
        <v>9.052256467981648</v>
      </c>
      <c r="AB19" s="73">
        <f t="shared" si="15"/>
        <v>8.6042949606337302</v>
      </c>
      <c r="AC19" s="476" t="str">
        <f t="shared" si="16"/>
        <v>90</v>
      </c>
      <c r="AD19" s="84">
        <f t="shared" si="17"/>
        <v>8.5755042904104535</v>
      </c>
      <c r="AE19" s="85">
        <f t="shared" si="18"/>
        <v>9.5290086455528424</v>
      </c>
      <c r="AF19" s="469">
        <f t="shared" si="19"/>
        <v>9.0810471382049247</v>
      </c>
    </row>
    <row r="20" spans="1:32" s="6" customFormat="1" ht="12.75" customHeight="1">
      <c r="A20" s="134">
        <v>1986</v>
      </c>
      <c r="B20" s="451">
        <f t="shared" si="0"/>
        <v>1991</v>
      </c>
      <c r="C20" s="67">
        <f>VLOOKUP($A20,FBrood!$A$8:$M$50,4)</f>
        <v>7.1447413077131872</v>
      </c>
      <c r="D20" s="67">
        <f>VLOOKUP($A20,FBrood!$A$8:$M$50,8)</f>
        <v>9.8900490779554673</v>
      </c>
      <c r="E20" s="448">
        <v>32</v>
      </c>
      <c r="F20" s="449">
        <v>30</v>
      </c>
      <c r="G20" s="6">
        <v>3.529932124400788</v>
      </c>
      <c r="H20" s="139">
        <v>0.81868648391470655</v>
      </c>
      <c r="I20" s="139">
        <v>9.0305505508977174E-2</v>
      </c>
      <c r="J20" s="139">
        <v>9.3792352640926602</v>
      </c>
      <c r="K20" s="139">
        <v>0.37931276809452547</v>
      </c>
      <c r="L20" s="139">
        <v>0.73259098695228475</v>
      </c>
      <c r="M20" s="139">
        <v>0.15478051107025775</v>
      </c>
      <c r="N20" s="462">
        <f t="shared" si="1"/>
        <v>0.51081381386280711</v>
      </c>
      <c r="O20" s="68">
        <f t="shared" si="2"/>
        <v>0.26093075243306657</v>
      </c>
      <c r="P20" s="463">
        <f t="shared" si="3"/>
        <v>9.3792352640926602</v>
      </c>
      <c r="Q20" s="25">
        <f t="shared" si="4"/>
        <v>8.8585252015185496</v>
      </c>
      <c r="R20" s="25">
        <f t="shared" si="5"/>
        <v>9.8999453266667707</v>
      </c>
      <c r="S20" s="70">
        <f t="shared" si="6"/>
        <v>7893.071520822512</v>
      </c>
      <c r="T20" s="25">
        <f t="shared" si="7"/>
        <v>62300578.032819405</v>
      </c>
      <c r="U20" s="70">
        <f t="shared" si="8"/>
        <v>11839.956851029841</v>
      </c>
      <c r="V20" s="71">
        <f t="shared" si="9"/>
        <v>7034.1012093289528</v>
      </c>
      <c r="W20" s="71">
        <f t="shared" si="10"/>
        <v>19929.280808233059</v>
      </c>
      <c r="X20" s="72">
        <f t="shared" si="11"/>
        <v>-0.39999291401624754</v>
      </c>
      <c r="Y20" s="72">
        <f t="shared" si="12"/>
        <v>0.39999291401624754</v>
      </c>
      <c r="Z20" s="73">
        <f t="shared" si="13"/>
        <v>7.1447413077131872</v>
      </c>
      <c r="AA20" s="74">
        <f t="shared" si="14"/>
        <v>9.4237147901606306</v>
      </c>
      <c r="AB20" s="73">
        <f t="shared" si="15"/>
        <v>9.8900490779554673</v>
      </c>
      <c r="AC20" s="476" t="str">
        <f t="shared" si="16"/>
        <v>91</v>
      </c>
      <c r="AD20" s="84">
        <f t="shared" si="17"/>
        <v>8.9469626125894361</v>
      </c>
      <c r="AE20" s="85">
        <f t="shared" si="18"/>
        <v>9.9004669677318251</v>
      </c>
      <c r="AF20" s="469">
        <f t="shared" si="19"/>
        <v>10.366801255526662</v>
      </c>
    </row>
    <row r="21" spans="1:32" s="6" customFormat="1" ht="12.75" customHeight="1">
      <c r="A21" s="134">
        <v>1987</v>
      </c>
      <c r="B21" s="451">
        <f t="shared" si="0"/>
        <v>1992</v>
      </c>
      <c r="C21" s="67">
        <f>VLOOKUP($A21,FBrood!$A$8:$M$50,4)</f>
        <v>7.041702195532543</v>
      </c>
      <c r="D21" s="67">
        <f>VLOOKUP($A21,FBrood!$A$8:$M$50,8)</f>
        <v>9.1458366599460579</v>
      </c>
      <c r="E21" s="448">
        <v>32</v>
      </c>
      <c r="F21" s="449">
        <v>30</v>
      </c>
      <c r="G21" s="6">
        <v>3.889801543933685</v>
      </c>
      <c r="H21" s="139">
        <v>0.77737339977336428</v>
      </c>
      <c r="I21" s="139">
        <v>9.2935017184729421E-2</v>
      </c>
      <c r="J21" s="139">
        <v>9.3638335198663825</v>
      </c>
      <c r="K21" s="139">
        <v>0.38780307197200276</v>
      </c>
      <c r="L21" s="139">
        <v>0.69990451310754476</v>
      </c>
      <c r="M21" s="139">
        <v>0.16144951486706854</v>
      </c>
      <c r="N21" s="462">
        <f t="shared" si="1"/>
        <v>-0.21799685992032458</v>
      </c>
      <c r="O21" s="68">
        <f t="shared" si="2"/>
        <v>4.7522630935121615E-2</v>
      </c>
      <c r="P21" s="463">
        <f t="shared" si="3"/>
        <v>9.3638335198663825</v>
      </c>
      <c r="Q21" s="25">
        <f t="shared" si="4"/>
        <v>8.8431234572922719</v>
      </c>
      <c r="R21" s="25">
        <f t="shared" si="5"/>
        <v>9.884543582440493</v>
      </c>
      <c r="S21" s="70">
        <f t="shared" si="6"/>
        <v>-2283.671641150986</v>
      </c>
      <c r="T21" s="25">
        <f t="shared" si="7"/>
        <v>5215156.1645972375</v>
      </c>
      <c r="U21" s="70">
        <f t="shared" si="8"/>
        <v>11658.997982213083</v>
      </c>
      <c r="V21" s="71">
        <f t="shared" si="9"/>
        <v>6926.5938075708091</v>
      </c>
      <c r="W21" s="71">
        <f t="shared" si="10"/>
        <v>19624.686783375979</v>
      </c>
      <c r="X21" s="72">
        <f t="shared" si="11"/>
        <v>0.24358316266271721</v>
      </c>
      <c r="Y21" s="72">
        <f t="shared" si="12"/>
        <v>0.24358316266271721</v>
      </c>
      <c r="Z21" s="73">
        <f t="shared" si="13"/>
        <v>7.041702195532543</v>
      </c>
      <c r="AA21" s="74">
        <f t="shared" si="14"/>
        <v>9.3422550778874616</v>
      </c>
      <c r="AB21" s="73">
        <f t="shared" si="15"/>
        <v>9.1458366599460579</v>
      </c>
      <c r="AC21" s="476" t="str">
        <f t="shared" si="16"/>
        <v>92</v>
      </c>
      <c r="AD21" s="84">
        <f t="shared" si="17"/>
        <v>8.8655029003162671</v>
      </c>
      <c r="AE21" s="85">
        <f t="shared" si="18"/>
        <v>9.819007255458656</v>
      </c>
      <c r="AF21" s="469">
        <f t="shared" si="19"/>
        <v>9.6225888375172524</v>
      </c>
    </row>
    <row r="22" spans="1:32" s="6" customFormat="1" ht="12.75" customHeight="1">
      <c r="A22" s="134">
        <v>1988</v>
      </c>
      <c r="B22" s="451">
        <f t="shared" si="0"/>
        <v>1993</v>
      </c>
      <c r="C22" s="67">
        <f>VLOOKUP($A22,FBrood!$A$8:$M$50,4)</f>
        <v>8.2490610282566887</v>
      </c>
      <c r="D22" s="67">
        <f>VLOOKUP($A22,FBrood!$A$8:$M$50,8)</f>
        <v>10.352881735694568</v>
      </c>
      <c r="E22" s="448">
        <v>32</v>
      </c>
      <c r="F22" s="449">
        <v>30</v>
      </c>
      <c r="G22" s="6">
        <v>3.7753769256181169</v>
      </c>
      <c r="H22" s="139">
        <v>0.79034570949780003</v>
      </c>
      <c r="I22" s="139">
        <v>8.9988483222107257E-2</v>
      </c>
      <c r="J22" s="139">
        <v>10.294986916686302</v>
      </c>
      <c r="K22" s="139">
        <v>0.38949993524121884</v>
      </c>
      <c r="L22" s="139">
        <v>0.71998357475019847</v>
      </c>
      <c r="M22" s="139">
        <v>0.16282985301916611</v>
      </c>
      <c r="N22" s="462">
        <f t="shared" si="1"/>
        <v>5.7894819008266651E-2</v>
      </c>
      <c r="O22" s="68">
        <f t="shared" si="2"/>
        <v>3.3518100679999535E-3</v>
      </c>
      <c r="P22" s="463">
        <f t="shared" si="3"/>
        <v>10.294986916686302</v>
      </c>
      <c r="Q22" s="25">
        <f t="shared" si="4"/>
        <v>9.7742768541121912</v>
      </c>
      <c r="R22" s="25">
        <f t="shared" si="5"/>
        <v>10.815696979260412</v>
      </c>
      <c r="S22" s="70">
        <f t="shared" si="6"/>
        <v>1763.3075266608066</v>
      </c>
      <c r="T22" s="25">
        <f t="shared" si="7"/>
        <v>3109253.4335786514</v>
      </c>
      <c r="U22" s="70">
        <f t="shared" si="8"/>
        <v>29583.939739210535</v>
      </c>
      <c r="V22" s="71">
        <f t="shared" si="9"/>
        <v>17575.775732509992</v>
      </c>
      <c r="W22" s="71">
        <f t="shared" si="10"/>
        <v>49796.350602856255</v>
      </c>
      <c r="X22" s="72">
        <f t="shared" si="11"/>
        <v>-5.6250793305878913E-2</v>
      </c>
      <c r="Y22" s="72">
        <f t="shared" si="12"/>
        <v>5.6250793305878913E-2</v>
      </c>
      <c r="Z22" s="73">
        <f t="shared" si="13"/>
        <v>8.2490610282566887</v>
      </c>
      <c r="AA22" s="74">
        <f t="shared" si="14"/>
        <v>10.296757703567641</v>
      </c>
      <c r="AB22" s="73">
        <f t="shared" si="15"/>
        <v>10.352881735694568</v>
      </c>
      <c r="AC22" s="476" t="str">
        <f t="shared" si="16"/>
        <v>93</v>
      </c>
      <c r="AD22" s="84">
        <f t="shared" si="17"/>
        <v>9.8200055259964465</v>
      </c>
      <c r="AE22" s="85">
        <f t="shared" si="18"/>
        <v>10.773509881138835</v>
      </c>
      <c r="AF22" s="469">
        <f t="shared" si="19"/>
        <v>10.829633913265763</v>
      </c>
    </row>
    <row r="23" spans="1:32" s="6" customFormat="1" ht="12.75" customHeight="1">
      <c r="A23" s="134">
        <v>1989</v>
      </c>
      <c r="B23" s="451">
        <f t="shared" si="0"/>
        <v>1994</v>
      </c>
      <c r="C23" s="67">
        <f>VLOOKUP($A23,FBrood!$A$8:$M$50,4)</f>
        <v>8.321441565187742</v>
      </c>
      <c r="D23" s="67">
        <f>VLOOKUP($A23,FBrood!$A$8:$M$50,8)</f>
        <v>10.364719107135071</v>
      </c>
      <c r="E23" s="448">
        <v>32</v>
      </c>
      <c r="F23" s="449">
        <v>30</v>
      </c>
      <c r="G23" s="6">
        <v>3.7756576192499063</v>
      </c>
      <c r="H23" s="139">
        <v>0.7904848567555709</v>
      </c>
      <c r="I23" s="139">
        <v>9.005855906225399E-2</v>
      </c>
      <c r="J23" s="139">
        <v>10.353631162907192</v>
      </c>
      <c r="K23" s="139">
        <v>0.38963385370869774</v>
      </c>
      <c r="L23" s="139">
        <v>0.71974062456067822</v>
      </c>
      <c r="M23" s="139">
        <v>0.16293075513044109</v>
      </c>
      <c r="N23" s="462">
        <f t="shared" si="1"/>
        <v>1.1087944227879731E-2</v>
      </c>
      <c r="O23" s="68">
        <f t="shared" si="2"/>
        <v>1.2294250720057146E-4</v>
      </c>
      <c r="P23" s="463">
        <f t="shared" si="3"/>
        <v>10.353631162907192</v>
      </c>
      <c r="Q23" s="25">
        <f t="shared" si="4"/>
        <v>9.8329211003330812</v>
      </c>
      <c r="R23" s="25">
        <f t="shared" si="5"/>
        <v>10.874341225481302</v>
      </c>
      <c r="S23" s="70">
        <f t="shared" si="6"/>
        <v>349.77265669045664</v>
      </c>
      <c r="T23" s="25">
        <f t="shared" si="7"/>
        <v>122340.91136830005</v>
      </c>
      <c r="U23" s="70">
        <f t="shared" si="8"/>
        <v>31370.748551164645</v>
      </c>
      <c r="V23" s="71">
        <f t="shared" si="9"/>
        <v>18637.316258640607</v>
      </c>
      <c r="W23" s="71">
        <f t="shared" si="10"/>
        <v>52803.9472530891</v>
      </c>
      <c r="X23" s="72">
        <f t="shared" si="11"/>
        <v>-1.1026699542498086E-2</v>
      </c>
      <c r="Y23" s="72">
        <f t="shared" si="12"/>
        <v>1.1026699542498086E-2</v>
      </c>
      <c r="Z23" s="73">
        <f t="shared" si="13"/>
        <v>8.321441565187742</v>
      </c>
      <c r="AA23" s="74">
        <f t="shared" si="14"/>
        <v>10.353979641798674</v>
      </c>
      <c r="AB23" s="73">
        <f t="shared" si="15"/>
        <v>10.364719107135071</v>
      </c>
      <c r="AC23" s="476" t="str">
        <f t="shared" si="16"/>
        <v>94</v>
      </c>
      <c r="AD23" s="84">
        <f t="shared" si="17"/>
        <v>9.8772274642274791</v>
      </c>
      <c r="AE23" s="85">
        <f t="shared" si="18"/>
        <v>10.830731819369868</v>
      </c>
      <c r="AF23" s="469">
        <f t="shared" si="19"/>
        <v>10.841471284706266</v>
      </c>
    </row>
    <row r="24" spans="1:32" s="6" customFormat="1" ht="12.75" customHeight="1">
      <c r="A24" s="134">
        <v>1990</v>
      </c>
      <c r="B24" s="451">
        <f t="shared" si="0"/>
        <v>1995</v>
      </c>
      <c r="C24" s="67">
        <f>VLOOKUP($A24,FBrood!$A$8:$M$50,4)</f>
        <v>8.3212883245325262</v>
      </c>
      <c r="D24" s="67">
        <f>VLOOKUP($A24,FBrood!$A$8:$M$50,8)</f>
        <v>10.932271267111018</v>
      </c>
      <c r="E24" s="448">
        <v>32</v>
      </c>
      <c r="F24" s="449">
        <v>30</v>
      </c>
      <c r="G24" s="6">
        <v>3.7949959309004262</v>
      </c>
      <c r="H24" s="139">
        <v>0.78594746150842087</v>
      </c>
      <c r="I24" s="139">
        <v>8.6577247370464391E-2</v>
      </c>
      <c r="J24" s="139">
        <v>10.335091366046427</v>
      </c>
      <c r="K24" s="139">
        <v>0.37457259175294766</v>
      </c>
      <c r="L24" s="139">
        <v>0.73311963523875878</v>
      </c>
      <c r="M24" s="139">
        <v>0.15179010226393128</v>
      </c>
      <c r="N24" s="462">
        <f t="shared" si="1"/>
        <v>0.59717990106459062</v>
      </c>
      <c r="O24" s="68">
        <f t="shared" si="2"/>
        <v>0.35662383423551425</v>
      </c>
      <c r="P24" s="463">
        <f t="shared" si="3"/>
        <v>10.335091366046427</v>
      </c>
      <c r="Q24" s="25">
        <f t="shared" si="4"/>
        <v>9.8143813034723166</v>
      </c>
      <c r="R24" s="25">
        <f t="shared" si="5"/>
        <v>10.855801428620538</v>
      </c>
      <c r="S24" s="70">
        <f t="shared" si="6"/>
        <v>25158.720682344334</v>
      </c>
      <c r="T24" s="25">
        <f t="shared" si="7"/>
        <v>632961226.37222052</v>
      </c>
      <c r="U24" s="70">
        <f t="shared" si="8"/>
        <v>30794.499521426027</v>
      </c>
      <c r="V24" s="71">
        <f t="shared" si="9"/>
        <v>18294.967545046566</v>
      </c>
      <c r="W24" s="71">
        <f t="shared" si="10"/>
        <v>51833.991967472175</v>
      </c>
      <c r="X24" s="72">
        <f t="shared" si="11"/>
        <v>-0.44963847640442034</v>
      </c>
      <c r="Y24" s="72">
        <f t="shared" si="12"/>
        <v>0.44963847640442034</v>
      </c>
      <c r="Z24" s="73">
        <f t="shared" si="13"/>
        <v>8.3212883245325262</v>
      </c>
      <c r="AA24" s="74">
        <f t="shared" si="14"/>
        <v>10.353858494212885</v>
      </c>
      <c r="AB24" s="73">
        <f t="shared" si="15"/>
        <v>10.932271267111018</v>
      </c>
      <c r="AC24" s="476" t="str">
        <f t="shared" si="16"/>
        <v>95</v>
      </c>
      <c r="AD24" s="84">
        <f t="shared" si="17"/>
        <v>9.8771063166416901</v>
      </c>
      <c r="AE24" s="85">
        <f t="shared" si="18"/>
        <v>10.830610671784079</v>
      </c>
      <c r="AF24" s="469">
        <f t="shared" si="19"/>
        <v>11.409023444682212</v>
      </c>
    </row>
    <row r="25" spans="1:32" s="6" customFormat="1" ht="12.75" customHeight="1">
      <c r="A25" s="134">
        <v>1991</v>
      </c>
      <c r="B25" s="451">
        <f t="shared" si="0"/>
        <v>1996</v>
      </c>
      <c r="C25" s="67">
        <f>VLOOKUP($A25,FBrood!$A$8:$M$50,4)</f>
        <v>8.8738517478878638</v>
      </c>
      <c r="D25" s="67">
        <f>VLOOKUP($A25,FBrood!$A$8:$M$50,8)</f>
        <v>10.656044336780424</v>
      </c>
      <c r="E25" s="448">
        <v>32</v>
      </c>
      <c r="F25" s="449">
        <v>30</v>
      </c>
      <c r="G25" s="6">
        <v>3.736184219527737</v>
      </c>
      <c r="H25" s="139">
        <v>0.79588261296546092</v>
      </c>
      <c r="I25" s="139">
        <v>9.1044931660116346E-2</v>
      </c>
      <c r="J25" s="139">
        <v>10.798728535704853</v>
      </c>
      <c r="K25" s="139">
        <v>0.38881624559135336</v>
      </c>
      <c r="L25" s="139">
        <v>0.71808852409725221</v>
      </c>
      <c r="M25" s="139">
        <v>0.16229838518933154</v>
      </c>
      <c r="N25" s="462">
        <f t="shared" si="1"/>
        <v>-0.14268419892442985</v>
      </c>
      <c r="O25" s="68">
        <f t="shared" si="2"/>
        <v>2.0358780622706268E-2</v>
      </c>
      <c r="P25" s="463">
        <f t="shared" si="3"/>
        <v>10.798728535704853</v>
      </c>
      <c r="Q25" s="25">
        <f t="shared" si="4"/>
        <v>10.278018473130743</v>
      </c>
      <c r="R25" s="25">
        <f t="shared" si="5"/>
        <v>11.319438598278964</v>
      </c>
      <c r="S25" s="70">
        <f t="shared" si="6"/>
        <v>-6510.1194578660652</v>
      </c>
      <c r="T25" s="25">
        <f t="shared" si="7"/>
        <v>42381655.355686352</v>
      </c>
      <c r="U25" s="70">
        <f t="shared" si="8"/>
        <v>48958.512545268553</v>
      </c>
      <c r="V25" s="71">
        <f t="shared" si="9"/>
        <v>29086.181363208776</v>
      </c>
      <c r="W25" s="71">
        <f t="shared" si="10"/>
        <v>82408.065902975897</v>
      </c>
      <c r="X25" s="72">
        <f t="shared" si="11"/>
        <v>0.15336551007859209</v>
      </c>
      <c r="Y25" s="72">
        <f t="shared" si="12"/>
        <v>0.15336551007859209</v>
      </c>
      <c r="Z25" s="73">
        <f t="shared" si="13"/>
        <v>8.8738517478878638</v>
      </c>
      <c r="AA25" s="74">
        <f t="shared" si="14"/>
        <v>10.790698996102023</v>
      </c>
      <c r="AB25" s="73">
        <f t="shared" si="15"/>
        <v>10.656044336780424</v>
      </c>
      <c r="AC25" s="476" t="str">
        <f t="shared" si="16"/>
        <v>96</v>
      </c>
      <c r="AD25" s="84">
        <f t="shared" si="17"/>
        <v>10.313946818530829</v>
      </c>
      <c r="AE25" s="85">
        <f t="shared" si="18"/>
        <v>11.267451173673217</v>
      </c>
      <c r="AF25" s="469">
        <f t="shared" si="19"/>
        <v>11.132796514351618</v>
      </c>
    </row>
    <row r="26" spans="1:32" s="6" customFormat="1" ht="12.75" customHeight="1">
      <c r="A26" s="134">
        <v>1992</v>
      </c>
      <c r="B26" s="451">
        <f t="shared" si="0"/>
        <v>1997</v>
      </c>
      <c r="C26" s="67">
        <f>VLOOKUP($A26,FBrood!$A$8:$M$50,4)</f>
        <v>8.6722411839442763</v>
      </c>
      <c r="D26" s="67">
        <f>VLOOKUP($A26,FBrood!$A$8:$M$50,8)</f>
        <v>10.933752274858877</v>
      </c>
      <c r="E26" s="448">
        <v>32</v>
      </c>
      <c r="F26" s="449">
        <v>30</v>
      </c>
      <c r="G26" s="6">
        <v>3.8341361570127077</v>
      </c>
      <c r="H26" s="139">
        <v>0.78220185274019316</v>
      </c>
      <c r="I26" s="139">
        <v>8.9666697682347196E-2</v>
      </c>
      <c r="J26" s="139">
        <v>10.617579278503726</v>
      </c>
      <c r="K26" s="139">
        <v>0.38552698541360098</v>
      </c>
      <c r="L26" s="139">
        <v>0.71724352380344802</v>
      </c>
      <c r="M26" s="139">
        <v>0.15981067947053501</v>
      </c>
      <c r="N26" s="462">
        <f t="shared" si="1"/>
        <v>0.31617299635515117</v>
      </c>
      <c r="O26" s="68">
        <f t="shared" si="2"/>
        <v>9.9965363624194434E-2</v>
      </c>
      <c r="P26" s="463">
        <f t="shared" si="3"/>
        <v>10.617579278503726</v>
      </c>
      <c r="Q26" s="25">
        <f t="shared" si="4"/>
        <v>10.096869215929615</v>
      </c>
      <c r="R26" s="25">
        <f t="shared" si="5"/>
        <v>11.138289341077837</v>
      </c>
      <c r="S26" s="70">
        <f t="shared" si="6"/>
        <v>15189.531879955161</v>
      </c>
      <c r="T26" s="25">
        <f t="shared" si="7"/>
        <v>230721878.73217416</v>
      </c>
      <c r="U26" s="70">
        <f t="shared" si="8"/>
        <v>40846.616870206679</v>
      </c>
      <c r="V26" s="71">
        <f t="shared" si="9"/>
        <v>24266.915896634044</v>
      </c>
      <c r="W26" s="71">
        <f t="shared" si="10"/>
        <v>68753.941244460962</v>
      </c>
      <c r="X26" s="72">
        <f t="shared" si="11"/>
        <v>-0.27106666355102232</v>
      </c>
      <c r="Y26" s="72">
        <f t="shared" si="12"/>
        <v>0.27106666355102232</v>
      </c>
      <c r="Z26" s="73">
        <f t="shared" si="13"/>
        <v>8.6722411839442763</v>
      </c>
      <c r="AA26" s="74">
        <f t="shared" si="14"/>
        <v>10.63131157337963</v>
      </c>
      <c r="AB26" s="73">
        <f t="shared" si="15"/>
        <v>10.933752274858877</v>
      </c>
      <c r="AC26" s="476" t="str">
        <f t="shared" si="16"/>
        <v>97</v>
      </c>
      <c r="AD26" s="84">
        <f t="shared" si="17"/>
        <v>10.154559395808436</v>
      </c>
      <c r="AE26" s="85">
        <f t="shared" si="18"/>
        <v>11.108063750950825</v>
      </c>
      <c r="AF26" s="469">
        <f t="shared" si="19"/>
        <v>11.410504452430072</v>
      </c>
    </row>
    <row r="27" spans="1:32" s="6" customFormat="1" ht="12.75" customHeight="1">
      <c r="A27" s="134">
        <v>1993</v>
      </c>
      <c r="B27" s="451">
        <f t="shared" si="0"/>
        <v>1998</v>
      </c>
      <c r="C27" s="67">
        <f>VLOOKUP($A27,FBrood!$A$8:$M$50,4)</f>
        <v>8.8698947177703342</v>
      </c>
      <c r="D27" s="67">
        <f>VLOOKUP($A27,FBrood!$A$8:$M$50,8)</f>
        <v>11.130952477925446</v>
      </c>
      <c r="E27" s="448">
        <v>32</v>
      </c>
      <c r="F27" s="449">
        <v>30</v>
      </c>
      <c r="G27" s="6">
        <v>3.8743579206532583</v>
      </c>
      <c r="H27" s="139">
        <v>0.7771061723089987</v>
      </c>
      <c r="I27" s="139">
        <v>8.9963834886133034E-2</v>
      </c>
      <c r="J27" s="139">
        <v>10.767207853563569</v>
      </c>
      <c r="K27" s="139">
        <v>0.38425911377211969</v>
      </c>
      <c r="L27" s="139">
        <v>0.71323360589304874</v>
      </c>
      <c r="M27" s="139">
        <v>0.158799904841536</v>
      </c>
      <c r="N27" s="462">
        <f t="shared" si="1"/>
        <v>0.36374462436187649</v>
      </c>
      <c r="O27" s="68">
        <f t="shared" si="2"/>
        <v>0.13231015175216262</v>
      </c>
      <c r="P27" s="463">
        <f t="shared" si="3"/>
        <v>10.767207853563569</v>
      </c>
      <c r="Q27" s="25">
        <f t="shared" si="4"/>
        <v>10.246497790989459</v>
      </c>
      <c r="R27" s="25">
        <f t="shared" si="5"/>
        <v>11.28791791613768</v>
      </c>
      <c r="S27" s="70">
        <f t="shared" si="6"/>
        <v>20811.974226475686</v>
      </c>
      <c r="T27" s="25">
        <f t="shared" si="7"/>
        <v>433138271.20348823</v>
      </c>
      <c r="U27" s="70">
        <f t="shared" si="8"/>
        <v>47439.374739795188</v>
      </c>
      <c r="V27" s="71">
        <f t="shared" si="9"/>
        <v>28183.663794178272</v>
      </c>
      <c r="W27" s="71">
        <f t="shared" si="10"/>
        <v>79851.019091690585</v>
      </c>
      <c r="X27" s="72">
        <f t="shared" si="11"/>
        <v>-0.30493132431361542</v>
      </c>
      <c r="Y27" s="72">
        <f t="shared" si="12"/>
        <v>0.30493132431361542</v>
      </c>
      <c r="Z27" s="73">
        <f t="shared" si="13"/>
        <v>8.8698947177703342</v>
      </c>
      <c r="AA27" s="74">
        <f t="shared" si="14"/>
        <v>10.787570683677657</v>
      </c>
      <c r="AB27" s="73">
        <f t="shared" si="15"/>
        <v>11.130952477925446</v>
      </c>
      <c r="AC27" s="476" t="str">
        <f t="shared" si="16"/>
        <v>98</v>
      </c>
      <c r="AD27" s="84">
        <f t="shared" si="17"/>
        <v>10.310818506106463</v>
      </c>
      <c r="AE27" s="85">
        <f t="shared" si="18"/>
        <v>11.264322861248852</v>
      </c>
      <c r="AF27" s="469">
        <f t="shared" si="19"/>
        <v>11.60770465549664</v>
      </c>
    </row>
    <row r="28" spans="1:32" s="6" customFormat="1" ht="12.75" customHeight="1">
      <c r="A28" s="134">
        <v>1994</v>
      </c>
      <c r="B28" s="451">
        <f t="shared" si="0"/>
        <v>1999</v>
      </c>
      <c r="C28" s="67">
        <f>VLOOKUP($A28,FBrood!$A$8:$M$50,4)</f>
        <v>8.7240094787744606</v>
      </c>
      <c r="D28" s="67">
        <f>VLOOKUP($A28,FBrood!$A$8:$M$50,8)</f>
        <v>10.927145676643779</v>
      </c>
      <c r="E28" s="448">
        <v>32</v>
      </c>
      <c r="F28" s="449">
        <v>30</v>
      </c>
      <c r="G28" s="6">
        <v>3.8310747914753618</v>
      </c>
      <c r="H28" s="139">
        <v>0.78275745858747836</v>
      </c>
      <c r="I28" s="139">
        <v>9.0078550608633248E-2</v>
      </c>
      <c r="J28" s="139">
        <v>10.65985827977393</v>
      </c>
      <c r="K28" s="139">
        <v>0.38671357566076192</v>
      </c>
      <c r="L28" s="139">
        <v>0.71567012538553043</v>
      </c>
      <c r="M28" s="139">
        <v>0.16070201731737044</v>
      </c>
      <c r="N28" s="462">
        <f t="shared" si="1"/>
        <v>0.26728739686984859</v>
      </c>
      <c r="O28" s="68">
        <f t="shared" si="2"/>
        <v>7.1442552525459946E-2</v>
      </c>
      <c r="P28" s="463">
        <f t="shared" si="3"/>
        <v>10.65985827977393</v>
      </c>
      <c r="Q28" s="25">
        <f t="shared" si="4"/>
        <v>10.13914821719982</v>
      </c>
      <c r="R28" s="25">
        <f t="shared" si="5"/>
        <v>11.180568342348041</v>
      </c>
      <c r="S28" s="70">
        <f t="shared" si="6"/>
        <v>13056.562687759935</v>
      </c>
      <c r="T28" s="25">
        <f t="shared" si="7"/>
        <v>170473829.21940494</v>
      </c>
      <c r="U28" s="70">
        <f t="shared" si="8"/>
        <v>42610.597962255299</v>
      </c>
      <c r="V28" s="71">
        <f t="shared" si="9"/>
        <v>25314.894507445733</v>
      </c>
      <c r="W28" s="71">
        <f t="shared" si="10"/>
        <v>71723.113764780821</v>
      </c>
      <c r="X28" s="72">
        <f t="shared" si="11"/>
        <v>-0.23454694896058728</v>
      </c>
      <c r="Y28" s="72">
        <f t="shared" si="12"/>
        <v>0.23454694896058728</v>
      </c>
      <c r="Z28" s="73">
        <f t="shared" si="13"/>
        <v>8.7240094787744606</v>
      </c>
      <c r="AA28" s="74">
        <f t="shared" si="14"/>
        <v>10.672238075098186</v>
      </c>
      <c r="AB28" s="73">
        <f t="shared" si="15"/>
        <v>10.927145676643779</v>
      </c>
      <c r="AC28" s="476" t="str">
        <f t="shared" si="16"/>
        <v>99</v>
      </c>
      <c r="AD28" s="84">
        <f t="shared" si="17"/>
        <v>10.195485897526991</v>
      </c>
      <c r="AE28" s="85">
        <f t="shared" si="18"/>
        <v>11.14899025266938</v>
      </c>
      <c r="AF28" s="469">
        <f t="shared" si="19"/>
        <v>11.403897854214973</v>
      </c>
    </row>
    <row r="29" spans="1:32" s="6" customFormat="1" ht="12.75" customHeight="1">
      <c r="A29" s="134">
        <v>1995</v>
      </c>
      <c r="B29" s="451">
        <f t="shared" si="0"/>
        <v>2000</v>
      </c>
      <c r="C29" s="67">
        <f>VLOOKUP($A29,FBrood!$A$8:$M$50,4)</f>
        <v>9.2605604038339493</v>
      </c>
      <c r="D29" s="67">
        <f>VLOOKUP($A29,FBrood!$A$8:$M$50,8)</f>
        <v>10.78923861340083</v>
      </c>
      <c r="E29" s="448">
        <v>32</v>
      </c>
      <c r="F29" s="449">
        <v>30</v>
      </c>
      <c r="G29" s="6">
        <v>3.6253165832096208</v>
      </c>
      <c r="H29" s="139">
        <v>0.81016887159099027</v>
      </c>
      <c r="I29" s="139">
        <v>9.1999682963561272E-2</v>
      </c>
      <c r="J29" s="139">
        <v>11.127934355883976</v>
      </c>
      <c r="K29" s="139">
        <v>0.3851629264469924</v>
      </c>
      <c r="L29" s="139">
        <v>0.7210584167765236</v>
      </c>
      <c r="M29" s="139">
        <v>0.15934975939703452</v>
      </c>
      <c r="N29" s="462">
        <f t="shared" si="1"/>
        <v>-0.33869574248314649</v>
      </c>
      <c r="O29" s="68">
        <f t="shared" si="2"/>
        <v>0.11471480597620988</v>
      </c>
      <c r="P29" s="463">
        <f t="shared" si="3"/>
        <v>11.127934355883976</v>
      </c>
      <c r="Q29" s="25">
        <f t="shared" si="4"/>
        <v>10.607224293309866</v>
      </c>
      <c r="R29" s="25">
        <f t="shared" si="5"/>
        <v>11.648644418458087</v>
      </c>
      <c r="S29" s="70">
        <f t="shared" si="6"/>
        <v>-19549.570929890469</v>
      </c>
      <c r="T29" s="25">
        <f t="shared" si="7"/>
        <v>382185723.54281849</v>
      </c>
      <c r="U29" s="70">
        <f t="shared" si="8"/>
        <v>68045.66860593982</v>
      </c>
      <c r="V29" s="71">
        <f t="shared" si="9"/>
        <v>40425.833121934578</v>
      </c>
      <c r="W29" s="71">
        <f t="shared" si="10"/>
        <v>114535.99489374738</v>
      </c>
      <c r="X29" s="72">
        <f t="shared" si="11"/>
        <v>0.40311637155798141</v>
      </c>
      <c r="Y29" s="72">
        <f t="shared" si="12"/>
        <v>0.40311637155798141</v>
      </c>
      <c r="Z29" s="73">
        <f t="shared" si="13"/>
        <v>9.2605604038339493</v>
      </c>
      <c r="AA29" s="74">
        <f t="shared" si="14"/>
        <v>11.096419563566595</v>
      </c>
      <c r="AB29" s="73">
        <f t="shared" si="15"/>
        <v>10.78923861340083</v>
      </c>
      <c r="AC29" s="476" t="str">
        <f t="shared" si="16"/>
        <v>00</v>
      </c>
      <c r="AD29" s="84">
        <f t="shared" si="17"/>
        <v>10.619667385995401</v>
      </c>
      <c r="AE29" s="85">
        <f t="shared" si="18"/>
        <v>11.57317174113779</v>
      </c>
      <c r="AF29" s="469">
        <f t="shared" si="19"/>
        <v>11.265990790972024</v>
      </c>
    </row>
    <row r="30" spans="1:32" s="6" customFormat="1" ht="12.75" customHeight="1">
      <c r="A30" s="134">
        <v>1996</v>
      </c>
      <c r="B30" s="451">
        <f t="shared" si="0"/>
        <v>2001</v>
      </c>
      <c r="C30" s="67">
        <f>VLOOKUP($A30,FBrood!$A$8:$M$50,4)</f>
        <v>8.4705336805144125</v>
      </c>
      <c r="D30" s="67">
        <f>VLOOKUP($A30,FBrood!$A$8:$M$50,8)</f>
        <v>10.932946823519012</v>
      </c>
      <c r="E30" s="448">
        <v>32</v>
      </c>
      <c r="F30" s="449">
        <v>30</v>
      </c>
      <c r="G30" s="6">
        <v>3.8221676758631258</v>
      </c>
      <c r="H30" s="139">
        <v>0.78306669242836568</v>
      </c>
      <c r="I30" s="139">
        <v>8.8013648878840139E-2</v>
      </c>
      <c r="J30" s="139">
        <v>10.455160468166618</v>
      </c>
      <c r="K30" s="139">
        <v>0.38009859766046855</v>
      </c>
      <c r="L30" s="139">
        <v>0.7251702315787012</v>
      </c>
      <c r="M30" s="139">
        <v>0.1558008532912622</v>
      </c>
      <c r="N30" s="462">
        <f t="shared" si="1"/>
        <v>0.47778635535239466</v>
      </c>
      <c r="O30" s="68">
        <f t="shared" si="2"/>
        <v>0.22827980136092474</v>
      </c>
      <c r="P30" s="463">
        <f t="shared" si="3"/>
        <v>10.455160468166618</v>
      </c>
      <c r="Q30" s="25">
        <f t="shared" si="4"/>
        <v>9.9344504055925071</v>
      </c>
      <c r="R30" s="25">
        <f t="shared" si="5"/>
        <v>10.975870530740728</v>
      </c>
      <c r="S30" s="70">
        <f t="shared" si="6"/>
        <v>21267.931917627742</v>
      </c>
      <c r="T30" s="25">
        <f t="shared" si="7"/>
        <v>452324928.05284888</v>
      </c>
      <c r="U30" s="70">
        <f t="shared" si="8"/>
        <v>34723.100613341121</v>
      </c>
      <c r="V30" s="71">
        <f t="shared" si="9"/>
        <v>20628.943761286526</v>
      </c>
      <c r="W30" s="71">
        <f t="shared" si="10"/>
        <v>58446.701399559075</v>
      </c>
      <c r="X30" s="72">
        <f t="shared" si="11"/>
        <v>-0.37984532444305907</v>
      </c>
      <c r="Y30" s="72">
        <f t="shared" si="12"/>
        <v>0.37984532444305907</v>
      </c>
      <c r="Z30" s="73">
        <f t="shared" si="13"/>
        <v>8.4705336805144125</v>
      </c>
      <c r="AA30" s="74">
        <f t="shared" si="14"/>
        <v>10.471847513131035</v>
      </c>
      <c r="AB30" s="73">
        <f t="shared" si="15"/>
        <v>10.932946823519012</v>
      </c>
      <c r="AC30" s="476" t="str">
        <f t="shared" si="16"/>
        <v>01</v>
      </c>
      <c r="AD30" s="84">
        <f t="shared" si="17"/>
        <v>9.9950953355598404</v>
      </c>
      <c r="AE30" s="85">
        <f t="shared" si="18"/>
        <v>10.948599690702229</v>
      </c>
      <c r="AF30" s="469">
        <f t="shared" si="19"/>
        <v>11.409699001090207</v>
      </c>
    </row>
    <row r="31" spans="1:32" s="6" customFormat="1" ht="12.75" customHeight="1">
      <c r="A31" s="134">
        <v>1997</v>
      </c>
      <c r="B31" s="451">
        <f t="shared" si="0"/>
        <v>2002</v>
      </c>
      <c r="C31" s="67">
        <f>VLOOKUP($A31,FBrood!$A$8:$M$50,4)</f>
        <v>9.061447046282419</v>
      </c>
      <c r="D31" s="67">
        <f>VLOOKUP($A31,FBrood!$A$8:$M$50,8)</f>
        <v>10.803088354437625</v>
      </c>
      <c r="E31" s="448">
        <v>32</v>
      </c>
      <c r="F31" s="449">
        <v>30</v>
      </c>
      <c r="G31" s="6">
        <v>3.7231539911525511</v>
      </c>
      <c r="H31" s="139">
        <v>0.79749036671035056</v>
      </c>
      <c r="I31" s="139">
        <v>9.1811979645591152E-2</v>
      </c>
      <c r="J31" s="139">
        <v>10.949570719018741</v>
      </c>
      <c r="K31" s="139">
        <v>0.38878638893064565</v>
      </c>
      <c r="L31" s="139">
        <v>0.7155016713605058</v>
      </c>
      <c r="M31" s="139">
        <v>0.16226406323587625</v>
      </c>
      <c r="N31" s="462">
        <f t="shared" si="1"/>
        <v>-0.14648236458111619</v>
      </c>
      <c r="O31" s="68">
        <f t="shared" si="2"/>
        <v>2.1457083133275042E-2</v>
      </c>
      <c r="P31" s="463">
        <f t="shared" si="3"/>
        <v>10.949570719018741</v>
      </c>
      <c r="Q31" s="25">
        <f t="shared" si="4"/>
        <v>10.42886065644463</v>
      </c>
      <c r="R31" s="25">
        <f t="shared" si="5"/>
        <v>11.470280781592852</v>
      </c>
      <c r="S31" s="70">
        <f t="shared" si="6"/>
        <v>-7757.1725602782972</v>
      </c>
      <c r="T31" s="25">
        <f t="shared" si="7"/>
        <v>60173726.129934549</v>
      </c>
      <c r="U31" s="70">
        <f t="shared" si="8"/>
        <v>56929.601324796764</v>
      </c>
      <c r="V31" s="71">
        <f t="shared" si="9"/>
        <v>33821.793657173417</v>
      </c>
      <c r="W31" s="71">
        <f t="shared" si="10"/>
        <v>95825.18123821936</v>
      </c>
      <c r="X31" s="72">
        <f t="shared" si="11"/>
        <v>0.15775451315261591</v>
      </c>
      <c r="Y31" s="72">
        <f t="shared" si="12"/>
        <v>0.15775451315261591</v>
      </c>
      <c r="Z31" s="73">
        <f t="shared" si="13"/>
        <v>9.061447046282419</v>
      </c>
      <c r="AA31" s="74">
        <f t="shared" si="14"/>
        <v>10.939006359273291</v>
      </c>
      <c r="AB31" s="73">
        <f t="shared" si="15"/>
        <v>10.803088354437625</v>
      </c>
      <c r="AC31" s="476" t="str">
        <f t="shared" si="16"/>
        <v>02</v>
      </c>
      <c r="AD31" s="84">
        <f t="shared" si="17"/>
        <v>10.462254181702097</v>
      </c>
      <c r="AE31" s="85">
        <f t="shared" si="18"/>
        <v>11.415758536844486</v>
      </c>
      <c r="AF31" s="469">
        <f t="shared" si="19"/>
        <v>11.279840532008819</v>
      </c>
    </row>
    <row r="32" spans="1:32" s="6" customFormat="1" ht="12.75" customHeight="1">
      <c r="A32" s="134">
        <v>1998</v>
      </c>
      <c r="B32" s="451">
        <f t="shared" si="0"/>
        <v>2003</v>
      </c>
      <c r="C32" s="67">
        <f>VLOOKUP($A32,FBrood!$A$8:$M$50,4)</f>
        <v>8.7963925947843205</v>
      </c>
      <c r="D32" s="67">
        <f>VLOOKUP($A32,FBrood!$A$8:$M$50,8)</f>
        <v>11.032103697402947</v>
      </c>
      <c r="E32" s="448">
        <v>32</v>
      </c>
      <c r="F32" s="449">
        <v>30</v>
      </c>
      <c r="G32" s="6">
        <v>3.8519050910554924</v>
      </c>
      <c r="H32" s="139">
        <v>0.78001868900822624</v>
      </c>
      <c r="I32" s="139">
        <v>9.0006500786463384E-2</v>
      </c>
      <c r="J32" s="139">
        <v>10.713255710840826</v>
      </c>
      <c r="K32" s="139">
        <v>0.3854892388498054</v>
      </c>
      <c r="L32" s="139">
        <v>0.71456804856365275</v>
      </c>
      <c r="M32" s="139">
        <v>0.15975759587958116</v>
      </c>
      <c r="N32" s="462">
        <f t="shared" si="1"/>
        <v>0.31884798656212077</v>
      </c>
      <c r="O32" s="68">
        <f t="shared" si="2"/>
        <v>0.10166403853471835</v>
      </c>
      <c r="P32" s="463">
        <f t="shared" si="3"/>
        <v>10.713255710840826</v>
      </c>
      <c r="Q32" s="25">
        <f t="shared" si="4"/>
        <v>10.192545648266716</v>
      </c>
      <c r="R32" s="25">
        <f t="shared" si="5"/>
        <v>11.233965773414937</v>
      </c>
      <c r="S32" s="70">
        <f t="shared" si="6"/>
        <v>16879.772690188154</v>
      </c>
      <c r="T32" s="25">
        <f t="shared" si="7"/>
        <v>284926726.07242185</v>
      </c>
      <c r="U32" s="70">
        <f t="shared" si="8"/>
        <v>44947.737765729187</v>
      </c>
      <c r="V32" s="71">
        <f t="shared" si="9"/>
        <v>26703.38587821932</v>
      </c>
      <c r="W32" s="71">
        <f t="shared" si="10"/>
        <v>75657.039877651609</v>
      </c>
      <c r="X32" s="72">
        <f t="shared" si="11"/>
        <v>-0.27301394744372465</v>
      </c>
      <c r="Y32" s="72">
        <f t="shared" si="12"/>
        <v>0.27301394744372465</v>
      </c>
      <c r="Z32" s="73">
        <f t="shared" si="13"/>
        <v>8.7963925947843205</v>
      </c>
      <c r="AA32" s="74">
        <f t="shared" si="14"/>
        <v>10.729462052273586</v>
      </c>
      <c r="AB32" s="73">
        <f t="shared" si="15"/>
        <v>11.032103697402947</v>
      </c>
      <c r="AC32" s="476" t="str">
        <f t="shared" si="16"/>
        <v>03</v>
      </c>
      <c r="AD32" s="84">
        <f t="shared" si="17"/>
        <v>10.252709874702392</v>
      </c>
      <c r="AE32" s="85">
        <f t="shared" si="18"/>
        <v>11.206214229844781</v>
      </c>
      <c r="AF32" s="469">
        <f t="shared" si="19"/>
        <v>11.508855874974142</v>
      </c>
    </row>
    <row r="33" spans="1:32" s="6" customFormat="1" ht="12.75" customHeight="1">
      <c r="A33" s="134">
        <v>1999</v>
      </c>
      <c r="B33" s="451">
        <f t="shared" si="0"/>
        <v>2004</v>
      </c>
      <c r="C33" s="67">
        <f>VLOOKUP($A33,FBrood!$A$8:$M$50,4)</f>
        <v>8.6952154020610539</v>
      </c>
      <c r="D33" s="67">
        <f>VLOOKUP($A33,FBrood!$A$8:$M$50,8)</f>
        <v>10.768289630773207</v>
      </c>
      <c r="E33" s="448">
        <v>32</v>
      </c>
      <c r="F33" s="449">
        <v>30</v>
      </c>
      <c r="G33" s="6">
        <v>3.7996853862698998</v>
      </c>
      <c r="H33" s="139">
        <v>0.78712625528325697</v>
      </c>
      <c r="I33" s="139">
        <v>9.0534841095385399E-2</v>
      </c>
      <c r="J33" s="139">
        <v>10.643917724575516</v>
      </c>
      <c r="K33" s="139">
        <v>0.38900634058566946</v>
      </c>
      <c r="L33" s="139">
        <v>0.71587889114115311</v>
      </c>
      <c r="M33" s="139">
        <v>0.16245121048843961</v>
      </c>
      <c r="N33" s="462">
        <f t="shared" si="1"/>
        <v>0.12437190619769112</v>
      </c>
      <c r="O33" s="68">
        <f t="shared" si="2"/>
        <v>1.5468371051247279E-2</v>
      </c>
      <c r="P33" s="463">
        <f t="shared" si="3"/>
        <v>10.643917724575516</v>
      </c>
      <c r="Q33" s="25">
        <f t="shared" si="4"/>
        <v>10.123207662001406</v>
      </c>
      <c r="R33" s="25">
        <f t="shared" si="5"/>
        <v>11.164627787149627</v>
      </c>
      <c r="S33" s="70">
        <f t="shared" si="6"/>
        <v>5553.9749159890707</v>
      </c>
      <c r="T33" s="25">
        <f t="shared" si="7"/>
        <v>30846637.367435805</v>
      </c>
      <c r="U33" s="70">
        <f t="shared" si="8"/>
        <v>41936.746426023812</v>
      </c>
      <c r="V33" s="71">
        <f t="shared" si="9"/>
        <v>24914.560286168416</v>
      </c>
      <c r="W33" s="71">
        <f t="shared" si="10"/>
        <v>70588.871752112638</v>
      </c>
      <c r="X33" s="72">
        <f t="shared" si="11"/>
        <v>-0.11694863247056476</v>
      </c>
      <c r="Y33" s="72">
        <f t="shared" si="12"/>
        <v>0.11694863247056476</v>
      </c>
      <c r="Z33" s="73">
        <f t="shared" si="13"/>
        <v>8.6952154020610539</v>
      </c>
      <c r="AA33" s="74">
        <f t="shared" si="14"/>
        <v>10.649474319135948</v>
      </c>
      <c r="AB33" s="73">
        <f t="shared" si="15"/>
        <v>10.768289630773207</v>
      </c>
      <c r="AC33" s="476" t="str">
        <f t="shared" si="16"/>
        <v>04</v>
      </c>
      <c r="AD33" s="84">
        <f t="shared" si="17"/>
        <v>10.172722141564753</v>
      </c>
      <c r="AE33" s="85">
        <f t="shared" si="18"/>
        <v>11.126226496707142</v>
      </c>
      <c r="AF33" s="469">
        <f t="shared" si="19"/>
        <v>11.245041808344402</v>
      </c>
    </row>
    <row r="34" spans="1:32" s="6" customFormat="1" ht="12.75" customHeight="1">
      <c r="A34" s="134">
        <v>2000</v>
      </c>
      <c r="B34" s="451">
        <f t="shared" si="0"/>
        <v>2005</v>
      </c>
      <c r="C34" s="67">
        <f>VLOOKUP($A34,FBrood!$A$8:$M$50,4)</f>
        <v>8.5210133554423404</v>
      </c>
      <c r="D34" s="67">
        <f>VLOOKUP($A34,FBrood!$A$8:$M$50,8)</f>
        <v>10.535268813895561</v>
      </c>
      <c r="E34" s="448">
        <v>32</v>
      </c>
      <c r="F34" s="449">
        <v>30</v>
      </c>
      <c r="G34" s="6">
        <v>3.7782233067955602</v>
      </c>
      <c r="H34" s="139">
        <v>0.79012168990265763</v>
      </c>
      <c r="I34" s="139">
        <v>9.0297656884833211E-2</v>
      </c>
      <c r="J34" s="139">
        <v>10.510860778880776</v>
      </c>
      <c r="K34" s="139">
        <v>0.38961439731512437</v>
      </c>
      <c r="L34" s="139">
        <v>0.71848387560272431</v>
      </c>
      <c r="M34" s="139">
        <v>0.162915979828376</v>
      </c>
      <c r="N34" s="462">
        <f t="shared" si="1"/>
        <v>2.4408035014785057E-2</v>
      </c>
      <c r="O34" s="68">
        <f t="shared" si="2"/>
        <v>5.9575217328297332E-4</v>
      </c>
      <c r="P34" s="463">
        <f t="shared" si="3"/>
        <v>10.510860778880776</v>
      </c>
      <c r="Q34" s="25">
        <f t="shared" si="4"/>
        <v>9.9901507163066654</v>
      </c>
      <c r="R34" s="25">
        <f t="shared" si="5"/>
        <v>11.031570841454887</v>
      </c>
      <c r="S34" s="70">
        <f t="shared" si="6"/>
        <v>907.09457977102284</v>
      </c>
      <c r="T34" s="25">
        <f t="shared" si="7"/>
        <v>822820.57664996851</v>
      </c>
      <c r="U34" s="70">
        <f t="shared" si="8"/>
        <v>36712.066918918776</v>
      </c>
      <c r="V34" s="71">
        <f t="shared" si="9"/>
        <v>21810.585761456601</v>
      </c>
      <c r="W34" s="71">
        <f t="shared" si="10"/>
        <v>61794.574075169636</v>
      </c>
      <c r="X34" s="72">
        <f t="shared" si="11"/>
        <v>-2.4112567734998962E-2</v>
      </c>
      <c r="Y34" s="72">
        <f t="shared" si="12"/>
        <v>2.4112567734998962E-2</v>
      </c>
      <c r="Z34" s="73">
        <f t="shared" si="13"/>
        <v>8.5210133554423404</v>
      </c>
      <c r="AA34" s="74">
        <f t="shared" si="14"/>
        <v>10.511755269596007</v>
      </c>
      <c r="AB34" s="73">
        <f t="shared" si="15"/>
        <v>10.535268813895561</v>
      </c>
      <c r="AC34" s="476" t="str">
        <f t="shared" si="16"/>
        <v>05</v>
      </c>
      <c r="AD34" s="84">
        <f t="shared" si="17"/>
        <v>10.035003092024812</v>
      </c>
      <c r="AE34" s="85">
        <f t="shared" si="18"/>
        <v>10.988507447167201</v>
      </c>
      <c r="AF34" s="469">
        <f t="shared" si="19"/>
        <v>11.012020991466756</v>
      </c>
    </row>
    <row r="35" spans="1:32" s="6" customFormat="1" ht="12.75" customHeight="1">
      <c r="A35" s="134">
        <v>2001</v>
      </c>
      <c r="B35" s="451">
        <f t="shared" si="0"/>
        <v>2006</v>
      </c>
      <c r="C35" s="67">
        <f>VLOOKUP($A35,FBrood!$A$8:$M$50,4)</f>
        <v>8.6811084983337157</v>
      </c>
      <c r="D35" s="67">
        <f>VLOOKUP($A35,FBrood!$A$8:$M$50,8)</f>
        <v>11.130479873503816</v>
      </c>
      <c r="E35" s="448">
        <v>32</v>
      </c>
      <c r="F35" s="449">
        <v>30</v>
      </c>
      <c r="G35" s="6">
        <v>3.8730879330138386</v>
      </c>
      <c r="H35" s="139">
        <v>0.77670180188772842</v>
      </c>
      <c r="I35" s="139">
        <v>8.8088405463722652E-2</v>
      </c>
      <c r="J35" s="139">
        <v>10.615720546052508</v>
      </c>
      <c r="K35" s="139">
        <v>0.37864725559573226</v>
      </c>
      <c r="L35" s="139">
        <v>0.72156418596877314</v>
      </c>
      <c r="M35" s="139">
        <v>0.15465406067134976</v>
      </c>
      <c r="N35" s="462">
        <f t="shared" si="1"/>
        <v>0.51475932745130848</v>
      </c>
      <c r="O35" s="68">
        <f t="shared" si="2"/>
        <v>0.26497716519812342</v>
      </c>
      <c r="P35" s="463">
        <f t="shared" si="3"/>
        <v>10.615720546052508</v>
      </c>
      <c r="Q35" s="25">
        <f t="shared" si="4"/>
        <v>10.095010483478397</v>
      </c>
      <c r="R35" s="25">
        <f t="shared" si="5"/>
        <v>11.136430608626618</v>
      </c>
      <c r="S35" s="70">
        <f t="shared" si="6"/>
        <v>27448.336243485232</v>
      </c>
      <c r="T35" s="25">
        <f t="shared" si="7"/>
        <v>753411162.53542495</v>
      </c>
      <c r="U35" s="70">
        <f t="shared" si="8"/>
        <v>40770.764454419361</v>
      </c>
      <c r="V35" s="71">
        <f t="shared" si="9"/>
        <v>24221.852086323481</v>
      </c>
      <c r="W35" s="71">
        <f t="shared" si="10"/>
        <v>68626.264757694313</v>
      </c>
      <c r="X35" s="72">
        <f t="shared" si="11"/>
        <v>-0.40235558608482697</v>
      </c>
      <c r="Y35" s="72">
        <f t="shared" si="12"/>
        <v>0.40235558608482697</v>
      </c>
      <c r="Z35" s="73">
        <f t="shared" si="13"/>
        <v>8.6811084983337157</v>
      </c>
      <c r="AA35" s="74">
        <f t="shared" si="14"/>
        <v>10.638321813117848</v>
      </c>
      <c r="AB35" s="73">
        <f t="shared" si="15"/>
        <v>11.130479873503816</v>
      </c>
      <c r="AC35" s="476" t="str">
        <f t="shared" si="16"/>
        <v>06</v>
      </c>
      <c r="AD35" s="84">
        <f t="shared" si="17"/>
        <v>10.161569635546654</v>
      </c>
      <c r="AE35" s="85">
        <f t="shared" si="18"/>
        <v>11.115073990689043</v>
      </c>
      <c r="AF35" s="469">
        <f t="shared" si="19"/>
        <v>11.607232051075011</v>
      </c>
    </row>
    <row r="36" spans="1:32" s="6" customFormat="1" ht="12.75" customHeight="1">
      <c r="A36" s="134">
        <v>2002</v>
      </c>
      <c r="B36" s="451">
        <f t="shared" si="0"/>
        <v>2007</v>
      </c>
      <c r="C36" s="67">
        <f>VLOOKUP($A36,FBrood!$A$8:$M$50,4)</f>
        <v>9.1658104658028474</v>
      </c>
      <c r="D36" s="67">
        <f>VLOOKUP($A36,FBrood!$A$8:$M$50,8)</f>
        <v>10.967819581276032</v>
      </c>
      <c r="E36" s="448">
        <v>32</v>
      </c>
      <c r="F36" s="449">
        <v>30</v>
      </c>
      <c r="G36" s="6">
        <v>3.7517953756521631</v>
      </c>
      <c r="H36" s="139">
        <v>0.79366135959491702</v>
      </c>
      <c r="I36" s="139">
        <v>9.2503490635417157E-2</v>
      </c>
      <c r="J36" s="139">
        <v>11.02634497173057</v>
      </c>
      <c r="K36" s="139">
        <v>0.38950450777038992</v>
      </c>
      <c r="L36" s="139">
        <v>0.71046090690218144</v>
      </c>
      <c r="M36" s="139">
        <v>0.16282755891729561</v>
      </c>
      <c r="N36" s="462">
        <f t="shared" si="1"/>
        <v>-5.8525390454537529E-2</v>
      </c>
      <c r="O36" s="68">
        <f t="shared" si="2"/>
        <v>3.4252213278560726E-3</v>
      </c>
      <c r="P36" s="463">
        <f t="shared" si="3"/>
        <v>11.02634497173057</v>
      </c>
      <c r="Q36" s="25">
        <f t="shared" si="4"/>
        <v>10.505634909156459</v>
      </c>
      <c r="R36" s="25">
        <f t="shared" si="5"/>
        <v>11.54705503430468</v>
      </c>
      <c r="S36" s="70">
        <f t="shared" si="6"/>
        <v>-3494.4469295224262</v>
      </c>
      <c r="T36" s="25">
        <f t="shared" si="7"/>
        <v>12211159.343248712</v>
      </c>
      <c r="U36" s="70">
        <f t="shared" si="8"/>
        <v>61472.486009529312</v>
      </c>
      <c r="V36" s="71">
        <f t="shared" si="9"/>
        <v>36520.714865821217</v>
      </c>
      <c r="W36" s="71">
        <f t="shared" si="10"/>
        <v>103471.86658518339</v>
      </c>
      <c r="X36" s="72">
        <f t="shared" si="11"/>
        <v>6.027190613846492E-2</v>
      </c>
      <c r="Y36" s="72">
        <f t="shared" si="12"/>
        <v>6.027190613846492E-2</v>
      </c>
      <c r="Z36" s="73">
        <f t="shared" si="13"/>
        <v>9.1658104658028474</v>
      </c>
      <c r="AA36" s="74">
        <f t="shared" si="14"/>
        <v>11.021513030245707</v>
      </c>
      <c r="AB36" s="73">
        <f t="shared" si="15"/>
        <v>10.967819581276032</v>
      </c>
      <c r="AC36" s="476" t="str">
        <f t="shared" si="16"/>
        <v>07</v>
      </c>
      <c r="AD36" s="84">
        <f t="shared" si="17"/>
        <v>10.544760852674512</v>
      </c>
      <c r="AE36" s="85">
        <f t="shared" si="18"/>
        <v>11.498265207816901</v>
      </c>
      <c r="AF36" s="469">
        <f t="shared" si="19"/>
        <v>11.444571758847227</v>
      </c>
    </row>
    <row r="37" spans="1:32" s="6" customFormat="1" ht="12.75" customHeight="1">
      <c r="A37" s="134">
        <v>2003</v>
      </c>
      <c r="B37" s="451">
        <f t="shared" si="0"/>
        <v>2008</v>
      </c>
      <c r="C37" s="67">
        <f>VLOOKUP($A37,FBrood!$A$8:$M$50,4)</f>
        <v>8.5487557909792695</v>
      </c>
      <c r="D37" s="67">
        <f>VLOOKUP($A37,FBrood!$A$8:$M$50,8)</f>
        <v>10.379176371820273</v>
      </c>
      <c r="E37" s="448">
        <v>32</v>
      </c>
      <c r="F37" s="449">
        <v>30</v>
      </c>
      <c r="G37" s="6">
        <v>3.7540576887002892</v>
      </c>
      <c r="H37" s="139">
        <v>0.7937628528570152</v>
      </c>
      <c r="I37" s="139">
        <v>9.0106742854853733E-2</v>
      </c>
      <c r="J37" s="139">
        <v>10.539742473725923</v>
      </c>
      <c r="K37" s="139">
        <v>0.38857629053771736</v>
      </c>
      <c r="L37" s="139">
        <v>0.7211920159520735</v>
      </c>
      <c r="M37" s="139">
        <v>0.1621289260500044</v>
      </c>
      <c r="N37" s="462">
        <f t="shared" si="1"/>
        <v>-0.16056610190564946</v>
      </c>
      <c r="O37" s="68">
        <f t="shared" si="2"/>
        <v>2.5781473081175406E-2</v>
      </c>
      <c r="P37" s="463">
        <f t="shared" si="3"/>
        <v>10.539742473725923</v>
      </c>
      <c r="Q37" s="25">
        <f t="shared" si="4"/>
        <v>10.019032411151812</v>
      </c>
      <c r="R37" s="25">
        <f t="shared" si="5"/>
        <v>11.060452536300033</v>
      </c>
      <c r="S37" s="70">
        <f t="shared" si="6"/>
        <v>-5605.3896355528814</v>
      </c>
      <c r="T37" s="25">
        <f t="shared" si="7"/>
        <v>31420392.966363665</v>
      </c>
      <c r="U37" s="70">
        <f t="shared" si="8"/>
        <v>37787.833840366016</v>
      </c>
      <c r="V37" s="71">
        <f t="shared" si="9"/>
        <v>22449.697330723</v>
      </c>
      <c r="W37" s="71">
        <f t="shared" si="10"/>
        <v>63605.329074658141</v>
      </c>
      <c r="X37" s="72">
        <f t="shared" si="11"/>
        <v>0.17417538580598399</v>
      </c>
      <c r="Y37" s="72">
        <f t="shared" si="12"/>
        <v>0.17417538580598399</v>
      </c>
      <c r="Z37" s="73">
        <f t="shared" si="13"/>
        <v>8.5487557909792695</v>
      </c>
      <c r="AA37" s="74">
        <f t="shared" si="14"/>
        <v>10.533687628763012</v>
      </c>
      <c r="AB37" s="73">
        <f t="shared" si="15"/>
        <v>10.379176371820273</v>
      </c>
      <c r="AC37" s="476" t="str">
        <f t="shared" si="16"/>
        <v>08</v>
      </c>
      <c r="AD37" s="84">
        <f t="shared" si="17"/>
        <v>10.056935451191817</v>
      </c>
      <c r="AE37" s="85">
        <f t="shared" si="18"/>
        <v>11.010439806334206</v>
      </c>
      <c r="AF37" s="469">
        <f t="shared" si="19"/>
        <v>10.855928549391468</v>
      </c>
    </row>
    <row r="38" spans="1:32" s="6" customFormat="1" ht="12.75" customHeight="1">
      <c r="A38" s="134">
        <v>2004</v>
      </c>
      <c r="B38" s="451">
        <f t="shared" si="0"/>
        <v>2009</v>
      </c>
      <c r="C38" s="67">
        <f>VLOOKUP($A38,FBrood!$A$8:$M$50,4)</f>
        <v>8.2872039919989202</v>
      </c>
      <c r="D38" s="67">
        <f>VLOOKUP($A38,FBrood!$A$8:$M$50,8)</f>
        <v>10.205029621448679</v>
      </c>
      <c r="E38" s="448">
        <v>32</v>
      </c>
      <c r="F38" s="449">
        <v>30</v>
      </c>
      <c r="G38" s="6">
        <v>3.7730112228994024</v>
      </c>
      <c r="H38" s="139">
        <v>0.79131578212069253</v>
      </c>
      <c r="I38" s="139">
        <v>8.9886324231198717E-2</v>
      </c>
      <c r="J38" s="139">
        <v>10.330806531421754</v>
      </c>
      <c r="K38" s="139">
        <v>0.38898265753652056</v>
      </c>
      <c r="L38" s="139">
        <v>0.72093519423037633</v>
      </c>
      <c r="M38" s="139">
        <v>0.16244022736246691</v>
      </c>
      <c r="N38" s="462">
        <f t="shared" si="1"/>
        <v>-0.12577690997307478</v>
      </c>
      <c r="O38" s="68">
        <f t="shared" si="2"/>
        <v>1.5819831082374957E-2</v>
      </c>
      <c r="P38" s="463">
        <f t="shared" si="3"/>
        <v>10.330806531421754</v>
      </c>
      <c r="Q38" s="25">
        <f t="shared" si="4"/>
        <v>9.8100964688476431</v>
      </c>
      <c r="R38" s="25">
        <f t="shared" si="5"/>
        <v>10.851516593995864</v>
      </c>
      <c r="S38" s="70">
        <f t="shared" si="6"/>
        <v>-3623.9926974223927</v>
      </c>
      <c r="T38" s="25">
        <f t="shared" si="7"/>
        <v>13133323.07097083</v>
      </c>
      <c r="U38" s="70">
        <f t="shared" si="8"/>
        <v>30662.832470844172</v>
      </c>
      <c r="V38" s="71">
        <f t="shared" si="9"/>
        <v>18216.744341078891</v>
      </c>
      <c r="W38" s="71">
        <f t="shared" si="10"/>
        <v>51612.367036127143</v>
      </c>
      <c r="X38" s="72">
        <f t="shared" si="11"/>
        <v>0.13402914946759842</v>
      </c>
      <c r="Y38" s="72">
        <f t="shared" si="12"/>
        <v>0.13402914946759842</v>
      </c>
      <c r="Z38" s="73">
        <f t="shared" si="13"/>
        <v>8.2872039919989202</v>
      </c>
      <c r="AA38" s="74">
        <f t="shared" si="14"/>
        <v>10.326912416529851</v>
      </c>
      <c r="AB38" s="73">
        <f t="shared" si="15"/>
        <v>10.205029621448679</v>
      </c>
      <c r="AC38" s="476" t="str">
        <f t="shared" si="16"/>
        <v>09</v>
      </c>
      <c r="AD38" s="84">
        <f t="shared" si="17"/>
        <v>9.8501602389586562</v>
      </c>
      <c r="AE38" s="85">
        <f t="shared" si="18"/>
        <v>10.803664594101045</v>
      </c>
      <c r="AF38" s="469">
        <f t="shared" si="19"/>
        <v>10.681781799019873</v>
      </c>
    </row>
    <row r="39" spans="1:32" s="6" customFormat="1" ht="12.75" customHeight="1">
      <c r="A39" s="134">
        <v>2005</v>
      </c>
      <c r="B39" s="451">
        <f t="shared" si="0"/>
        <v>2010</v>
      </c>
      <c r="C39" s="67">
        <f>VLOOKUP($A39,FBrood!$A$8:$M$50,4)</f>
        <v>8.4319659397064264</v>
      </c>
      <c r="D39" s="67">
        <f>VLOOKUP($A39,FBrood!$A$8:$M$50,8)</f>
        <v>9.8896200751423216</v>
      </c>
      <c r="E39" s="6">
        <v>32</v>
      </c>
      <c r="F39" s="6">
        <v>30</v>
      </c>
      <c r="G39" s="139">
        <v>3.7288744239940259</v>
      </c>
      <c r="H39" s="139">
        <v>0.79836421651584266</v>
      </c>
      <c r="I39" s="139">
        <v>8.6995260549308451E-2</v>
      </c>
      <c r="J39" s="139">
        <v>10.460654305136018</v>
      </c>
      <c r="K39" s="139">
        <v>0.3759208523283708</v>
      </c>
      <c r="L39" s="139">
        <v>0.73734705949431578</v>
      </c>
      <c r="M39" s="6">
        <v>0.15274459421427572</v>
      </c>
      <c r="N39" s="462">
        <f t="shared" si="1"/>
        <v>-0.57103422999369613</v>
      </c>
      <c r="O39" s="68">
        <f t="shared" si="2"/>
        <v>0.32608009182449343</v>
      </c>
      <c r="P39" s="463">
        <f t="shared" si="3"/>
        <v>10.460654305136018</v>
      </c>
      <c r="Q39" s="25">
        <f t="shared" si="4"/>
        <v>9.9399442425619071</v>
      </c>
      <c r="R39" s="25">
        <f t="shared" si="5"/>
        <v>10.981364367710128</v>
      </c>
      <c r="S39" s="70">
        <f t="shared" si="6"/>
        <v>-15189.8239758944</v>
      </c>
      <c r="T39" s="25">
        <f t="shared" si="7"/>
        <v>230730752.41865635</v>
      </c>
      <c r="U39" s="70">
        <f t="shared" si="8"/>
        <v>34914.388638670651</v>
      </c>
      <c r="V39" s="71">
        <f t="shared" si="9"/>
        <v>20742.587699962158</v>
      </c>
      <c r="W39" s="71">
        <f t="shared" si="10"/>
        <v>58768.681692224833</v>
      </c>
      <c r="X39" s="72">
        <f t="shared" si="11"/>
        <v>0.77009679227852823</v>
      </c>
      <c r="Y39" s="72">
        <f t="shared" si="12"/>
        <v>0.77009679227852823</v>
      </c>
      <c r="Z39" s="73">
        <f t="shared" si="13"/>
        <v>8.4319659397064264</v>
      </c>
      <c r="AA39" s="74">
        <f t="shared" si="14"/>
        <v>10.441356983828561</v>
      </c>
      <c r="AB39" s="73">
        <f t="shared" si="15"/>
        <v>9.8896200751423216</v>
      </c>
      <c r="AC39" s="476" t="str">
        <f t="shared" si="16"/>
        <v>10</v>
      </c>
      <c r="AD39" s="84">
        <f t="shared" si="17"/>
        <v>9.9646048062573662</v>
      </c>
      <c r="AE39" s="85">
        <f t="shared" si="18"/>
        <v>10.918109161399755</v>
      </c>
      <c r="AF39" s="469">
        <f t="shared" si="19"/>
        <v>10.366372252713516</v>
      </c>
    </row>
    <row r="40" spans="1:32" s="6" customFormat="1" ht="12.75" customHeight="1">
      <c r="A40" s="134">
        <v>2006</v>
      </c>
      <c r="B40" s="451">
        <f t="shared" si="0"/>
        <v>2011</v>
      </c>
      <c r="C40" s="67">
        <f>VLOOKUP($A40,FBrood!$A$8:$M$50,4)</f>
        <v>8.5943219857568938</v>
      </c>
      <c r="D40" s="67">
        <f>VLOOKUP($A40,FBrood!$A$8:$M$50,8)</f>
        <v>10.623064262285222</v>
      </c>
      <c r="E40" s="6">
        <v>32</v>
      </c>
      <c r="F40" s="6">
        <v>30</v>
      </c>
      <c r="G40" s="139">
        <v>3.7837421007000582</v>
      </c>
      <c r="H40" s="139">
        <v>0.78933126894433714</v>
      </c>
      <c r="I40" s="139">
        <v>9.0414118633722701E-2</v>
      </c>
      <c r="J40" s="139">
        <v>10.567509179433763</v>
      </c>
      <c r="K40" s="139">
        <v>0.38951214052746747</v>
      </c>
      <c r="L40" s="139">
        <v>0.71755665669020585</v>
      </c>
      <c r="M40" s="6">
        <v>0.16283814810783387</v>
      </c>
      <c r="N40" s="462">
        <f t="shared" si="1"/>
        <v>5.5555082851459048E-2</v>
      </c>
      <c r="O40" s="68">
        <f t="shared" si="2"/>
        <v>3.0863672306324793E-3</v>
      </c>
      <c r="P40" s="463">
        <f t="shared" si="3"/>
        <v>10.567509179433763</v>
      </c>
      <c r="Q40" s="25">
        <f t="shared" si="4"/>
        <v>10.046799116859653</v>
      </c>
      <c r="R40" s="25">
        <f t="shared" si="5"/>
        <v>11.088219242007874</v>
      </c>
      <c r="S40" s="70">
        <f t="shared" si="6"/>
        <v>2219.4951732731424</v>
      </c>
      <c r="T40" s="25">
        <f t="shared" si="7"/>
        <v>4926158.8241827767</v>
      </c>
      <c r="U40" s="70">
        <f t="shared" si="8"/>
        <v>38851.780289124472</v>
      </c>
      <c r="V40" s="71">
        <f t="shared" si="9"/>
        <v>23081.786374292627</v>
      </c>
      <c r="W40" s="71">
        <f t="shared" si="10"/>
        <v>65396.187589517125</v>
      </c>
      <c r="X40" s="72">
        <f t="shared" si="11"/>
        <v>-5.4040083934212821E-2</v>
      </c>
      <c r="Y40" s="72">
        <f t="shared" si="12"/>
        <v>5.4040083934212821E-2</v>
      </c>
      <c r="Z40" s="73">
        <f t="shared" si="13"/>
        <v>8.5943219857568938</v>
      </c>
      <c r="AA40" s="74">
        <f t="shared" si="14"/>
        <v>10.569710931346027</v>
      </c>
      <c r="AB40" s="73">
        <f t="shared" si="15"/>
        <v>10.623064262285222</v>
      </c>
      <c r="AC40" s="476" t="str">
        <f t="shared" si="16"/>
        <v>11</v>
      </c>
      <c r="AD40" s="84">
        <f t="shared" si="17"/>
        <v>10.092958753774832</v>
      </c>
      <c r="AE40" s="85">
        <f t="shared" si="18"/>
        <v>11.046463108917221</v>
      </c>
      <c r="AF40" s="469">
        <f t="shared" si="19"/>
        <v>11.099816439856417</v>
      </c>
    </row>
    <row r="41" spans="1:32" s="6" customFormat="1" ht="12.75" customHeight="1">
      <c r="A41" s="134">
        <v>2007</v>
      </c>
      <c r="B41" s="451">
        <f t="shared" si="0"/>
        <v>2012</v>
      </c>
      <c r="C41" s="67">
        <f>VLOOKUP($A41,FBrood!$A$8:$M$50,4)</f>
        <v>8.6077656370610249</v>
      </c>
      <c r="D41" s="67">
        <f>VLOOKUP($A41,FBrood!$A$8:$M$50,8)</f>
        <v>10.473047734898355</v>
      </c>
      <c r="E41" s="6">
        <v>32</v>
      </c>
      <c r="F41" s="6">
        <v>30</v>
      </c>
      <c r="G41" s="139">
        <v>3.7576297324241121</v>
      </c>
      <c r="H41" s="139">
        <v>0.79314519353839497</v>
      </c>
      <c r="I41" s="139">
        <v>9.0353064315811082E-2</v>
      </c>
      <c r="J41" s="139">
        <v>10.584837674564024</v>
      </c>
      <c r="K41" s="139">
        <v>0.38912556599064224</v>
      </c>
      <c r="L41" s="139">
        <v>0.7197789411347465</v>
      </c>
      <c r="M41" s="6">
        <v>0.16254406612721445</v>
      </c>
      <c r="N41" s="462">
        <f t="shared" si="1"/>
        <v>-0.11178993966566964</v>
      </c>
      <c r="O41" s="68">
        <f t="shared" si="2"/>
        <v>1.2496990610454057E-2</v>
      </c>
      <c r="P41" s="463">
        <f t="shared" si="3"/>
        <v>10.584837674564024</v>
      </c>
      <c r="Q41" s="25">
        <f t="shared" si="4"/>
        <v>10.064127611989914</v>
      </c>
      <c r="R41" s="25">
        <f t="shared" si="5"/>
        <v>11.105547737138135</v>
      </c>
      <c r="S41" s="70">
        <f t="shared" si="6"/>
        <v>-4181.1000094147312</v>
      </c>
      <c r="T41" s="25">
        <f t="shared" si="7"/>
        <v>17481597.288727865</v>
      </c>
      <c r="U41" s="70">
        <f t="shared" si="8"/>
        <v>39530.890157365648</v>
      </c>
      <c r="V41" s="71">
        <f t="shared" si="9"/>
        <v>23485.244562997679</v>
      </c>
      <c r="W41" s="71">
        <f t="shared" si="10"/>
        <v>66539.280544509049</v>
      </c>
      <c r="X41" s="72">
        <f t="shared" si="11"/>
        <v>0.11827793013523993</v>
      </c>
      <c r="Y41" s="72">
        <f t="shared" si="12"/>
        <v>0.11827793013523993</v>
      </c>
      <c r="Z41" s="73">
        <f t="shared" si="13"/>
        <v>8.6077656370610249</v>
      </c>
      <c r="AA41" s="74">
        <f t="shared" si="14"/>
        <v>10.580339089372227</v>
      </c>
      <c r="AB41" s="73">
        <f t="shared" si="15"/>
        <v>10.473047734898355</v>
      </c>
      <c r="AC41" s="476" t="str">
        <f t="shared" si="16"/>
        <v>12</v>
      </c>
      <c r="AD41" s="84">
        <f t="shared" si="17"/>
        <v>10.103586911801033</v>
      </c>
      <c r="AE41" s="85">
        <f t="shared" si="18"/>
        <v>11.057091266943422</v>
      </c>
      <c r="AF41" s="469">
        <f t="shared" si="19"/>
        <v>10.949799912469549</v>
      </c>
    </row>
    <row r="42" spans="1:32" s="6" customFormat="1" ht="12.75" customHeight="1">
      <c r="A42" s="134">
        <v>2008</v>
      </c>
      <c r="B42" s="451">
        <f t="shared" si="0"/>
        <v>2013</v>
      </c>
      <c r="C42" s="67">
        <f>VLOOKUP($A42,FBrood!$A$8:$M$50,4)</f>
        <v>8.2485657535855932</v>
      </c>
      <c r="D42" s="67">
        <f>VLOOKUP($A42,FBrood!$A$8:$M$50,8)</f>
        <v>10.180696807910829</v>
      </c>
      <c r="E42" s="6">
        <v>32</v>
      </c>
      <c r="F42" s="6">
        <v>30</v>
      </c>
      <c r="G42" s="139">
        <v>3.7751397353081835</v>
      </c>
      <c r="H42" s="139">
        <v>0.79103151515101311</v>
      </c>
      <c r="I42" s="139">
        <v>8.9883925741297499E-2</v>
      </c>
      <c r="J42" s="139">
        <v>10.300015201189755</v>
      </c>
      <c r="K42" s="139">
        <v>0.38904814598182075</v>
      </c>
      <c r="L42" s="139">
        <v>0.72080133895919607</v>
      </c>
      <c r="M42" s="6">
        <v>0.16248969461583285</v>
      </c>
      <c r="N42" s="462">
        <f t="shared" si="1"/>
        <v>-0.11931839327892568</v>
      </c>
      <c r="O42" s="68">
        <f t="shared" si="2"/>
        <v>1.4236878974664378E-2</v>
      </c>
      <c r="P42" s="463">
        <f t="shared" si="3"/>
        <v>10.300015201189755</v>
      </c>
      <c r="Q42" s="25">
        <f t="shared" si="4"/>
        <v>9.7793051386156442</v>
      </c>
      <c r="R42" s="25">
        <f t="shared" si="5"/>
        <v>10.820725263763865</v>
      </c>
      <c r="S42" s="70">
        <f t="shared" si="6"/>
        <v>-3344.2219760689331</v>
      </c>
      <c r="T42" s="25">
        <f t="shared" si="7"/>
        <v>11183820.6252224</v>
      </c>
      <c r="U42" s="70">
        <f t="shared" si="8"/>
        <v>29733.07082750777</v>
      </c>
      <c r="V42" s="71">
        <f t="shared" si="9"/>
        <v>17664.374295979324</v>
      </c>
      <c r="W42" s="71">
        <f t="shared" si="10"/>
        <v>50047.371394005044</v>
      </c>
      <c r="X42" s="72">
        <f t="shared" si="11"/>
        <v>0.12672860399844957</v>
      </c>
      <c r="Y42" s="72">
        <f t="shared" si="12"/>
        <v>0.12672860399844957</v>
      </c>
      <c r="Z42" s="73">
        <f t="shared" si="13"/>
        <v>8.2485657535855932</v>
      </c>
      <c r="AA42" s="74">
        <f t="shared" si="14"/>
        <v>10.296366153879859</v>
      </c>
      <c r="AB42" s="73">
        <f t="shared" si="15"/>
        <v>10.180696807910829</v>
      </c>
      <c r="AC42" s="476" t="str">
        <f t="shared" si="16"/>
        <v>13</v>
      </c>
      <c r="AD42" s="84">
        <f t="shared" si="17"/>
        <v>9.8196139763086645</v>
      </c>
      <c r="AE42" s="85">
        <f t="shared" si="18"/>
        <v>10.773118331451053</v>
      </c>
      <c r="AF42" s="469">
        <f t="shared" si="19"/>
        <v>10.657448985482024</v>
      </c>
    </row>
    <row r="43" spans="1:32" s="6" customFormat="1" ht="12.75" customHeight="1">
      <c r="A43" s="134">
        <v>2009</v>
      </c>
      <c r="B43" s="451">
        <f t="shared" si="0"/>
        <v>2014</v>
      </c>
      <c r="C43" s="67">
        <f>VLOOKUP($A43,FBrood!$A$8:$M$50,4)</f>
        <v>8.6691577171146683</v>
      </c>
      <c r="D43" s="67">
        <f>VLOOKUP($A43,FBrood!$A$8:$M$50,8)</f>
        <v>9.6838897695936783</v>
      </c>
      <c r="E43" s="6">
        <v>32</v>
      </c>
      <c r="F43" s="6">
        <v>30</v>
      </c>
      <c r="G43" s="139">
        <v>3.5927878484072711</v>
      </c>
      <c r="H43" s="139">
        <v>0.81655279018275062</v>
      </c>
      <c r="I43" s="139">
        <v>8.079852816951355E-2</v>
      </c>
      <c r="J43" s="139">
        <v>10.671612770851578</v>
      </c>
      <c r="K43" s="139">
        <v>0.34742734209028947</v>
      </c>
      <c r="L43" s="139">
        <v>0.77295423690034604</v>
      </c>
      <c r="M43" s="6">
        <v>0.13244719935835636</v>
      </c>
      <c r="N43" s="462">
        <f t="shared" si="1"/>
        <v>-0.98772300125789947</v>
      </c>
      <c r="O43" s="68">
        <f t="shared" si="2"/>
        <v>0.97559672721391244</v>
      </c>
      <c r="P43" s="463">
        <f t="shared" si="3"/>
        <v>10.671612770851578</v>
      </c>
      <c r="Q43" s="25">
        <f t="shared" si="4"/>
        <v>10.150902708277467</v>
      </c>
      <c r="R43" s="25">
        <f t="shared" si="5"/>
        <v>11.192322833425688</v>
      </c>
      <c r="S43" s="70">
        <f t="shared" si="6"/>
        <v>-27057.586142855009</v>
      </c>
      <c r="T43" s="25">
        <f t="shared" si="7"/>
        <v>732112967.87801945</v>
      </c>
      <c r="U43" s="70">
        <f t="shared" si="8"/>
        <v>43114.419135572934</v>
      </c>
      <c r="V43" s="71">
        <f t="shared" si="9"/>
        <v>25614.213936486634</v>
      </c>
      <c r="W43" s="71">
        <f t="shared" si="10"/>
        <v>72571.156858730712</v>
      </c>
      <c r="X43" s="72">
        <f t="shared" si="11"/>
        <v>1.6851135062017604</v>
      </c>
      <c r="Y43" s="72">
        <f t="shared" si="12"/>
        <v>1.6851135062017604</v>
      </c>
      <c r="Z43" s="73">
        <f t="shared" si="13"/>
        <v>8.6691577171146683</v>
      </c>
      <c r="AA43" s="74">
        <f t="shared" si="14"/>
        <v>10.628873874573536</v>
      </c>
      <c r="AB43" s="73">
        <f t="shared" si="15"/>
        <v>9.6838897695936783</v>
      </c>
      <c r="AC43" s="476" t="str">
        <f t="shared" si="16"/>
        <v>14</v>
      </c>
      <c r="AD43" s="84">
        <f t="shared" si="17"/>
        <v>10.152121697002341</v>
      </c>
      <c r="AE43" s="85">
        <f t="shared" si="18"/>
        <v>11.10562605214473</v>
      </c>
      <c r="AF43" s="469">
        <f t="shared" si="19"/>
        <v>10.160641947164873</v>
      </c>
    </row>
    <row r="44" spans="1:32" s="6" customFormat="1" ht="12.75" customHeight="1">
      <c r="A44" s="134"/>
      <c r="B44" s="744"/>
      <c r="C44" s="699"/>
      <c r="D44" s="699"/>
      <c r="G44" s="139"/>
      <c r="H44" s="139"/>
      <c r="I44" s="139"/>
      <c r="J44" s="139"/>
      <c r="K44" s="139"/>
      <c r="L44" s="139"/>
      <c r="N44" s="460"/>
      <c r="O44" s="68"/>
      <c r="P44" s="25"/>
      <c r="Q44" s="69"/>
      <c r="R44" s="25"/>
      <c r="S44" s="465"/>
      <c r="T44" s="464"/>
      <c r="U44" s="465"/>
      <c r="V44" s="464"/>
      <c r="W44" s="466"/>
      <c r="X44" s="466"/>
      <c r="Y44" s="467"/>
      <c r="Z44" s="467"/>
      <c r="AA44" s="468"/>
      <c r="AB44" s="470"/>
      <c r="AC44" s="477"/>
      <c r="AD44" s="464"/>
      <c r="AE44" s="471"/>
      <c r="AF44" s="471"/>
    </row>
    <row r="45" spans="1:32" s="6" customFormat="1" ht="12.75" customHeight="1">
      <c r="A45" s="675">
        <v>2010</v>
      </c>
      <c r="B45" s="25">
        <f>FcastYR</f>
        <v>2015</v>
      </c>
      <c r="C45" s="699">
        <f>VLOOKUP($A45,FBrood!$A$8:$M$50,4)</f>
        <v>9.0947814204775597</v>
      </c>
      <c r="D45" s="67"/>
      <c r="E45" s="6">
        <v>33</v>
      </c>
      <c r="F45" s="6">
        <v>31</v>
      </c>
      <c r="G45" s="139">
        <v>3.7752910132535193</v>
      </c>
      <c r="H45" s="139">
        <v>0.79057078956928661</v>
      </c>
      <c r="I45" s="139">
        <v>8.8543818343627137E-2</v>
      </c>
      <c r="J45" s="139">
        <v>10.965359541800542</v>
      </c>
      <c r="K45" s="139">
        <v>0.38330293238694729</v>
      </c>
      <c r="L45" s="139">
        <v>0.72001340392237423</v>
      </c>
      <c r="M45" s="6">
        <v>0.15799718505094898</v>
      </c>
      <c r="N45" s="462">
        <f>D45-J45</f>
        <v>-10.965359541800542</v>
      </c>
      <c r="O45" s="68">
        <f>N45^2</f>
        <v>120.23910988095618</v>
      </c>
      <c r="P45" s="463">
        <f>J45</f>
        <v>10.965359541800542</v>
      </c>
      <c r="Q45" s="25">
        <f>$P45-SQRT($O$48)*$Q$48</f>
        <v>10.444649479226431</v>
      </c>
      <c r="R45" s="25">
        <f>$P45+SQRT($O$48)*$Q$48</f>
        <v>11.486069604374652</v>
      </c>
      <c r="S45" s="70">
        <f>EXP(D45)-U45</f>
        <v>-57834.586106968403</v>
      </c>
      <c r="T45" s="478">
        <f>S45^2</f>
        <v>3344839350.1643429</v>
      </c>
      <c r="U45" s="472">
        <f>EXP(P45)</f>
        <v>57835.586106968403</v>
      </c>
      <c r="V45" s="473">
        <f>EXP(Q45)</f>
        <v>34360.037903507211</v>
      </c>
      <c r="W45" s="473">
        <f>EXP(R45)</f>
        <v>97350.155134582339</v>
      </c>
      <c r="X45" s="72">
        <f>(+U45-EXP(D45))/(EXP(D45))</f>
        <v>57834.586106968403</v>
      </c>
      <c r="Y45" s="72">
        <f>ABS(X45)</f>
        <v>57834.586106968403</v>
      </c>
      <c r="Z45" s="447">
        <f>C45</f>
        <v>9.0947814204775597</v>
      </c>
      <c r="AA45" s="74">
        <f>(+$G$45+$H$45*C45)</f>
        <v>10.965359541800542</v>
      </c>
      <c r="AB45" s="447">
        <f>D45</f>
        <v>0</v>
      </c>
      <c r="AC45" s="476" t="str">
        <f>RIGHT(B45,2)</f>
        <v>15</v>
      </c>
      <c r="AD45" s="84">
        <f>AA45-SQRT($O$47)*$Q$47</f>
        <v>10.488607364229347</v>
      </c>
      <c r="AE45" s="85">
        <f>AA45+SQRT($O$48)*$Q$48</f>
        <v>11.486069604374652</v>
      </c>
      <c r="AF45" s="469"/>
    </row>
    <row r="46" spans="1:32" s="6" customFormat="1" ht="12.75" customHeight="1">
      <c r="A46" s="141"/>
      <c r="B46" s="142"/>
      <c r="C46" s="143"/>
      <c r="D46" s="142"/>
      <c r="E46" s="142"/>
      <c r="F46" s="142"/>
      <c r="G46" s="142"/>
      <c r="H46" s="142"/>
      <c r="I46" s="142"/>
      <c r="J46" s="142"/>
      <c r="K46" s="142"/>
      <c r="L46" s="142"/>
      <c r="M46" s="144"/>
      <c r="N46" s="143"/>
      <c r="O46" s="142"/>
      <c r="P46" s="142"/>
      <c r="Q46" s="142"/>
      <c r="R46" s="142"/>
      <c r="S46" s="142"/>
      <c r="T46" s="142"/>
      <c r="U46" s="142"/>
      <c r="V46" s="142"/>
      <c r="W46" s="142"/>
      <c r="X46" s="145"/>
      <c r="Y46" s="145"/>
      <c r="Z46" s="125"/>
      <c r="AA46" s="145"/>
      <c r="AB46" s="145"/>
      <c r="AC46" s="145"/>
      <c r="AD46" s="142"/>
      <c r="AE46" s="145"/>
    </row>
    <row r="47" spans="1:32" s="6" customFormat="1" ht="12.75" customHeight="1">
      <c r="A47" s="146"/>
      <c r="C47" s="147"/>
      <c r="E47" s="110" t="s">
        <v>103</v>
      </c>
      <c r="F47" s="6">
        <f>F34</f>
        <v>30</v>
      </c>
      <c r="M47" s="148" t="s">
        <v>104</v>
      </c>
      <c r="N47" s="147"/>
      <c r="O47" s="68">
        <f>AVERAGE(O11:O42)</f>
        <v>0.13244719935835636</v>
      </c>
      <c r="P47" s="110" t="s">
        <v>105</v>
      </c>
      <c r="Q47" s="6">
        <f>VLOOKUP(F47,[2]ttab!$A$3:$G$43,4)</f>
        <v>1.31</v>
      </c>
      <c r="X47" s="149"/>
      <c r="Y47" s="109"/>
      <c r="Z47" s="146"/>
    </row>
    <row r="48" spans="1:32" s="6" customFormat="1" ht="12.75" customHeight="1">
      <c r="A48" s="146"/>
      <c r="E48" s="110" t="s">
        <v>103</v>
      </c>
      <c r="F48" s="6">
        <f>F39</f>
        <v>30</v>
      </c>
      <c r="M48" s="148" t="s">
        <v>106</v>
      </c>
      <c r="N48" s="147"/>
      <c r="O48" s="68">
        <f>AVERAGE(O11:O44)</f>
        <v>0.15799718505094898</v>
      </c>
      <c r="P48" s="110" t="s">
        <v>105</v>
      </c>
      <c r="Q48" s="6">
        <f>VLOOKUP(F48,[2]ttab!$A$3:$G$43,4)</f>
        <v>1.31</v>
      </c>
      <c r="S48" s="110" t="s">
        <v>107</v>
      </c>
      <c r="T48" s="33">
        <f>AVERAGE(T11:T44)</f>
        <v>153192730.85227543</v>
      </c>
      <c r="W48" s="110" t="s">
        <v>342</v>
      </c>
      <c r="X48" s="633">
        <f>AVERAGE(X11:X44)</f>
        <v>8.4026419698698451E-2</v>
      </c>
      <c r="Y48" s="633">
        <f>AVERAGE(Y11:Y44)</f>
        <v>0.32816053274606161</v>
      </c>
      <c r="Z48" s="146"/>
    </row>
    <row r="49" spans="1:25" s="6" customFormat="1" ht="12.75" customHeight="1">
      <c r="A49" s="142"/>
      <c r="B49" s="142"/>
      <c r="C49" s="142"/>
      <c r="D49" s="142"/>
      <c r="E49" s="142"/>
      <c r="F49" s="142"/>
      <c r="G49" s="142"/>
      <c r="H49" s="142"/>
      <c r="I49" s="142"/>
      <c r="J49" s="142"/>
      <c r="K49" s="142"/>
      <c r="L49" s="142"/>
      <c r="M49" s="144"/>
      <c r="N49" s="143"/>
      <c r="O49" s="142"/>
      <c r="P49" s="142"/>
      <c r="Q49" s="142"/>
      <c r="R49" s="142"/>
      <c r="S49" s="142"/>
      <c r="T49" s="142"/>
      <c r="U49" s="142"/>
      <c r="V49" s="142"/>
      <c r="W49" s="142"/>
      <c r="X49" s="145"/>
      <c r="Y49" s="109"/>
    </row>
    <row r="50" spans="1:25" s="6" customFormat="1" ht="12.75" customHeight="1">
      <c r="M50" s="150"/>
      <c r="N50" s="147"/>
      <c r="P50" s="772">
        <f>EXP(P45)</f>
        <v>57835.586106968403</v>
      </c>
      <c r="Q50" s="772">
        <f t="shared" ref="Q50:R50" si="20">EXP(Q45)</f>
        <v>34360.037903507211</v>
      </c>
      <c r="R50" s="772">
        <f t="shared" si="20"/>
        <v>97350.155134582339</v>
      </c>
    </row>
    <row r="51" spans="1:25" s="6" customFormat="1" ht="12.75" customHeight="1">
      <c r="G51" s="110" t="e">
        <f t="array" aca="1" ref="G51:K58" ca="1">[3]!Regression('Ln1.3=ln1.2'!$D$11:$D$38,'Ln1.3=ln1.2'!$C$11:$C$38,TRUE)</f>
        <v>#NAME?</v>
      </c>
      <c r="H51" s="110" t="e">
        <f ca="1"/>
        <v>#NAME?</v>
      </c>
      <c r="I51" s="110" t="e">
        <f ca="1"/>
        <v>#NAME?</v>
      </c>
      <c r="J51" s="110" t="e">
        <f ca="1"/>
        <v>#NAME?</v>
      </c>
      <c r="K51" s="110" t="e">
        <f ca="1"/>
        <v>#NAME?</v>
      </c>
      <c r="M51" t="s">
        <v>32</v>
      </c>
      <c r="N51"/>
      <c r="O51"/>
      <c r="P51"/>
      <c r="Q51"/>
      <c r="R51"/>
      <c r="S51"/>
      <c r="T51"/>
      <c r="U51"/>
      <c r="W51" s="439" t="s">
        <v>485</v>
      </c>
      <c r="X51" s="634">
        <f>AVERAGE(X28:X44)</f>
        <v>0.1340438167290405</v>
      </c>
      <c r="Y51" s="634">
        <f>AVERAGE(Y28:Y44)</f>
        <v>0.31965170311303731</v>
      </c>
    </row>
    <row r="52" spans="1:25" s="6" customFormat="1" ht="12.75" customHeight="1" thickBot="1">
      <c r="G52" s="110" t="e">
        <f ca="1"/>
        <v>#NAME?</v>
      </c>
      <c r="H52" s="110" t="e">
        <f ca="1"/>
        <v>#NAME?</v>
      </c>
      <c r="I52" s="110" t="e">
        <f ca="1"/>
        <v>#NAME?</v>
      </c>
      <c r="J52" s="110" t="e">
        <f ca="1"/>
        <v>#NAME?</v>
      </c>
      <c r="K52" s="390" t="e">
        <f ca="1"/>
        <v>#NAME?</v>
      </c>
      <c r="M52"/>
      <c r="N52"/>
      <c r="O52"/>
      <c r="P52"/>
      <c r="Q52"/>
      <c r="R52"/>
      <c r="S52"/>
      <c r="T52"/>
      <c r="U52"/>
    </row>
    <row r="53" spans="1:25" s="6" customFormat="1" ht="12.75" customHeight="1">
      <c r="G53" s="110" t="e">
        <f ca="1"/>
        <v>#NAME?</v>
      </c>
      <c r="H53" s="110" t="e">
        <f ca="1"/>
        <v>#NAME?</v>
      </c>
      <c r="I53" s="110" t="e">
        <f ca="1"/>
        <v>#NAME?</v>
      </c>
      <c r="J53" s="110" t="e">
        <f ca="1"/>
        <v>#NAME?</v>
      </c>
      <c r="K53" s="390" t="e">
        <f ca="1"/>
        <v>#NAME?</v>
      </c>
      <c r="M53" s="22" t="s">
        <v>33</v>
      </c>
      <c r="N53" s="22"/>
      <c r="O53"/>
      <c r="P53"/>
      <c r="Q53"/>
      <c r="R53"/>
      <c r="S53"/>
      <c r="T53"/>
      <c r="U53"/>
      <c r="W53" s="439" t="s">
        <v>441</v>
      </c>
      <c r="Y53" s="634">
        <f>STDEV(Y28:Y44)</f>
        <v>0.40988567555905892</v>
      </c>
    </row>
    <row r="54" spans="1:25" s="6" customFormat="1" ht="12.75" customHeight="1">
      <c r="G54" s="110" t="e">
        <f ca="1"/>
        <v>#NAME?</v>
      </c>
      <c r="H54" s="110" t="e">
        <f ca="1"/>
        <v>#NAME?</v>
      </c>
      <c r="I54" s="110" t="e">
        <f ca="1"/>
        <v>#NAME?</v>
      </c>
      <c r="J54" s="110" t="e">
        <f ca="1"/>
        <v>#NAME?</v>
      </c>
      <c r="K54" s="110" t="e">
        <f ca="1"/>
        <v>#NAME?</v>
      </c>
      <c r="M54" s="19" t="s">
        <v>34</v>
      </c>
      <c r="N54" s="19">
        <v>0.77131458448576229</v>
      </c>
      <c r="O54"/>
      <c r="P54"/>
      <c r="Q54"/>
      <c r="R54"/>
      <c r="S54"/>
      <c r="T54"/>
      <c r="U54"/>
    </row>
    <row r="55" spans="1:25" s="6" customFormat="1" ht="12.75" customHeight="1">
      <c r="G55" s="110" t="e">
        <f ca="1"/>
        <v>#NAME?</v>
      </c>
      <c r="H55" s="110" t="e">
        <f ca="1"/>
        <v>#NAME?</v>
      </c>
      <c r="I55" s="110" t="e">
        <f ca="1"/>
        <v>#NAME?</v>
      </c>
      <c r="J55" s="110" t="e">
        <f ca="1"/>
        <v>#NAME?</v>
      </c>
      <c r="K55" s="110" t="e">
        <f ca="1"/>
        <v>#NAME?</v>
      </c>
      <c r="M55" s="19" t="s">
        <v>35</v>
      </c>
      <c r="N55" s="19">
        <v>0.59492618824044408</v>
      </c>
      <c r="O55"/>
      <c r="P55"/>
      <c r="Q55"/>
      <c r="R55"/>
      <c r="S55"/>
      <c r="T55"/>
      <c r="U55"/>
    </row>
    <row r="56" spans="1:25" s="6" customFormat="1" ht="12.75" customHeight="1">
      <c r="G56" s="110" t="e">
        <f ca="1"/>
        <v>#NAME?</v>
      </c>
      <c r="H56" s="110" t="e">
        <f ca="1"/>
        <v>#NAME?</v>
      </c>
      <c r="I56" s="110" t="e">
        <f ca="1"/>
        <v>#NAME?</v>
      </c>
      <c r="J56" s="110" t="e">
        <f ca="1"/>
        <v>#NAME?</v>
      </c>
      <c r="K56" s="110" t="e">
        <f ca="1"/>
        <v>#NAME?</v>
      </c>
      <c r="M56" s="19" t="s">
        <v>36</v>
      </c>
      <c r="N56" s="19">
        <v>0.5793464262496919</v>
      </c>
      <c r="O56"/>
      <c r="P56"/>
      <c r="Q56"/>
      <c r="R56"/>
      <c r="S56"/>
      <c r="T56"/>
      <c r="U56"/>
    </row>
    <row r="57" spans="1:25" s="6" customFormat="1" ht="12.75" customHeight="1">
      <c r="G57" s="110" t="e">
        <f ca="1"/>
        <v>#NAME?</v>
      </c>
      <c r="H57" s="110" t="e">
        <f ca="1"/>
        <v>#NAME?</v>
      </c>
      <c r="I57" s="110" t="e">
        <f ca="1"/>
        <v>#NAME?</v>
      </c>
      <c r="J57" s="110" t="e">
        <f ca="1"/>
        <v>#NAME?</v>
      </c>
      <c r="K57" s="110" t="e">
        <f ca="1"/>
        <v>#NAME?</v>
      </c>
      <c r="M57" s="19" t="s">
        <v>37</v>
      </c>
      <c r="N57" s="19">
        <v>0.40854525570008332</v>
      </c>
      <c r="O57"/>
      <c r="P57"/>
      <c r="Q57"/>
      <c r="R57"/>
      <c r="S57"/>
      <c r="T57"/>
      <c r="U57"/>
    </row>
    <row r="58" spans="1:25" s="6" customFormat="1" ht="12.75" customHeight="1" thickBot="1">
      <c r="G58" s="110" t="e">
        <f ca="1"/>
        <v>#NAME?</v>
      </c>
      <c r="H58" s="415" t="e">
        <f ca="1"/>
        <v>#NAME?</v>
      </c>
      <c r="I58" s="110" t="e">
        <f ca="1"/>
        <v>#NAME?</v>
      </c>
      <c r="J58" s="110" t="e">
        <f ca="1"/>
        <v>#NAME?</v>
      </c>
      <c r="K58" s="110" t="e">
        <f ca="1"/>
        <v>#NAME?</v>
      </c>
      <c r="M58" s="20" t="s">
        <v>38</v>
      </c>
      <c r="N58" s="20">
        <v>28</v>
      </c>
      <c r="O58"/>
      <c r="P58"/>
      <c r="Q58"/>
      <c r="R58"/>
      <c r="S58"/>
      <c r="T58"/>
      <c r="U58"/>
    </row>
    <row r="59" spans="1:25" s="6" customFormat="1" ht="12.75" customHeight="1">
      <c r="M59"/>
      <c r="N59"/>
      <c r="O59"/>
      <c r="P59"/>
      <c r="Q59"/>
      <c r="R59"/>
      <c r="S59"/>
      <c r="T59"/>
      <c r="U59"/>
    </row>
    <row r="60" spans="1:25" s="6" customFormat="1" ht="12.75" customHeight="1" thickBot="1">
      <c r="G60" s="110" t="e">
        <f t="array" aca="1" ref="G60:K67" ca="1">[3]!Regression('Ln1.3=ln1.2'!$D$28:$D$38,'Ln1.3=ln1.2'!$C$28:$C$38,TRUE)</f>
        <v>#NAME?</v>
      </c>
      <c r="H60" s="110" t="e">
        <f ca="1"/>
        <v>#NAME?</v>
      </c>
      <c r="I60" s="110" t="e">
        <f ca="1"/>
        <v>#NAME?</v>
      </c>
      <c r="J60" s="110" t="e">
        <f ca="1"/>
        <v>#NAME?</v>
      </c>
      <c r="K60" s="110" t="e">
        <f ca="1"/>
        <v>#NAME?</v>
      </c>
      <c r="M60" t="s">
        <v>39</v>
      </c>
      <c r="N60"/>
      <c r="O60"/>
      <c r="P60"/>
      <c r="Q60"/>
      <c r="R60"/>
      <c r="S60"/>
      <c r="T60"/>
      <c r="U60"/>
    </row>
    <row r="61" spans="1:25" s="6" customFormat="1" ht="12.75" customHeight="1">
      <c r="G61" s="110" t="e">
        <f ca="1"/>
        <v>#NAME?</v>
      </c>
      <c r="H61" s="110" t="e">
        <f ca="1"/>
        <v>#NAME?</v>
      </c>
      <c r="I61" s="110" t="e">
        <f ca="1"/>
        <v>#NAME?</v>
      </c>
      <c r="J61" s="110" t="e">
        <f ca="1"/>
        <v>#NAME?</v>
      </c>
      <c r="K61" s="110" t="e">
        <f ca="1"/>
        <v>#NAME?</v>
      </c>
      <c r="M61" s="21"/>
      <c r="N61" s="21" t="s">
        <v>43</v>
      </c>
      <c r="O61" s="21" t="s">
        <v>44</v>
      </c>
      <c r="P61" s="21" t="s">
        <v>45</v>
      </c>
      <c r="Q61" s="21" t="s">
        <v>46</v>
      </c>
      <c r="R61" s="21" t="s">
        <v>47</v>
      </c>
      <c r="S61"/>
      <c r="T61"/>
      <c r="U61"/>
    </row>
    <row r="62" spans="1:25" s="6" customFormat="1" ht="12.75" customHeight="1">
      <c r="G62" s="110" t="e">
        <f ca="1"/>
        <v>#NAME?</v>
      </c>
      <c r="H62" s="110" t="e">
        <f ca="1"/>
        <v>#NAME?</v>
      </c>
      <c r="I62" s="110" t="e">
        <f ca="1"/>
        <v>#NAME?</v>
      </c>
      <c r="J62" s="110" t="e">
        <f ca="1"/>
        <v>#NAME?</v>
      </c>
      <c r="K62" s="110" t="e">
        <f ca="1"/>
        <v>#NAME?</v>
      </c>
      <c r="M62" s="19" t="s">
        <v>40</v>
      </c>
      <c r="N62" s="19">
        <v>1</v>
      </c>
      <c r="O62" s="19">
        <v>6.3735678143568926</v>
      </c>
      <c r="P62" s="19">
        <v>6.3735678143568926</v>
      </c>
      <c r="Q62" s="19">
        <v>38.185832915392467</v>
      </c>
      <c r="R62" s="482">
        <v>1.5522700677653003E-6</v>
      </c>
      <c r="S62"/>
      <c r="T62"/>
      <c r="U62"/>
    </row>
    <row r="63" spans="1:25" s="6" customFormat="1" ht="12.75" customHeight="1">
      <c r="G63" s="110" t="e">
        <f ca="1"/>
        <v>#NAME?</v>
      </c>
      <c r="H63" s="110" t="e">
        <f ca="1"/>
        <v>#NAME?</v>
      </c>
      <c r="I63" s="110" t="e">
        <f ca="1"/>
        <v>#NAME?</v>
      </c>
      <c r="J63" s="110" t="e">
        <f ca="1"/>
        <v>#NAME?</v>
      </c>
      <c r="K63" s="110" t="e">
        <f ca="1"/>
        <v>#NAME?</v>
      </c>
      <c r="M63" s="19" t="s">
        <v>41</v>
      </c>
      <c r="N63" s="19">
        <v>26</v>
      </c>
      <c r="O63" s="19">
        <v>4.3396398748312084</v>
      </c>
      <c r="P63" s="19">
        <v>0.16690922595504648</v>
      </c>
      <c r="Q63" s="19"/>
      <c r="R63" s="19"/>
      <c r="S63"/>
      <c r="T63"/>
      <c r="U63"/>
    </row>
    <row r="64" spans="1:25" ht="13.8" thickBot="1">
      <c r="G64" s="249" t="e">
        <f ca="1"/>
        <v>#NAME?</v>
      </c>
      <c r="H64" s="249" t="e">
        <f ca="1"/>
        <v>#NAME?</v>
      </c>
      <c r="I64" s="249" t="e">
        <f ca="1"/>
        <v>#NAME?</v>
      </c>
      <c r="J64" s="249" t="e">
        <f ca="1"/>
        <v>#NAME?</v>
      </c>
      <c r="K64" s="249" t="e">
        <f ca="1"/>
        <v>#NAME?</v>
      </c>
      <c r="M64" s="20" t="s">
        <v>0</v>
      </c>
      <c r="N64" s="20">
        <v>27</v>
      </c>
      <c r="O64" s="20">
        <v>10.713207689188101</v>
      </c>
      <c r="P64" s="20"/>
      <c r="Q64" s="20"/>
      <c r="R64" s="20"/>
    </row>
    <row r="65" spans="7:21" ht="13.8" thickBot="1">
      <c r="G65" s="249" t="e">
        <f ca="1"/>
        <v>#NAME?</v>
      </c>
      <c r="H65" s="249" t="e">
        <f ca="1"/>
        <v>#NAME?</v>
      </c>
      <c r="I65" s="249" t="e">
        <f ca="1"/>
        <v>#NAME?</v>
      </c>
      <c r="J65" s="249" t="e">
        <f ca="1"/>
        <v>#NAME?</v>
      </c>
      <c r="K65" s="249" t="e">
        <f ca="1"/>
        <v>#NAME?</v>
      </c>
    </row>
    <row r="66" spans="7:21">
      <c r="G66" s="249" t="e">
        <f ca="1"/>
        <v>#NAME?</v>
      </c>
      <c r="H66" s="249" t="e">
        <f ca="1"/>
        <v>#NAME?</v>
      </c>
      <c r="I66" s="249" t="e">
        <f ca="1"/>
        <v>#NAME?</v>
      </c>
      <c r="J66" s="249" t="e">
        <f ca="1"/>
        <v>#NAME?</v>
      </c>
      <c r="K66" s="249" t="e">
        <f ca="1"/>
        <v>#NAME?</v>
      </c>
      <c r="M66" s="21"/>
      <c r="N66" s="21" t="s">
        <v>48</v>
      </c>
      <c r="O66" s="21" t="s">
        <v>37</v>
      </c>
      <c r="P66" s="21" t="s">
        <v>49</v>
      </c>
      <c r="Q66" s="21" t="s">
        <v>50</v>
      </c>
      <c r="R66" s="21" t="s">
        <v>51</v>
      </c>
      <c r="S66" s="21" t="s">
        <v>52</v>
      </c>
      <c r="T66" s="21" t="s">
        <v>205</v>
      </c>
      <c r="U66" s="21" t="s">
        <v>206</v>
      </c>
    </row>
    <row r="67" spans="7:21">
      <c r="G67" s="249" t="e">
        <f ca="1"/>
        <v>#NAME?</v>
      </c>
      <c r="H67" s="249" t="e">
        <f ca="1"/>
        <v>#NAME?</v>
      </c>
      <c r="I67" s="249" t="e">
        <f ca="1"/>
        <v>#NAME?</v>
      </c>
      <c r="J67" s="249" t="e">
        <f ca="1"/>
        <v>#NAME?</v>
      </c>
      <c r="K67" s="249" t="e">
        <f ca="1"/>
        <v>#NAME?</v>
      </c>
      <c r="M67" s="19" t="s">
        <v>42</v>
      </c>
      <c r="N67" s="19">
        <v>4.7054093396301182</v>
      </c>
      <c r="O67" s="19">
        <v>0.90539872683425981</v>
      </c>
      <c r="P67" s="19">
        <v>5.1970576058601852</v>
      </c>
      <c r="Q67" s="19">
        <v>1.9992525332174413E-5</v>
      </c>
      <c r="R67" s="19">
        <v>2.8443356211673358</v>
      </c>
      <c r="S67" s="19">
        <v>6.566483058092901</v>
      </c>
      <c r="T67" s="19">
        <v>2.8443356211673358</v>
      </c>
      <c r="U67" s="19">
        <v>6.566483058092901</v>
      </c>
    </row>
    <row r="68" spans="7:21" ht="13.8" thickBot="1">
      <c r="M68" s="20" t="s">
        <v>53</v>
      </c>
      <c r="N68" s="20">
        <v>0.67706433574989211</v>
      </c>
      <c r="O68" s="20">
        <v>0.10956675614729146</v>
      </c>
      <c r="P68" s="20">
        <v>6.1794686596334856</v>
      </c>
      <c r="Q68" s="20">
        <v>1.5522700677652997E-6</v>
      </c>
      <c r="R68" s="20">
        <v>0.45184664520163464</v>
      </c>
      <c r="S68" s="20">
        <v>0.90228202629814958</v>
      </c>
      <c r="T68" s="20">
        <v>0.45184664520163464</v>
      </c>
      <c r="U68" s="20">
        <v>0.90228202629814958</v>
      </c>
    </row>
    <row r="72" spans="7:21">
      <c r="M72" t="s">
        <v>32</v>
      </c>
    </row>
    <row r="73" spans="7:21" ht="13.8" thickBot="1"/>
    <row r="74" spans="7:21">
      <c r="M74" s="22" t="s">
        <v>33</v>
      </c>
      <c r="N74" s="22"/>
    </row>
    <row r="75" spans="7:21">
      <c r="M75" s="19" t="s">
        <v>34</v>
      </c>
      <c r="N75" s="19">
        <v>0.13466342074568752</v>
      </c>
    </row>
    <row r="76" spans="7:21">
      <c r="M76" s="19" t="s">
        <v>35</v>
      </c>
      <c r="N76" s="19">
        <v>1.8134236886930062E-2</v>
      </c>
    </row>
    <row r="77" spans="7:21">
      <c r="M77" s="19" t="s">
        <v>36</v>
      </c>
      <c r="N77" s="19">
        <v>-9.0961959014522156E-2</v>
      </c>
    </row>
    <row r="78" spans="7:21">
      <c r="M78" s="19" t="s">
        <v>37</v>
      </c>
      <c r="N78" s="19">
        <v>0.33484442680164456</v>
      </c>
    </row>
    <row r="79" spans="7:21" ht="13.8" thickBot="1">
      <c r="M79" s="20" t="s">
        <v>38</v>
      </c>
      <c r="N79" s="20">
        <v>11</v>
      </c>
    </row>
    <row r="81" spans="13:21" ht="13.8" thickBot="1">
      <c r="M81" t="s">
        <v>39</v>
      </c>
    </row>
    <row r="82" spans="13:21">
      <c r="M82" s="21"/>
      <c r="N82" s="21" t="s">
        <v>43</v>
      </c>
      <c r="O82" s="21" t="s">
        <v>44</v>
      </c>
      <c r="P82" s="21" t="s">
        <v>45</v>
      </c>
      <c r="Q82" s="21" t="s">
        <v>46</v>
      </c>
      <c r="R82" s="21" t="s">
        <v>47</v>
      </c>
    </row>
    <row r="83" spans="13:21">
      <c r="M83" s="19" t="s">
        <v>40</v>
      </c>
      <c r="N83" s="19">
        <v>1</v>
      </c>
      <c r="O83" s="19">
        <v>1.8636992352602855E-2</v>
      </c>
      <c r="P83" s="19">
        <v>1.8636992352602855E-2</v>
      </c>
      <c r="Q83" s="19">
        <v>0.1662224492530511</v>
      </c>
      <c r="R83" s="19">
        <v>0.69301883780967932</v>
      </c>
    </row>
    <row r="84" spans="13:21">
      <c r="M84" s="19" t="s">
        <v>41</v>
      </c>
      <c r="N84" s="19">
        <v>9</v>
      </c>
      <c r="O84" s="19">
        <v>1.0090871114410971</v>
      </c>
      <c r="P84" s="19">
        <v>0.1121207901601219</v>
      </c>
      <c r="Q84" s="19"/>
      <c r="R84" s="19"/>
    </row>
    <row r="85" spans="13:21" ht="13.8" thickBot="1">
      <c r="M85" s="20" t="s">
        <v>0</v>
      </c>
      <c r="N85" s="20">
        <v>10</v>
      </c>
      <c r="O85" s="20">
        <v>1.0277241037936999</v>
      </c>
      <c r="P85" s="20"/>
      <c r="Q85" s="20"/>
      <c r="R85" s="20"/>
    </row>
    <row r="86" spans="13:21" ht="13.8" thickBot="1"/>
    <row r="87" spans="13:21">
      <c r="M87" s="21"/>
      <c r="N87" s="21" t="s">
        <v>48</v>
      </c>
      <c r="O87" s="21" t="s">
        <v>37</v>
      </c>
      <c r="P87" s="21" t="s">
        <v>49</v>
      </c>
      <c r="Q87" s="21" t="s">
        <v>50</v>
      </c>
      <c r="R87" s="21" t="s">
        <v>51</v>
      </c>
      <c r="S87" s="21" t="s">
        <v>52</v>
      </c>
      <c r="T87" s="21" t="s">
        <v>205</v>
      </c>
      <c r="U87" s="21" t="s">
        <v>206</v>
      </c>
    </row>
    <row r="88" spans="13:21">
      <c r="M88" s="19" t="s">
        <v>42</v>
      </c>
      <c r="N88" s="19">
        <v>9.7297109440361158</v>
      </c>
      <c r="O88" s="19">
        <v>2.3482046863386024</v>
      </c>
      <c r="P88" s="19">
        <v>4.143467986688588</v>
      </c>
      <c r="Q88" s="19">
        <v>2.5086512971118427E-3</v>
      </c>
      <c r="R88" s="19">
        <v>4.4177029039784932</v>
      </c>
      <c r="S88" s="19">
        <v>15.041718984093738</v>
      </c>
      <c r="T88" s="19">
        <v>4.4177029039784932</v>
      </c>
      <c r="U88" s="19">
        <v>15.041718984093738</v>
      </c>
    </row>
    <row r="89" spans="13:21" ht="13.8" thickBot="1">
      <c r="M89" s="20" t="s">
        <v>53</v>
      </c>
      <c r="N89" s="20">
        <v>0.10795379158852174</v>
      </c>
      <c r="O89" s="20">
        <v>0.26478480669435805</v>
      </c>
      <c r="P89" s="20">
        <v>0.40770387446411582</v>
      </c>
      <c r="Q89" s="20">
        <v>0.69301883780967932</v>
      </c>
      <c r="R89" s="20">
        <v>-0.49103105425072874</v>
      </c>
      <c r="S89" s="20">
        <v>0.70693863742777219</v>
      </c>
      <c r="T89" s="20">
        <v>-0.49103105425072874</v>
      </c>
      <c r="U89" s="20">
        <v>0.70693863742777219</v>
      </c>
    </row>
    <row r="93" spans="13:21">
      <c r="M93" t="s">
        <v>207</v>
      </c>
    </row>
    <row r="94" spans="13:21" ht="13.8" thickBot="1"/>
    <row r="95" spans="13:21">
      <c r="M95" s="21" t="s">
        <v>208</v>
      </c>
      <c r="N95" s="21" t="s">
        <v>209</v>
      </c>
      <c r="O95" s="21" t="s">
        <v>210</v>
      </c>
    </row>
    <row r="96" spans="13:21">
      <c r="M96" s="19">
        <v>1</v>
      </c>
      <c r="N96" s="19">
        <v>10.670768786143656</v>
      </c>
      <c r="O96" s="19">
        <v>0.1450632360348294</v>
      </c>
    </row>
    <row r="97" spans="13:15">
      <c r="M97" s="19">
        <v>2</v>
      </c>
      <c r="N97" s="19">
        <v>10.715439807580836</v>
      </c>
      <c r="O97" s="19">
        <v>8.4673229952144879E-2</v>
      </c>
    </row>
    <row r="98" spans="13:15">
      <c r="M98" s="19">
        <v>3</v>
      </c>
      <c r="N98" s="19">
        <v>10.631038148183023</v>
      </c>
      <c r="O98" s="19">
        <v>0.23309337368378458</v>
      </c>
    </row>
    <row r="99" spans="13:15">
      <c r="M99" s="19">
        <v>4</v>
      </c>
      <c r="N99" s="19">
        <v>10.720626896951931</v>
      </c>
      <c r="O99" s="19">
        <v>-1.2570179909324963E-2</v>
      </c>
    </row>
    <row r="100" spans="13:15">
      <c r="M100" s="19">
        <v>5</v>
      </c>
      <c r="N100" s="19">
        <v>10.715818553851618</v>
      </c>
      <c r="O100" s="19">
        <v>0.27871212034380299</v>
      </c>
    </row>
    <row r="101" spans="13:15">
      <c r="M101" s="19">
        <v>6</v>
      </c>
      <c r="N101" s="19">
        <v>10.659889951169909</v>
      </c>
      <c r="O101" s="19">
        <v>-5.405635001928033E-2</v>
      </c>
    </row>
    <row r="102" spans="13:15">
      <c r="M102" s="19">
        <v>7</v>
      </c>
      <c r="N102" s="19">
        <v>10.6491247731547</v>
      </c>
      <c r="O102" s="19">
        <v>-0.11129249099641925</v>
      </c>
    </row>
    <row r="103" spans="13:15">
      <c r="M103" s="19">
        <v>8</v>
      </c>
      <c r="N103" s="19">
        <v>10.637874972935327</v>
      </c>
      <c r="O103" s="19">
        <v>0.37847838077141738</v>
      </c>
    </row>
    <row r="104" spans="13:15">
      <c r="M104" s="19">
        <v>9</v>
      </c>
      <c r="N104" s="19">
        <v>10.774038920107301</v>
      </c>
      <c r="O104" s="19">
        <v>0.15556037374963338</v>
      </c>
    </row>
    <row r="105" spans="13:15">
      <c r="M105" s="19">
        <v>10</v>
      </c>
      <c r="N105" s="19">
        <v>10.699429945340402</v>
      </c>
      <c r="O105" s="19">
        <v>-0.37061802756273465</v>
      </c>
    </row>
    <row r="106" spans="13:15" ht="13.8" thickBot="1">
      <c r="M106" s="20">
        <v>11</v>
      </c>
      <c r="N106" s="20">
        <v>10.674125351393169</v>
      </c>
      <c r="O106" s="20">
        <v>-0.72704366604786941</v>
      </c>
    </row>
  </sheetData>
  <sortState ref="A11:AF43">
    <sortCondition ref="B11"/>
  </sortState>
  <phoneticPr fontId="52" type="noConversion"/>
  <pageMargins left="0.75" right="0.75" top="1" bottom="1" header="0.5" footer="0.5"/>
  <headerFooter alignWithMargins="0"/>
  <drawing r:id="rId1"/>
  <legacyDrawing r:id="rId2"/>
  <controls>
    <mc:AlternateContent xmlns:mc="http://schemas.openxmlformats.org/markup-compatibility/2006">
      <mc:Choice Requires="x14">
        <control shapeId="6146" r:id="rId3" name="CommandButton1">
          <controlPr defaultSize="0" autoLine="0" autoPict="0" r:id="rId4">
            <anchor moveWithCells="1">
              <from>
                <xdr:col>13</xdr:col>
                <xdr:colOff>30480</xdr:colOff>
                <xdr:row>1</xdr:row>
                <xdr:rowOff>30480</xdr:rowOff>
              </from>
              <to>
                <xdr:col>16</xdr:col>
                <xdr:colOff>297180</xdr:colOff>
                <xdr:row>5</xdr:row>
                <xdr:rowOff>30480</xdr:rowOff>
              </to>
            </anchor>
          </controlPr>
        </control>
      </mc:Choice>
      <mc:Fallback>
        <control shapeId="6146" r:id="rId3"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F90"/>
  <sheetViews>
    <sheetView topLeftCell="V1" workbookViewId="0">
      <pane ySplit="9" topLeftCell="A10" activePane="bottomLeft" state="frozen"/>
      <selection pane="bottomLeft" activeCell="AF27" sqref="AF27"/>
    </sheetView>
  </sheetViews>
  <sheetFormatPr defaultRowHeight="13.2"/>
  <cols>
    <col min="1" max="1" width="9.44140625" bestFit="1" customWidth="1"/>
    <col min="2" max="2" width="11" customWidth="1"/>
    <col min="3" max="3" width="14" customWidth="1"/>
    <col min="4" max="4" width="13.6640625" customWidth="1"/>
    <col min="5" max="5" width="5.44140625" customWidth="1"/>
    <col min="6" max="6" width="6.44140625" customWidth="1"/>
    <col min="7" max="7" width="11.44140625" customWidth="1"/>
    <col min="8" max="8" width="12" customWidth="1"/>
    <col min="9" max="9" width="10.44140625" customWidth="1"/>
    <col min="10" max="10" width="9.44140625" bestFit="1" customWidth="1"/>
    <col min="11" max="11" width="9.6640625" bestFit="1" customWidth="1"/>
    <col min="12" max="12" width="9.44140625" bestFit="1" customWidth="1"/>
    <col min="13" max="13" width="14.77734375" customWidth="1"/>
    <col min="14" max="14" width="13.44140625" customWidth="1"/>
    <col min="15" max="15" width="13.33203125" customWidth="1"/>
    <col min="16" max="16" width="16" customWidth="1"/>
    <col min="17" max="17" width="13.6640625" customWidth="1"/>
    <col min="18" max="18" width="18.6640625" customWidth="1"/>
    <col min="19" max="19" width="16.44140625" customWidth="1"/>
    <col min="20" max="20" width="18.6640625" customWidth="1"/>
    <col min="21" max="21" width="14.109375" customWidth="1"/>
    <col min="22" max="22" width="10.109375" customWidth="1"/>
    <col min="23" max="23" width="13.6640625" customWidth="1"/>
    <col min="24" max="24" width="12.44140625" customWidth="1"/>
    <col min="25" max="25" width="14.44140625" customWidth="1"/>
    <col min="27" max="27" width="12.77734375" customWidth="1"/>
    <col min="29" max="29" width="14.109375" customWidth="1"/>
    <col min="30" max="30" width="10" customWidth="1"/>
    <col min="31" max="31" width="13.6640625" customWidth="1"/>
    <col min="32" max="32" width="11.77734375" customWidth="1"/>
  </cols>
  <sheetData>
    <row r="1" spans="1:32" s="6" customFormat="1" ht="24.75" customHeight="1">
      <c r="A1" s="250" t="s">
        <v>174</v>
      </c>
    </row>
    <row r="2" spans="1:32" s="6" customFormat="1" ht="12.75" customHeight="1">
      <c r="G2" s="110" t="s">
        <v>93</v>
      </c>
      <c r="H2" s="6" t="s">
        <v>94</v>
      </c>
    </row>
    <row r="3" spans="1:32" s="6" customFormat="1" ht="12.75" customHeight="1">
      <c r="G3" s="110" t="s">
        <v>95</v>
      </c>
      <c r="H3" s="6" t="s">
        <v>96</v>
      </c>
    </row>
    <row r="4" spans="1:32" s="6" customFormat="1" ht="12.75" customHeight="1">
      <c r="G4" s="111" t="s">
        <v>92</v>
      </c>
      <c r="H4" s="6">
        <v>5</v>
      </c>
    </row>
    <row r="5" spans="1:32" s="6" customFormat="1" ht="12.75" customHeight="1"/>
    <row r="6" spans="1:32" s="6" customFormat="1" ht="12.75" customHeight="1"/>
    <row r="7" spans="1:32" s="6" customFormat="1" ht="12.75" customHeight="1">
      <c r="A7" s="112"/>
      <c r="B7" s="112"/>
      <c r="C7" s="113" t="s">
        <v>64</v>
      </c>
      <c r="D7" s="114"/>
      <c r="E7" s="113"/>
      <c r="F7" s="115"/>
      <c r="G7" s="116"/>
      <c r="H7" s="115" t="s">
        <v>65</v>
      </c>
      <c r="I7" s="115"/>
      <c r="J7" s="115"/>
      <c r="K7" s="115"/>
      <c r="L7" s="115"/>
      <c r="M7" s="117"/>
      <c r="N7" s="113" t="s">
        <v>66</v>
      </c>
      <c r="O7" s="115"/>
      <c r="P7" s="115"/>
      <c r="Q7" s="115"/>
      <c r="R7" s="114"/>
      <c r="S7" s="113" t="s">
        <v>178</v>
      </c>
      <c r="T7" s="115"/>
      <c r="U7" s="115"/>
      <c r="V7" s="115"/>
      <c r="W7" s="114"/>
      <c r="X7" s="118" t="s">
        <v>67</v>
      </c>
      <c r="Y7" s="118" t="s">
        <v>339</v>
      </c>
      <c r="Z7" s="119" t="s">
        <v>68</v>
      </c>
      <c r="AA7" s="119" t="s">
        <v>69</v>
      </c>
      <c r="AB7" s="119" t="s">
        <v>70</v>
      </c>
      <c r="AC7" s="119" t="s">
        <v>71</v>
      </c>
      <c r="AD7" s="90" t="s">
        <v>72</v>
      </c>
      <c r="AE7" s="91"/>
    </row>
    <row r="8" spans="1:32" s="6" customFormat="1" ht="12.75" customHeight="1">
      <c r="A8" s="120" t="s">
        <v>27</v>
      </c>
      <c r="B8" s="120" t="s">
        <v>28</v>
      </c>
      <c r="C8" s="118" t="s">
        <v>73</v>
      </c>
      <c r="D8" s="118" t="s">
        <v>74</v>
      </c>
      <c r="E8" s="112"/>
      <c r="F8" s="112"/>
      <c r="G8" s="122"/>
      <c r="H8" s="112"/>
      <c r="I8" s="118" t="s">
        <v>75</v>
      </c>
      <c r="J8" s="118" t="s">
        <v>76</v>
      </c>
      <c r="K8" s="118" t="s">
        <v>75</v>
      </c>
      <c r="L8" s="112"/>
      <c r="M8" s="123" t="s">
        <v>77</v>
      </c>
      <c r="N8" s="112"/>
      <c r="O8" s="112"/>
      <c r="P8" s="118" t="s">
        <v>78</v>
      </c>
      <c r="Q8" s="118" t="s">
        <v>79</v>
      </c>
      <c r="R8" s="118" t="s">
        <v>80</v>
      </c>
      <c r="S8" s="112"/>
      <c r="T8" s="112"/>
      <c r="U8" s="118" t="s">
        <v>78</v>
      </c>
      <c r="V8" s="118" t="s">
        <v>79</v>
      </c>
      <c r="W8" s="118" t="s">
        <v>80</v>
      </c>
      <c r="X8" s="120" t="s">
        <v>81</v>
      </c>
      <c r="Y8" s="120" t="s">
        <v>340</v>
      </c>
      <c r="Z8" s="121"/>
      <c r="AA8" s="118" t="s">
        <v>82</v>
      </c>
      <c r="AB8" s="118" t="s">
        <v>83</v>
      </c>
      <c r="AC8" s="118" t="s">
        <v>28</v>
      </c>
      <c r="AD8" s="119" t="s">
        <v>84</v>
      </c>
      <c r="AE8" s="119" t="s">
        <v>85</v>
      </c>
    </row>
    <row r="9" spans="1:32" s="6" customFormat="1" ht="14.25" customHeight="1">
      <c r="A9" s="124" t="s">
        <v>12</v>
      </c>
      <c r="B9" s="124" t="s">
        <v>12</v>
      </c>
      <c r="C9" s="126" t="s">
        <v>68</v>
      </c>
      <c r="D9" s="127" t="s">
        <v>154</v>
      </c>
      <c r="E9" s="124" t="s">
        <v>31</v>
      </c>
      <c r="F9" s="124" t="s">
        <v>86</v>
      </c>
      <c r="G9" s="127" t="s">
        <v>87</v>
      </c>
      <c r="H9" s="128" t="s">
        <v>88</v>
      </c>
      <c r="I9" s="129" t="s">
        <v>88</v>
      </c>
      <c r="J9" s="127" t="s">
        <v>155</v>
      </c>
      <c r="K9" s="124" t="s">
        <v>76</v>
      </c>
      <c r="L9" s="124" t="s">
        <v>156</v>
      </c>
      <c r="M9" s="130" t="s">
        <v>89</v>
      </c>
      <c r="N9" s="124" t="s">
        <v>157</v>
      </c>
      <c r="O9" s="130" t="s">
        <v>158</v>
      </c>
      <c r="P9" s="127" t="s">
        <v>155</v>
      </c>
      <c r="Q9" s="124" t="s">
        <v>159</v>
      </c>
      <c r="R9" s="124" t="s">
        <v>159</v>
      </c>
      <c r="S9" s="124" t="s">
        <v>157</v>
      </c>
      <c r="T9" s="130" t="s">
        <v>158</v>
      </c>
      <c r="U9" s="127" t="s">
        <v>155</v>
      </c>
      <c r="V9" s="124" t="s">
        <v>159</v>
      </c>
      <c r="W9" s="124" t="s">
        <v>159</v>
      </c>
      <c r="X9" s="131" t="s">
        <v>160</v>
      </c>
      <c r="Y9" s="131" t="s">
        <v>341</v>
      </c>
      <c r="Z9" s="124" t="s">
        <v>110</v>
      </c>
      <c r="AA9" s="124" t="s">
        <v>90</v>
      </c>
      <c r="AB9" s="124" t="s">
        <v>90</v>
      </c>
      <c r="AC9" s="124" t="s">
        <v>12</v>
      </c>
      <c r="AD9" s="119" t="s">
        <v>79</v>
      </c>
      <c r="AE9" s="119" t="s">
        <v>80</v>
      </c>
      <c r="AF9" s="119" t="s">
        <v>91</v>
      </c>
    </row>
    <row r="10" spans="1:32" s="6" customFormat="1" ht="12.75" customHeight="1">
      <c r="A10" s="134"/>
      <c r="B10" s="109"/>
      <c r="C10" s="132"/>
      <c r="D10" s="133"/>
      <c r="E10" s="134"/>
      <c r="F10" s="134"/>
      <c r="G10" s="133"/>
      <c r="H10" s="135"/>
      <c r="I10" s="136"/>
      <c r="J10" s="133"/>
      <c r="K10" s="134"/>
      <c r="L10" s="134"/>
      <c r="M10" s="137"/>
      <c r="N10" s="134"/>
      <c r="O10" s="137"/>
      <c r="P10" s="133"/>
      <c r="Q10" s="134"/>
      <c r="R10" s="134"/>
      <c r="S10" s="134"/>
      <c r="T10" s="137"/>
      <c r="U10" s="133"/>
      <c r="V10" s="134"/>
      <c r="W10" s="134"/>
      <c r="X10" s="138"/>
      <c r="Y10" s="138"/>
      <c r="Z10" s="134"/>
      <c r="AA10" s="134"/>
      <c r="AB10" s="134"/>
      <c r="AC10" s="134"/>
      <c r="AD10" s="134"/>
      <c r="AE10" s="134"/>
      <c r="AF10" s="134"/>
    </row>
    <row r="11" spans="1:32" s="6" customFormat="1" ht="12.75" customHeight="1">
      <c r="A11" s="134">
        <v>1994</v>
      </c>
      <c r="B11" s="451">
        <f t="shared" ref="B11:B26" si="0">A11+$H$4</f>
        <v>1999</v>
      </c>
      <c r="C11" s="67">
        <f>VLOOKUP($A11,FBrood!$A$8:$M$50,4)</f>
        <v>8.7240094787744606</v>
      </c>
      <c r="D11" s="67">
        <f>VLOOKUP($A11,FBrood!$A$8:$M$50,8)</f>
        <v>10.927145676643779</v>
      </c>
      <c r="E11" s="448">
        <v>14</v>
      </c>
      <c r="F11" s="449">
        <v>12</v>
      </c>
      <c r="G11" s="139">
        <v>4.7568817409587965</v>
      </c>
      <c r="H11" s="139">
        <v>0.67805218538738155</v>
      </c>
      <c r="I11" s="139">
        <v>0.26304093765003961</v>
      </c>
      <c r="J11" s="139">
        <v>10.67221543338205</v>
      </c>
      <c r="K11" s="139">
        <v>0.29192005025327195</v>
      </c>
      <c r="L11" s="139">
        <v>0.35638766542752925</v>
      </c>
      <c r="M11" s="139">
        <v>9.6286944763871091E-2</v>
      </c>
      <c r="N11" s="462">
        <f t="shared" ref="N11:N25" si="1">D11-J11</f>
        <v>0.25493024326172886</v>
      </c>
      <c r="O11" s="68">
        <f t="shared" ref="O11:O25" si="2">N11^2</f>
        <v>6.4989428929484255E-2</v>
      </c>
      <c r="P11" s="463">
        <f t="shared" ref="P11:P25" si="3">J11</f>
        <v>10.67221543338205</v>
      </c>
      <c r="Q11" s="25">
        <f t="shared" ref="Q11:Q26" si="4">$P11-SQRT($O$31)*$Q$31</f>
        <v>7.3641702470914936</v>
      </c>
      <c r="R11" s="25">
        <f t="shared" ref="R11:R26" si="5">$P11+SQRT($O$31)*$Q$31</f>
        <v>13.980260619672606</v>
      </c>
      <c r="S11" s="70">
        <f t="shared" ref="S11:S25" si="6">EXP(D11)-U11</f>
        <v>12526.75023830877</v>
      </c>
      <c r="T11" s="25">
        <f t="shared" ref="T11:T25" si="7">S11^2</f>
        <v>156919471.53296885</v>
      </c>
      <c r="U11" s="70">
        <f t="shared" ref="U11:U25" si="8">EXP(P11)</f>
        <v>43140.410411706463</v>
      </c>
      <c r="V11" s="71">
        <f t="shared" ref="V11:V25" si="9">EXP(Q11)</f>
        <v>1578.4051967060209</v>
      </c>
      <c r="W11" s="71">
        <f t="shared" ref="W11:W25" si="10">EXP(R11)</f>
        <v>1179098.3800448684</v>
      </c>
      <c r="X11" s="72">
        <f t="shared" ref="X11:X25" si="11">(+U11-EXP(D11))/(EXP(D11))</f>
        <v>-0.2250294445061721</v>
      </c>
      <c r="Y11" s="72">
        <f t="shared" ref="Y11:Y25" si="12">ABS(X11)</f>
        <v>0.2250294445061721</v>
      </c>
      <c r="Z11" s="73">
        <f t="shared" ref="Z11:Z25" si="13">C11</f>
        <v>8.7240094787744606</v>
      </c>
      <c r="AA11" s="74">
        <f t="shared" ref="AA11:AA26" si="14">(+$G$28+$H$28*C11)</f>
        <v>10.689748598920275</v>
      </c>
      <c r="AB11" s="73">
        <f t="shared" ref="AB11:AB25" si="15">D11</f>
        <v>10.927145676643779</v>
      </c>
      <c r="AC11" s="476" t="str">
        <f t="shared" ref="AC11:AC25" si="16">RIGHT(B11,2)</f>
        <v>99</v>
      </c>
      <c r="AD11" s="84">
        <f t="shared" ref="AD11:AD26" si="17">AA11-SQRT($O$30)*$Q$30</f>
        <v>10.26878656231569</v>
      </c>
      <c r="AE11" s="85">
        <f t="shared" ref="AE11:AE26" si="18">AA11+SQRT($O$30)*$Q$30</f>
        <v>11.11071063552486</v>
      </c>
      <c r="AF11" s="469">
        <f t="shared" ref="AF11:AF26" si="19">AB11+SQRT($O$30)*$Q$30</f>
        <v>11.348107713248364</v>
      </c>
    </row>
    <row r="12" spans="1:32" s="6" customFormat="1" ht="12.75" customHeight="1">
      <c r="A12" s="134">
        <v>1995</v>
      </c>
      <c r="B12" s="451">
        <f t="shared" si="0"/>
        <v>2000</v>
      </c>
      <c r="C12" s="67">
        <f>VLOOKUP($A12,FBrood!$A$8:$M$50,4)</f>
        <v>9.2605604038339493</v>
      </c>
      <c r="D12" s="67">
        <f>VLOOKUP($A12,FBrood!$A$8:$M$50,8)</f>
        <v>10.78923861340083</v>
      </c>
      <c r="E12" s="448">
        <v>14</v>
      </c>
      <c r="F12" s="449">
        <v>12</v>
      </c>
      <c r="G12" s="139">
        <v>3.0048960179065736</v>
      </c>
      <c r="H12" s="139">
        <v>0.88519168260195824</v>
      </c>
      <c r="I12" s="139">
        <v>0.30603634167417715</v>
      </c>
      <c r="J12" s="139">
        <v>11.202267063613416</v>
      </c>
      <c r="K12" s="139">
        <v>0.28454942004053946</v>
      </c>
      <c r="L12" s="139">
        <v>0.41078868785915362</v>
      </c>
      <c r="M12" s="139">
        <v>8.8615595327224558E-2</v>
      </c>
      <c r="N12" s="462">
        <f t="shared" si="1"/>
        <v>-0.41302845021258605</v>
      </c>
      <c r="O12" s="68">
        <f t="shared" si="2"/>
        <v>0.17059250068501067</v>
      </c>
      <c r="P12" s="463">
        <f t="shared" si="3"/>
        <v>11.202267063613416</v>
      </c>
      <c r="Q12" s="25">
        <f t="shared" si="4"/>
        <v>7.8942218773228596</v>
      </c>
      <c r="R12" s="25">
        <f t="shared" si="5"/>
        <v>14.510312249903972</v>
      </c>
      <c r="S12" s="70">
        <f t="shared" si="6"/>
        <v>-24800.323592960543</v>
      </c>
      <c r="T12" s="25">
        <f t="shared" si="7"/>
        <v>615056050.31555533</v>
      </c>
      <c r="U12" s="70">
        <f t="shared" si="8"/>
        <v>73296.421269009894</v>
      </c>
      <c r="V12" s="71">
        <f t="shared" si="9"/>
        <v>2681.7420401630025</v>
      </c>
      <c r="W12" s="71">
        <f t="shared" si="10"/>
        <v>2003311.7616777266</v>
      </c>
      <c r="X12" s="72">
        <f t="shared" si="11"/>
        <v>0.51138802463293076</v>
      </c>
      <c r="Y12" s="72">
        <f t="shared" si="12"/>
        <v>0.51138802463293076</v>
      </c>
      <c r="Z12" s="73">
        <f t="shared" si="13"/>
        <v>9.2605604038339493</v>
      </c>
      <c r="AA12" s="74">
        <f t="shared" si="14"/>
        <v>11.059212786487141</v>
      </c>
      <c r="AB12" s="73">
        <f t="shared" si="15"/>
        <v>10.78923861340083</v>
      </c>
      <c r="AC12" s="476" t="str">
        <f t="shared" si="16"/>
        <v>00</v>
      </c>
      <c r="AD12" s="84">
        <f t="shared" si="17"/>
        <v>10.638250749882555</v>
      </c>
      <c r="AE12" s="85">
        <f t="shared" si="18"/>
        <v>11.480174823091726</v>
      </c>
      <c r="AF12" s="469">
        <f t="shared" si="19"/>
        <v>11.210200650005415</v>
      </c>
    </row>
    <row r="13" spans="1:32" s="6" customFormat="1" ht="12.75" customHeight="1">
      <c r="A13" s="134">
        <v>1996</v>
      </c>
      <c r="B13" s="451">
        <f t="shared" si="0"/>
        <v>2001</v>
      </c>
      <c r="C13" s="67">
        <f>VLOOKUP($A13,FBrood!$A$8:$M$50,4)</f>
        <v>8.4705336805144125</v>
      </c>
      <c r="D13" s="67">
        <f>VLOOKUP($A13,FBrood!$A$8:$M$50,8)</f>
        <v>10.932946823519012</v>
      </c>
      <c r="E13" s="448">
        <v>14</v>
      </c>
      <c r="F13" s="449">
        <v>12</v>
      </c>
      <c r="G13" s="139">
        <v>3.9914356288977535</v>
      </c>
      <c r="H13" s="139">
        <v>0.76470089607737357</v>
      </c>
      <c r="I13" s="139">
        <v>0.24949221064476543</v>
      </c>
      <c r="J13" s="139">
        <v>10.468860324640698</v>
      </c>
      <c r="K13" s="139">
        <v>0.2722223765316315</v>
      </c>
      <c r="L13" s="139">
        <v>0.43910565563572462</v>
      </c>
      <c r="M13" s="139">
        <v>8.5311478961141593E-2</v>
      </c>
      <c r="N13" s="462">
        <f t="shared" si="1"/>
        <v>0.46408649887831466</v>
      </c>
      <c r="O13" s="68">
        <f t="shared" si="2"/>
        <v>0.21537627844113194</v>
      </c>
      <c r="P13" s="463">
        <f t="shared" si="3"/>
        <v>10.468860324640698</v>
      </c>
      <c r="Q13" s="25">
        <f t="shared" si="4"/>
        <v>7.1608151383501415</v>
      </c>
      <c r="R13" s="25">
        <f t="shared" si="5"/>
        <v>13.776905510931254</v>
      </c>
      <c r="S13" s="70">
        <f t="shared" si="6"/>
        <v>20788.956970260042</v>
      </c>
      <c r="T13" s="25">
        <f t="shared" si="7"/>
        <v>432180731.91132361</v>
      </c>
      <c r="U13" s="70">
        <f t="shared" si="8"/>
        <v>35202.075560708821</v>
      </c>
      <c r="V13" s="71">
        <f t="shared" si="9"/>
        <v>1287.9603710210267</v>
      </c>
      <c r="W13" s="71">
        <f t="shared" si="10"/>
        <v>962130.630463026</v>
      </c>
      <c r="X13" s="72">
        <f t="shared" si="11"/>
        <v>-0.37129083052293393</v>
      </c>
      <c r="Y13" s="72">
        <f t="shared" si="12"/>
        <v>0.37129083052293393</v>
      </c>
      <c r="Z13" s="73">
        <f t="shared" si="13"/>
        <v>8.4705336805144125</v>
      </c>
      <c r="AA13" s="74">
        <f t="shared" si="14"/>
        <v>10.51520742212214</v>
      </c>
      <c r="AB13" s="73">
        <f t="shared" si="15"/>
        <v>10.932946823519012</v>
      </c>
      <c r="AC13" s="476" t="str">
        <f t="shared" si="16"/>
        <v>01</v>
      </c>
      <c r="AD13" s="84">
        <f t="shared" si="17"/>
        <v>10.094245385517555</v>
      </c>
      <c r="AE13" s="85">
        <f t="shared" si="18"/>
        <v>10.936169458726726</v>
      </c>
      <c r="AF13" s="469">
        <f t="shared" si="19"/>
        <v>11.353908860123598</v>
      </c>
    </row>
    <row r="14" spans="1:32" s="6" customFormat="1" ht="12.75" customHeight="1">
      <c r="A14" s="134">
        <v>1997</v>
      </c>
      <c r="B14" s="451">
        <f t="shared" si="0"/>
        <v>2002</v>
      </c>
      <c r="C14" s="67">
        <f>VLOOKUP($A14,FBrood!$A$8:$M$50,4)</f>
        <v>9.061447046282419</v>
      </c>
      <c r="D14" s="67">
        <f>VLOOKUP($A14,FBrood!$A$8:$M$50,8)</f>
        <v>10.803088354437625</v>
      </c>
      <c r="E14" s="448">
        <v>14</v>
      </c>
      <c r="F14" s="449">
        <v>12</v>
      </c>
      <c r="G14" s="139">
        <v>4.2917551620718513</v>
      </c>
      <c r="H14" s="139">
        <v>0.73476908953787023</v>
      </c>
      <c r="I14" s="139">
        <v>0.28772198588262965</v>
      </c>
      <c r="J14" s="139">
        <v>10.949826358164408</v>
      </c>
      <c r="K14" s="139">
        <v>0.2980021257876645</v>
      </c>
      <c r="L14" s="139">
        <v>0.35210859700680003</v>
      </c>
      <c r="M14" s="139">
        <v>9.9139339200166904E-2</v>
      </c>
      <c r="N14" s="462">
        <f t="shared" si="1"/>
        <v>-0.14673800372678336</v>
      </c>
      <c r="O14" s="68">
        <f t="shared" si="2"/>
        <v>2.1532041737721486E-2</v>
      </c>
      <c r="P14" s="463">
        <f t="shared" si="3"/>
        <v>10.949826358164408</v>
      </c>
      <c r="Q14" s="25">
        <f t="shared" si="4"/>
        <v>7.641781171873852</v>
      </c>
      <c r="R14" s="25">
        <f t="shared" si="5"/>
        <v>14.257871544454964</v>
      </c>
      <c r="S14" s="70">
        <f t="shared" si="6"/>
        <v>-7771.7278552964635</v>
      </c>
      <c r="T14" s="25">
        <f t="shared" si="7"/>
        <v>60399753.856790967</v>
      </c>
      <c r="U14" s="70">
        <f t="shared" si="8"/>
        <v>56944.15661981493</v>
      </c>
      <c r="V14" s="71">
        <f t="shared" si="9"/>
        <v>2083.4514987916664</v>
      </c>
      <c r="W14" s="71">
        <f t="shared" si="10"/>
        <v>1556377.4702807507</v>
      </c>
      <c r="X14" s="72">
        <f t="shared" si="11"/>
        <v>0.15805051836089776</v>
      </c>
      <c r="Y14" s="72">
        <f t="shared" si="12"/>
        <v>0.15805051836089776</v>
      </c>
      <c r="Z14" s="73">
        <f t="shared" si="13"/>
        <v>9.061447046282419</v>
      </c>
      <c r="AA14" s="74">
        <f t="shared" si="14"/>
        <v>10.922105102117143</v>
      </c>
      <c r="AB14" s="73">
        <f t="shared" si="15"/>
        <v>10.803088354437625</v>
      </c>
      <c r="AC14" s="476" t="str">
        <f t="shared" si="16"/>
        <v>02</v>
      </c>
      <c r="AD14" s="84">
        <f t="shared" si="17"/>
        <v>10.501143065512558</v>
      </c>
      <c r="AE14" s="85">
        <f t="shared" si="18"/>
        <v>11.343067138721729</v>
      </c>
      <c r="AF14" s="469">
        <f t="shared" si="19"/>
        <v>11.22405039104221</v>
      </c>
    </row>
    <row r="15" spans="1:32" s="6" customFormat="1" ht="12.75" customHeight="1">
      <c r="A15" s="134">
        <v>1998</v>
      </c>
      <c r="B15" s="451">
        <f t="shared" si="0"/>
        <v>2003</v>
      </c>
      <c r="C15" s="67">
        <f>VLOOKUP($A15,FBrood!$A$8:$M$50,4)</f>
        <v>8.7963925947843205</v>
      </c>
      <c r="D15" s="67">
        <f>VLOOKUP($A15,FBrood!$A$8:$M$50,8)</f>
        <v>11.032103697402947</v>
      </c>
      <c r="E15" s="448">
        <v>14</v>
      </c>
      <c r="F15" s="449">
        <v>12</v>
      </c>
      <c r="G15" s="139">
        <v>4.9366962504236929</v>
      </c>
      <c r="H15" s="139">
        <v>0.65683769102035072</v>
      </c>
      <c r="I15" s="139">
        <v>0.26027589685394703</v>
      </c>
      <c r="J15" s="139">
        <v>10.714498451690337</v>
      </c>
      <c r="K15" s="139">
        <v>0.28726061139447273</v>
      </c>
      <c r="L15" s="139">
        <v>0.34671345501586071</v>
      </c>
      <c r="M15" s="139">
        <v>9.3459614311277847E-2</v>
      </c>
      <c r="N15" s="462">
        <f t="shared" si="1"/>
        <v>0.31760524571260973</v>
      </c>
      <c r="O15" s="68">
        <f t="shared" si="2"/>
        <v>0.1008730921041672</v>
      </c>
      <c r="P15" s="463">
        <f t="shared" si="3"/>
        <v>10.714498451690337</v>
      </c>
      <c r="Q15" s="25">
        <f t="shared" si="4"/>
        <v>7.4064532653997812</v>
      </c>
      <c r="R15" s="25">
        <f t="shared" si="5"/>
        <v>14.022543637980894</v>
      </c>
      <c r="S15" s="70">
        <f t="shared" si="6"/>
        <v>16823.879577239706</v>
      </c>
      <c r="T15" s="25">
        <f t="shared" si="7"/>
        <v>283042924.02946329</v>
      </c>
      <c r="U15" s="70">
        <f t="shared" si="8"/>
        <v>45003.630878677635</v>
      </c>
      <c r="V15" s="71">
        <f t="shared" si="9"/>
        <v>1646.5760100944417</v>
      </c>
      <c r="W15" s="71">
        <f t="shared" si="10"/>
        <v>1230023.2602976537</v>
      </c>
      <c r="X15" s="72">
        <f t="shared" si="11"/>
        <v>-0.27210993056618438</v>
      </c>
      <c r="Y15" s="72">
        <f t="shared" si="12"/>
        <v>0.27210993056618438</v>
      </c>
      <c r="Z15" s="73">
        <f t="shared" si="13"/>
        <v>8.7963925947843205</v>
      </c>
      <c r="AA15" s="74">
        <f t="shared" si="14"/>
        <v>10.739590967838335</v>
      </c>
      <c r="AB15" s="73">
        <f t="shared" si="15"/>
        <v>11.032103697402947</v>
      </c>
      <c r="AC15" s="476" t="str">
        <f t="shared" si="16"/>
        <v>03</v>
      </c>
      <c r="AD15" s="84">
        <f t="shared" si="17"/>
        <v>10.31862893123375</v>
      </c>
      <c r="AE15" s="85">
        <f t="shared" si="18"/>
        <v>11.160553004442921</v>
      </c>
      <c r="AF15" s="469">
        <f t="shared" si="19"/>
        <v>11.453065734007533</v>
      </c>
    </row>
    <row r="16" spans="1:32" s="6" customFormat="1" ht="12.75" customHeight="1">
      <c r="A16" s="134">
        <v>1999</v>
      </c>
      <c r="B16" s="451">
        <f t="shared" si="0"/>
        <v>2004</v>
      </c>
      <c r="C16" s="67">
        <f>VLOOKUP($A16,FBrood!$A$8:$M$50,4)</f>
        <v>8.6952154020610539</v>
      </c>
      <c r="D16" s="67">
        <f>VLOOKUP($A16,FBrood!$A$8:$M$50,8)</f>
        <v>10.768289630773207</v>
      </c>
      <c r="E16" s="448">
        <v>14</v>
      </c>
      <c r="F16" s="449">
        <v>12</v>
      </c>
      <c r="G16" s="139">
        <v>4.6919178419845542</v>
      </c>
      <c r="H16" s="139">
        <v>0.68669165372870622</v>
      </c>
      <c r="I16" s="139">
        <v>0.26916650370551137</v>
      </c>
      <c r="J16" s="139">
        <v>10.662849685953177</v>
      </c>
      <c r="K16" s="139">
        <v>0.29899213025492843</v>
      </c>
      <c r="L16" s="139">
        <v>0.35164955819902216</v>
      </c>
      <c r="M16" s="139">
        <v>9.9860712581454722E-2</v>
      </c>
      <c r="N16" s="462">
        <f t="shared" si="1"/>
        <v>0.10543994482003072</v>
      </c>
      <c r="O16" s="68">
        <f t="shared" si="2"/>
        <v>1.1117581963651122E-2</v>
      </c>
      <c r="P16" s="463">
        <f t="shared" si="3"/>
        <v>10.662849685953177</v>
      </c>
      <c r="Q16" s="25">
        <f t="shared" si="4"/>
        <v>7.3548044996626203</v>
      </c>
      <c r="R16" s="25">
        <f t="shared" si="5"/>
        <v>13.970894872243733</v>
      </c>
      <c r="S16" s="70">
        <f t="shared" si="6"/>
        <v>4752.466932764306</v>
      </c>
      <c r="T16" s="25">
        <f t="shared" si="7"/>
        <v>22585941.947018169</v>
      </c>
      <c r="U16" s="70">
        <f t="shared" si="8"/>
        <v>42738.254409248577</v>
      </c>
      <c r="V16" s="71">
        <f t="shared" si="9"/>
        <v>1563.6912633403383</v>
      </c>
      <c r="W16" s="71">
        <f t="shared" si="10"/>
        <v>1168106.7949742095</v>
      </c>
      <c r="X16" s="72">
        <f t="shared" si="11"/>
        <v>-0.10007148340701269</v>
      </c>
      <c r="Y16" s="72">
        <f t="shared" si="12"/>
        <v>0.10007148340701269</v>
      </c>
      <c r="Z16" s="73">
        <f t="shared" si="13"/>
        <v>8.6952154020610539</v>
      </c>
      <c r="AA16" s="74">
        <f t="shared" si="14"/>
        <v>10.669921254184121</v>
      </c>
      <c r="AB16" s="73">
        <f t="shared" si="15"/>
        <v>10.768289630773207</v>
      </c>
      <c r="AC16" s="476" t="str">
        <f t="shared" si="16"/>
        <v>04</v>
      </c>
      <c r="AD16" s="84">
        <f t="shared" si="17"/>
        <v>10.248959217579536</v>
      </c>
      <c r="AE16" s="85">
        <f t="shared" si="18"/>
        <v>11.090883290788707</v>
      </c>
      <c r="AF16" s="469">
        <f t="shared" si="19"/>
        <v>11.189251667377793</v>
      </c>
    </row>
    <row r="17" spans="1:32" s="6" customFormat="1" ht="12.75" customHeight="1">
      <c r="A17" s="134">
        <v>2000</v>
      </c>
      <c r="B17" s="451">
        <f t="shared" si="0"/>
        <v>2005</v>
      </c>
      <c r="C17" s="67">
        <f>VLOOKUP($A17,FBrood!$A$8:$M$50,4)</f>
        <v>8.5210133554423404</v>
      </c>
      <c r="D17" s="67">
        <f>VLOOKUP($A17,FBrood!$A$8:$M$50,8)</f>
        <v>10.535268813895561</v>
      </c>
      <c r="E17" s="448">
        <v>14</v>
      </c>
      <c r="F17" s="449">
        <v>12</v>
      </c>
      <c r="G17" s="139">
        <v>4.7007030939946741</v>
      </c>
      <c r="H17" s="139">
        <v>0.68661272377790539</v>
      </c>
      <c r="I17" s="139">
        <v>0.27312820498299939</v>
      </c>
      <c r="J17" s="139">
        <v>10.551339283322848</v>
      </c>
      <c r="K17" s="139">
        <v>0.30040129721983366</v>
      </c>
      <c r="L17" s="139">
        <v>0.34496438565544685</v>
      </c>
      <c r="M17" s="139">
        <v>0.10063937149496671</v>
      </c>
      <c r="N17" s="462">
        <f t="shared" si="1"/>
        <v>-1.6070469427287293E-2</v>
      </c>
      <c r="O17" s="68">
        <f t="shared" si="2"/>
        <v>2.5825998761337557E-4</v>
      </c>
      <c r="P17" s="463">
        <f t="shared" si="3"/>
        <v>10.551339283322848</v>
      </c>
      <c r="Q17" s="25">
        <f t="shared" si="4"/>
        <v>7.2432940970322921</v>
      </c>
      <c r="R17" s="25">
        <f t="shared" si="5"/>
        <v>13.859384469613405</v>
      </c>
      <c r="S17" s="70">
        <f t="shared" si="6"/>
        <v>-609.44147389266436</v>
      </c>
      <c r="T17" s="25">
        <f t="shared" si="7"/>
        <v>371418.91010046308</v>
      </c>
      <c r="U17" s="70">
        <f t="shared" si="8"/>
        <v>38228.602972582463</v>
      </c>
      <c r="V17" s="71">
        <f t="shared" si="9"/>
        <v>1398.6938236999629</v>
      </c>
      <c r="W17" s="71">
        <f t="shared" si="10"/>
        <v>1044850.6030929859</v>
      </c>
      <c r="X17" s="72">
        <f t="shared" si="11"/>
        <v>1.6200293935681953E-2</v>
      </c>
      <c r="Y17" s="72">
        <f t="shared" si="12"/>
        <v>1.6200293935681953E-2</v>
      </c>
      <c r="Z17" s="73">
        <f t="shared" si="13"/>
        <v>8.5210133554423404</v>
      </c>
      <c r="AA17" s="74">
        <f t="shared" si="14"/>
        <v>10.549967276620237</v>
      </c>
      <c r="AB17" s="73">
        <f t="shared" si="15"/>
        <v>10.535268813895561</v>
      </c>
      <c r="AC17" s="476" t="str">
        <f t="shared" si="16"/>
        <v>05</v>
      </c>
      <c r="AD17" s="84">
        <f t="shared" si="17"/>
        <v>10.129005240015651</v>
      </c>
      <c r="AE17" s="85">
        <f t="shared" si="18"/>
        <v>10.970929313224822</v>
      </c>
      <c r="AF17" s="469">
        <f t="shared" si="19"/>
        <v>10.956230850500146</v>
      </c>
    </row>
    <row r="18" spans="1:32" s="6" customFormat="1" ht="12.75" customHeight="1">
      <c r="A18" s="134">
        <v>2001</v>
      </c>
      <c r="B18" s="451">
        <f t="shared" si="0"/>
        <v>2006</v>
      </c>
      <c r="C18" s="67">
        <f>VLOOKUP($A18,FBrood!$A$8:$M$50,4)</f>
        <v>8.6811084983337157</v>
      </c>
      <c r="D18" s="67">
        <f>VLOOKUP($A18,FBrood!$A$8:$M$50,8)</f>
        <v>11.130479873503816</v>
      </c>
      <c r="E18" s="448">
        <v>14</v>
      </c>
      <c r="F18" s="449">
        <v>12</v>
      </c>
      <c r="G18" s="139">
        <v>4.6776650904915709</v>
      </c>
      <c r="H18" s="139">
        <v>0.68527221744241729</v>
      </c>
      <c r="I18" s="139">
        <v>0.239010135206524</v>
      </c>
      <c r="J18" s="139">
        <v>10.626587561002928</v>
      </c>
      <c r="K18" s="139">
        <v>0.26554359063201471</v>
      </c>
      <c r="L18" s="139">
        <v>0.4065402988422851</v>
      </c>
      <c r="M18" s="139">
        <v>8.2469949602014717E-2</v>
      </c>
      <c r="N18" s="462">
        <f t="shared" si="1"/>
        <v>0.50389231250088784</v>
      </c>
      <c r="O18" s="68">
        <f t="shared" si="2"/>
        <v>0.25390746259749242</v>
      </c>
      <c r="P18" s="463">
        <f t="shared" si="3"/>
        <v>10.626587561002928</v>
      </c>
      <c r="Q18" s="25">
        <f t="shared" si="4"/>
        <v>7.3185423747123721</v>
      </c>
      <c r="R18" s="25">
        <f t="shared" si="5"/>
        <v>13.934632747293485</v>
      </c>
      <c r="S18" s="70">
        <f t="shared" si="6"/>
        <v>27002.863641795455</v>
      </c>
      <c r="T18" s="25">
        <f t="shared" si="7"/>
        <v>729154644.85739887</v>
      </c>
      <c r="U18" s="70">
        <f t="shared" si="8"/>
        <v>41216.237056109137</v>
      </c>
      <c r="V18" s="71">
        <f t="shared" si="9"/>
        <v>1508.0042618318842</v>
      </c>
      <c r="W18" s="71">
        <f t="shared" si="10"/>
        <v>1126507.5570819362</v>
      </c>
      <c r="X18" s="72">
        <f t="shared" si="11"/>
        <v>-0.39582555861257301</v>
      </c>
      <c r="Y18" s="72">
        <f t="shared" si="12"/>
        <v>0.39582555861257301</v>
      </c>
      <c r="Z18" s="73">
        <f t="shared" si="13"/>
        <v>8.6811084983337157</v>
      </c>
      <c r="AA18" s="74">
        <f t="shared" si="14"/>
        <v>10.660207365937396</v>
      </c>
      <c r="AB18" s="73">
        <f t="shared" si="15"/>
        <v>11.130479873503816</v>
      </c>
      <c r="AC18" s="476" t="str">
        <f t="shared" si="16"/>
        <v>06</v>
      </c>
      <c r="AD18" s="84">
        <f t="shared" si="17"/>
        <v>10.23924532933281</v>
      </c>
      <c r="AE18" s="85">
        <f t="shared" si="18"/>
        <v>11.081169402541981</v>
      </c>
      <c r="AF18" s="469">
        <f t="shared" si="19"/>
        <v>11.551441910108402</v>
      </c>
    </row>
    <row r="19" spans="1:32" s="6" customFormat="1" ht="12.75" customHeight="1">
      <c r="A19" s="134">
        <v>2002</v>
      </c>
      <c r="B19" s="451">
        <f t="shared" si="0"/>
        <v>2007</v>
      </c>
      <c r="C19" s="67">
        <f>VLOOKUP($A19,FBrood!$A$8:$M$50,4)</f>
        <v>9.1658104658028474</v>
      </c>
      <c r="D19" s="67">
        <f>VLOOKUP($A19,FBrood!$A$8:$M$50,8)</f>
        <v>10.967819581276032</v>
      </c>
      <c r="E19" s="448">
        <v>14</v>
      </c>
      <c r="F19" s="449">
        <v>12</v>
      </c>
      <c r="G19" s="139">
        <v>4.561913443156226</v>
      </c>
      <c r="H19" s="139">
        <v>0.70276461879872754</v>
      </c>
      <c r="I19" s="139">
        <v>0.30425737575751216</v>
      </c>
      <c r="J19" s="139">
        <v>11.003320741137552</v>
      </c>
      <c r="K19" s="139">
        <v>0.30030528289776787</v>
      </c>
      <c r="L19" s="139">
        <v>0.30776040132376947</v>
      </c>
      <c r="M19" s="139">
        <v>0.10050861084297916</v>
      </c>
      <c r="N19" s="462">
        <f t="shared" si="1"/>
        <v>-3.5501159861519582E-2</v>
      </c>
      <c r="O19" s="68">
        <f t="shared" si="2"/>
        <v>1.2603323515131691E-3</v>
      </c>
      <c r="P19" s="463">
        <f t="shared" si="3"/>
        <v>11.003320741137552</v>
      </c>
      <c r="Q19" s="25">
        <f t="shared" si="4"/>
        <v>7.6952755548469955</v>
      </c>
      <c r="R19" s="25">
        <f t="shared" si="5"/>
        <v>14.311365927428108</v>
      </c>
      <c r="S19" s="70">
        <f t="shared" si="6"/>
        <v>-2095.2596520956213</v>
      </c>
      <c r="T19" s="25">
        <f t="shared" si="7"/>
        <v>4390113.0096998643</v>
      </c>
      <c r="U19" s="70">
        <f t="shared" si="8"/>
        <v>60073.298732102507</v>
      </c>
      <c r="V19" s="71">
        <f t="shared" si="9"/>
        <v>2197.9393797397374</v>
      </c>
      <c r="W19" s="71">
        <f t="shared" si="10"/>
        <v>1641902.0714683016</v>
      </c>
      <c r="X19" s="72">
        <f t="shared" si="11"/>
        <v>3.6138849904948742E-2</v>
      </c>
      <c r="Y19" s="72">
        <f t="shared" si="12"/>
        <v>3.6138849904948742E-2</v>
      </c>
      <c r="Z19" s="73">
        <f t="shared" si="13"/>
        <v>9.1658104658028474</v>
      </c>
      <c r="AA19" s="74">
        <f t="shared" si="14"/>
        <v>10.993968823161962</v>
      </c>
      <c r="AB19" s="73">
        <f t="shared" si="15"/>
        <v>10.967819581276032</v>
      </c>
      <c r="AC19" s="476" t="str">
        <f t="shared" si="16"/>
        <v>07</v>
      </c>
      <c r="AD19" s="84">
        <f t="shared" si="17"/>
        <v>10.573006786557377</v>
      </c>
      <c r="AE19" s="85">
        <f t="shared" si="18"/>
        <v>11.414930859766548</v>
      </c>
      <c r="AF19" s="469">
        <f t="shared" si="19"/>
        <v>11.388781617880618</v>
      </c>
    </row>
    <row r="20" spans="1:32" s="6" customFormat="1" ht="12.75" customHeight="1">
      <c r="A20" s="134">
        <v>2003</v>
      </c>
      <c r="B20" s="451">
        <f t="shared" si="0"/>
        <v>2008</v>
      </c>
      <c r="C20" s="67">
        <f>VLOOKUP($A20,FBrood!$A$8:$M$50,4)</f>
        <v>8.5487557909792695</v>
      </c>
      <c r="D20" s="67">
        <f>VLOOKUP($A20,FBrood!$A$8:$M$50,8)</f>
        <v>10.379176371820273</v>
      </c>
      <c r="E20" s="448">
        <v>14</v>
      </c>
      <c r="F20" s="449">
        <v>12</v>
      </c>
      <c r="G20" s="139">
        <v>4.8762055640024693</v>
      </c>
      <c r="H20" s="139">
        <v>0.66783879918169364</v>
      </c>
      <c r="I20" s="139">
        <v>0.26726921925663821</v>
      </c>
      <c r="J20" s="139">
        <v>10.585396365947615</v>
      </c>
      <c r="K20" s="139">
        <v>0.29495303633444836</v>
      </c>
      <c r="L20" s="139">
        <v>0.34224044014775684</v>
      </c>
      <c r="M20" s="139">
        <v>9.7597544416019311E-2</v>
      </c>
      <c r="N20" s="462">
        <f t="shared" si="1"/>
        <v>-0.20621999412734127</v>
      </c>
      <c r="O20" s="68">
        <f t="shared" si="2"/>
        <v>4.2526685977880667E-2</v>
      </c>
      <c r="P20" s="463">
        <f t="shared" si="3"/>
        <v>10.585396365947615</v>
      </c>
      <c r="Q20" s="25">
        <f t="shared" si="4"/>
        <v>7.2773511796570585</v>
      </c>
      <c r="R20" s="25">
        <f t="shared" si="5"/>
        <v>13.893441552238171</v>
      </c>
      <c r="S20" s="70">
        <f t="shared" si="6"/>
        <v>-7370.5376909263905</v>
      </c>
      <c r="T20" s="25">
        <f t="shared" si="7"/>
        <v>54324825.853366531</v>
      </c>
      <c r="U20" s="70">
        <f t="shared" si="8"/>
        <v>39552.981895739525</v>
      </c>
      <c r="V20" s="71">
        <f t="shared" si="9"/>
        <v>1447.1497042715528</v>
      </c>
      <c r="W20" s="71">
        <f t="shared" si="10"/>
        <v>1081048.0575899954</v>
      </c>
      <c r="X20" s="72">
        <f t="shared" si="11"/>
        <v>0.22902355222056345</v>
      </c>
      <c r="Y20" s="72">
        <f t="shared" si="12"/>
        <v>0.22902355222056345</v>
      </c>
      <c r="Z20" s="73">
        <f t="shared" si="13"/>
        <v>8.5487557909792695</v>
      </c>
      <c r="AA20" s="74">
        <f t="shared" si="14"/>
        <v>10.56907047060996</v>
      </c>
      <c r="AB20" s="73">
        <f t="shared" si="15"/>
        <v>10.379176371820273</v>
      </c>
      <c r="AC20" s="476" t="str">
        <f t="shared" si="16"/>
        <v>08</v>
      </c>
      <c r="AD20" s="84">
        <f t="shared" si="17"/>
        <v>10.148108434005374</v>
      </c>
      <c r="AE20" s="85">
        <f t="shared" si="18"/>
        <v>10.990032507214545</v>
      </c>
      <c r="AF20" s="469">
        <f t="shared" si="19"/>
        <v>10.800138408424859</v>
      </c>
    </row>
    <row r="21" spans="1:32" s="6" customFormat="1" ht="12.75" customHeight="1">
      <c r="A21" s="134">
        <v>2004</v>
      </c>
      <c r="B21" s="451">
        <f t="shared" si="0"/>
        <v>2009</v>
      </c>
      <c r="C21" s="67">
        <f>VLOOKUP($A21,FBrood!$A$8:$M$50,4)</f>
        <v>8.2872039919989202</v>
      </c>
      <c r="D21" s="67">
        <f>VLOOKUP($A21,FBrood!$A$8:$M$50,8)</f>
        <v>10.205029621448679</v>
      </c>
      <c r="E21" s="448">
        <v>14</v>
      </c>
      <c r="F21" s="449">
        <v>12</v>
      </c>
      <c r="G21" s="139">
        <v>5.3109561489736157</v>
      </c>
      <c r="H21" s="139">
        <v>0.61786619834838929</v>
      </c>
      <c r="I21" s="139">
        <v>0.28414544712980289</v>
      </c>
      <c r="J21" s="139">
        <v>10.431339374447585</v>
      </c>
      <c r="K21" s="139">
        <v>0.29460430838238305</v>
      </c>
      <c r="L21" s="139">
        <v>0.28265389236525346</v>
      </c>
      <c r="M21" s="139">
        <v>9.7059411820805255E-2</v>
      </c>
      <c r="N21" s="462">
        <f t="shared" si="1"/>
        <v>-0.22630975299890643</v>
      </c>
      <c r="O21" s="68">
        <f t="shared" si="2"/>
        <v>5.1216104302426041E-2</v>
      </c>
      <c r="P21" s="463">
        <f t="shared" si="3"/>
        <v>10.431339374447585</v>
      </c>
      <c r="Q21" s="25">
        <f t="shared" si="4"/>
        <v>7.1232941881570291</v>
      </c>
      <c r="R21" s="25">
        <f t="shared" si="5"/>
        <v>13.739384560738142</v>
      </c>
      <c r="S21" s="70">
        <f t="shared" si="6"/>
        <v>-6866.8925597586858</v>
      </c>
      <c r="T21" s="25">
        <f t="shared" si="7"/>
        <v>47154213.427269198</v>
      </c>
      <c r="U21" s="70">
        <f t="shared" si="8"/>
        <v>33905.732333180466</v>
      </c>
      <c r="V21" s="71">
        <f t="shared" si="9"/>
        <v>1240.5302499925494</v>
      </c>
      <c r="W21" s="71">
        <f t="shared" si="10"/>
        <v>926699.43764465523</v>
      </c>
      <c r="X21" s="72">
        <f t="shared" si="11"/>
        <v>0.25396402424443515</v>
      </c>
      <c r="Y21" s="72">
        <f t="shared" si="12"/>
        <v>0.25396402424443515</v>
      </c>
      <c r="Z21" s="73">
        <f t="shared" si="13"/>
        <v>8.2872039919989202</v>
      </c>
      <c r="AA21" s="74">
        <f t="shared" si="14"/>
        <v>10.388968231654333</v>
      </c>
      <c r="AB21" s="73">
        <f t="shared" si="15"/>
        <v>10.205029621448679</v>
      </c>
      <c r="AC21" s="476" t="str">
        <f t="shared" si="16"/>
        <v>09</v>
      </c>
      <c r="AD21" s="84">
        <f t="shared" si="17"/>
        <v>9.9680061950497478</v>
      </c>
      <c r="AE21" s="85">
        <f t="shared" si="18"/>
        <v>10.809930268258919</v>
      </c>
      <c r="AF21" s="469">
        <f t="shared" si="19"/>
        <v>10.625991658053264</v>
      </c>
    </row>
    <row r="22" spans="1:32" s="6" customFormat="1" ht="12.75" customHeight="1">
      <c r="A22" s="134">
        <v>2005</v>
      </c>
      <c r="B22" s="451">
        <f t="shared" si="0"/>
        <v>2010</v>
      </c>
      <c r="C22" s="67">
        <f>VLOOKUP($A22,FBrood!$A$8:$M$50,4)</f>
        <v>8.4319659397064264</v>
      </c>
      <c r="D22" s="67">
        <f>VLOOKUP($A22,FBrood!$A$8:$M$50,8)</f>
        <v>9.8896200751423216</v>
      </c>
      <c r="E22" s="6">
        <v>14</v>
      </c>
      <c r="F22" s="6">
        <v>12</v>
      </c>
      <c r="G22" s="139">
        <v>5.8720491136165114</v>
      </c>
      <c r="H22" s="139">
        <v>0.55662764130316356</v>
      </c>
      <c r="I22" s="139">
        <v>0.21958604257565337</v>
      </c>
      <c r="J22" s="139">
        <v>10.565514426183913</v>
      </c>
      <c r="K22" s="139">
        <v>0.23774049722624646</v>
      </c>
      <c r="L22" s="139">
        <v>0.34873553905235494</v>
      </c>
      <c r="M22" s="139">
        <v>6.8257121715717101E-2</v>
      </c>
      <c r="N22" s="462">
        <f t="shared" si="1"/>
        <v>-0.67589435104159179</v>
      </c>
      <c r="O22" s="68">
        <f t="shared" si="2"/>
        <v>0.45683317376993449</v>
      </c>
      <c r="P22" s="463">
        <f t="shared" si="3"/>
        <v>10.565514426183913</v>
      </c>
      <c r="Q22" s="25">
        <f t="shared" si="4"/>
        <v>7.2574692398933571</v>
      </c>
      <c r="R22" s="25">
        <f t="shared" si="5"/>
        <v>13.87355961247447</v>
      </c>
      <c r="S22" s="70">
        <f t="shared" si="6"/>
        <v>-19049.793156388081</v>
      </c>
      <c r="T22" s="25">
        <f t="shared" si="7"/>
        <v>362894619.30117017</v>
      </c>
      <c r="U22" s="70">
        <f t="shared" si="8"/>
        <v>38774.357819164332</v>
      </c>
      <c r="V22" s="71">
        <f t="shared" si="9"/>
        <v>1418.6616978520958</v>
      </c>
      <c r="W22" s="71">
        <f t="shared" si="10"/>
        <v>1059766.9807853897</v>
      </c>
      <c r="X22" s="72">
        <f t="shared" si="11"/>
        <v>0.96579029662126925</v>
      </c>
      <c r="Y22" s="72">
        <f t="shared" si="12"/>
        <v>0.96579029662126925</v>
      </c>
      <c r="Z22" s="73">
        <f t="shared" si="13"/>
        <v>8.4319659397064264</v>
      </c>
      <c r="AA22" s="74">
        <f t="shared" si="14"/>
        <v>10.488650019351224</v>
      </c>
      <c r="AB22" s="73">
        <f t="shared" si="15"/>
        <v>9.8896200751423216</v>
      </c>
      <c r="AC22" s="476" t="str">
        <f t="shared" si="16"/>
        <v>10</v>
      </c>
      <c r="AD22" s="84">
        <f t="shared" si="17"/>
        <v>10.067687982746639</v>
      </c>
      <c r="AE22" s="85">
        <f t="shared" si="18"/>
        <v>10.90961205595581</v>
      </c>
      <c r="AF22" s="469">
        <f t="shared" si="19"/>
        <v>10.310582111746907</v>
      </c>
    </row>
    <row r="23" spans="1:32" s="6" customFormat="1" ht="12.75" customHeight="1">
      <c r="A23" s="134">
        <v>2006</v>
      </c>
      <c r="B23" s="451">
        <f t="shared" si="0"/>
        <v>2011</v>
      </c>
      <c r="C23" s="67">
        <f>VLOOKUP($A23,FBrood!$A$8:$M$50,4)</f>
        <v>8.5943219857568938</v>
      </c>
      <c r="D23" s="67">
        <f>VLOOKUP($A23,FBrood!$A$8:$M$50,8)</f>
        <v>10.623064262285222</v>
      </c>
      <c r="E23" s="6">
        <v>14</v>
      </c>
      <c r="F23" s="6">
        <v>12</v>
      </c>
      <c r="G23" s="139">
        <v>4.6673849884007348</v>
      </c>
      <c r="H23" s="139">
        <v>0.69014351751788661</v>
      </c>
      <c r="I23" s="139">
        <v>0.27106652656791513</v>
      </c>
      <c r="J23" s="139">
        <v>10.598700594332307</v>
      </c>
      <c r="K23" s="139">
        <v>0.30035762612800654</v>
      </c>
      <c r="L23" s="139">
        <v>0.35072906649440566</v>
      </c>
      <c r="M23" s="139">
        <v>0.10084190480341584</v>
      </c>
      <c r="N23" s="462">
        <f t="shared" si="1"/>
        <v>2.4363667952915335E-2</v>
      </c>
      <c r="O23" s="68">
        <f t="shared" si="2"/>
        <v>5.935883161199137E-4</v>
      </c>
      <c r="P23" s="463">
        <f t="shared" si="3"/>
        <v>10.598700594332307</v>
      </c>
      <c r="Q23" s="25">
        <f t="shared" si="4"/>
        <v>7.2906554080417507</v>
      </c>
      <c r="R23" s="25">
        <f t="shared" si="5"/>
        <v>13.906745780622863</v>
      </c>
      <c r="S23" s="70">
        <f t="shared" si="6"/>
        <v>988.55559848730627</v>
      </c>
      <c r="T23" s="25">
        <f t="shared" si="7"/>
        <v>977242.17130059632</v>
      </c>
      <c r="U23" s="70">
        <f t="shared" si="8"/>
        <v>40082.719863910308</v>
      </c>
      <c r="V23" s="71">
        <f t="shared" si="9"/>
        <v>1466.5315588685216</v>
      </c>
      <c r="W23" s="71">
        <f t="shared" si="10"/>
        <v>1095526.6676485806</v>
      </c>
      <c r="X23" s="72">
        <f t="shared" si="11"/>
        <v>-2.4069269516413441E-2</v>
      </c>
      <c r="Y23" s="72">
        <f t="shared" si="12"/>
        <v>2.4069269516413441E-2</v>
      </c>
      <c r="Z23" s="73">
        <f t="shared" si="13"/>
        <v>8.5943219857568938</v>
      </c>
      <c r="AA23" s="74">
        <f t="shared" si="14"/>
        <v>10.600446946444313</v>
      </c>
      <c r="AB23" s="73">
        <f t="shared" si="15"/>
        <v>10.623064262285222</v>
      </c>
      <c r="AC23" s="476" t="str">
        <f t="shared" si="16"/>
        <v>11</v>
      </c>
      <c r="AD23" s="84">
        <f t="shared" si="17"/>
        <v>10.179484909839728</v>
      </c>
      <c r="AE23" s="85">
        <f t="shared" si="18"/>
        <v>11.021408983048898</v>
      </c>
      <c r="AF23" s="469">
        <f t="shared" si="19"/>
        <v>11.044026298889808</v>
      </c>
    </row>
    <row r="24" spans="1:32" s="6" customFormat="1" ht="12.75" customHeight="1">
      <c r="A24" s="134">
        <v>2007</v>
      </c>
      <c r="B24" s="451">
        <f t="shared" si="0"/>
        <v>2012</v>
      </c>
      <c r="C24" s="67">
        <f>VLOOKUP($A24,FBrood!$A$8:$M$50,4)</f>
        <v>8.6077656370610249</v>
      </c>
      <c r="D24" s="67">
        <f>VLOOKUP($A24,FBrood!$A$8:$M$50,8)</f>
        <v>10.473047734898355</v>
      </c>
      <c r="E24" s="6">
        <v>14</v>
      </c>
      <c r="F24" s="6">
        <v>12</v>
      </c>
      <c r="G24" s="139">
        <v>4.7596045642545297</v>
      </c>
      <c r="H24" s="139">
        <v>0.68082745591050842</v>
      </c>
      <c r="I24" s="139">
        <v>0.26838369456050187</v>
      </c>
      <c r="J24" s="139">
        <v>10.620007744008685</v>
      </c>
      <c r="K24" s="139">
        <v>0.29763574764588507</v>
      </c>
      <c r="L24" s="139">
        <v>0.34907124739749035</v>
      </c>
      <c r="M24" s="139">
        <v>9.9362632724522323E-2</v>
      </c>
      <c r="N24" s="462">
        <f t="shared" si="1"/>
        <v>-0.14696000911033025</v>
      </c>
      <c r="O24" s="68">
        <f t="shared" si="2"/>
        <v>2.1597244277708351E-2</v>
      </c>
      <c r="P24" s="463">
        <f t="shared" si="3"/>
        <v>10.620007744008685</v>
      </c>
      <c r="Q24" s="25">
        <f t="shared" si="4"/>
        <v>7.3119625577181289</v>
      </c>
      <c r="R24" s="25">
        <f t="shared" si="5"/>
        <v>13.928052930299241</v>
      </c>
      <c r="S24" s="70">
        <f t="shared" si="6"/>
        <v>-5596.1418652099383</v>
      </c>
      <c r="T24" s="25">
        <f t="shared" si="7"/>
        <v>31316803.775555369</v>
      </c>
      <c r="U24" s="70">
        <f t="shared" si="8"/>
        <v>40945.932013160855</v>
      </c>
      <c r="V24" s="71">
        <f t="shared" si="9"/>
        <v>1498.1144420454309</v>
      </c>
      <c r="W24" s="71">
        <f t="shared" si="10"/>
        <v>1119119.6756219165</v>
      </c>
      <c r="X24" s="72">
        <f t="shared" si="11"/>
        <v>0.15830764035057004</v>
      </c>
      <c r="Y24" s="72">
        <f t="shared" si="12"/>
        <v>0.15830764035057004</v>
      </c>
      <c r="Z24" s="73">
        <f t="shared" si="13"/>
        <v>8.6077656370610249</v>
      </c>
      <c r="AA24" s="74">
        <f t="shared" si="14"/>
        <v>10.609704124980464</v>
      </c>
      <c r="AB24" s="73">
        <f t="shared" si="15"/>
        <v>10.473047734898355</v>
      </c>
      <c r="AC24" s="476" t="str">
        <f t="shared" si="16"/>
        <v>12</v>
      </c>
      <c r="AD24" s="84">
        <f t="shared" si="17"/>
        <v>10.188742088375879</v>
      </c>
      <c r="AE24" s="85">
        <f t="shared" si="18"/>
        <v>11.030666161585049</v>
      </c>
      <c r="AF24" s="469">
        <f t="shared" si="19"/>
        <v>10.89400977150294</v>
      </c>
    </row>
    <row r="25" spans="1:32" s="6" customFormat="1" ht="12.75" customHeight="1">
      <c r="A25" s="134">
        <v>2008</v>
      </c>
      <c r="B25" s="451">
        <f t="shared" si="0"/>
        <v>2013</v>
      </c>
      <c r="C25" s="67">
        <f>VLOOKUP($A25,FBrood!$A$8:$M$50,4)</f>
        <v>8.2485657535855932</v>
      </c>
      <c r="D25" s="67">
        <f>VLOOKUP($A25,FBrood!$A$8:$M$50,8)</f>
        <v>10.180696807910829</v>
      </c>
      <c r="E25" s="6">
        <v>14</v>
      </c>
      <c r="F25" s="6">
        <v>12</v>
      </c>
      <c r="G25" s="139">
        <v>4.680730151750951</v>
      </c>
      <c r="H25" s="139">
        <v>0.68878769253914074</v>
      </c>
      <c r="I25" s="139">
        <v>0.29439734035243342</v>
      </c>
      <c r="J25" s="139">
        <v>10.36224072392055</v>
      </c>
      <c r="K25" s="139">
        <v>0.30043402301005473</v>
      </c>
      <c r="L25" s="139">
        <v>0.31326453097854867</v>
      </c>
      <c r="M25" s="139">
        <v>0.10094916070157486</v>
      </c>
      <c r="N25" s="462">
        <f t="shared" si="1"/>
        <v>-0.18154391600972097</v>
      </c>
      <c r="O25" s="68">
        <f t="shared" si="2"/>
        <v>3.2958193440144626E-2</v>
      </c>
      <c r="P25" s="463">
        <f t="shared" si="3"/>
        <v>10.36224072392055</v>
      </c>
      <c r="Q25" s="25">
        <f t="shared" si="4"/>
        <v>7.0541955376299939</v>
      </c>
      <c r="R25" s="25">
        <f t="shared" si="5"/>
        <v>13.670285910211106</v>
      </c>
      <c r="S25" s="70">
        <f t="shared" si="6"/>
        <v>-5253.1540884682763</v>
      </c>
      <c r="T25" s="25">
        <f t="shared" si="7"/>
        <v>27595627.877190966</v>
      </c>
      <c r="U25" s="70">
        <f t="shared" si="8"/>
        <v>31642.002939907114</v>
      </c>
      <c r="V25" s="71">
        <f t="shared" si="9"/>
        <v>1157.705765844637</v>
      </c>
      <c r="W25" s="71">
        <f t="shared" si="10"/>
        <v>864827.98962189211</v>
      </c>
      <c r="X25" s="72">
        <f t="shared" si="11"/>
        <v>0.19906719379999976</v>
      </c>
      <c r="Y25" s="72">
        <f t="shared" si="12"/>
        <v>0.19906719379999976</v>
      </c>
      <c r="Z25" s="73">
        <f t="shared" si="13"/>
        <v>8.2485657535855932</v>
      </c>
      <c r="AA25" s="74">
        <f t="shared" si="14"/>
        <v>10.362362284860351</v>
      </c>
      <c r="AB25" s="73">
        <f t="shared" si="15"/>
        <v>10.180696807910829</v>
      </c>
      <c r="AC25" s="476" t="str">
        <f t="shared" si="16"/>
        <v>13</v>
      </c>
      <c r="AD25" s="84">
        <f t="shared" si="17"/>
        <v>9.941400248255766</v>
      </c>
      <c r="AE25" s="85">
        <f t="shared" si="18"/>
        <v>10.783324321464937</v>
      </c>
      <c r="AF25" s="469">
        <f t="shared" si="19"/>
        <v>10.601658844515415</v>
      </c>
    </row>
    <row r="26" spans="1:32" s="6" customFormat="1" ht="12.75" customHeight="1">
      <c r="A26" s="134">
        <v>2009</v>
      </c>
      <c r="B26" s="451">
        <f t="shared" si="0"/>
        <v>2014</v>
      </c>
      <c r="C26" s="67">
        <f>VLOOKUP($A26,FBrood!$A$8:$M$50,4)</f>
        <v>8.6691577171146683</v>
      </c>
      <c r="D26" s="67">
        <f>VLOOKUP($A26,FBrood!$A$8:$M$50,8)</f>
        <v>9.6838897695936783</v>
      </c>
      <c r="G26" s="139"/>
      <c r="H26" s="139"/>
      <c r="I26" s="139"/>
      <c r="J26" s="139"/>
      <c r="K26" s="139"/>
      <c r="L26" s="139"/>
      <c r="M26" s="139"/>
      <c r="N26" s="462">
        <f>D26-J26</f>
        <v>9.6838897695936783</v>
      </c>
      <c r="O26" s="68">
        <f t="shared" ref="O26" si="20">N26^2</f>
        <v>93.777721069641103</v>
      </c>
      <c r="P26" s="463">
        <f>J26</f>
        <v>0</v>
      </c>
      <c r="Q26" s="25">
        <f t="shared" si="4"/>
        <v>-3.3080451862905558</v>
      </c>
      <c r="R26" s="25">
        <f t="shared" si="5"/>
        <v>3.3080451862905558</v>
      </c>
      <c r="S26" s="70">
        <f t="shared" ref="S26" si="21">EXP(D26)-U26</f>
        <v>16055.832992717926</v>
      </c>
      <c r="T26" s="25">
        <f t="shared" ref="T26" si="22">S26^2</f>
        <v>257789773.09004948</v>
      </c>
      <c r="U26" s="70">
        <f>EXP(P26)</f>
        <v>1</v>
      </c>
      <c r="V26" s="71">
        <f t="shared" ref="V26" si="23">EXP(Q26)</f>
        <v>3.6587625885861064E-2</v>
      </c>
      <c r="W26" s="71">
        <f t="shared" ref="W26" si="24">EXP(R26)</f>
        <v>27.331644942462372</v>
      </c>
      <c r="X26" s="72">
        <f t="shared" ref="X26" si="25">(+U26-EXP(D26))/(EXP(D26))</f>
        <v>-0.99993772121809743</v>
      </c>
      <c r="Y26" s="72">
        <f t="shared" ref="Y26" si="26">ABS(X26)</f>
        <v>0.99993772121809743</v>
      </c>
      <c r="Z26" s="73">
        <f t="shared" ref="Z26" si="27">C26</f>
        <v>8.6691577171146683</v>
      </c>
      <c r="AA26" s="74">
        <f t="shared" si="14"/>
        <v>10.651978164443809</v>
      </c>
      <c r="AB26" s="73">
        <f t="shared" ref="AB26" si="28">D26</f>
        <v>9.6838897695936783</v>
      </c>
      <c r="AC26" s="476" t="str">
        <f t="shared" ref="AC26" si="29">RIGHT(B26,2)</f>
        <v>14</v>
      </c>
      <c r="AD26" s="84">
        <f t="shared" si="17"/>
        <v>10.231016127839224</v>
      </c>
      <c r="AE26" s="85">
        <f t="shared" si="18"/>
        <v>11.072940201048395</v>
      </c>
      <c r="AF26" s="469">
        <f t="shared" si="19"/>
        <v>10.104851806198264</v>
      </c>
    </row>
    <row r="27" spans="1:32" s="6" customFormat="1" ht="12.75" customHeight="1">
      <c r="A27" s="134"/>
      <c r="B27" s="744"/>
      <c r="C27" s="699"/>
      <c r="D27" s="699"/>
      <c r="G27" s="139"/>
      <c r="H27" s="139"/>
      <c r="I27" s="139"/>
      <c r="J27" s="139"/>
      <c r="K27" s="139"/>
      <c r="L27" s="139"/>
      <c r="M27" s="139"/>
      <c r="N27" s="460"/>
      <c r="O27" s="68"/>
      <c r="P27" s="25"/>
      <c r="Q27" s="69"/>
      <c r="R27" s="25"/>
      <c r="S27" s="465"/>
      <c r="T27" s="464"/>
      <c r="U27" s="465"/>
      <c r="V27" s="464"/>
      <c r="W27" s="466"/>
      <c r="X27" s="466"/>
      <c r="Y27" s="467"/>
      <c r="Z27" s="467"/>
      <c r="AA27" s="468"/>
      <c r="AB27" s="470"/>
      <c r="AC27" s="477"/>
      <c r="AD27" s="464"/>
      <c r="AE27" s="471"/>
      <c r="AF27" s="471"/>
    </row>
    <row r="28" spans="1:32" s="6" customFormat="1" ht="12.75" customHeight="1">
      <c r="A28" s="675">
        <v>2010</v>
      </c>
      <c r="B28" s="25">
        <f>FcastYR</f>
        <v>2015</v>
      </c>
      <c r="C28" s="699">
        <f>VLOOKUP($A28,FBrood!$A$8:$M$50,4)</f>
        <v>9.0947814204775597</v>
      </c>
      <c r="D28" s="699"/>
      <c r="E28" s="6">
        <v>15</v>
      </c>
      <c r="F28" s="6">
        <v>13</v>
      </c>
      <c r="G28" s="139">
        <v>4.6824733826047478</v>
      </c>
      <c r="H28" s="139">
        <v>0.68859109231039295</v>
      </c>
      <c r="I28" s="139">
        <v>0.25979820520994223</v>
      </c>
      <c r="J28" s="139">
        <v>10.76302886472525</v>
      </c>
      <c r="K28" s="139">
        <v>0.28864770697594866</v>
      </c>
      <c r="L28" s="139">
        <v>0.35081367717352652</v>
      </c>
      <c r="M28" s="139">
        <v>9.4178273494734732E-2</v>
      </c>
      <c r="N28" s="462">
        <f>D28-J28</f>
        <v>-10.76302886472525</v>
      </c>
      <c r="O28" s="68">
        <f>N28^2</f>
        <v>115.8427903429089</v>
      </c>
      <c r="P28" s="463">
        <f>J28</f>
        <v>10.76302886472525</v>
      </c>
      <c r="Q28" s="25">
        <f>$P28-SQRT($O$31)*$Q$31</f>
        <v>7.4549836784346937</v>
      </c>
      <c r="R28" s="25">
        <f t="shared" ref="R28" si="30">$P28+SQRT($O$31)*$Q$31</f>
        <v>14.071074051015806</v>
      </c>
      <c r="S28" s="70">
        <f t="shared" ref="S28" si="31">EXP(D28)-U28</f>
        <v>-47240.539785209119</v>
      </c>
      <c r="T28" s="478">
        <f>S28^2</f>
        <v>2231668599.1979256</v>
      </c>
      <c r="U28" s="472">
        <f>EXP(P28)</f>
        <v>47241.539785209119</v>
      </c>
      <c r="V28" s="473">
        <f>EXP(Q28)</f>
        <v>1728.455783933252</v>
      </c>
      <c r="W28" s="473">
        <f t="shared" ref="W28" si="32">EXP(R28)</f>
        <v>1291188.9919445463</v>
      </c>
      <c r="X28" s="72">
        <f>(+U28-EXP(D28))/(EXP(D28))</f>
        <v>47240.539785209119</v>
      </c>
      <c r="Y28" s="72">
        <f>ABS(X28)</f>
        <v>47240.539785209119</v>
      </c>
      <c r="Z28" s="447">
        <f>C28</f>
        <v>9.0947814204775597</v>
      </c>
      <c r="AA28" s="74">
        <f t="shared" ref="AA28" si="33">(+$G$28+$H$28*C28)</f>
        <v>10.945058855255658</v>
      </c>
      <c r="AB28" s="85">
        <f>D28</f>
        <v>0</v>
      </c>
      <c r="AC28" s="476" t="str">
        <f>RIGHT(B28,2)</f>
        <v>15</v>
      </c>
      <c r="AD28" s="84">
        <f>AA28-SQRT($O$30)*$Q$30</f>
        <v>10.524096818651072</v>
      </c>
      <c r="AE28" s="85">
        <f>AA28+SQRT($O$31)*$Q$31</f>
        <v>14.253104041546214</v>
      </c>
      <c r="AF28" s="469"/>
    </row>
    <row r="29" spans="1:32" s="6" customFormat="1" ht="12.75" customHeight="1">
      <c r="A29" s="141"/>
      <c r="B29" s="142"/>
      <c r="C29" s="143"/>
      <c r="D29" s="142"/>
      <c r="E29" s="142"/>
      <c r="F29" s="142"/>
      <c r="G29" s="142"/>
      <c r="H29" s="142"/>
      <c r="I29" s="142"/>
      <c r="J29" s="142"/>
      <c r="K29" s="142"/>
      <c r="L29" s="142"/>
      <c r="M29" s="144"/>
      <c r="N29" s="143"/>
      <c r="O29" s="142"/>
      <c r="P29" s="142"/>
      <c r="Q29" s="142"/>
      <c r="R29" s="142"/>
      <c r="S29" s="142"/>
      <c r="T29" s="142"/>
      <c r="U29" s="142"/>
      <c r="V29" s="142"/>
      <c r="W29" s="142"/>
      <c r="X29" s="145"/>
      <c r="Y29" s="145"/>
      <c r="Z29" s="125"/>
      <c r="AA29" s="145"/>
      <c r="AB29" s="145"/>
      <c r="AC29" s="145"/>
      <c r="AD29" s="142"/>
      <c r="AE29" s="145"/>
    </row>
    <row r="30" spans="1:32" s="6" customFormat="1" ht="12.75" customHeight="1">
      <c r="A30" s="146"/>
      <c r="C30" s="147"/>
      <c r="E30" s="110" t="s">
        <v>103</v>
      </c>
      <c r="F30" s="6">
        <f>F17</f>
        <v>12</v>
      </c>
      <c r="M30" s="148" t="s">
        <v>104</v>
      </c>
      <c r="N30" s="147"/>
      <c r="O30" s="68">
        <f>AVERAGE(O11:O25)</f>
        <v>9.6375464592133309E-2</v>
      </c>
      <c r="P30" s="110" t="s">
        <v>105</v>
      </c>
      <c r="Q30" s="6">
        <f>VLOOKUP(F30,[2]ttab!$A$3:$G$43,4)</f>
        <v>1.3560000000000001</v>
      </c>
      <c r="X30" s="149"/>
      <c r="Y30" s="109"/>
      <c r="Z30" s="146"/>
    </row>
    <row r="31" spans="1:32" s="6" customFormat="1" ht="12.75" customHeight="1">
      <c r="A31" s="146"/>
      <c r="E31" s="110" t="s">
        <v>103</v>
      </c>
      <c r="F31" s="6">
        <f>F22</f>
        <v>12</v>
      </c>
      <c r="M31" s="148" t="s">
        <v>106</v>
      </c>
      <c r="N31" s="147"/>
      <c r="O31" s="68">
        <f>AVERAGE(O11:O27)</f>
        <v>5.9514595649076938</v>
      </c>
      <c r="P31" s="110" t="s">
        <v>105</v>
      </c>
      <c r="Q31" s="6">
        <f>VLOOKUP(F31,[2]ttab!$A$3:$G$43,4)</f>
        <v>1.3560000000000001</v>
      </c>
      <c r="S31" s="110" t="s">
        <v>107</v>
      </c>
      <c r="T31" s="33">
        <f>AVERAGE(T11:T27)</f>
        <v>192884634.74163881</v>
      </c>
      <c r="W31" s="110" t="s">
        <v>342</v>
      </c>
      <c r="X31" s="633">
        <f>AVERAGE(X11:X27)</f>
        <v>8.7247597326193596E-3</v>
      </c>
      <c r="Y31" s="633">
        <f>AVERAGE(Y11:Y27)</f>
        <v>0.30726653952629279</v>
      </c>
      <c r="Z31" s="146"/>
    </row>
    <row r="32" spans="1:32" s="6" customFormat="1" ht="12.75" customHeight="1">
      <c r="A32" s="142"/>
      <c r="B32" s="142"/>
      <c r="C32" s="142"/>
      <c r="D32" s="142"/>
      <c r="E32" s="142"/>
      <c r="F32" s="142"/>
      <c r="G32" s="142"/>
      <c r="H32" s="142"/>
      <c r="I32" s="142"/>
      <c r="J32" s="142"/>
      <c r="K32" s="142"/>
      <c r="L32" s="142"/>
      <c r="M32" s="144"/>
      <c r="N32" s="143"/>
      <c r="O32" s="142"/>
      <c r="P32" s="142"/>
      <c r="Q32" s="142"/>
      <c r="R32" s="142"/>
      <c r="S32" s="142"/>
      <c r="T32" s="142"/>
      <c r="U32" s="142"/>
      <c r="V32" s="142"/>
      <c r="W32" s="142"/>
      <c r="X32" s="145"/>
      <c r="Y32" s="109"/>
    </row>
    <row r="33" spans="1:28" s="6" customFormat="1" ht="12.75" customHeight="1">
      <c r="M33" s="150"/>
      <c r="N33" s="147"/>
      <c r="P33" s="772">
        <f>EXP(P28)</f>
        <v>47241.539785209119</v>
      </c>
      <c r="Q33" s="772">
        <f t="shared" ref="Q33:R33" si="34">EXP(Q28)</f>
        <v>1728.455783933252</v>
      </c>
      <c r="R33" s="772">
        <f t="shared" si="34"/>
        <v>1291188.9919445463</v>
      </c>
      <c r="W33" s="792"/>
      <c r="X33" s="792"/>
      <c r="Y33" s="792"/>
    </row>
    <row r="34" spans="1:28" s="6" customFormat="1" ht="12.75" customHeight="1">
      <c r="G34" s="110"/>
      <c r="H34" s="110"/>
      <c r="I34" s="110"/>
      <c r="J34" s="110"/>
      <c r="K34" s="110"/>
      <c r="M34" s="23"/>
      <c r="N34" s="23"/>
      <c r="O34" s="23"/>
      <c r="P34" s="23"/>
      <c r="Q34" s="23"/>
      <c r="R34" s="23"/>
      <c r="S34" s="23"/>
      <c r="T34" s="23"/>
      <c r="U34" s="23"/>
      <c r="V34" s="109"/>
      <c r="W34" s="793"/>
      <c r="X34" s="794"/>
      <c r="Y34" s="794">
        <f>STDEV(Y11:Y26)</f>
        <v>0.29682069633473163</v>
      </c>
      <c r="Z34" s="109"/>
      <c r="AA34" s="109"/>
      <c r="AB34" s="109"/>
    </row>
    <row r="35" spans="1:28" s="6" customFormat="1" ht="12.75" customHeight="1">
      <c r="G35" s="110"/>
      <c r="H35" s="110"/>
      <c r="I35" s="110"/>
      <c r="J35" s="110"/>
      <c r="K35" s="390"/>
      <c r="M35" s="23"/>
      <c r="N35" s="23"/>
      <c r="O35" s="23"/>
      <c r="P35" s="23"/>
      <c r="Q35" s="23"/>
      <c r="R35" s="23"/>
      <c r="S35" s="23"/>
      <c r="T35" s="23"/>
      <c r="U35" s="23"/>
      <c r="V35" s="109"/>
      <c r="W35" s="451"/>
      <c r="X35" s="451"/>
      <c r="Y35" s="451"/>
      <c r="Z35" s="109"/>
      <c r="AA35" s="109"/>
      <c r="AB35" s="109"/>
    </row>
    <row r="36" spans="1:28" s="6" customFormat="1" ht="12.75" customHeight="1">
      <c r="G36" s="110"/>
      <c r="H36" s="110"/>
      <c r="I36" s="110"/>
      <c r="J36" s="110"/>
      <c r="K36" s="390"/>
      <c r="M36" s="791"/>
      <c r="N36" s="791"/>
      <c r="O36" s="23"/>
      <c r="P36" s="23"/>
      <c r="Q36" s="23"/>
      <c r="R36" s="23"/>
      <c r="S36" s="23"/>
      <c r="T36" s="23"/>
      <c r="U36" s="23"/>
      <c r="V36" s="109"/>
      <c r="W36" s="793"/>
      <c r="X36" s="451"/>
      <c r="Y36" s="794"/>
      <c r="Z36" s="109"/>
      <c r="AA36" s="109"/>
      <c r="AB36" s="109"/>
    </row>
    <row r="37" spans="1:28" s="6" customFormat="1" ht="12.75" customHeight="1">
      <c r="G37" s="110"/>
      <c r="H37" s="110"/>
      <c r="I37" s="110"/>
      <c r="J37" s="110"/>
      <c r="K37" s="110"/>
      <c r="M37" s="19"/>
      <c r="N37" s="19"/>
      <c r="O37" s="23"/>
      <c r="P37" s="23"/>
      <c r="Q37" s="23"/>
      <c r="R37" s="23"/>
      <c r="S37" s="23"/>
      <c r="T37" s="23"/>
      <c r="U37" s="23"/>
      <c r="V37" s="109"/>
      <c r="W37" s="109"/>
      <c r="X37" s="109"/>
      <c r="Y37" s="109"/>
      <c r="Z37" s="109"/>
      <c r="AA37" s="109"/>
      <c r="AB37" s="109"/>
    </row>
    <row r="38" spans="1:28" s="6" customFormat="1" ht="12.75" customHeight="1">
      <c r="G38" s="110"/>
      <c r="H38" s="110"/>
      <c r="I38" s="110"/>
      <c r="J38" s="110"/>
      <c r="K38" s="110"/>
      <c r="M38" s="19"/>
      <c r="N38" s="19"/>
      <c r="O38" s="23"/>
      <c r="P38" s="23"/>
      <c r="Q38" s="23"/>
      <c r="R38" s="23"/>
      <c r="S38" s="23"/>
      <c r="T38" s="23"/>
      <c r="U38" s="23"/>
      <c r="V38" s="109"/>
      <c r="W38" s="109"/>
      <c r="X38" s="109"/>
      <c r="Y38" s="109"/>
      <c r="Z38" s="109"/>
      <c r="AA38" s="109"/>
      <c r="AB38" s="109"/>
    </row>
    <row r="39" spans="1:28" s="6" customFormat="1" ht="12.75" customHeight="1">
      <c r="G39" s="110"/>
      <c r="H39" s="110"/>
      <c r="I39" s="110"/>
      <c r="J39" s="110"/>
      <c r="K39" s="110"/>
      <c r="M39" s="19"/>
      <c r="N39" s="19"/>
      <c r="O39" s="23"/>
      <c r="P39" s="23"/>
      <c r="Q39" s="23"/>
      <c r="R39" s="23"/>
      <c r="S39" s="23"/>
      <c r="T39" s="23"/>
      <c r="U39" s="23"/>
      <c r="V39" s="109"/>
      <c r="W39" s="109"/>
      <c r="X39" s="109"/>
      <c r="Y39" s="109"/>
      <c r="Z39" s="109"/>
      <c r="AA39" s="109"/>
      <c r="AB39" s="109"/>
    </row>
    <row r="40" spans="1:28" s="6" customFormat="1" ht="12.75" customHeight="1">
      <c r="G40" s="110"/>
      <c r="H40" s="110"/>
      <c r="I40" s="110"/>
      <c r="J40" s="110"/>
      <c r="K40" s="110"/>
      <c r="M40" s="19"/>
      <c r="N40" s="19"/>
      <c r="O40" s="23"/>
      <c r="P40" s="23"/>
      <c r="Q40" s="23"/>
      <c r="R40" s="23"/>
      <c r="S40" s="23"/>
      <c r="T40" s="23"/>
      <c r="U40" s="23"/>
      <c r="V40" s="109"/>
      <c r="W40" s="109"/>
      <c r="X40" s="109"/>
      <c r="Y40" s="109"/>
      <c r="Z40" s="109"/>
      <c r="AA40" s="109"/>
      <c r="AB40" s="109"/>
    </row>
    <row r="41" spans="1:28" s="6" customFormat="1" ht="12.75" customHeight="1">
      <c r="G41" s="110"/>
      <c r="H41" s="415"/>
      <c r="I41" s="110"/>
      <c r="J41" s="110"/>
      <c r="K41" s="110"/>
      <c r="M41" s="19"/>
      <c r="N41" s="19"/>
      <c r="O41" s="23"/>
      <c r="P41" s="23"/>
      <c r="Q41" s="23"/>
      <c r="R41" s="23"/>
      <c r="S41" s="23"/>
      <c r="T41" s="23"/>
      <c r="U41" s="23"/>
      <c r="V41" s="109"/>
      <c r="W41" s="109"/>
      <c r="X41" s="109"/>
      <c r="Y41" s="109"/>
      <c r="Z41" s="109"/>
      <c r="AA41" s="109"/>
      <c r="AB41" s="109"/>
    </row>
    <row r="42" spans="1:28" s="6" customFormat="1" ht="12.75" customHeight="1">
      <c r="M42" s="23"/>
      <c r="N42" s="23"/>
      <c r="O42" s="23"/>
      <c r="P42" s="23"/>
      <c r="Q42" s="23"/>
      <c r="R42" s="23"/>
      <c r="S42" s="23"/>
      <c r="T42" s="23"/>
      <c r="U42" s="23"/>
      <c r="V42" s="109"/>
      <c r="W42" s="109"/>
      <c r="X42" s="109"/>
      <c r="Y42" s="109"/>
      <c r="Z42" s="109"/>
      <c r="AA42" s="109"/>
      <c r="AB42" s="109"/>
    </row>
    <row r="43" spans="1:28" s="6" customFormat="1" ht="12.75" customHeight="1">
      <c r="G43" s="110"/>
      <c r="H43" s="110"/>
      <c r="I43" s="110"/>
      <c r="J43" s="110"/>
      <c r="K43" s="110"/>
      <c r="M43" s="23"/>
      <c r="N43" s="23"/>
      <c r="O43" s="23"/>
      <c r="P43" s="23"/>
      <c r="Q43" s="23"/>
      <c r="R43" s="23"/>
      <c r="S43" s="23"/>
      <c r="T43" s="23"/>
      <c r="U43" s="23"/>
      <c r="V43" s="109"/>
      <c r="W43" s="109"/>
      <c r="X43" s="109"/>
      <c r="Y43" s="109"/>
      <c r="Z43" s="109"/>
      <c r="AA43" s="109"/>
      <c r="AB43" s="109"/>
    </row>
    <row r="44" spans="1:28" s="6" customFormat="1" ht="12.75" customHeight="1">
      <c r="G44" s="110"/>
      <c r="H44" s="110"/>
      <c r="I44" s="110"/>
      <c r="J44" s="110"/>
      <c r="K44" s="110"/>
      <c r="M44" s="385"/>
      <c r="N44" s="385"/>
      <c r="O44" s="385"/>
      <c r="P44" s="385"/>
      <c r="Q44" s="385"/>
      <c r="R44" s="385"/>
      <c r="S44" s="23"/>
      <c r="T44" s="23"/>
      <c r="U44" s="23"/>
      <c r="V44" s="109"/>
      <c r="W44" s="109"/>
      <c r="X44" s="109"/>
      <c r="Y44" s="109"/>
      <c r="Z44" s="109"/>
      <c r="AA44" s="109"/>
      <c r="AB44" s="109"/>
    </row>
    <row r="45" spans="1:28" s="6" customFormat="1" ht="12.75" customHeight="1">
      <c r="G45" s="110"/>
      <c r="H45" s="110"/>
      <c r="I45" s="110"/>
      <c r="J45" s="110"/>
      <c r="K45" s="110"/>
      <c r="M45" s="19"/>
      <c r="N45" s="19"/>
      <c r="O45" s="19"/>
      <c r="P45" s="19"/>
      <c r="Q45" s="19"/>
      <c r="R45" s="482"/>
      <c r="S45" s="23"/>
      <c r="T45" s="23"/>
      <c r="U45" s="23"/>
      <c r="V45" s="109"/>
      <c r="W45" s="109"/>
      <c r="X45" s="109"/>
      <c r="Y45" s="109"/>
      <c r="Z45" s="109"/>
      <c r="AA45" s="109"/>
      <c r="AB45" s="109"/>
    </row>
    <row r="46" spans="1:28" s="6" customFormat="1" ht="12.75" customHeight="1">
      <c r="G46" s="110"/>
      <c r="H46" s="110"/>
      <c r="I46" s="110"/>
      <c r="J46" s="110"/>
      <c r="K46" s="110"/>
      <c r="M46" s="19"/>
      <c r="N46" s="19"/>
      <c r="O46" s="19"/>
      <c r="P46" s="19"/>
      <c r="Q46" s="19"/>
      <c r="R46" s="19"/>
      <c r="S46" s="23"/>
      <c r="T46" s="23"/>
      <c r="U46" s="23"/>
      <c r="V46" s="109"/>
      <c r="W46" s="109"/>
      <c r="X46" s="109"/>
      <c r="Y46" s="109"/>
      <c r="Z46" s="109"/>
      <c r="AA46" s="109"/>
      <c r="AB46" s="109"/>
    </row>
    <row r="47" spans="1:28">
      <c r="G47" s="249"/>
      <c r="H47" s="249"/>
      <c r="I47" s="249"/>
      <c r="J47" s="249"/>
      <c r="K47" s="249"/>
      <c r="M47" s="19"/>
      <c r="N47" s="19"/>
      <c r="O47" s="19"/>
      <c r="P47" s="19"/>
      <c r="Q47" s="19"/>
      <c r="R47" s="19"/>
      <c r="S47" s="23"/>
      <c r="T47" s="23"/>
      <c r="U47" s="23"/>
      <c r="V47" s="23"/>
      <c r="W47" s="23"/>
      <c r="X47" s="23"/>
      <c r="Y47" s="23"/>
      <c r="Z47" s="23"/>
      <c r="AA47" s="23"/>
      <c r="AB47" s="23"/>
    </row>
    <row r="48" spans="1:28">
      <c r="G48" s="249"/>
      <c r="H48" s="249"/>
      <c r="I48" s="249"/>
      <c r="J48" s="249"/>
      <c r="K48" s="249"/>
      <c r="M48" s="23"/>
      <c r="N48" s="23"/>
      <c r="O48" s="23"/>
      <c r="P48" s="23"/>
      <c r="Q48" s="23"/>
      <c r="R48" s="23"/>
      <c r="S48" s="23"/>
      <c r="T48" s="23"/>
      <c r="U48" s="23"/>
      <c r="V48" s="23"/>
      <c r="W48" s="23"/>
      <c r="X48" s="23"/>
      <c r="Y48" s="23"/>
      <c r="Z48" s="23"/>
      <c r="AA48" s="23"/>
      <c r="AB48" s="23"/>
    </row>
    <row r="49" spans="7:28">
      <c r="G49" s="249"/>
      <c r="H49" s="249"/>
      <c r="I49" s="249"/>
      <c r="J49" s="249"/>
      <c r="K49" s="249"/>
      <c r="M49" s="385"/>
      <c r="N49" s="385"/>
      <c r="O49" s="385"/>
      <c r="P49" s="385"/>
      <c r="Q49" s="385"/>
      <c r="R49" s="385"/>
      <c r="S49" s="385"/>
      <c r="T49" s="385"/>
      <c r="U49" s="385"/>
      <c r="V49" s="23"/>
      <c r="W49" s="23"/>
      <c r="X49" s="23"/>
      <c r="Y49" s="23"/>
      <c r="Z49" s="23"/>
      <c r="AA49" s="23"/>
      <c r="AB49" s="23"/>
    </row>
    <row r="50" spans="7:28">
      <c r="G50" s="249"/>
      <c r="H50" s="249"/>
      <c r="I50" s="249"/>
      <c r="J50" s="249"/>
      <c r="K50" s="249"/>
      <c r="M50" s="19"/>
      <c r="N50" s="19"/>
      <c r="O50" s="19"/>
      <c r="P50" s="19"/>
      <c r="Q50" s="19"/>
      <c r="R50" s="19"/>
      <c r="S50" s="19"/>
      <c r="T50" s="19"/>
      <c r="U50" s="19"/>
      <c r="V50" s="23"/>
      <c r="W50" s="23"/>
      <c r="X50" s="23"/>
      <c r="Y50" s="23"/>
      <c r="Z50" s="23"/>
      <c r="AA50" s="23"/>
      <c r="AB50" s="23"/>
    </row>
    <row r="51" spans="7:28">
      <c r="M51" s="19"/>
      <c r="N51" s="19"/>
      <c r="O51" s="19"/>
      <c r="P51" s="19"/>
      <c r="Q51" s="19"/>
      <c r="R51" s="19"/>
      <c r="S51" s="19"/>
      <c r="T51" s="19"/>
      <c r="U51" s="19"/>
      <c r="V51" s="23"/>
      <c r="W51" s="23"/>
      <c r="X51" s="23"/>
      <c r="Y51" s="23"/>
      <c r="Z51" s="23"/>
      <c r="AA51" s="23"/>
      <c r="AB51" s="23"/>
    </row>
    <row r="52" spans="7:28">
      <c r="M52" s="23"/>
      <c r="N52" s="23"/>
      <c r="O52" s="23"/>
      <c r="P52" s="23"/>
      <c r="Q52" s="23"/>
      <c r="R52" s="23"/>
      <c r="S52" s="23"/>
      <c r="T52" s="23"/>
      <c r="U52" s="23"/>
      <c r="V52" s="23"/>
      <c r="W52" s="23"/>
      <c r="X52" s="23"/>
      <c r="Y52" s="23"/>
      <c r="Z52" s="23"/>
      <c r="AA52" s="23"/>
      <c r="AB52" s="23"/>
    </row>
    <row r="53" spans="7:28">
      <c r="M53" s="23"/>
      <c r="N53" s="23"/>
      <c r="O53" s="23"/>
      <c r="P53" s="23"/>
      <c r="Q53" s="23"/>
      <c r="R53" s="23"/>
      <c r="S53" s="23"/>
      <c r="T53" s="23"/>
      <c r="U53" s="23"/>
      <c r="V53" s="23"/>
      <c r="W53" s="23"/>
      <c r="X53" s="23"/>
      <c r="Y53" s="23"/>
      <c r="Z53" s="23"/>
      <c r="AA53" s="23"/>
      <c r="AB53" s="23"/>
    </row>
    <row r="54" spans="7:28">
      <c r="M54" s="23"/>
      <c r="N54" s="23"/>
      <c r="O54" s="23"/>
      <c r="P54" s="23"/>
      <c r="Q54" s="23"/>
      <c r="R54" s="23"/>
      <c r="S54" s="23"/>
      <c r="T54" s="23"/>
      <c r="U54" s="23"/>
      <c r="V54" s="23"/>
      <c r="W54" s="23"/>
      <c r="X54" s="23"/>
      <c r="Y54" s="23"/>
      <c r="Z54" s="23"/>
      <c r="AA54" s="23"/>
      <c r="AB54" s="23"/>
    </row>
    <row r="55" spans="7:28">
      <c r="M55" s="23"/>
      <c r="N55" s="23"/>
      <c r="O55" s="23"/>
      <c r="P55" s="23"/>
      <c r="Q55" s="23"/>
      <c r="R55" s="23"/>
      <c r="S55" s="23"/>
      <c r="T55" s="23"/>
      <c r="U55" s="23"/>
      <c r="V55" s="23"/>
      <c r="W55" s="23"/>
      <c r="X55" s="23"/>
      <c r="Y55" s="23"/>
      <c r="Z55" s="23"/>
      <c r="AA55" s="23"/>
      <c r="AB55" s="23"/>
    </row>
    <row r="56" spans="7:28">
      <c r="M56" s="23"/>
      <c r="N56" s="23"/>
      <c r="O56" s="23"/>
      <c r="P56" s="23"/>
      <c r="Q56" s="23"/>
      <c r="R56" s="23"/>
      <c r="S56" s="23"/>
      <c r="T56" s="23"/>
      <c r="U56" s="23"/>
      <c r="V56" s="23"/>
      <c r="W56" s="23"/>
      <c r="X56" s="23"/>
      <c r="Y56" s="23"/>
      <c r="Z56" s="23"/>
      <c r="AA56" s="23"/>
      <c r="AB56" s="23"/>
    </row>
    <row r="57" spans="7:28">
      <c r="M57" s="791"/>
      <c r="N57" s="791"/>
      <c r="O57" s="23"/>
      <c r="P57" s="23"/>
      <c r="Q57" s="23"/>
      <c r="R57" s="23"/>
      <c r="S57" s="23"/>
      <c r="T57" s="23"/>
      <c r="U57" s="23"/>
      <c r="V57" s="23"/>
      <c r="W57" s="23"/>
      <c r="X57" s="23"/>
      <c r="Y57" s="23"/>
      <c r="Z57" s="23"/>
      <c r="AA57" s="23"/>
      <c r="AB57" s="23"/>
    </row>
    <row r="58" spans="7:28">
      <c r="M58" s="19"/>
      <c r="N58" s="19"/>
      <c r="O58" s="23"/>
      <c r="P58" s="23"/>
      <c r="Q58" s="23"/>
      <c r="R58" s="23"/>
      <c r="S58" s="23"/>
      <c r="T58" s="23"/>
      <c r="U58" s="23"/>
      <c r="V58" s="23"/>
      <c r="W58" s="23"/>
      <c r="X58" s="23"/>
      <c r="Y58" s="23"/>
      <c r="Z58" s="23"/>
      <c r="AA58" s="23"/>
      <c r="AB58" s="23"/>
    </row>
    <row r="59" spans="7:28">
      <c r="M59" s="19"/>
      <c r="N59" s="19"/>
      <c r="O59" s="23"/>
      <c r="P59" s="23"/>
      <c r="Q59" s="23"/>
      <c r="R59" s="23"/>
      <c r="S59" s="23"/>
      <c r="T59" s="23"/>
      <c r="U59" s="23"/>
      <c r="V59" s="23"/>
      <c r="W59" s="23"/>
      <c r="X59" s="23"/>
      <c r="Y59" s="23"/>
      <c r="Z59" s="23"/>
      <c r="AA59" s="23"/>
      <c r="AB59" s="23"/>
    </row>
    <row r="60" spans="7:28">
      <c r="M60" s="19"/>
      <c r="N60" s="19"/>
      <c r="O60" s="23"/>
      <c r="P60" s="23"/>
      <c r="Q60" s="23"/>
      <c r="R60" s="23"/>
      <c r="S60" s="23"/>
      <c r="T60" s="23"/>
      <c r="U60" s="23"/>
      <c r="V60" s="23"/>
      <c r="W60" s="23"/>
      <c r="X60" s="23"/>
      <c r="Y60" s="23"/>
      <c r="Z60" s="23"/>
      <c r="AA60" s="23"/>
      <c r="AB60" s="23"/>
    </row>
    <row r="61" spans="7:28">
      <c r="M61" s="19"/>
      <c r="N61" s="19"/>
      <c r="O61" s="23"/>
      <c r="P61" s="23"/>
      <c r="Q61" s="23"/>
      <c r="R61" s="23"/>
      <c r="S61" s="23"/>
      <c r="T61" s="23"/>
      <c r="U61" s="23"/>
      <c r="V61" s="23"/>
      <c r="W61" s="23"/>
      <c r="X61" s="23"/>
      <c r="Y61" s="23"/>
      <c r="Z61" s="23"/>
      <c r="AA61" s="23"/>
      <c r="AB61" s="23"/>
    </row>
    <row r="62" spans="7:28">
      <c r="M62" s="19"/>
      <c r="N62" s="19"/>
      <c r="O62" s="23"/>
      <c r="P62" s="23"/>
      <c r="Q62" s="23"/>
      <c r="R62" s="23"/>
      <c r="S62" s="23"/>
      <c r="T62" s="23"/>
      <c r="U62" s="23"/>
      <c r="V62" s="23"/>
      <c r="W62" s="23"/>
      <c r="X62" s="23"/>
      <c r="Y62" s="23"/>
      <c r="Z62" s="23"/>
      <c r="AA62" s="23"/>
      <c r="AB62" s="23"/>
    </row>
    <row r="63" spans="7:28">
      <c r="M63" s="23"/>
      <c r="N63" s="23"/>
      <c r="O63" s="23"/>
      <c r="P63" s="23"/>
      <c r="Q63" s="23"/>
      <c r="R63" s="23"/>
      <c r="S63" s="23"/>
      <c r="T63" s="23"/>
      <c r="U63" s="23"/>
      <c r="V63" s="23"/>
      <c r="W63" s="23"/>
      <c r="X63" s="23"/>
      <c r="Y63" s="23"/>
      <c r="Z63" s="23"/>
      <c r="AA63" s="23"/>
      <c r="AB63" s="23"/>
    </row>
    <row r="64" spans="7:28">
      <c r="M64" s="23"/>
      <c r="N64" s="23"/>
      <c r="O64" s="23"/>
      <c r="P64" s="23"/>
      <c r="Q64" s="23"/>
      <c r="R64" s="23"/>
      <c r="S64" s="23"/>
      <c r="T64" s="23"/>
      <c r="U64" s="23"/>
      <c r="V64" s="23"/>
      <c r="W64" s="23"/>
      <c r="X64" s="23"/>
      <c r="Y64" s="23"/>
      <c r="Z64" s="23"/>
      <c r="AA64" s="23"/>
      <c r="AB64" s="23"/>
    </row>
    <row r="65" spans="13:28">
      <c r="M65" s="385"/>
      <c r="N65" s="385"/>
      <c r="O65" s="385"/>
      <c r="P65" s="385"/>
      <c r="Q65" s="385"/>
      <c r="R65" s="385"/>
      <c r="S65" s="23"/>
      <c r="T65" s="23"/>
      <c r="U65" s="23"/>
      <c r="V65" s="23"/>
      <c r="W65" s="23"/>
      <c r="X65" s="23"/>
      <c r="Y65" s="23"/>
      <c r="Z65" s="23"/>
      <c r="AA65" s="23"/>
      <c r="AB65" s="23"/>
    </row>
    <row r="66" spans="13:28">
      <c r="M66" s="19"/>
      <c r="N66" s="19"/>
      <c r="O66" s="19"/>
      <c r="P66" s="19"/>
      <c r="Q66" s="19"/>
      <c r="R66" s="19"/>
      <c r="S66" s="23"/>
      <c r="T66" s="23"/>
      <c r="U66" s="23"/>
      <c r="V66" s="23"/>
      <c r="W66" s="23"/>
      <c r="X66" s="23"/>
      <c r="Y66" s="23"/>
      <c r="Z66" s="23"/>
      <c r="AA66" s="23"/>
      <c r="AB66" s="23"/>
    </row>
    <row r="67" spans="13:28">
      <c r="M67" s="19"/>
      <c r="N67" s="19"/>
      <c r="O67" s="19"/>
      <c r="P67" s="19"/>
      <c r="Q67" s="19"/>
      <c r="R67" s="19"/>
      <c r="S67" s="23"/>
      <c r="T67" s="23"/>
      <c r="U67" s="23"/>
      <c r="V67" s="23"/>
      <c r="W67" s="23"/>
      <c r="X67" s="23"/>
      <c r="Y67" s="23"/>
      <c r="Z67" s="23"/>
      <c r="AA67" s="23"/>
      <c r="AB67" s="23"/>
    </row>
    <row r="68" spans="13:28">
      <c r="M68" s="19"/>
      <c r="N68" s="19"/>
      <c r="O68" s="19"/>
      <c r="P68" s="19"/>
      <c r="Q68" s="19"/>
      <c r="R68" s="19"/>
      <c r="S68" s="23"/>
      <c r="T68" s="23"/>
      <c r="U68" s="23"/>
      <c r="V68" s="23"/>
      <c r="W68" s="23"/>
      <c r="X68" s="23"/>
      <c r="Y68" s="23"/>
      <c r="Z68" s="23"/>
      <c r="AA68" s="23"/>
      <c r="AB68" s="23"/>
    </row>
    <row r="69" spans="13:28">
      <c r="M69" s="23"/>
      <c r="N69" s="23"/>
      <c r="O69" s="23"/>
      <c r="P69" s="23"/>
      <c r="Q69" s="23"/>
      <c r="R69" s="23"/>
      <c r="S69" s="23"/>
      <c r="T69" s="23"/>
      <c r="U69" s="23"/>
      <c r="V69" s="23"/>
      <c r="W69" s="23"/>
      <c r="X69" s="23"/>
      <c r="Y69" s="23"/>
      <c r="Z69" s="23"/>
      <c r="AA69" s="23"/>
      <c r="AB69" s="23"/>
    </row>
    <row r="70" spans="13:28">
      <c r="M70" s="385"/>
      <c r="N70" s="385"/>
      <c r="O70" s="385"/>
      <c r="P70" s="385"/>
      <c r="Q70" s="385"/>
      <c r="R70" s="385"/>
      <c r="S70" s="385"/>
      <c r="T70" s="385"/>
      <c r="U70" s="385"/>
      <c r="V70" s="23"/>
      <c r="W70" s="23"/>
      <c r="X70" s="23"/>
      <c r="Y70" s="23"/>
      <c r="Z70" s="23"/>
      <c r="AA70" s="23"/>
      <c r="AB70" s="23"/>
    </row>
    <row r="71" spans="13:28">
      <c r="M71" s="19"/>
      <c r="N71" s="19"/>
      <c r="O71" s="19"/>
      <c r="P71" s="19"/>
      <c r="Q71" s="19"/>
      <c r="R71" s="19"/>
      <c r="S71" s="19"/>
      <c r="T71" s="19"/>
      <c r="U71" s="19"/>
      <c r="V71" s="23"/>
      <c r="W71" s="23"/>
      <c r="X71" s="23"/>
      <c r="Y71" s="23"/>
      <c r="Z71" s="23"/>
      <c r="AA71" s="23"/>
      <c r="AB71" s="23"/>
    </row>
    <row r="72" spans="13:28">
      <c r="M72" s="19"/>
      <c r="N72" s="19"/>
      <c r="O72" s="19"/>
      <c r="P72" s="19"/>
      <c r="Q72" s="19"/>
      <c r="R72" s="19"/>
      <c r="S72" s="19"/>
      <c r="T72" s="19"/>
      <c r="U72" s="19"/>
      <c r="V72" s="23"/>
      <c r="W72" s="23"/>
      <c r="X72" s="23"/>
      <c r="Y72" s="23"/>
      <c r="Z72" s="23"/>
      <c r="AA72" s="23"/>
      <c r="AB72" s="23"/>
    </row>
    <row r="73" spans="13:28">
      <c r="M73" s="23"/>
      <c r="N73" s="23"/>
      <c r="O73" s="23"/>
      <c r="P73" s="23"/>
      <c r="Q73" s="23"/>
      <c r="R73" s="23"/>
      <c r="S73" s="23"/>
      <c r="T73" s="23"/>
      <c r="U73" s="23"/>
      <c r="V73" s="23"/>
      <c r="W73" s="23"/>
      <c r="X73" s="23"/>
      <c r="Y73" s="23"/>
      <c r="Z73" s="23"/>
      <c r="AA73" s="23"/>
      <c r="AB73" s="23"/>
    </row>
    <row r="74" spans="13:28">
      <c r="M74" s="23"/>
      <c r="N74" s="23"/>
      <c r="O74" s="23"/>
      <c r="P74" s="23"/>
      <c r="Q74" s="23"/>
      <c r="R74" s="23"/>
      <c r="S74" s="23"/>
      <c r="T74" s="23"/>
      <c r="U74" s="23"/>
      <c r="V74" s="23"/>
      <c r="W74" s="23"/>
      <c r="X74" s="23"/>
      <c r="Y74" s="23"/>
      <c r="Z74" s="23"/>
      <c r="AA74" s="23"/>
      <c r="AB74" s="23"/>
    </row>
    <row r="75" spans="13:28">
      <c r="M75" s="23"/>
      <c r="N75" s="23"/>
      <c r="O75" s="23"/>
      <c r="P75" s="23"/>
      <c r="Q75" s="23"/>
      <c r="R75" s="23"/>
      <c r="S75" s="23"/>
      <c r="T75" s="23"/>
      <c r="U75" s="23"/>
      <c r="V75" s="23"/>
      <c r="W75" s="23"/>
      <c r="X75" s="23"/>
      <c r="Y75" s="23"/>
      <c r="Z75" s="23"/>
      <c r="AA75" s="23"/>
      <c r="AB75" s="23"/>
    </row>
    <row r="76" spans="13:28">
      <c r="M76" s="23"/>
      <c r="N76" s="23"/>
      <c r="O76" s="23"/>
      <c r="P76" s="23"/>
      <c r="Q76" s="23"/>
      <c r="R76" s="23"/>
      <c r="S76" s="23"/>
      <c r="T76" s="23"/>
      <c r="U76" s="23"/>
      <c r="V76" s="23"/>
      <c r="W76" s="23"/>
      <c r="X76" s="23"/>
      <c r="Y76" s="23"/>
      <c r="Z76" s="23"/>
      <c r="AA76" s="23"/>
      <c r="AB76" s="23"/>
    </row>
    <row r="77" spans="13:28">
      <c r="M77" s="23"/>
      <c r="N77" s="23"/>
      <c r="O77" s="23"/>
      <c r="P77" s="23"/>
      <c r="Q77" s="23"/>
      <c r="R77" s="23"/>
      <c r="S77" s="23"/>
      <c r="T77" s="23"/>
      <c r="U77" s="23"/>
      <c r="V77" s="23"/>
      <c r="W77" s="23"/>
      <c r="X77" s="23"/>
      <c r="Y77" s="23"/>
      <c r="Z77" s="23"/>
      <c r="AA77" s="23"/>
      <c r="AB77" s="23"/>
    </row>
    <row r="78" spans="13:28">
      <c r="M78" s="385"/>
      <c r="N78" s="385"/>
      <c r="O78" s="385"/>
      <c r="P78" s="23"/>
      <c r="Q78" s="23"/>
      <c r="R78" s="23"/>
      <c r="S78" s="23"/>
      <c r="T78" s="23"/>
      <c r="U78" s="23"/>
      <c r="V78" s="23"/>
      <c r="W78" s="23"/>
      <c r="X78" s="23"/>
      <c r="Y78" s="23"/>
      <c r="Z78" s="23"/>
      <c r="AA78" s="23"/>
      <c r="AB78" s="23"/>
    </row>
    <row r="79" spans="13:28">
      <c r="M79" s="19"/>
      <c r="N79" s="19"/>
      <c r="O79" s="19"/>
      <c r="P79" s="23"/>
      <c r="Q79" s="23"/>
      <c r="R79" s="23"/>
      <c r="S79" s="23"/>
      <c r="T79" s="23"/>
      <c r="U79" s="23"/>
      <c r="V79" s="23"/>
      <c r="W79" s="23"/>
      <c r="X79" s="23"/>
      <c r="Y79" s="23"/>
      <c r="Z79" s="23"/>
      <c r="AA79" s="23"/>
      <c r="AB79" s="23"/>
    </row>
    <row r="80" spans="13:28">
      <c r="M80" s="19"/>
      <c r="N80" s="19"/>
      <c r="O80" s="19"/>
      <c r="P80" s="23"/>
      <c r="Q80" s="23"/>
      <c r="R80" s="23"/>
      <c r="S80" s="23"/>
      <c r="T80" s="23"/>
      <c r="U80" s="23"/>
      <c r="V80" s="23"/>
      <c r="W80" s="23"/>
      <c r="X80" s="23"/>
      <c r="Y80" s="23"/>
      <c r="Z80" s="23"/>
      <c r="AA80" s="23"/>
      <c r="AB80" s="23"/>
    </row>
    <row r="81" spans="13:28">
      <c r="M81" s="19"/>
      <c r="N81" s="19"/>
      <c r="O81" s="19"/>
      <c r="P81" s="23"/>
      <c r="Q81" s="23"/>
      <c r="R81" s="23"/>
      <c r="S81" s="23"/>
      <c r="T81" s="23"/>
      <c r="U81" s="23"/>
      <c r="V81" s="23"/>
      <c r="W81" s="23"/>
      <c r="X81" s="23"/>
      <c r="Y81" s="23"/>
      <c r="Z81" s="23"/>
      <c r="AA81" s="23"/>
      <c r="AB81" s="23"/>
    </row>
    <row r="82" spans="13:28">
      <c r="M82" s="19"/>
      <c r="N82" s="19"/>
      <c r="O82" s="19"/>
      <c r="P82" s="23"/>
      <c r="Q82" s="23"/>
      <c r="R82" s="23"/>
      <c r="S82" s="23"/>
      <c r="T82" s="23"/>
      <c r="U82" s="23"/>
      <c r="V82" s="23"/>
      <c r="W82" s="23"/>
      <c r="X82" s="23"/>
      <c r="Y82" s="23"/>
      <c r="Z82" s="23"/>
      <c r="AA82" s="23"/>
      <c r="AB82" s="23"/>
    </row>
    <row r="83" spans="13:28">
      <c r="M83" s="19"/>
      <c r="N83" s="19"/>
      <c r="O83" s="19"/>
      <c r="P83" s="23"/>
      <c r="Q83" s="23"/>
      <c r="R83" s="23"/>
      <c r="S83" s="23"/>
      <c r="T83" s="23"/>
      <c r="U83" s="23"/>
      <c r="V83" s="23"/>
      <c r="W83" s="23"/>
      <c r="X83" s="23"/>
      <c r="Y83" s="23"/>
      <c r="Z83" s="23"/>
      <c r="AA83" s="23"/>
      <c r="AB83" s="23"/>
    </row>
    <row r="84" spans="13:28">
      <c r="M84" s="19"/>
      <c r="N84" s="19"/>
      <c r="O84" s="19"/>
      <c r="P84" s="23"/>
      <c r="Q84" s="23"/>
      <c r="R84" s="23"/>
      <c r="S84" s="23"/>
      <c r="T84" s="23"/>
      <c r="U84" s="23"/>
      <c r="V84" s="23"/>
      <c r="W84" s="23"/>
      <c r="X84" s="23"/>
      <c r="Y84" s="23"/>
      <c r="Z84" s="23"/>
      <c r="AA84" s="23"/>
      <c r="AB84" s="23"/>
    </row>
    <row r="85" spans="13:28">
      <c r="M85" s="19"/>
      <c r="N85" s="19"/>
      <c r="O85" s="19"/>
      <c r="P85" s="23"/>
      <c r="Q85" s="23"/>
      <c r="R85" s="23"/>
      <c r="S85" s="23"/>
      <c r="T85" s="23"/>
      <c r="U85" s="23"/>
      <c r="V85" s="23"/>
      <c r="W85" s="23"/>
      <c r="X85" s="23"/>
      <c r="Y85" s="23"/>
      <c r="Z85" s="23"/>
      <c r="AA85" s="23"/>
      <c r="AB85" s="23"/>
    </row>
    <row r="86" spans="13:28">
      <c r="M86" s="19"/>
      <c r="N86" s="19"/>
      <c r="O86" s="19"/>
      <c r="P86" s="23"/>
      <c r="Q86" s="23"/>
      <c r="R86" s="23"/>
      <c r="S86" s="23"/>
      <c r="T86" s="23"/>
      <c r="U86" s="23"/>
      <c r="V86" s="23"/>
      <c r="W86" s="23"/>
      <c r="X86" s="23"/>
      <c r="Y86" s="23"/>
      <c r="Z86" s="23"/>
      <c r="AA86" s="23"/>
      <c r="AB86" s="23"/>
    </row>
    <row r="87" spans="13:28">
      <c r="M87" s="19"/>
      <c r="N87" s="19"/>
      <c r="O87" s="19"/>
      <c r="P87" s="23"/>
      <c r="Q87" s="23"/>
      <c r="R87" s="23"/>
      <c r="S87" s="23"/>
      <c r="T87" s="23"/>
      <c r="U87" s="23"/>
      <c r="V87" s="23"/>
      <c r="W87" s="23"/>
      <c r="X87" s="23"/>
      <c r="Y87" s="23"/>
      <c r="Z87" s="23"/>
      <c r="AA87" s="23"/>
      <c r="AB87" s="23"/>
    </row>
    <row r="88" spans="13:28">
      <c r="M88" s="19"/>
      <c r="N88" s="19"/>
      <c r="O88" s="19"/>
      <c r="P88" s="23"/>
      <c r="Q88" s="23"/>
      <c r="R88" s="23"/>
      <c r="S88" s="23"/>
      <c r="T88" s="23"/>
      <c r="U88" s="23"/>
      <c r="V88" s="23"/>
      <c r="W88" s="23"/>
      <c r="X88" s="23"/>
      <c r="Y88" s="23"/>
      <c r="Z88" s="23"/>
      <c r="AA88" s="23"/>
      <c r="AB88" s="23"/>
    </row>
    <row r="89" spans="13:28">
      <c r="M89" s="19"/>
      <c r="N89" s="19"/>
      <c r="O89" s="19"/>
      <c r="P89" s="23"/>
      <c r="Q89" s="23"/>
      <c r="R89" s="23"/>
      <c r="S89" s="23"/>
      <c r="T89" s="23"/>
      <c r="U89" s="23"/>
      <c r="V89" s="23"/>
      <c r="W89" s="23"/>
      <c r="X89" s="23"/>
      <c r="Y89" s="23"/>
      <c r="Z89" s="23"/>
      <c r="AA89" s="23"/>
      <c r="AB89" s="23"/>
    </row>
    <row r="90" spans="13:28">
      <c r="M90" s="23"/>
      <c r="N90" s="23"/>
      <c r="O90" s="23"/>
      <c r="P90" s="23"/>
      <c r="Q90" s="23"/>
      <c r="R90" s="23"/>
      <c r="S90" s="23"/>
      <c r="T90" s="23"/>
      <c r="U90" s="23"/>
      <c r="V90" s="23"/>
      <c r="W90" s="23"/>
      <c r="X90" s="23"/>
      <c r="Y90" s="23"/>
      <c r="Z90" s="23"/>
      <c r="AA90" s="23"/>
      <c r="AB90" s="23"/>
    </row>
  </sheetData>
  <sortState ref="A11:AF25">
    <sortCondition ref="B11"/>
  </sortState>
  <pageMargins left="0.75" right="0.75" top="1" bottom="1" header="0.5" footer="0.5"/>
  <headerFooter alignWithMargins="0"/>
  <drawing r:id="rId1"/>
  <legacyDrawing r:id="rId2"/>
  <controls>
    <mc:AlternateContent xmlns:mc="http://schemas.openxmlformats.org/markup-compatibility/2006">
      <mc:Choice Requires="x14">
        <control shapeId="79873" r:id="rId3" name="CommandButton1">
          <controlPr defaultSize="0" autoLine="0" autoPict="0" r:id="rId4">
            <anchor moveWithCells="1">
              <from>
                <xdr:col>13</xdr:col>
                <xdr:colOff>30480</xdr:colOff>
                <xdr:row>1</xdr:row>
                <xdr:rowOff>30480</xdr:rowOff>
              </from>
              <to>
                <xdr:col>16</xdr:col>
                <xdr:colOff>297180</xdr:colOff>
                <xdr:row>5</xdr:row>
                <xdr:rowOff>30480</xdr:rowOff>
              </to>
            </anchor>
          </controlPr>
        </control>
      </mc:Choice>
      <mc:Fallback>
        <control shapeId="79873" r:id="rId3"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105"/>
  <sheetViews>
    <sheetView topLeftCell="A13" workbookViewId="0">
      <selection activeCell="D44" sqref="D44"/>
    </sheetView>
  </sheetViews>
  <sheetFormatPr defaultRowHeight="13.2"/>
  <cols>
    <col min="1" max="2" width="8.109375" customWidth="1"/>
    <col min="3" max="3" width="15.33203125" customWidth="1"/>
    <col min="4" max="4" width="13.44140625" customWidth="1"/>
    <col min="5" max="5" width="5.33203125" customWidth="1"/>
    <col min="6" max="6" width="5.6640625" customWidth="1"/>
    <col min="7" max="7" width="10.77734375" customWidth="1"/>
    <col min="8" max="8" width="10.44140625" customWidth="1"/>
    <col min="9" max="10" width="9.44140625" bestFit="1" customWidth="1"/>
    <col min="11" max="11" width="11.109375" customWidth="1"/>
    <col min="12" max="12" width="9.44140625" bestFit="1" customWidth="1"/>
    <col min="13" max="13" width="13.77734375" customWidth="1"/>
    <col min="14" max="14" width="12" bestFit="1" customWidth="1"/>
    <col min="15" max="15" width="21.109375" customWidth="1"/>
    <col min="16" max="16" width="12.109375" bestFit="1" customWidth="1"/>
    <col min="17" max="17" width="14.44140625" customWidth="1"/>
    <col min="18" max="18" width="11.109375" customWidth="1"/>
    <col min="19" max="19" width="10" bestFit="1" customWidth="1"/>
    <col min="20" max="20" width="14.77734375" customWidth="1"/>
    <col min="21" max="21" width="9.44140625" bestFit="1" customWidth="1"/>
    <col min="22" max="23" width="10.77734375" customWidth="1"/>
    <col min="24" max="25" width="15.6640625" customWidth="1"/>
    <col min="26" max="26" width="9.44140625" bestFit="1" customWidth="1"/>
    <col min="27" max="27" width="10.77734375" bestFit="1" customWidth="1"/>
    <col min="28" max="29" width="9.44140625" bestFit="1" customWidth="1"/>
    <col min="30" max="30" width="10.109375" bestFit="1" customWidth="1"/>
    <col min="31" max="31" width="11.44140625" customWidth="1"/>
    <col min="32" max="32" width="10.77734375" bestFit="1" customWidth="1"/>
  </cols>
  <sheetData>
    <row r="1" spans="1:32" s="6" customFormat="1" ht="24" customHeight="1">
      <c r="A1" s="250" t="s">
        <v>482</v>
      </c>
    </row>
    <row r="2" spans="1:32" s="6" customFormat="1">
      <c r="G2" s="110" t="s">
        <v>93</v>
      </c>
      <c r="H2" s="6" t="s">
        <v>96</v>
      </c>
    </row>
    <row r="3" spans="1:32" s="6" customFormat="1">
      <c r="G3" s="110" t="s">
        <v>95</v>
      </c>
      <c r="H3" s="6" t="s">
        <v>111</v>
      </c>
    </row>
    <row r="4" spans="1:32" s="6" customFormat="1">
      <c r="G4" s="111" t="s">
        <v>92</v>
      </c>
      <c r="H4" s="6">
        <v>6</v>
      </c>
    </row>
    <row r="5" spans="1:32" s="6" customFormat="1"/>
    <row r="6" spans="1:32" s="6" customFormat="1"/>
    <row r="7" spans="1:32" s="6" customFormat="1">
      <c r="A7" s="112"/>
      <c r="B7" s="112"/>
      <c r="C7" s="113" t="s">
        <v>64</v>
      </c>
      <c r="D7" s="114"/>
      <c r="E7" s="113"/>
      <c r="F7" s="115"/>
      <c r="G7" s="116"/>
      <c r="H7" s="115" t="s">
        <v>65</v>
      </c>
      <c r="I7" s="115"/>
      <c r="J7" s="115"/>
      <c r="K7" s="115"/>
      <c r="L7" s="115"/>
      <c r="M7" s="117"/>
      <c r="N7" s="113" t="s">
        <v>66</v>
      </c>
      <c r="O7" s="115"/>
      <c r="P7" s="115"/>
      <c r="Q7" s="115"/>
      <c r="R7" s="114"/>
      <c r="S7" s="113" t="s">
        <v>178</v>
      </c>
      <c r="T7" s="115"/>
      <c r="U7" s="115"/>
      <c r="V7" s="115"/>
      <c r="W7" s="114"/>
      <c r="X7" s="118" t="s">
        <v>67</v>
      </c>
      <c r="Y7" s="118" t="s">
        <v>339</v>
      </c>
      <c r="Z7" s="119" t="s">
        <v>68</v>
      </c>
      <c r="AA7" s="119" t="s">
        <v>69</v>
      </c>
      <c r="AB7" s="119" t="s">
        <v>70</v>
      </c>
      <c r="AC7" s="119" t="s">
        <v>71</v>
      </c>
      <c r="AD7" s="90" t="s">
        <v>72</v>
      </c>
      <c r="AE7" s="91"/>
    </row>
    <row r="8" spans="1:32" s="6" customFormat="1">
      <c r="A8" s="120" t="s">
        <v>27</v>
      </c>
      <c r="B8" s="120" t="s">
        <v>28</v>
      </c>
      <c r="C8" s="118" t="s">
        <v>73</v>
      </c>
      <c r="D8" s="118" t="s">
        <v>74</v>
      </c>
      <c r="E8" s="112"/>
      <c r="F8" s="112"/>
      <c r="G8" s="122"/>
      <c r="H8" s="112"/>
      <c r="I8" s="118" t="s">
        <v>75</v>
      </c>
      <c r="J8" s="118" t="s">
        <v>76</v>
      </c>
      <c r="K8" s="118" t="s">
        <v>75</v>
      </c>
      <c r="L8" s="112"/>
      <c r="M8" s="123" t="s">
        <v>77</v>
      </c>
      <c r="N8" s="112"/>
      <c r="O8" s="112"/>
      <c r="P8" s="118" t="s">
        <v>78</v>
      </c>
      <c r="Q8" s="118" t="s">
        <v>79</v>
      </c>
      <c r="R8" s="118" t="s">
        <v>80</v>
      </c>
      <c r="S8" s="112"/>
      <c r="T8" s="112"/>
      <c r="U8" s="118" t="s">
        <v>78</v>
      </c>
      <c r="V8" s="118" t="s">
        <v>79</v>
      </c>
      <c r="W8" s="118" t="s">
        <v>80</v>
      </c>
      <c r="X8" s="120" t="s">
        <v>81</v>
      </c>
      <c r="Y8" s="120" t="s">
        <v>340</v>
      </c>
      <c r="Z8" s="121"/>
      <c r="AA8" s="118" t="s">
        <v>82</v>
      </c>
      <c r="AB8" s="118" t="s">
        <v>83</v>
      </c>
      <c r="AC8" s="118" t="s">
        <v>28</v>
      </c>
      <c r="AD8" s="119" t="s">
        <v>84</v>
      </c>
      <c r="AE8" s="119" t="s">
        <v>85</v>
      </c>
    </row>
    <row r="9" spans="1:32" s="6" customFormat="1" ht="16.8">
      <c r="A9" s="124" t="s">
        <v>12</v>
      </c>
      <c r="B9" s="124" t="s">
        <v>12</v>
      </c>
      <c r="C9" s="126" t="s">
        <v>68</v>
      </c>
      <c r="D9" s="127" t="s">
        <v>154</v>
      </c>
      <c r="E9" s="124" t="s">
        <v>31</v>
      </c>
      <c r="F9" s="124" t="s">
        <v>86</v>
      </c>
      <c r="G9" s="127" t="s">
        <v>87</v>
      </c>
      <c r="H9" s="128" t="s">
        <v>88</v>
      </c>
      <c r="I9" s="129" t="s">
        <v>88</v>
      </c>
      <c r="J9" s="127" t="s">
        <v>155</v>
      </c>
      <c r="K9" s="124" t="s">
        <v>76</v>
      </c>
      <c r="L9" s="124" t="s">
        <v>156</v>
      </c>
      <c r="M9" s="130" t="s">
        <v>89</v>
      </c>
      <c r="N9" s="124" t="s">
        <v>157</v>
      </c>
      <c r="O9" s="130" t="s">
        <v>158</v>
      </c>
      <c r="P9" s="127" t="s">
        <v>155</v>
      </c>
      <c r="Q9" s="124" t="s">
        <v>159</v>
      </c>
      <c r="R9" s="124" t="s">
        <v>159</v>
      </c>
      <c r="S9" s="124" t="s">
        <v>157</v>
      </c>
      <c r="T9" s="130" t="s">
        <v>158</v>
      </c>
      <c r="U9" s="127" t="s">
        <v>155</v>
      </c>
      <c r="V9" s="124" t="s">
        <v>159</v>
      </c>
      <c r="W9" s="124" t="s">
        <v>159</v>
      </c>
      <c r="X9" s="131" t="s">
        <v>160</v>
      </c>
      <c r="Y9" s="131" t="s">
        <v>341</v>
      </c>
      <c r="Z9" s="124" t="s">
        <v>112</v>
      </c>
      <c r="AA9" s="124" t="s">
        <v>90</v>
      </c>
      <c r="AB9" s="124" t="s">
        <v>90</v>
      </c>
      <c r="AC9" s="124" t="s">
        <v>12</v>
      </c>
      <c r="AD9" s="119" t="s">
        <v>79</v>
      </c>
      <c r="AE9" s="119" t="s">
        <v>80</v>
      </c>
      <c r="AF9" s="119" t="s">
        <v>91</v>
      </c>
    </row>
    <row r="10" spans="1:32" s="6" customFormat="1">
      <c r="A10" s="134"/>
      <c r="B10" s="109"/>
      <c r="C10" s="132"/>
      <c r="D10" s="133"/>
      <c r="E10" s="134"/>
      <c r="F10" s="134"/>
      <c r="G10" s="133"/>
      <c r="H10" s="135"/>
      <c r="I10" s="136"/>
      <c r="J10" s="133"/>
      <c r="K10" s="134"/>
      <c r="L10" s="134"/>
      <c r="M10" s="137"/>
      <c r="N10" s="134"/>
      <c r="O10" s="137"/>
      <c r="P10" s="133"/>
      <c r="Q10" s="134"/>
      <c r="R10" s="134"/>
      <c r="S10" s="134"/>
      <c r="T10" s="137"/>
      <c r="U10" s="133"/>
      <c r="V10" s="134"/>
      <c r="W10" s="134"/>
      <c r="X10" s="138"/>
      <c r="Y10" s="138"/>
      <c r="Z10" s="134"/>
      <c r="AA10" s="134"/>
      <c r="AB10" s="134"/>
      <c r="AC10" s="134"/>
      <c r="AD10" s="134"/>
      <c r="AE10" s="134"/>
      <c r="AF10" s="134"/>
    </row>
    <row r="11" spans="1:32" s="6" customFormat="1">
      <c r="A11" s="134">
        <v>1975</v>
      </c>
      <c r="B11" s="109">
        <f t="shared" ref="B11:B43" si="0">A11+$H$4</f>
        <v>1981</v>
      </c>
      <c r="C11" s="67">
        <f>VLOOKUP($A11,FBrood!$A$8:$M$50,8)</f>
        <v>7.7827025714270546</v>
      </c>
      <c r="D11" s="67">
        <f>VLOOKUP($A11,FBrood!$A$8:$M$50,12)</f>
        <v>9.0266222849320847</v>
      </c>
      <c r="E11" s="6">
        <v>32</v>
      </c>
      <c r="F11" s="6">
        <v>30</v>
      </c>
      <c r="G11" s="139">
        <v>7.2982133150615294</v>
      </c>
      <c r="H11" s="139">
        <v>0.26372272308835343</v>
      </c>
      <c r="I11" s="139">
        <v>0.20361731721557957</v>
      </c>
      <c r="J11" s="139">
        <v>9.6811020148548614</v>
      </c>
      <c r="K11" s="139">
        <v>0.63709506876425903</v>
      </c>
      <c r="L11" s="139">
        <v>5.2955931810564523E-2</v>
      </c>
      <c r="M11" s="6">
        <v>0.42373892001219371</v>
      </c>
      <c r="N11" s="68">
        <f t="shared" ref="N11:N43" si="1">D11-J11</f>
        <v>-0.6544797299227767</v>
      </c>
      <c r="O11" s="461">
        <f t="shared" ref="O11:O43" si="2">N11^2</f>
        <v>0.42834371687979073</v>
      </c>
      <c r="P11" s="69">
        <f t="shared" ref="P11:P43" si="3">J11</f>
        <v>9.6811020148548614</v>
      </c>
      <c r="Q11" s="25">
        <f t="shared" ref="Q11:Q43" si="4">$P11-SQRT($O$47)*$Q$47</f>
        <v>8.9613873030058571</v>
      </c>
      <c r="R11" s="25">
        <f t="shared" ref="R11:R43" si="5">$P11+SQRT($O$47)*$Q$47</f>
        <v>10.400816726703866</v>
      </c>
      <c r="S11" s="70">
        <f t="shared" ref="S11:S43" si="6">EXP(D11)-U11</f>
        <v>-7690.4291122624054</v>
      </c>
      <c r="T11" s="25">
        <f t="shared" ref="T11:T43" si="7">S11^2</f>
        <v>59142699.930733129</v>
      </c>
      <c r="U11" s="70">
        <f t="shared" ref="U11:U43" si="8">EXP(P11)</f>
        <v>16012.132815966101</v>
      </c>
      <c r="V11" s="71">
        <f t="shared" ref="V11:V43" si="9">EXP(Q11)</f>
        <v>7796.1656073409913</v>
      </c>
      <c r="W11" s="71">
        <f t="shared" ref="W11:W43" si="10">EXP(R11)</f>
        <v>32886.473970578452</v>
      </c>
      <c r="X11" s="72">
        <f t="shared" ref="X11:X43" si="11">(+U11-EXP(D11))/(EXP(D11))</f>
        <v>0.92414118383470778</v>
      </c>
      <c r="Y11" s="72">
        <f t="shared" ref="Y11:Y43" si="12">ABS(X11)</f>
        <v>0.92414118383470778</v>
      </c>
      <c r="Z11" s="73">
        <f t="shared" ref="Z11:Z43" si="13">C11</f>
        <v>7.7827025714270546</v>
      </c>
      <c r="AA11" s="74">
        <f t="shared" ref="AA11:AA43" si="14">(+$G$45+$H$45*C11)</f>
        <v>9.3650741326809328</v>
      </c>
      <c r="AB11" s="73">
        <f t="shared" ref="AB11:AB43" si="15">D11</f>
        <v>9.0266222849320847</v>
      </c>
      <c r="AC11" s="70">
        <f t="shared" ref="AC11:AC29" si="16">B11-1900</f>
        <v>81</v>
      </c>
      <c r="AD11" s="84">
        <f t="shared" ref="AD11:AD43" si="17">AA11-SQRT($O$47)*$Q$47</f>
        <v>8.6453594208319284</v>
      </c>
      <c r="AE11" s="85">
        <f t="shared" ref="AE11:AE43" si="18">AA11+SQRT($O$47)*$Q$47</f>
        <v>10.084788844529937</v>
      </c>
      <c r="AF11" s="134"/>
    </row>
    <row r="12" spans="1:32" s="6" customFormat="1">
      <c r="A12" s="134">
        <v>1976</v>
      </c>
      <c r="B12" s="109">
        <f t="shared" si="0"/>
        <v>1982</v>
      </c>
      <c r="C12" s="67">
        <f>VLOOKUP($A12,FBrood!$A$8:$M$50,8)</f>
        <v>9.0623403675341656</v>
      </c>
      <c r="D12" s="67">
        <f>VLOOKUP($A12,FBrood!$A$8:$M$50,12)</f>
        <v>9.3970948900131841</v>
      </c>
      <c r="E12" s="6">
        <v>32</v>
      </c>
      <c r="F12" s="6">
        <v>30</v>
      </c>
      <c r="G12" s="139">
        <v>7.2965933347466834</v>
      </c>
      <c r="H12" s="139">
        <v>0.26373122953259953</v>
      </c>
      <c r="I12" s="139">
        <v>0.18976566759962935</v>
      </c>
      <c r="J12" s="139">
        <v>9.8706759412008012</v>
      </c>
      <c r="K12" s="139">
        <v>0.63691889397691293</v>
      </c>
      <c r="L12" s="139">
        <v>6.0487958838554845E-2</v>
      </c>
      <c r="M12" s="6">
        <v>0.42352189113103067</v>
      </c>
      <c r="N12" s="68">
        <f t="shared" si="1"/>
        <v>-0.47358105118761706</v>
      </c>
      <c r="O12" s="25">
        <f t="shared" si="2"/>
        <v>0.22427901204396838</v>
      </c>
      <c r="P12" s="69">
        <f t="shared" si="3"/>
        <v>9.8706759412008012</v>
      </c>
      <c r="Q12" s="25">
        <f t="shared" si="4"/>
        <v>9.1509612293517968</v>
      </c>
      <c r="R12" s="25">
        <f t="shared" si="5"/>
        <v>10.590390653049806</v>
      </c>
      <c r="S12" s="70">
        <f t="shared" si="6"/>
        <v>-7301.1033849220057</v>
      </c>
      <c r="T12" s="25">
        <f t="shared" si="7"/>
        <v>53306110.637319572</v>
      </c>
      <c r="U12" s="70">
        <f t="shared" si="8"/>
        <v>19354.417001129648</v>
      </c>
      <c r="V12" s="71">
        <f t="shared" si="9"/>
        <v>9423.4941658669159</v>
      </c>
      <c r="W12" s="71">
        <f t="shared" si="10"/>
        <v>39751.014948408541</v>
      </c>
      <c r="X12" s="72">
        <f t="shared" si="11"/>
        <v>0.60573412568511309</v>
      </c>
      <c r="Y12" s="72">
        <f t="shared" si="12"/>
        <v>0.60573412568511309</v>
      </c>
      <c r="Z12" s="73">
        <f t="shared" si="13"/>
        <v>9.0623403675341656</v>
      </c>
      <c r="AA12" s="74">
        <f t="shared" si="14"/>
        <v>9.6961167850282948</v>
      </c>
      <c r="AB12" s="73">
        <f t="shared" si="15"/>
        <v>9.3970948900131841</v>
      </c>
      <c r="AC12" s="70">
        <f t="shared" si="16"/>
        <v>82</v>
      </c>
      <c r="AD12" s="84">
        <f t="shared" si="17"/>
        <v>8.9764020731792904</v>
      </c>
      <c r="AE12" s="85">
        <f t="shared" si="18"/>
        <v>10.415831496877299</v>
      </c>
      <c r="AF12" s="134"/>
    </row>
    <row r="13" spans="1:32" s="6" customFormat="1">
      <c r="A13" s="134">
        <v>1977</v>
      </c>
      <c r="B13" s="109">
        <f t="shared" si="0"/>
        <v>1983</v>
      </c>
      <c r="C13" s="67">
        <f>VLOOKUP($A13,FBrood!$A$8:$M$50,8)</f>
        <v>10.13504358499859</v>
      </c>
      <c r="D13" s="67">
        <f>VLOOKUP($A13,FBrood!$A$8:$M$50,12)</f>
        <v>9.7404193385339362</v>
      </c>
      <c r="E13" s="6">
        <v>32</v>
      </c>
      <c r="F13" s="6">
        <v>30</v>
      </c>
      <c r="G13" s="139">
        <v>7.3678968653018337</v>
      </c>
      <c r="H13" s="139">
        <v>0.25695201613057211</v>
      </c>
      <c r="I13" s="139">
        <v>0.18733558829788041</v>
      </c>
      <c r="J13" s="139">
        <v>10.117951061897543</v>
      </c>
      <c r="K13" s="139">
        <v>0.63703159255383512</v>
      </c>
      <c r="L13" s="139">
        <v>5.9010207271495266E-2</v>
      </c>
      <c r="M13" s="6">
        <v>0.4236690640136842</v>
      </c>
      <c r="N13" s="68">
        <f t="shared" si="1"/>
        <v>-0.37753172336360663</v>
      </c>
      <c r="O13" s="25">
        <f t="shared" si="2"/>
        <v>0.14253020214589479</v>
      </c>
      <c r="P13" s="69">
        <f t="shared" si="3"/>
        <v>10.117951061897543</v>
      </c>
      <c r="Q13" s="25">
        <f t="shared" si="4"/>
        <v>9.3982363500485384</v>
      </c>
      <c r="R13" s="25">
        <f t="shared" si="5"/>
        <v>10.837665773746547</v>
      </c>
      <c r="S13" s="70">
        <f t="shared" si="6"/>
        <v>-7793.2732937439032</v>
      </c>
      <c r="T13" s="25">
        <f t="shared" si="7"/>
        <v>60735108.630981945</v>
      </c>
      <c r="U13" s="70">
        <f t="shared" si="8"/>
        <v>24783.938021263788</v>
      </c>
      <c r="V13" s="71">
        <f t="shared" si="9"/>
        <v>12067.079847300745</v>
      </c>
      <c r="W13" s="71">
        <f t="shared" si="10"/>
        <v>50902.421432078561</v>
      </c>
      <c r="X13" s="72">
        <f t="shared" si="11"/>
        <v>0.45867971728740492</v>
      </c>
      <c r="Y13" s="72">
        <f t="shared" si="12"/>
        <v>0.45867971728740492</v>
      </c>
      <c r="Z13" s="73">
        <f t="shared" si="13"/>
        <v>10.13504358499859</v>
      </c>
      <c r="AA13" s="74">
        <f t="shared" si="14"/>
        <v>9.9736254045542907</v>
      </c>
      <c r="AB13" s="73">
        <f t="shared" si="15"/>
        <v>9.7404193385339362</v>
      </c>
      <c r="AC13" s="70">
        <f t="shared" si="16"/>
        <v>83</v>
      </c>
      <c r="AD13" s="84">
        <f t="shared" si="17"/>
        <v>9.2539106927052863</v>
      </c>
      <c r="AE13" s="85">
        <f t="shared" si="18"/>
        <v>10.693340116403295</v>
      </c>
    </row>
    <row r="14" spans="1:32" s="6" customFormat="1">
      <c r="A14" s="134">
        <v>1978</v>
      </c>
      <c r="B14" s="109">
        <f t="shared" si="0"/>
        <v>1984</v>
      </c>
      <c r="C14" s="67">
        <f>VLOOKUP($A14,FBrood!$A$8:$M$50,8)</f>
        <v>10.431687290277248</v>
      </c>
      <c r="D14" s="67">
        <f>VLOOKUP($A14,FBrood!$A$8:$M$50,12)</f>
        <v>10.004092431196456</v>
      </c>
      <c r="E14" s="6">
        <v>32</v>
      </c>
      <c r="F14" s="6">
        <v>30</v>
      </c>
      <c r="G14" s="139">
        <v>7.6182580277134404</v>
      </c>
      <c r="H14" s="139">
        <v>0.23110828030102187</v>
      </c>
      <c r="I14" s="139">
        <v>0.18530964347343595</v>
      </c>
      <c r="J14" s="139">
        <v>10.131194957008884</v>
      </c>
      <c r="K14" s="139">
        <v>0.62626044981059703</v>
      </c>
      <c r="L14" s="139">
        <v>4.9290319393406293E-2</v>
      </c>
      <c r="M14" s="6">
        <v>0.41022865687196097</v>
      </c>
      <c r="N14" s="68">
        <f t="shared" si="1"/>
        <v>-0.1271025258124272</v>
      </c>
      <c r="O14" s="25">
        <f t="shared" si="2"/>
        <v>1.6155052067898724E-2</v>
      </c>
      <c r="P14" s="69">
        <f t="shared" si="3"/>
        <v>10.131194957008884</v>
      </c>
      <c r="Q14" s="25">
        <f t="shared" si="4"/>
        <v>9.4114802451598791</v>
      </c>
      <c r="R14" s="25">
        <f t="shared" si="5"/>
        <v>10.850909668857888</v>
      </c>
      <c r="S14" s="70">
        <f t="shared" si="6"/>
        <v>-2997.5647929474399</v>
      </c>
      <c r="T14" s="25">
        <f t="shared" si="7"/>
        <v>8985394.6879180279</v>
      </c>
      <c r="U14" s="70">
        <f t="shared" si="8"/>
        <v>25114.357084942389</v>
      </c>
      <c r="V14" s="71">
        <f t="shared" si="9"/>
        <v>12227.957962032115</v>
      </c>
      <c r="W14" s="71">
        <f t="shared" si="10"/>
        <v>51581.051697136951</v>
      </c>
      <c r="X14" s="72">
        <f t="shared" si="11"/>
        <v>0.13553343330137399</v>
      </c>
      <c r="Y14" s="72">
        <f t="shared" si="12"/>
        <v>0.13553343330137399</v>
      </c>
      <c r="Z14" s="73">
        <f t="shared" si="13"/>
        <v>10.431687290277248</v>
      </c>
      <c r="AA14" s="74">
        <f t="shared" si="14"/>
        <v>10.050367213288251</v>
      </c>
      <c r="AB14" s="73">
        <f t="shared" si="15"/>
        <v>10.004092431196456</v>
      </c>
      <c r="AC14" s="70">
        <f t="shared" si="16"/>
        <v>84</v>
      </c>
      <c r="AD14" s="84">
        <f t="shared" si="17"/>
        <v>9.3306525014392463</v>
      </c>
      <c r="AE14" s="85">
        <f t="shared" si="18"/>
        <v>10.770081925137255</v>
      </c>
    </row>
    <row r="15" spans="1:32" s="6" customFormat="1">
      <c r="A15" s="134">
        <v>1979</v>
      </c>
      <c r="B15" s="109">
        <f t="shared" si="0"/>
        <v>1985</v>
      </c>
      <c r="C15" s="67">
        <f>VLOOKUP($A15,FBrood!$A$8:$M$50,8)</f>
        <v>9.4867647439893457</v>
      </c>
      <c r="D15" s="67">
        <f>VLOOKUP($A15,FBrood!$A$8:$M$50,12)</f>
        <v>10.165489904262202</v>
      </c>
      <c r="E15" s="6">
        <v>32</v>
      </c>
      <c r="F15" s="6">
        <v>30</v>
      </c>
      <c r="G15" s="139">
        <v>7.293740488633949</v>
      </c>
      <c r="H15" s="139">
        <v>0.26297989870514343</v>
      </c>
      <c r="I15" s="139">
        <v>0.18515229930005134</v>
      </c>
      <c r="J15" s="139">
        <v>9.9952848204670808</v>
      </c>
      <c r="K15" s="139">
        <v>0.63208412985399687</v>
      </c>
      <c r="L15" s="139">
        <v>6.3008791434145839E-2</v>
      </c>
      <c r="M15" s="6">
        <v>0.4175929032187074</v>
      </c>
      <c r="N15" s="68">
        <f t="shared" si="1"/>
        <v>0.17020508379512123</v>
      </c>
      <c r="O15" s="25">
        <f t="shared" si="2"/>
        <v>2.8969770549704239E-2</v>
      </c>
      <c r="P15" s="69">
        <f t="shared" si="3"/>
        <v>9.9952848204670808</v>
      </c>
      <c r="Q15" s="25">
        <f t="shared" si="4"/>
        <v>9.2755701086180764</v>
      </c>
      <c r="R15" s="25">
        <f t="shared" si="5"/>
        <v>10.714999532316085</v>
      </c>
      <c r="S15" s="70">
        <f t="shared" si="6"/>
        <v>4067.7404452497685</v>
      </c>
      <c r="T15" s="25">
        <f t="shared" si="7"/>
        <v>16546512.329920786</v>
      </c>
      <c r="U15" s="70">
        <f t="shared" si="8"/>
        <v>21922.851526018811</v>
      </c>
      <c r="V15" s="71">
        <f t="shared" si="9"/>
        <v>10674.042180787308</v>
      </c>
      <c r="W15" s="71">
        <f t="shared" si="10"/>
        <v>45026.186976939207</v>
      </c>
      <c r="X15" s="72">
        <f t="shared" si="11"/>
        <v>-0.15650818764522451</v>
      </c>
      <c r="Y15" s="72">
        <f t="shared" si="12"/>
        <v>0.15650818764522451</v>
      </c>
      <c r="Z15" s="73">
        <f t="shared" si="13"/>
        <v>9.4867647439893457</v>
      </c>
      <c r="AA15" s="74">
        <f t="shared" si="14"/>
        <v>9.8059154887943389</v>
      </c>
      <c r="AB15" s="73">
        <f t="shared" si="15"/>
        <v>10.165489904262202</v>
      </c>
      <c r="AC15" s="70">
        <f t="shared" si="16"/>
        <v>85</v>
      </c>
      <c r="AD15" s="84">
        <f t="shared" si="17"/>
        <v>9.0862007769453346</v>
      </c>
      <c r="AE15" s="85">
        <f t="shared" si="18"/>
        <v>10.525630200643343</v>
      </c>
    </row>
    <row r="16" spans="1:32" s="6" customFormat="1">
      <c r="A16" s="134">
        <v>1980</v>
      </c>
      <c r="B16" s="109">
        <f t="shared" si="0"/>
        <v>1986</v>
      </c>
      <c r="C16" s="67">
        <f>VLOOKUP($A16,FBrood!$A$8:$M$50,8)</f>
        <v>9.4124522170203111</v>
      </c>
      <c r="D16" s="67">
        <f>VLOOKUP($A16,FBrood!$A$8:$M$50,12)</f>
        <v>9.5501302436281446</v>
      </c>
      <c r="E16" s="6">
        <v>32</v>
      </c>
      <c r="F16" s="6">
        <v>30</v>
      </c>
      <c r="G16" s="139">
        <v>6.919482835960336</v>
      </c>
      <c r="H16" s="139">
        <v>0.29838074375012341</v>
      </c>
      <c r="I16" s="139">
        <v>0.18743460518263821</v>
      </c>
      <c r="J16" s="139">
        <v>9.810149631910221</v>
      </c>
      <c r="K16" s="139">
        <v>0.62633354337745484</v>
      </c>
      <c r="L16" s="139">
        <v>7.7893606347487307E-2</v>
      </c>
      <c r="M16" s="6">
        <v>0.41001140234706723</v>
      </c>
      <c r="N16" s="68">
        <f t="shared" si="1"/>
        <v>-0.26001938828207649</v>
      </c>
      <c r="O16" s="25">
        <f t="shared" si="2"/>
        <v>6.7610082282585263E-2</v>
      </c>
      <c r="P16" s="69">
        <f t="shared" si="3"/>
        <v>9.810149631910221</v>
      </c>
      <c r="Q16" s="25">
        <f t="shared" si="4"/>
        <v>9.0904349200612167</v>
      </c>
      <c r="R16" s="25">
        <f t="shared" si="5"/>
        <v>10.529864343759225</v>
      </c>
      <c r="S16" s="70">
        <f t="shared" si="6"/>
        <v>-4171.1888021207142</v>
      </c>
      <c r="T16" s="25">
        <f t="shared" si="7"/>
        <v>17398816.022937238</v>
      </c>
      <c r="U16" s="70">
        <f t="shared" si="8"/>
        <v>18217.712824741811</v>
      </c>
      <c r="V16" s="71">
        <f t="shared" si="9"/>
        <v>8870.042973103933</v>
      </c>
      <c r="W16" s="71">
        <f t="shared" si="10"/>
        <v>37416.398271250342</v>
      </c>
      <c r="X16" s="72">
        <f t="shared" si="11"/>
        <v>0.29695523215588859</v>
      </c>
      <c r="Y16" s="72">
        <f t="shared" si="12"/>
        <v>0.29695523215588859</v>
      </c>
      <c r="Z16" s="73">
        <f t="shared" si="13"/>
        <v>9.4124522170203111</v>
      </c>
      <c r="AA16" s="74">
        <f t="shared" si="14"/>
        <v>9.78669081748086</v>
      </c>
      <c r="AB16" s="73">
        <f t="shared" si="15"/>
        <v>9.5501302436281446</v>
      </c>
      <c r="AC16" s="70">
        <f t="shared" si="16"/>
        <v>86</v>
      </c>
      <c r="AD16" s="84">
        <f t="shared" si="17"/>
        <v>9.0669761056318556</v>
      </c>
      <c r="AE16" s="85">
        <f t="shared" si="18"/>
        <v>10.506405529329864</v>
      </c>
    </row>
    <row r="17" spans="1:32" s="6" customFormat="1">
      <c r="A17" s="134">
        <v>1981</v>
      </c>
      <c r="B17" s="109">
        <f t="shared" si="0"/>
        <v>1987</v>
      </c>
      <c r="C17" s="67">
        <f>VLOOKUP($A17,FBrood!$A$8:$M$50,8)</f>
        <v>9.9934902869486333</v>
      </c>
      <c r="D17" s="67">
        <f>VLOOKUP($A17,FBrood!$A$8:$M$50,12)</f>
        <v>10.175338997470613</v>
      </c>
      <c r="E17" s="6">
        <v>32</v>
      </c>
      <c r="F17" s="6">
        <v>30</v>
      </c>
      <c r="G17" s="139">
        <v>7.6009763372728916</v>
      </c>
      <c r="H17" s="139">
        <v>0.23305674227468806</v>
      </c>
      <c r="I17" s="139">
        <v>0.18658757762873313</v>
      </c>
      <c r="J17" s="139">
        <v>10.145423071511219</v>
      </c>
      <c r="K17" s="139">
        <v>0.62928997502878814</v>
      </c>
      <c r="L17" s="139">
        <v>4.943325973970663E-2</v>
      </c>
      <c r="M17" s="6">
        <v>0.41394508460222251</v>
      </c>
      <c r="N17" s="68">
        <f t="shared" si="1"/>
        <v>2.9915925959393519E-2</v>
      </c>
      <c r="O17" s="25">
        <f t="shared" si="2"/>
        <v>8.9496262600791501E-4</v>
      </c>
      <c r="P17" s="69">
        <f t="shared" si="3"/>
        <v>10.145423071511219</v>
      </c>
      <c r="Q17" s="25">
        <f t="shared" si="4"/>
        <v>9.4257083596622149</v>
      </c>
      <c r="R17" s="25">
        <f t="shared" si="5"/>
        <v>10.865137783360224</v>
      </c>
      <c r="S17" s="70">
        <f t="shared" si="6"/>
        <v>773.59928873491663</v>
      </c>
      <c r="T17" s="25">
        <f t="shared" si="7"/>
        <v>598455.85953116894</v>
      </c>
      <c r="U17" s="70">
        <f t="shared" si="8"/>
        <v>25474.241198183092</v>
      </c>
      <c r="V17" s="71">
        <f t="shared" si="9"/>
        <v>12403.182348347344</v>
      </c>
      <c r="W17" s="71">
        <f t="shared" si="10"/>
        <v>52320.198671405975</v>
      </c>
      <c r="X17" s="72">
        <f t="shared" si="11"/>
        <v>-2.947287374443168E-2</v>
      </c>
      <c r="Y17" s="72">
        <f t="shared" si="12"/>
        <v>2.947287374443168E-2</v>
      </c>
      <c r="Z17" s="73">
        <f t="shared" si="13"/>
        <v>9.9934902869486333</v>
      </c>
      <c r="AA17" s="74">
        <f t="shared" si="14"/>
        <v>9.9370055271346551</v>
      </c>
      <c r="AB17" s="73">
        <f t="shared" si="15"/>
        <v>10.175338997470613</v>
      </c>
      <c r="AC17" s="70">
        <f t="shared" si="16"/>
        <v>87</v>
      </c>
      <c r="AD17" s="84">
        <f t="shared" si="17"/>
        <v>9.2172908152856508</v>
      </c>
      <c r="AE17" s="85">
        <f t="shared" si="18"/>
        <v>10.656720238983659</v>
      </c>
    </row>
    <row r="18" spans="1:32" s="6" customFormat="1">
      <c r="A18" s="134">
        <v>1982</v>
      </c>
      <c r="B18" s="109">
        <f t="shared" si="0"/>
        <v>1988</v>
      </c>
      <c r="C18" s="67">
        <f>VLOOKUP($A18,FBrood!$A$8:$M$50,8)</f>
        <v>9.2071524487385759</v>
      </c>
      <c r="D18" s="67">
        <f>VLOOKUP($A18,FBrood!$A$8:$M$50,12)</f>
        <v>9.8572667978459574</v>
      </c>
      <c r="E18" s="6">
        <v>32</v>
      </c>
      <c r="F18" s="6">
        <v>30</v>
      </c>
      <c r="G18" s="139">
        <v>6.9758163442568497</v>
      </c>
      <c r="H18" s="139">
        <v>0.29308266369627484</v>
      </c>
      <c r="I18" s="139">
        <v>0.18723777250908896</v>
      </c>
      <c r="J18" s="139">
        <v>9.8300729073024939</v>
      </c>
      <c r="K18" s="139">
        <v>0.62764776716961557</v>
      </c>
      <c r="L18" s="139">
        <v>7.5505149208440162E-2</v>
      </c>
      <c r="M18" s="6">
        <v>0.41175223424277957</v>
      </c>
      <c r="N18" s="68">
        <f t="shared" si="1"/>
        <v>2.7193890543463439E-2</v>
      </c>
      <c r="O18" s="25">
        <f t="shared" si="2"/>
        <v>7.3950768288987023E-4</v>
      </c>
      <c r="P18" s="69">
        <f t="shared" si="3"/>
        <v>9.8300729073024939</v>
      </c>
      <c r="Q18" s="25">
        <f t="shared" si="4"/>
        <v>9.1103581954534896</v>
      </c>
      <c r="R18" s="25">
        <f t="shared" si="5"/>
        <v>10.549787619151498</v>
      </c>
      <c r="S18" s="70">
        <f t="shared" si="6"/>
        <v>512.31400185102029</v>
      </c>
      <c r="T18" s="25">
        <f t="shared" si="7"/>
        <v>262465.63649260724</v>
      </c>
      <c r="U18" s="70">
        <f t="shared" si="8"/>
        <v>18584.309107496854</v>
      </c>
      <c r="V18" s="71">
        <f t="shared" si="9"/>
        <v>9048.5354552886984</v>
      </c>
      <c r="W18" s="71">
        <f t="shared" si="10"/>
        <v>38169.331016007069</v>
      </c>
      <c r="X18" s="72">
        <f t="shared" si="11"/>
        <v>-2.6827465720902274E-2</v>
      </c>
      <c r="Y18" s="72">
        <f t="shared" si="12"/>
        <v>2.6827465720902274E-2</v>
      </c>
      <c r="Z18" s="73">
        <f t="shared" si="13"/>
        <v>9.2071524487385759</v>
      </c>
      <c r="AA18" s="74">
        <f t="shared" si="14"/>
        <v>9.7335797105527586</v>
      </c>
      <c r="AB18" s="73">
        <f t="shared" si="15"/>
        <v>9.8572667978459574</v>
      </c>
      <c r="AC18" s="70">
        <f t="shared" si="16"/>
        <v>88</v>
      </c>
      <c r="AD18" s="84">
        <f t="shared" si="17"/>
        <v>9.0138649987037542</v>
      </c>
      <c r="AE18" s="85">
        <f t="shared" si="18"/>
        <v>10.453294422401763</v>
      </c>
    </row>
    <row r="19" spans="1:32" s="6" customFormat="1">
      <c r="A19" s="134">
        <v>1983</v>
      </c>
      <c r="B19" s="109">
        <f t="shared" si="0"/>
        <v>1989</v>
      </c>
      <c r="C19" s="67">
        <f>VLOOKUP($A19,FBrood!$A$8:$M$50,8)</f>
        <v>8.9586545817934145</v>
      </c>
      <c r="D19" s="67">
        <f>VLOOKUP($A19,FBrood!$A$8:$M$50,12)</f>
        <v>9.8569871705196999</v>
      </c>
      <c r="E19" s="6">
        <v>32</v>
      </c>
      <c r="F19" s="6">
        <v>30</v>
      </c>
      <c r="G19" s="139">
        <v>6.5907469075683025</v>
      </c>
      <c r="H19" s="139">
        <v>0.32909551479613636</v>
      </c>
      <c r="I19" s="139">
        <v>0.18538437926141035</v>
      </c>
      <c r="J19" s="139">
        <v>9.7343709264552558</v>
      </c>
      <c r="K19" s="139">
        <v>0.61352369516464644</v>
      </c>
      <c r="L19" s="139">
        <v>9.5059677753936506E-2</v>
      </c>
      <c r="M19" s="6">
        <v>0.39338512697066308</v>
      </c>
      <c r="N19" s="68">
        <f t="shared" si="1"/>
        <v>0.12261624406444405</v>
      </c>
      <c r="O19" s="25">
        <f t="shared" si="2"/>
        <v>1.5034743308471311E-2</v>
      </c>
      <c r="P19" s="69">
        <f t="shared" si="3"/>
        <v>9.7343709264552558</v>
      </c>
      <c r="Q19" s="25">
        <f t="shared" si="4"/>
        <v>9.0146562146062514</v>
      </c>
      <c r="R19" s="25">
        <f t="shared" si="5"/>
        <v>10.45408563830426</v>
      </c>
      <c r="S19" s="70">
        <f t="shared" si="6"/>
        <v>2203.0755709038895</v>
      </c>
      <c r="T19" s="25">
        <f t="shared" si="7"/>
        <v>4853541.9711134983</v>
      </c>
      <c r="U19" s="70">
        <f t="shared" si="8"/>
        <v>16888.208347310032</v>
      </c>
      <c r="V19" s="71">
        <f t="shared" si="9"/>
        <v>8222.7190218921223</v>
      </c>
      <c r="W19" s="71">
        <f t="shared" si="10"/>
        <v>34685.799237795494</v>
      </c>
      <c r="X19" s="72">
        <f t="shared" si="11"/>
        <v>-0.11539693088960135</v>
      </c>
      <c r="Y19" s="72">
        <f t="shared" si="12"/>
        <v>0.11539693088960135</v>
      </c>
      <c r="Z19" s="73">
        <f t="shared" si="13"/>
        <v>8.9586545817934145</v>
      </c>
      <c r="AA19" s="74">
        <f t="shared" si="14"/>
        <v>9.6692932435333816</v>
      </c>
      <c r="AB19" s="73">
        <f t="shared" si="15"/>
        <v>9.8569871705196999</v>
      </c>
      <c r="AC19" s="70">
        <f t="shared" si="16"/>
        <v>89</v>
      </c>
      <c r="AD19" s="84">
        <f t="shared" si="17"/>
        <v>8.9495785316843772</v>
      </c>
      <c r="AE19" s="85">
        <f t="shared" si="18"/>
        <v>10.389007955382386</v>
      </c>
    </row>
    <row r="20" spans="1:32" s="6" customFormat="1">
      <c r="A20" s="134">
        <v>1984</v>
      </c>
      <c r="B20" s="109">
        <f t="shared" si="0"/>
        <v>1990</v>
      </c>
      <c r="C20" s="67">
        <f>VLOOKUP($A20,FBrood!$A$8:$M$50,8)</f>
        <v>8.9353240460756513</v>
      </c>
      <c r="D20" s="67">
        <f>VLOOKUP($A20,FBrood!$A$8:$M$50,12)</f>
        <v>9.3718654215637898</v>
      </c>
      <c r="E20" s="6">
        <v>32</v>
      </c>
      <c r="F20" s="6">
        <v>30</v>
      </c>
      <c r="G20" s="139">
        <v>7.133065432557296</v>
      </c>
      <c r="H20" s="139">
        <v>0.27859561946184735</v>
      </c>
      <c r="I20" s="139">
        <v>0.18826929553935962</v>
      </c>
      <c r="J20" s="139">
        <v>9.8630853646539247</v>
      </c>
      <c r="K20" s="139">
        <v>0.63325927088432044</v>
      </c>
      <c r="L20" s="139">
        <v>6.8025588184192243E-2</v>
      </c>
      <c r="M20" s="6">
        <v>0.41888854499552153</v>
      </c>
      <c r="N20" s="68">
        <f t="shared" si="1"/>
        <v>-0.49121994309013495</v>
      </c>
      <c r="O20" s="25">
        <f t="shared" si="2"/>
        <v>0.24129703248947543</v>
      </c>
      <c r="P20" s="69">
        <f t="shared" si="3"/>
        <v>9.8630853646539247</v>
      </c>
      <c r="Q20" s="25">
        <f t="shared" si="4"/>
        <v>9.1433706528049203</v>
      </c>
      <c r="R20" s="25">
        <f t="shared" si="5"/>
        <v>10.582800076502929</v>
      </c>
      <c r="S20" s="70">
        <f t="shared" si="6"/>
        <v>-7455.0429933933392</v>
      </c>
      <c r="T20" s="25">
        <f t="shared" si="7"/>
        <v>55577666.033343121</v>
      </c>
      <c r="U20" s="70">
        <f t="shared" si="8"/>
        <v>19208.061979568462</v>
      </c>
      <c r="V20" s="71">
        <f t="shared" si="9"/>
        <v>9352.2352025126238</v>
      </c>
      <c r="W20" s="71">
        <f t="shared" si="10"/>
        <v>39450.424098810028</v>
      </c>
      <c r="X20" s="72">
        <f t="shared" si="11"/>
        <v>0.63430876799931835</v>
      </c>
      <c r="Y20" s="72">
        <f t="shared" si="12"/>
        <v>0.63430876799931835</v>
      </c>
      <c r="Z20" s="73">
        <f t="shared" si="13"/>
        <v>8.9353240460756513</v>
      </c>
      <c r="AA20" s="74">
        <f t="shared" si="14"/>
        <v>9.6632576274800037</v>
      </c>
      <c r="AB20" s="73">
        <f t="shared" si="15"/>
        <v>9.3718654215637898</v>
      </c>
      <c r="AC20" s="70">
        <f t="shared" si="16"/>
        <v>90</v>
      </c>
      <c r="AD20" s="84">
        <f t="shared" si="17"/>
        <v>8.9435429156309993</v>
      </c>
      <c r="AE20" s="85">
        <f t="shared" si="18"/>
        <v>10.382972339329008</v>
      </c>
    </row>
    <row r="21" spans="1:32" s="6" customFormat="1">
      <c r="A21" s="134">
        <v>1985</v>
      </c>
      <c r="B21" s="109">
        <f t="shared" si="0"/>
        <v>1991</v>
      </c>
      <c r="C21" s="67">
        <f>VLOOKUP($A21,FBrood!$A$8:$M$50,8)</f>
        <v>8.6042949606337302</v>
      </c>
      <c r="D21" s="67">
        <f>VLOOKUP($A21,FBrood!$A$8:$M$50,12)</f>
        <v>9.3915699147220675</v>
      </c>
      <c r="E21" s="6">
        <v>32</v>
      </c>
      <c r="F21" s="6">
        <v>30</v>
      </c>
      <c r="G21" s="139">
        <v>7.1205673124120228</v>
      </c>
      <c r="H21" s="139">
        <v>0.28013835791004793</v>
      </c>
      <c r="I21" s="139">
        <v>0.19290872144595636</v>
      </c>
      <c r="J21" s="139">
        <v>9.7796044537882683</v>
      </c>
      <c r="K21" s="139">
        <v>0.63528272266934283</v>
      </c>
      <c r="L21" s="139">
        <v>6.5677552508582981E-2</v>
      </c>
      <c r="M21" s="6">
        <v>0.42134617539892816</v>
      </c>
      <c r="N21" s="68">
        <f t="shared" si="1"/>
        <v>-0.38803453906620078</v>
      </c>
      <c r="O21" s="25">
        <f t="shared" si="2"/>
        <v>0.15057080350831889</v>
      </c>
      <c r="P21" s="69">
        <f t="shared" si="3"/>
        <v>9.7796044537882683</v>
      </c>
      <c r="Q21" s="25">
        <f t="shared" si="4"/>
        <v>9.0598897419392639</v>
      </c>
      <c r="R21" s="25">
        <f t="shared" si="5"/>
        <v>10.499319165637273</v>
      </c>
      <c r="S21" s="70">
        <f t="shared" si="6"/>
        <v>-5682.7593187843268</v>
      </c>
      <c r="T21" s="25">
        <f t="shared" si="7"/>
        <v>32293753.475230105</v>
      </c>
      <c r="U21" s="70">
        <f t="shared" si="8"/>
        <v>17669.662302571844</v>
      </c>
      <c r="V21" s="71">
        <f t="shared" si="9"/>
        <v>8603.20202935618</v>
      </c>
      <c r="W21" s="71">
        <f t="shared" si="10"/>
        <v>36290.786246977543</v>
      </c>
      <c r="X21" s="72">
        <f t="shared" si="11"/>
        <v>0.47408069677967296</v>
      </c>
      <c r="Y21" s="72">
        <f t="shared" si="12"/>
        <v>0.47408069677967296</v>
      </c>
      <c r="Z21" s="73">
        <f t="shared" si="13"/>
        <v>8.6042949606337302</v>
      </c>
      <c r="AA21" s="74">
        <f t="shared" si="14"/>
        <v>9.5776203113721241</v>
      </c>
      <c r="AB21" s="73">
        <f t="shared" si="15"/>
        <v>9.3915699147220675</v>
      </c>
      <c r="AC21" s="70">
        <f t="shared" si="16"/>
        <v>91</v>
      </c>
      <c r="AD21" s="84">
        <f t="shared" si="17"/>
        <v>8.8579055995231197</v>
      </c>
      <c r="AE21" s="85">
        <f t="shared" si="18"/>
        <v>10.297335023221128</v>
      </c>
    </row>
    <row r="22" spans="1:32" s="6" customFormat="1">
      <c r="A22" s="134">
        <v>1986</v>
      </c>
      <c r="B22" s="109">
        <f t="shared" si="0"/>
        <v>1992</v>
      </c>
      <c r="C22" s="67">
        <f>VLOOKUP($A22,FBrood!$A$8:$M$50,8)</f>
        <v>9.8900490779554673</v>
      </c>
      <c r="D22" s="67">
        <f>VLOOKUP($A22,FBrood!$A$8:$M$50,12)</f>
        <v>10.675430079793667</v>
      </c>
      <c r="E22" s="6">
        <v>32</v>
      </c>
      <c r="F22" s="6">
        <v>30</v>
      </c>
      <c r="G22" s="139">
        <v>7.4396338096750103</v>
      </c>
      <c r="H22" s="139">
        <v>0.24816115400429856</v>
      </c>
      <c r="I22" s="139">
        <v>0.1830048250422219</v>
      </c>
      <c r="J22" s="139">
        <v>10.059763924324315</v>
      </c>
      <c r="K22" s="139">
        <v>0.62426963579971906</v>
      </c>
      <c r="L22" s="139">
        <v>5.7754438390103247E-2</v>
      </c>
      <c r="M22" s="6">
        <v>0.40806623781275664</v>
      </c>
      <c r="N22" s="68">
        <f t="shared" si="1"/>
        <v>0.61566615546935211</v>
      </c>
      <c r="O22" s="25">
        <f t="shared" si="2"/>
        <v>0.37904481499041243</v>
      </c>
      <c r="P22" s="69">
        <f t="shared" si="3"/>
        <v>10.059763924324315</v>
      </c>
      <c r="Q22" s="25">
        <f t="shared" si="4"/>
        <v>9.3400492124753107</v>
      </c>
      <c r="R22" s="25">
        <f t="shared" si="5"/>
        <v>10.779478636173319</v>
      </c>
      <c r="S22" s="70">
        <f t="shared" si="6"/>
        <v>19896.329155332271</v>
      </c>
      <c r="T22" s="25">
        <f t="shared" si="7"/>
        <v>395863913.85732496</v>
      </c>
      <c r="U22" s="70">
        <f t="shared" si="8"/>
        <v>23382.985566401599</v>
      </c>
      <c r="V22" s="71">
        <f t="shared" si="9"/>
        <v>11384.968508877057</v>
      </c>
      <c r="W22" s="71">
        <f t="shared" si="10"/>
        <v>48025.079171033649</v>
      </c>
      <c r="X22" s="72">
        <f t="shared" si="11"/>
        <v>-0.45971913564843936</v>
      </c>
      <c r="Y22" s="72">
        <f t="shared" si="12"/>
        <v>0.45971913564843936</v>
      </c>
      <c r="Z22" s="73">
        <f t="shared" si="13"/>
        <v>9.8900490779554673</v>
      </c>
      <c r="AA22" s="74">
        <f t="shared" si="14"/>
        <v>9.9102452577120967</v>
      </c>
      <c r="AB22" s="73">
        <f t="shared" si="15"/>
        <v>10.675430079793667</v>
      </c>
      <c r="AC22" s="70">
        <f t="shared" si="16"/>
        <v>92</v>
      </c>
      <c r="AD22" s="84">
        <f t="shared" si="17"/>
        <v>9.1905305458630924</v>
      </c>
      <c r="AE22" s="85">
        <f t="shared" si="18"/>
        <v>10.629959969561101</v>
      </c>
    </row>
    <row r="23" spans="1:32" s="6" customFormat="1">
      <c r="A23" s="134">
        <v>1987</v>
      </c>
      <c r="B23" s="109">
        <f t="shared" si="0"/>
        <v>1993</v>
      </c>
      <c r="C23" s="67">
        <f>VLOOKUP($A23,FBrood!$A$8:$M$50,8)</f>
        <v>9.1458366599460579</v>
      </c>
      <c r="D23" s="67">
        <f>VLOOKUP($A23,FBrood!$A$8:$M$50,12)</f>
        <v>9.5380695207337673</v>
      </c>
      <c r="E23" s="6">
        <v>32</v>
      </c>
      <c r="F23" s="6">
        <v>30</v>
      </c>
      <c r="G23" s="139">
        <v>7.3297149668532953</v>
      </c>
      <c r="H23" s="139">
        <v>0.2607646548415139</v>
      </c>
      <c r="I23" s="139">
        <v>0.20417412124918474</v>
      </c>
      <c r="J23" s="139">
        <v>9.6810091136462919</v>
      </c>
      <c r="K23" s="139">
        <v>0.63712865132944951</v>
      </c>
      <c r="L23" s="139">
        <v>5.1568080561622293E-2</v>
      </c>
      <c r="M23" s="6">
        <v>0.42378817309840278</v>
      </c>
      <c r="N23" s="68">
        <f t="shared" si="1"/>
        <v>-0.14293959291252456</v>
      </c>
      <c r="O23" s="25">
        <f t="shared" si="2"/>
        <v>2.0431727221998243E-2</v>
      </c>
      <c r="P23" s="69">
        <f t="shared" si="3"/>
        <v>9.6810091136462919</v>
      </c>
      <c r="Q23" s="25">
        <f t="shared" si="4"/>
        <v>8.9612944017972875</v>
      </c>
      <c r="R23" s="25">
        <f t="shared" si="5"/>
        <v>10.400723825495296</v>
      </c>
      <c r="S23" s="70">
        <f t="shared" si="6"/>
        <v>-2132.5150336109182</v>
      </c>
      <c r="T23" s="25">
        <f t="shared" si="7"/>
        <v>4547620.3685765751</v>
      </c>
      <c r="U23" s="70">
        <f t="shared" si="8"/>
        <v>16010.645338571016</v>
      </c>
      <c r="V23" s="71">
        <f t="shared" si="9"/>
        <v>7795.4413677757475</v>
      </c>
      <c r="W23" s="71">
        <f t="shared" si="10"/>
        <v>32883.418919312171</v>
      </c>
      <c r="X23" s="72">
        <f t="shared" si="11"/>
        <v>0.15366011031390511</v>
      </c>
      <c r="Y23" s="72">
        <f t="shared" si="12"/>
        <v>0.15366011031390511</v>
      </c>
      <c r="Z23" s="73">
        <f t="shared" si="13"/>
        <v>9.1458366599460579</v>
      </c>
      <c r="AA23" s="74">
        <f t="shared" si="14"/>
        <v>9.7177172990059937</v>
      </c>
      <c r="AB23" s="73">
        <f t="shared" si="15"/>
        <v>9.5380695207337673</v>
      </c>
      <c r="AC23" s="70">
        <f t="shared" si="16"/>
        <v>93</v>
      </c>
      <c r="AD23" s="84">
        <f t="shared" si="17"/>
        <v>8.9980025871569893</v>
      </c>
      <c r="AE23" s="85">
        <f t="shared" si="18"/>
        <v>10.437432010854998</v>
      </c>
    </row>
    <row r="24" spans="1:32" s="6" customFormat="1">
      <c r="A24" s="134">
        <v>1988</v>
      </c>
      <c r="B24" s="109">
        <f t="shared" si="0"/>
        <v>1994</v>
      </c>
      <c r="C24" s="67">
        <f>VLOOKUP($A24,FBrood!$A$8:$M$50,8)</f>
        <v>10.352881735694568</v>
      </c>
      <c r="D24" s="67">
        <f>VLOOKUP($A24,FBrood!$A$8:$M$50,12)</f>
        <v>10.497136035360006</v>
      </c>
      <c r="E24" s="6">
        <v>32</v>
      </c>
      <c r="F24" s="6">
        <v>30</v>
      </c>
      <c r="G24" s="139">
        <v>7.4873113248910723</v>
      </c>
      <c r="H24" s="139">
        <v>0.24353031553879145</v>
      </c>
      <c r="I24" s="139">
        <v>0.18310991775037652</v>
      </c>
      <c r="J24" s="139">
        <v>10.075947751879035</v>
      </c>
      <c r="K24" s="139">
        <v>0.62380085744677483</v>
      </c>
      <c r="L24" s="139">
        <v>5.5677703883940485E-2</v>
      </c>
      <c r="M24" s="6">
        <v>0.40745583095116283</v>
      </c>
      <c r="N24" s="68">
        <f t="shared" si="1"/>
        <v>0.42118828348097104</v>
      </c>
      <c r="O24" s="25">
        <f t="shared" si="2"/>
        <v>0.17739957014164681</v>
      </c>
      <c r="P24" s="69">
        <f t="shared" si="3"/>
        <v>10.075947751879035</v>
      </c>
      <c r="Q24" s="25">
        <f t="shared" si="4"/>
        <v>9.3562330400300304</v>
      </c>
      <c r="R24" s="25">
        <f t="shared" si="5"/>
        <v>10.795662463728039</v>
      </c>
      <c r="S24" s="70">
        <f t="shared" si="6"/>
        <v>12447.154600691505</v>
      </c>
      <c r="T24" s="25">
        <f t="shared" si="7"/>
        <v>154931657.6535157</v>
      </c>
      <c r="U24" s="70">
        <f t="shared" si="8"/>
        <v>23764.490551137522</v>
      </c>
      <c r="V24" s="71">
        <f t="shared" si="9"/>
        <v>11570.719905971491</v>
      </c>
      <c r="W24" s="71">
        <f t="shared" si="10"/>
        <v>48808.632111442283</v>
      </c>
      <c r="X24" s="72">
        <f t="shared" si="11"/>
        <v>-0.34373347436999302</v>
      </c>
      <c r="Y24" s="72">
        <f t="shared" si="12"/>
        <v>0.34373347436999302</v>
      </c>
      <c r="Z24" s="73">
        <f t="shared" si="13"/>
        <v>10.352881735694568</v>
      </c>
      <c r="AA24" s="74">
        <f t="shared" si="14"/>
        <v>10.029980194486431</v>
      </c>
      <c r="AB24" s="73">
        <f t="shared" si="15"/>
        <v>10.497136035360006</v>
      </c>
      <c r="AC24" s="70">
        <f t="shared" si="16"/>
        <v>94</v>
      </c>
      <c r="AD24" s="84">
        <f t="shared" si="17"/>
        <v>9.3102654826374263</v>
      </c>
      <c r="AE24" s="85">
        <f t="shared" si="18"/>
        <v>10.749694906335435</v>
      </c>
    </row>
    <row r="25" spans="1:32" s="6" customFormat="1">
      <c r="A25" s="134">
        <v>1989</v>
      </c>
      <c r="B25" s="109">
        <f t="shared" si="0"/>
        <v>1995</v>
      </c>
      <c r="C25" s="67">
        <f>VLOOKUP($A25,FBrood!$A$8:$M$50,8)</f>
        <v>10.364719107135071</v>
      </c>
      <c r="D25" s="67">
        <f>VLOOKUP($A25,FBrood!$A$8:$M$50,12)</f>
        <v>10.371901569062425</v>
      </c>
      <c r="E25" s="6">
        <v>32</v>
      </c>
      <c r="F25" s="6">
        <v>30</v>
      </c>
      <c r="G25" s="139">
        <v>7.3737608283952802</v>
      </c>
      <c r="H25" s="139">
        <v>0.25519546170451934</v>
      </c>
      <c r="I25" s="139">
        <v>0.18492405573157333</v>
      </c>
      <c r="J25" s="139">
        <v>10.046011357973185</v>
      </c>
      <c r="K25" s="139">
        <v>0.63144657978953878</v>
      </c>
      <c r="L25" s="139">
        <v>5.9690942822164673E-2</v>
      </c>
      <c r="M25" s="6">
        <v>0.41681635419627583</v>
      </c>
      <c r="N25" s="68">
        <f t="shared" si="1"/>
        <v>0.32589021108923966</v>
      </c>
      <c r="O25" s="25">
        <f t="shared" si="2"/>
        <v>0.10620442968378918</v>
      </c>
      <c r="P25" s="69">
        <f t="shared" si="3"/>
        <v>10.046011357973185</v>
      </c>
      <c r="Q25" s="25">
        <f t="shared" si="4"/>
        <v>9.326296646124181</v>
      </c>
      <c r="R25" s="25">
        <f t="shared" si="5"/>
        <v>10.76572606982219</v>
      </c>
      <c r="S25" s="70">
        <f t="shared" si="6"/>
        <v>8885.56214951734</v>
      </c>
      <c r="T25" s="25">
        <f t="shared" si="7"/>
        <v>78953214.712935209</v>
      </c>
      <c r="U25" s="70">
        <f t="shared" si="8"/>
        <v>23063.610651944073</v>
      </c>
      <c r="V25" s="71">
        <f t="shared" si="9"/>
        <v>11229.467692554916</v>
      </c>
      <c r="W25" s="71">
        <f t="shared" si="10"/>
        <v>47369.131900805522</v>
      </c>
      <c r="X25" s="72">
        <f t="shared" si="11"/>
        <v>-0.27811556201263837</v>
      </c>
      <c r="Y25" s="72">
        <f t="shared" si="12"/>
        <v>0.27811556201263837</v>
      </c>
      <c r="Z25" s="73">
        <f t="shared" si="13"/>
        <v>10.364719107135071</v>
      </c>
      <c r="AA25" s="74">
        <f t="shared" si="14"/>
        <v>10.033042525757361</v>
      </c>
      <c r="AB25" s="73">
        <f t="shared" si="15"/>
        <v>10.371901569062425</v>
      </c>
      <c r="AC25" s="70">
        <f t="shared" si="16"/>
        <v>95</v>
      </c>
      <c r="AD25" s="84">
        <f t="shared" si="17"/>
        <v>9.3133278139083568</v>
      </c>
      <c r="AE25" s="85">
        <f t="shared" si="18"/>
        <v>10.752757237606366</v>
      </c>
    </row>
    <row r="26" spans="1:32" s="6" customFormat="1">
      <c r="A26" s="134">
        <v>1990</v>
      </c>
      <c r="B26" s="109">
        <f t="shared" si="0"/>
        <v>1996</v>
      </c>
      <c r="C26" s="67">
        <f>VLOOKUP($A26,FBrood!$A$8:$M$50,8)</f>
        <v>10.932271267111018</v>
      </c>
      <c r="D26" s="67">
        <f>VLOOKUP($A26,FBrood!$A$8:$M$50,12)</f>
        <v>10.474139220153468</v>
      </c>
      <c r="E26" s="6">
        <v>32</v>
      </c>
      <c r="F26" s="6">
        <v>30</v>
      </c>
      <c r="G26" s="139">
        <v>7.6253506660950752</v>
      </c>
      <c r="H26" s="139">
        <v>0.2303052243997355</v>
      </c>
      <c r="I26" s="139">
        <v>0.18476326879318822</v>
      </c>
      <c r="J26" s="139">
        <v>10.126024417140091</v>
      </c>
      <c r="K26" s="139">
        <v>0.62482951789825913</v>
      </c>
      <c r="L26" s="139">
        <v>4.9240852529378362E-2</v>
      </c>
      <c r="M26" s="6">
        <v>0.40848096812889445</v>
      </c>
      <c r="N26" s="68">
        <f t="shared" si="1"/>
        <v>0.34811480301337738</v>
      </c>
      <c r="O26" s="25">
        <f t="shared" si="2"/>
        <v>0.12118391607704254</v>
      </c>
      <c r="P26" s="69">
        <f t="shared" si="3"/>
        <v>10.126024417140091</v>
      </c>
      <c r="Q26" s="25">
        <f t="shared" si="4"/>
        <v>9.4063097052910862</v>
      </c>
      <c r="R26" s="25">
        <f t="shared" si="5"/>
        <v>10.845739128989095</v>
      </c>
      <c r="S26" s="70">
        <f t="shared" si="6"/>
        <v>10403.557554969419</v>
      </c>
      <c r="T26" s="25">
        <f t="shared" si="7"/>
        <v>108234009.79956126</v>
      </c>
      <c r="U26" s="70">
        <f t="shared" si="8"/>
        <v>24984.837432173088</v>
      </c>
      <c r="V26" s="71">
        <f t="shared" si="9"/>
        <v>12164.895990588317</v>
      </c>
      <c r="W26" s="71">
        <f t="shared" si="10"/>
        <v>51315.038122403879</v>
      </c>
      <c r="X26" s="72">
        <f t="shared" si="11"/>
        <v>-0.29398218141142857</v>
      </c>
      <c r="Y26" s="72">
        <f t="shared" si="12"/>
        <v>0.29398218141142857</v>
      </c>
      <c r="Z26" s="73">
        <f t="shared" si="13"/>
        <v>10.932271267111018</v>
      </c>
      <c r="AA26" s="74">
        <f t="shared" si="14"/>
        <v>10.179868426770515</v>
      </c>
      <c r="AB26" s="73">
        <f t="shared" si="15"/>
        <v>10.474139220153468</v>
      </c>
      <c r="AC26" s="70">
        <f t="shared" si="16"/>
        <v>96</v>
      </c>
      <c r="AD26" s="84">
        <f t="shared" si="17"/>
        <v>9.4601537149215105</v>
      </c>
      <c r="AE26" s="85">
        <f t="shared" si="18"/>
        <v>10.899583138619519</v>
      </c>
    </row>
    <row r="27" spans="1:32" s="6" customFormat="1">
      <c r="A27" s="134">
        <v>1991</v>
      </c>
      <c r="B27" s="109">
        <f t="shared" si="0"/>
        <v>1997</v>
      </c>
      <c r="C27" s="67">
        <f>VLOOKUP($A27,FBrood!$A$8:$M$50,8)</f>
        <v>10.656044336780424</v>
      </c>
      <c r="D27" s="67">
        <f>VLOOKUP($A27,FBrood!$A$8:$M$50,12)</f>
        <v>10.173574540562221</v>
      </c>
      <c r="E27" s="6">
        <v>32</v>
      </c>
      <c r="F27" s="6">
        <v>30</v>
      </c>
      <c r="G27" s="139">
        <v>7.4607920753245267</v>
      </c>
      <c r="H27" s="139">
        <v>0.24742073102191853</v>
      </c>
      <c r="I27" s="139">
        <v>0.18807796009747971</v>
      </c>
      <c r="J27" s="139">
        <v>10.153080931011115</v>
      </c>
      <c r="K27" s="139">
        <v>0.63538983731410192</v>
      </c>
      <c r="L27" s="139">
        <v>5.454037178755073E-2</v>
      </c>
      <c r="M27" s="6">
        <v>0.42160273237300422</v>
      </c>
      <c r="N27" s="68">
        <f t="shared" si="1"/>
        <v>2.0493609551106573E-2</v>
      </c>
      <c r="O27" s="25">
        <f t="shared" si="2"/>
        <v>4.1998803243320656E-4</v>
      </c>
      <c r="P27" s="69">
        <f t="shared" si="3"/>
        <v>10.153080931011115</v>
      </c>
      <c r="Q27" s="25">
        <f t="shared" si="4"/>
        <v>9.4333662191621102</v>
      </c>
      <c r="R27" s="25">
        <f t="shared" si="5"/>
        <v>10.872795642860119</v>
      </c>
      <c r="S27" s="70">
        <f t="shared" si="6"/>
        <v>531.49992920156728</v>
      </c>
      <c r="T27" s="25">
        <f t="shared" si="7"/>
        <v>282492.17474127101</v>
      </c>
      <c r="U27" s="70">
        <f t="shared" si="8"/>
        <v>25670.068209026602</v>
      </c>
      <c r="V27" s="71">
        <f t="shared" si="9"/>
        <v>12498.528784982211</v>
      </c>
      <c r="W27" s="71">
        <f t="shared" si="10"/>
        <v>52722.397427115757</v>
      </c>
      <c r="X27" s="72">
        <f t="shared" si="11"/>
        <v>-2.02850427271224E-2</v>
      </c>
      <c r="Y27" s="72">
        <f t="shared" si="12"/>
        <v>2.02850427271224E-2</v>
      </c>
      <c r="Z27" s="73">
        <f t="shared" si="13"/>
        <v>10.656044336780424</v>
      </c>
      <c r="AA27" s="74">
        <f t="shared" si="14"/>
        <v>10.108408443371623</v>
      </c>
      <c r="AB27" s="73">
        <f t="shared" si="15"/>
        <v>10.173574540562221</v>
      </c>
      <c r="AC27" s="70">
        <f t="shared" si="16"/>
        <v>97</v>
      </c>
      <c r="AD27" s="84">
        <f t="shared" si="17"/>
        <v>9.3886937315226184</v>
      </c>
      <c r="AE27" s="85">
        <f t="shared" si="18"/>
        <v>10.828123155220627</v>
      </c>
    </row>
    <row r="28" spans="1:32" s="6" customFormat="1">
      <c r="A28" s="134">
        <v>1992</v>
      </c>
      <c r="B28" s="109">
        <f t="shared" si="0"/>
        <v>1998</v>
      </c>
      <c r="C28" s="67">
        <f>VLOOKUP($A28,FBrood!$A$8:$M$50,8)</f>
        <v>10.933752274858877</v>
      </c>
      <c r="D28" s="67">
        <f>VLOOKUP($A28,FBrood!$A$8:$M$50,12)</f>
        <v>10.297389612131679</v>
      </c>
      <c r="E28" s="6">
        <v>32</v>
      </c>
      <c r="F28" s="6">
        <v>30</v>
      </c>
      <c r="G28" s="139">
        <v>7.4329942530623043</v>
      </c>
      <c r="H28" s="139">
        <v>0.25043899026805694</v>
      </c>
      <c r="I28" s="139">
        <v>0.18996631918679593</v>
      </c>
      <c r="J28" s="139">
        <v>10.196869434279801</v>
      </c>
      <c r="K28" s="139">
        <v>0.63660016876391967</v>
      </c>
      <c r="L28" s="139">
        <v>5.4760961810182321E-2</v>
      </c>
      <c r="M28" s="6">
        <v>0.42311332090475251</v>
      </c>
      <c r="N28" s="68">
        <f t="shared" si="1"/>
        <v>0.1005201778518785</v>
      </c>
      <c r="O28" s="25">
        <f t="shared" si="2"/>
        <v>1.0104306155373286E-2</v>
      </c>
      <c r="P28" s="69">
        <f t="shared" si="3"/>
        <v>10.196869434279801</v>
      </c>
      <c r="Q28" s="25">
        <f t="shared" si="4"/>
        <v>9.4771547224307966</v>
      </c>
      <c r="R28" s="25">
        <f t="shared" si="5"/>
        <v>10.916584146128805</v>
      </c>
      <c r="S28" s="70">
        <f t="shared" si="6"/>
        <v>2836.010821843709</v>
      </c>
      <c r="T28" s="25">
        <f t="shared" si="7"/>
        <v>8042957.3816146301</v>
      </c>
      <c r="U28" s="70">
        <f t="shared" si="8"/>
        <v>26819.095576301432</v>
      </c>
      <c r="V28" s="71">
        <f t="shared" si="9"/>
        <v>13057.980030209786</v>
      </c>
      <c r="W28" s="71">
        <f t="shared" si="10"/>
        <v>55082.324055234094</v>
      </c>
      <c r="X28" s="72">
        <f t="shared" si="11"/>
        <v>-9.5633135951961878E-2</v>
      </c>
      <c r="Y28" s="72">
        <f t="shared" si="12"/>
        <v>9.5633135951961878E-2</v>
      </c>
      <c r="Z28" s="73">
        <f t="shared" si="13"/>
        <v>10.933752274858877</v>
      </c>
      <c r="AA28" s="74">
        <f t="shared" si="14"/>
        <v>10.180251563885165</v>
      </c>
      <c r="AB28" s="73">
        <f t="shared" si="15"/>
        <v>10.297389612131679</v>
      </c>
      <c r="AC28" s="70">
        <f t="shared" si="16"/>
        <v>98</v>
      </c>
      <c r="AD28" s="84">
        <f t="shared" si="17"/>
        <v>9.4605368520361601</v>
      </c>
      <c r="AE28" s="85">
        <f t="shared" si="18"/>
        <v>10.899966275734169</v>
      </c>
    </row>
    <row r="29" spans="1:32" s="6" customFormat="1">
      <c r="A29" s="134">
        <v>1993</v>
      </c>
      <c r="B29" s="109">
        <f t="shared" si="0"/>
        <v>1999</v>
      </c>
      <c r="C29" s="67">
        <f>VLOOKUP($A29,FBrood!$A$8:$M$50,8)</f>
        <v>11.130952477925446</v>
      </c>
      <c r="D29" s="67">
        <f>VLOOKUP($A29,FBrood!$A$8:$M$50,12)</f>
        <v>10.233885379277817</v>
      </c>
      <c r="E29" s="6">
        <v>32</v>
      </c>
      <c r="F29" s="6">
        <v>30</v>
      </c>
      <c r="G29" s="139">
        <v>7.5028475607907712</v>
      </c>
      <c r="H29" s="139">
        <v>0.2434916568788974</v>
      </c>
      <c r="I29" s="139">
        <v>0.19158039831054868</v>
      </c>
      <c r="J29" s="139">
        <v>10.224620014955956</v>
      </c>
      <c r="K29" s="139">
        <v>0.63593529649538016</v>
      </c>
      <c r="L29" s="139">
        <v>5.1093783476581146E-2</v>
      </c>
      <c r="M29" s="6">
        <v>0.42223403162621076</v>
      </c>
      <c r="N29" s="68">
        <f t="shared" si="1"/>
        <v>9.2653643218607584E-3</v>
      </c>
      <c r="O29" s="25">
        <f t="shared" si="2"/>
        <v>8.5846976016810278E-5</v>
      </c>
      <c r="P29" s="69">
        <f t="shared" si="3"/>
        <v>10.224620014955956</v>
      </c>
      <c r="Q29" s="25">
        <f t="shared" si="4"/>
        <v>9.5049053031069519</v>
      </c>
      <c r="R29" s="25">
        <f t="shared" si="5"/>
        <v>10.944334726804961</v>
      </c>
      <c r="S29" s="70">
        <f t="shared" si="6"/>
        <v>256.6681939033806</v>
      </c>
      <c r="T29" s="25">
        <f t="shared" si="7"/>
        <v>65878.561761623379</v>
      </c>
      <c r="U29" s="70">
        <f t="shared" si="8"/>
        <v>27573.76386346222</v>
      </c>
      <c r="V29" s="71">
        <f t="shared" si="9"/>
        <v>13425.421333185195</v>
      </c>
      <c r="W29" s="71">
        <f t="shared" si="10"/>
        <v>56632.297395287045</v>
      </c>
      <c r="X29" s="432">
        <f t="shared" si="11"/>
        <v>-9.2225730946009811E-3</v>
      </c>
      <c r="Y29" s="432">
        <f t="shared" si="12"/>
        <v>9.2225730946009811E-3</v>
      </c>
      <c r="Z29" s="73">
        <f t="shared" si="13"/>
        <v>11.130952477925446</v>
      </c>
      <c r="AA29" s="74">
        <f t="shared" si="14"/>
        <v>10.231267311048303</v>
      </c>
      <c r="AB29" s="73">
        <f t="shared" si="15"/>
        <v>10.233885379277817</v>
      </c>
      <c r="AC29" s="70">
        <f t="shared" si="16"/>
        <v>99</v>
      </c>
      <c r="AD29" s="84">
        <f t="shared" si="17"/>
        <v>9.5115525991992982</v>
      </c>
      <c r="AE29" s="85">
        <f t="shared" si="18"/>
        <v>10.950982022897307</v>
      </c>
    </row>
    <row r="30" spans="1:32" s="6" customFormat="1">
      <c r="A30" s="134">
        <v>1994</v>
      </c>
      <c r="B30" s="109">
        <f t="shared" si="0"/>
        <v>2000</v>
      </c>
      <c r="C30" s="67">
        <f>VLOOKUP($A30,FBrood!$A$8:$M$50,8)</f>
        <v>10.927145676643779</v>
      </c>
      <c r="D30" s="67">
        <f>VLOOKUP($A30,FBrood!$A$8:$M$50,12)</f>
        <v>9.6805214018126637</v>
      </c>
      <c r="E30" s="6">
        <v>32</v>
      </c>
      <c r="F30" s="6">
        <v>30</v>
      </c>
      <c r="G30" s="139">
        <v>7.1793434195259183</v>
      </c>
      <c r="H30" s="139">
        <v>0.27671782349737534</v>
      </c>
      <c r="I30" s="139">
        <v>0.18632455213273388</v>
      </c>
      <c r="J30" s="139">
        <v>10.172398068406363</v>
      </c>
      <c r="K30" s="139">
        <v>0.63118314738372894</v>
      </c>
      <c r="L30" s="139">
        <v>6.8486062347075716E-2</v>
      </c>
      <c r="M30" s="6">
        <v>0.41637733762267098</v>
      </c>
      <c r="N30" s="68">
        <f t="shared" si="1"/>
        <v>-0.49187666659369889</v>
      </c>
      <c r="O30" s="25">
        <f t="shared" si="2"/>
        <v>0.2419426551393288</v>
      </c>
      <c r="P30" s="69">
        <f t="shared" si="3"/>
        <v>10.172398068406363</v>
      </c>
      <c r="Q30" s="25">
        <f t="shared" si="4"/>
        <v>9.4526833565573583</v>
      </c>
      <c r="R30" s="25">
        <f t="shared" si="5"/>
        <v>10.892112780255367</v>
      </c>
      <c r="S30" s="70">
        <f t="shared" si="6"/>
        <v>-10167.922187151818</v>
      </c>
      <c r="T30" s="25">
        <f t="shared" si="7"/>
        <v>103386641.60397422</v>
      </c>
      <c r="U30" s="70">
        <f t="shared" si="8"/>
        <v>26170.760848386391</v>
      </c>
      <c r="V30" s="71">
        <f t="shared" si="9"/>
        <v>12742.311595160583</v>
      </c>
      <c r="W30" s="71">
        <f t="shared" si="10"/>
        <v>53750.743596911903</v>
      </c>
      <c r="X30" s="72">
        <f t="shared" si="11"/>
        <v>0.63538240948355551</v>
      </c>
      <c r="Y30" s="72">
        <f t="shared" si="12"/>
        <v>0.63538240948355551</v>
      </c>
      <c r="Z30" s="73">
        <f t="shared" si="13"/>
        <v>10.927145676643779</v>
      </c>
      <c r="AA30" s="74">
        <f t="shared" si="14"/>
        <v>10.178542435096713</v>
      </c>
      <c r="AB30" s="73">
        <f t="shared" si="15"/>
        <v>9.6805214018126637</v>
      </c>
      <c r="AC30" s="253" t="s">
        <v>184</v>
      </c>
      <c r="AD30" s="84">
        <f t="shared" si="17"/>
        <v>9.4588277232477083</v>
      </c>
      <c r="AE30" s="85">
        <f t="shared" si="18"/>
        <v>10.898257146945717</v>
      </c>
      <c r="AF30" s="140"/>
    </row>
    <row r="31" spans="1:32" s="6" customFormat="1">
      <c r="A31" s="134">
        <v>1995</v>
      </c>
      <c r="B31" s="109">
        <f t="shared" si="0"/>
        <v>2001</v>
      </c>
      <c r="C31" s="67">
        <f>VLOOKUP($A31,FBrood!$A$8:$M$50,8)</f>
        <v>10.78923861340083</v>
      </c>
      <c r="D31" s="67">
        <f>VLOOKUP($A31,FBrood!$A$8:$M$50,12)</f>
        <v>9.6203579044648269</v>
      </c>
      <c r="E31" s="6">
        <v>32</v>
      </c>
      <c r="F31" s="6">
        <v>30</v>
      </c>
      <c r="G31" s="139">
        <v>7.2199045654657539</v>
      </c>
      <c r="H31" s="139">
        <v>0.27252325438508773</v>
      </c>
      <c r="I31" s="139">
        <v>0.18685198356629512</v>
      </c>
      <c r="J31" s="139">
        <v>10.16320577954461</v>
      </c>
      <c r="K31" s="139">
        <v>0.63335710254683908</v>
      </c>
      <c r="L31" s="139">
        <v>6.6212289763152271E-2</v>
      </c>
      <c r="M31" s="6">
        <v>0.41908533178219237</v>
      </c>
      <c r="N31" s="68">
        <f t="shared" si="1"/>
        <v>-0.54284787507978294</v>
      </c>
      <c r="O31" s="25">
        <f t="shared" si="2"/>
        <v>0.29468381547863565</v>
      </c>
      <c r="P31" s="69">
        <f t="shared" si="3"/>
        <v>10.16320577954461</v>
      </c>
      <c r="Q31" s="25">
        <f t="shared" si="4"/>
        <v>9.4434910676956054</v>
      </c>
      <c r="R31" s="25">
        <f t="shared" si="5"/>
        <v>10.882920491393614</v>
      </c>
      <c r="S31" s="70">
        <f t="shared" si="6"/>
        <v>-10862.851929421884</v>
      </c>
      <c r="T31" s="25">
        <f t="shared" si="7"/>
        <v>118001552.04054475</v>
      </c>
      <c r="U31" s="70">
        <f t="shared" si="8"/>
        <v>25931.293965523386</v>
      </c>
      <c r="V31" s="71">
        <f t="shared" si="9"/>
        <v>12625.717291470311</v>
      </c>
      <c r="W31" s="71">
        <f t="shared" si="10"/>
        <v>53258.915212735796</v>
      </c>
      <c r="X31" s="72">
        <f t="shared" si="11"/>
        <v>0.72090080071956231</v>
      </c>
      <c r="Y31" s="72">
        <f t="shared" si="12"/>
        <v>0.72090080071956231</v>
      </c>
      <c r="Z31" s="73">
        <f t="shared" si="13"/>
        <v>10.78923861340083</v>
      </c>
      <c r="AA31" s="74">
        <f t="shared" si="14"/>
        <v>10.142865839631757</v>
      </c>
      <c r="AB31" s="73">
        <f t="shared" si="15"/>
        <v>9.6203579044648269</v>
      </c>
      <c r="AC31" s="253" t="s">
        <v>185</v>
      </c>
      <c r="AD31" s="84">
        <f t="shared" si="17"/>
        <v>9.4231511277827522</v>
      </c>
      <c r="AE31" s="85">
        <f t="shared" si="18"/>
        <v>10.862580551480761</v>
      </c>
      <c r="AF31" s="140"/>
    </row>
    <row r="32" spans="1:32" s="6" customFormat="1">
      <c r="A32" s="134">
        <v>1996</v>
      </c>
      <c r="B32" s="109">
        <f t="shared" si="0"/>
        <v>2002</v>
      </c>
      <c r="C32" s="67">
        <f>VLOOKUP($A32,FBrood!$A$8:$M$50,8)</f>
        <v>10.932946823519012</v>
      </c>
      <c r="D32" s="67">
        <f>VLOOKUP($A32,FBrood!$A$8:$M$50,12)</f>
        <v>9.5569926764167583</v>
      </c>
      <c r="E32" s="6">
        <v>32</v>
      </c>
      <c r="F32" s="6">
        <v>30</v>
      </c>
      <c r="G32" s="139">
        <v>7.1892793810345008</v>
      </c>
      <c r="H32" s="139">
        <v>0.27553251413812746</v>
      </c>
      <c r="I32" s="139">
        <v>0.18722523974124858</v>
      </c>
      <c r="J32" s="139">
        <v>10.182959004649454</v>
      </c>
      <c r="K32" s="139">
        <v>0.63296528537219388</v>
      </c>
      <c r="L32" s="139">
        <v>6.733217729414312E-2</v>
      </c>
      <c r="M32" s="6">
        <v>0.41857095340258899</v>
      </c>
      <c r="N32" s="68">
        <f t="shared" si="1"/>
        <v>-0.62596632823269616</v>
      </c>
      <c r="O32" s="25">
        <f t="shared" si="2"/>
        <v>0.39183384408112348</v>
      </c>
      <c r="P32" s="69">
        <f t="shared" si="3"/>
        <v>10.182959004649454</v>
      </c>
      <c r="Q32" s="25">
        <f t="shared" si="4"/>
        <v>9.4632442928004501</v>
      </c>
      <c r="R32" s="25">
        <f t="shared" si="5"/>
        <v>10.902673716498459</v>
      </c>
      <c r="S32" s="70">
        <f t="shared" si="6"/>
        <v>-12305.36433923026</v>
      </c>
      <c r="T32" s="25">
        <f t="shared" si="7"/>
        <v>151421991.52119976</v>
      </c>
      <c r="U32" s="70">
        <f t="shared" si="8"/>
        <v>26448.613193108878</v>
      </c>
      <c r="V32" s="71">
        <f t="shared" si="9"/>
        <v>12877.595440151212</v>
      </c>
      <c r="W32" s="71">
        <f t="shared" si="10"/>
        <v>54321.409854018442</v>
      </c>
      <c r="X32" s="72">
        <f t="shared" si="11"/>
        <v>0.87005216880247849</v>
      </c>
      <c r="Y32" s="72">
        <f t="shared" si="12"/>
        <v>0.87005216880247849</v>
      </c>
      <c r="Z32" s="73">
        <f t="shared" si="13"/>
        <v>10.932946823519012</v>
      </c>
      <c r="AA32" s="74">
        <f t="shared" si="14"/>
        <v>10.18004319340041</v>
      </c>
      <c r="AB32" s="73">
        <f t="shared" si="15"/>
        <v>9.5569926764167583</v>
      </c>
      <c r="AC32" s="253" t="s">
        <v>188</v>
      </c>
      <c r="AD32" s="84">
        <f t="shared" si="17"/>
        <v>9.4603284815514055</v>
      </c>
      <c r="AE32" s="85">
        <f t="shared" si="18"/>
        <v>10.899757905249414</v>
      </c>
      <c r="AF32" s="140"/>
    </row>
    <row r="33" spans="1:32" s="6" customFormat="1">
      <c r="A33" s="134">
        <v>1997</v>
      </c>
      <c r="B33" s="109">
        <f t="shared" si="0"/>
        <v>2003</v>
      </c>
      <c r="C33" s="67">
        <f>VLOOKUP($A33,FBrood!$A$8:$M$50,8)</f>
        <v>10.803088354437625</v>
      </c>
      <c r="D33" s="67">
        <f>VLOOKUP($A33,FBrood!$A$8:$M$50,12)</f>
        <v>10.094707271345696</v>
      </c>
      <c r="E33" s="6">
        <v>32</v>
      </c>
      <c r="F33" s="6">
        <v>30</v>
      </c>
      <c r="G33" s="139">
        <v>7.3777114957713934</v>
      </c>
      <c r="H33" s="139">
        <v>0.25589937706600807</v>
      </c>
      <c r="I33" s="139">
        <v>0.18732083052945406</v>
      </c>
      <c r="J33" s="139">
        <v>10.117945639384253</v>
      </c>
      <c r="K33" s="139">
        <v>0.63687850881984642</v>
      </c>
      <c r="L33" s="139">
        <v>5.8564650356483262E-2</v>
      </c>
      <c r="M33" s="6">
        <v>0.42347872368059913</v>
      </c>
      <c r="N33" s="68">
        <f t="shared" si="1"/>
        <v>-2.3238368038557056E-2</v>
      </c>
      <c r="O33" s="25">
        <f t="shared" si="2"/>
        <v>5.4002174909543012E-4</v>
      </c>
      <c r="P33" s="69">
        <f t="shared" si="3"/>
        <v>10.117945639384253</v>
      </c>
      <c r="Q33" s="25">
        <f t="shared" si="4"/>
        <v>9.3982309275352485</v>
      </c>
      <c r="R33" s="25">
        <f t="shared" si="5"/>
        <v>10.837660351233257</v>
      </c>
      <c r="S33" s="70">
        <f t="shared" si="6"/>
        <v>-569.29479016353434</v>
      </c>
      <c r="T33" s="25">
        <f t="shared" si="7"/>
        <v>324096.55810734263</v>
      </c>
      <c r="U33" s="70">
        <f t="shared" si="8"/>
        <v>24783.803630394857</v>
      </c>
      <c r="V33" s="71">
        <f t="shared" si="9"/>
        <v>12067.014413577312</v>
      </c>
      <c r="W33" s="71">
        <f t="shared" si="10"/>
        <v>50902.145413770209</v>
      </c>
      <c r="X33" s="72">
        <f t="shared" si="11"/>
        <v>2.3510482658135792E-2</v>
      </c>
      <c r="Y33" s="72">
        <f t="shared" si="12"/>
        <v>2.3510482658135792E-2</v>
      </c>
      <c r="Z33" s="73">
        <f t="shared" si="13"/>
        <v>10.803088354437625</v>
      </c>
      <c r="AA33" s="74">
        <f t="shared" si="14"/>
        <v>10.146448771474729</v>
      </c>
      <c r="AB33" s="73">
        <f t="shared" si="15"/>
        <v>10.094707271345696</v>
      </c>
      <c r="AC33" s="253" t="s">
        <v>217</v>
      </c>
      <c r="AD33" s="84">
        <f t="shared" si="17"/>
        <v>9.4267340596257245</v>
      </c>
      <c r="AE33" s="85">
        <f t="shared" si="18"/>
        <v>10.866163483323733</v>
      </c>
      <c r="AF33" s="140"/>
    </row>
    <row r="34" spans="1:32" s="6" customFormat="1">
      <c r="A34" s="134">
        <v>1998</v>
      </c>
      <c r="B34" s="109">
        <f t="shared" si="0"/>
        <v>2004</v>
      </c>
      <c r="C34" s="67">
        <f>VLOOKUP($A34,FBrood!$A$8:$M$50,8)</f>
        <v>11.032103697402947</v>
      </c>
      <c r="D34" s="67">
        <f>VLOOKUP($A34,FBrood!$A$8:$M$50,12)</f>
        <v>10.166442378556209</v>
      </c>
      <c r="E34" s="6">
        <v>32</v>
      </c>
      <c r="F34" s="6">
        <v>30</v>
      </c>
      <c r="G34" s="139">
        <v>7.4716477051475998</v>
      </c>
      <c r="H34" s="139">
        <v>0.24646743725019196</v>
      </c>
      <c r="I34" s="139">
        <v>0.18928819646024278</v>
      </c>
      <c r="J34" s="139">
        <v>10.181835624570803</v>
      </c>
      <c r="K34" s="139">
        <v>0.63579652583735125</v>
      </c>
      <c r="L34" s="139">
        <v>5.349039475552108E-2</v>
      </c>
      <c r="M34" s="6">
        <v>0.42209411628656296</v>
      </c>
      <c r="N34" s="68">
        <f t="shared" si="1"/>
        <v>-1.5393246014594908E-2</v>
      </c>
      <c r="O34" s="25">
        <f t="shared" si="2"/>
        <v>2.3695202286584202E-4</v>
      </c>
      <c r="P34" s="69">
        <f t="shared" si="3"/>
        <v>10.181835624570803</v>
      </c>
      <c r="Q34" s="25">
        <f t="shared" si="4"/>
        <v>9.4621209127217991</v>
      </c>
      <c r="R34" s="25">
        <f t="shared" si="5"/>
        <v>10.901550336419808</v>
      </c>
      <c r="S34" s="70">
        <f t="shared" si="6"/>
        <v>-403.5588953614315</v>
      </c>
      <c r="T34" s="25">
        <f t="shared" si="7"/>
        <v>162859.78202533882</v>
      </c>
      <c r="U34" s="70">
        <f t="shared" si="8"/>
        <v>26418.918030539724</v>
      </c>
      <c r="V34" s="71">
        <f t="shared" si="9"/>
        <v>12863.137128582923</v>
      </c>
      <c r="W34" s="71">
        <f t="shared" si="10"/>
        <v>54260.420527855174</v>
      </c>
      <c r="X34" s="72">
        <f t="shared" si="11"/>
        <v>1.5512332282806511E-2</v>
      </c>
      <c r="Y34" s="72">
        <f t="shared" si="12"/>
        <v>1.5512332282806511E-2</v>
      </c>
      <c r="Z34" s="73">
        <f t="shared" si="13"/>
        <v>11.032103697402947</v>
      </c>
      <c r="AA34" s="74">
        <f t="shared" si="14"/>
        <v>10.205695104143334</v>
      </c>
      <c r="AB34" s="73">
        <f t="shared" si="15"/>
        <v>10.166442378556209</v>
      </c>
      <c r="AC34" s="253" t="s">
        <v>218</v>
      </c>
      <c r="AD34" s="84">
        <f t="shared" si="17"/>
        <v>9.48598039229433</v>
      </c>
      <c r="AE34" s="85">
        <f t="shared" si="18"/>
        <v>10.925409815992339</v>
      </c>
      <c r="AF34" s="140"/>
    </row>
    <row r="35" spans="1:32" s="6" customFormat="1">
      <c r="A35" s="134">
        <v>1999</v>
      </c>
      <c r="B35" s="109">
        <f t="shared" si="0"/>
        <v>2005</v>
      </c>
      <c r="C35" s="67">
        <f>VLOOKUP($A35,FBrood!$A$8:$M$50,8)</f>
        <v>10.768289630773207</v>
      </c>
      <c r="D35" s="67">
        <f>VLOOKUP($A35,FBrood!$A$8:$M$50,12)</f>
        <v>9.9183556610394348</v>
      </c>
      <c r="E35" s="6">
        <v>32</v>
      </c>
      <c r="F35" s="6">
        <v>30</v>
      </c>
      <c r="G35" s="139">
        <v>7.3358251393676035</v>
      </c>
      <c r="H35" s="139">
        <v>0.26050426426772616</v>
      </c>
      <c r="I35" s="139">
        <v>0.18686944223445365</v>
      </c>
      <c r="J35" s="139">
        <v>10.09897150317985</v>
      </c>
      <c r="K35" s="139">
        <v>0.63690823823386067</v>
      </c>
      <c r="L35" s="139">
        <v>6.0837661054453492E-2</v>
      </c>
      <c r="M35" s="6">
        <v>0.42351706133921446</v>
      </c>
      <c r="N35" s="68">
        <f t="shared" si="1"/>
        <v>-0.18061584214041559</v>
      </c>
      <c r="O35" s="25">
        <f t="shared" si="2"/>
        <v>3.2622082432091526E-2</v>
      </c>
      <c r="P35" s="69">
        <f t="shared" si="3"/>
        <v>10.09897150317985</v>
      </c>
      <c r="Q35" s="25">
        <f t="shared" si="4"/>
        <v>9.379256791330846</v>
      </c>
      <c r="R35" s="25">
        <f t="shared" si="5"/>
        <v>10.818686215028855</v>
      </c>
      <c r="S35" s="70">
        <f t="shared" si="6"/>
        <v>-4018.4018140356638</v>
      </c>
      <c r="T35" s="25">
        <f t="shared" si="7"/>
        <v>16147553.139045114</v>
      </c>
      <c r="U35" s="70">
        <f t="shared" si="8"/>
        <v>24317.985587296822</v>
      </c>
      <c r="V35" s="71">
        <f t="shared" si="9"/>
        <v>11840.21173534455</v>
      </c>
      <c r="W35" s="71">
        <f t="shared" si="10"/>
        <v>49945.4263354664</v>
      </c>
      <c r="X35" s="72">
        <f t="shared" si="11"/>
        <v>0.19795488710112116</v>
      </c>
      <c r="Y35" s="72">
        <f t="shared" si="12"/>
        <v>0.19795488710112116</v>
      </c>
      <c r="Z35" s="73">
        <f t="shared" si="13"/>
        <v>10.768289630773207</v>
      </c>
      <c r="AA35" s="74">
        <f t="shared" si="14"/>
        <v>10.137446332022552</v>
      </c>
      <c r="AB35" s="73">
        <f t="shared" si="15"/>
        <v>9.9183556610394348</v>
      </c>
      <c r="AC35" s="253" t="s">
        <v>219</v>
      </c>
      <c r="AD35" s="84">
        <f t="shared" si="17"/>
        <v>9.4177316201735479</v>
      </c>
      <c r="AE35" s="85">
        <f t="shared" si="18"/>
        <v>10.857161043871557</v>
      </c>
      <c r="AF35" s="140"/>
    </row>
    <row r="36" spans="1:32" s="6" customFormat="1">
      <c r="A36" s="134">
        <v>2000</v>
      </c>
      <c r="B36" s="109">
        <f t="shared" si="0"/>
        <v>2006</v>
      </c>
      <c r="C36" s="67">
        <f>VLOOKUP($A36,FBrood!$A$8:$M$50,8)</f>
        <v>10.535268813895561</v>
      </c>
      <c r="D36" s="67">
        <f>VLOOKUP($A36,FBrood!$A$8:$M$50,12)</f>
        <v>9.7025697851178307</v>
      </c>
      <c r="E36" s="6">
        <v>32</v>
      </c>
      <c r="F36" s="6">
        <v>30</v>
      </c>
      <c r="G36" s="139">
        <v>7.3354685013821239</v>
      </c>
      <c r="H36" s="139">
        <v>0.26069393063870722</v>
      </c>
      <c r="I36" s="139">
        <v>0.18656957799309898</v>
      </c>
      <c r="J36" s="139">
        <v>10.083708198843171</v>
      </c>
      <c r="K36" s="139">
        <v>0.63658040154981488</v>
      </c>
      <c r="L36" s="139">
        <v>6.1104895005182451E-2</v>
      </c>
      <c r="M36" s="6">
        <v>0.42311315640093428</v>
      </c>
      <c r="N36" s="68">
        <f t="shared" si="1"/>
        <v>-0.38113841372534019</v>
      </c>
      <c r="O36" s="25">
        <f t="shared" si="2"/>
        <v>0.14526649041706857</v>
      </c>
      <c r="P36" s="69">
        <f t="shared" si="3"/>
        <v>10.083708198843171</v>
      </c>
      <c r="Q36" s="25">
        <f t="shared" si="4"/>
        <v>9.3639934869941666</v>
      </c>
      <c r="R36" s="25">
        <f t="shared" si="5"/>
        <v>10.803422910692175</v>
      </c>
      <c r="S36" s="70">
        <f t="shared" si="6"/>
        <v>-7590.0372097352483</v>
      </c>
      <c r="T36" s="25">
        <f t="shared" si="7"/>
        <v>57608664.845165633</v>
      </c>
      <c r="U36" s="70">
        <f t="shared" si="8"/>
        <v>23949.631077139875</v>
      </c>
      <c r="V36" s="71">
        <f t="shared" si="9"/>
        <v>11660.863187814954</v>
      </c>
      <c r="W36" s="71">
        <f t="shared" si="10"/>
        <v>49188.882460303023</v>
      </c>
      <c r="X36" s="72">
        <f t="shared" si="11"/>
        <v>0.46395022219089921</v>
      </c>
      <c r="Y36" s="72">
        <f t="shared" si="12"/>
        <v>0.46395022219089921</v>
      </c>
      <c r="Z36" s="73">
        <f t="shared" si="13"/>
        <v>10.535268813895561</v>
      </c>
      <c r="AA36" s="74">
        <f t="shared" si="14"/>
        <v>10.077163782143206</v>
      </c>
      <c r="AB36" s="73">
        <f t="shared" si="15"/>
        <v>9.7025697851178307</v>
      </c>
      <c r="AC36" s="253" t="s">
        <v>220</v>
      </c>
      <c r="AD36" s="84">
        <f t="shared" si="17"/>
        <v>9.3574490702942015</v>
      </c>
      <c r="AE36" s="85">
        <f t="shared" si="18"/>
        <v>10.79687849399221</v>
      </c>
      <c r="AF36" s="140"/>
    </row>
    <row r="37" spans="1:32" s="6" customFormat="1">
      <c r="A37" s="134">
        <v>2001</v>
      </c>
      <c r="B37" s="109">
        <f t="shared" si="0"/>
        <v>2007</v>
      </c>
      <c r="C37" s="67">
        <f>VLOOKUP($A37,FBrood!$A$8:$M$50,8)</f>
        <v>11.130479873503816</v>
      </c>
      <c r="D37" s="67">
        <f>VLOOKUP($A37,FBrood!$A$8:$M$50,12)</f>
        <v>10.020350510159048</v>
      </c>
      <c r="E37" s="6">
        <v>32</v>
      </c>
      <c r="F37" s="6">
        <v>30</v>
      </c>
      <c r="G37" s="139">
        <v>7.2384412119805344</v>
      </c>
      <c r="H37" s="139">
        <v>0.27022409193678376</v>
      </c>
      <c r="I37" s="139">
        <v>0.18960284865246915</v>
      </c>
      <c r="J37" s="139">
        <v>10.21596998724355</v>
      </c>
      <c r="K37" s="139">
        <v>0.63603349763125316</v>
      </c>
      <c r="L37" s="139">
        <v>6.3413955535346664E-2</v>
      </c>
      <c r="M37" s="6">
        <v>0.42239183047608381</v>
      </c>
      <c r="N37" s="68">
        <f t="shared" si="1"/>
        <v>-0.19561947708450234</v>
      </c>
      <c r="O37" s="25">
        <f t="shared" si="2"/>
        <v>3.8266979814814132E-2</v>
      </c>
      <c r="P37" s="69">
        <f t="shared" si="3"/>
        <v>10.21596998724355</v>
      </c>
      <c r="Q37" s="25">
        <f t="shared" si="4"/>
        <v>9.4962552753945459</v>
      </c>
      <c r="R37" s="25">
        <f t="shared" si="5"/>
        <v>10.935684699092555</v>
      </c>
      <c r="S37" s="70">
        <f t="shared" si="6"/>
        <v>-4856.9708845839959</v>
      </c>
      <c r="T37" s="25">
        <f t="shared" si="7"/>
        <v>23590166.173696645</v>
      </c>
      <c r="U37" s="70">
        <f t="shared" si="8"/>
        <v>27336.278649526277</v>
      </c>
      <c r="V37" s="71">
        <f t="shared" si="9"/>
        <v>13309.791886538758</v>
      </c>
      <c r="W37" s="71">
        <f t="shared" si="10"/>
        <v>56144.539056265894</v>
      </c>
      <c r="X37" s="72">
        <f t="shared" si="11"/>
        <v>0.21606407703348898</v>
      </c>
      <c r="Y37" s="72">
        <f t="shared" si="12"/>
        <v>0.21606407703348898</v>
      </c>
      <c r="Z37" s="73">
        <f t="shared" si="13"/>
        <v>11.130479873503816</v>
      </c>
      <c r="AA37" s="74">
        <f t="shared" si="14"/>
        <v>10.231145048153504</v>
      </c>
      <c r="AB37" s="73">
        <f t="shared" si="15"/>
        <v>10.020350510159048</v>
      </c>
      <c r="AC37" s="253" t="s">
        <v>263</v>
      </c>
      <c r="AD37" s="84">
        <f t="shared" si="17"/>
        <v>9.5114303363044996</v>
      </c>
      <c r="AE37" s="85">
        <f t="shared" si="18"/>
        <v>10.950859760002508</v>
      </c>
      <c r="AF37" s="140"/>
    </row>
    <row r="38" spans="1:32" s="6" customFormat="1">
      <c r="A38" s="134">
        <v>2002</v>
      </c>
      <c r="B38" s="109">
        <f t="shared" si="0"/>
        <v>2008</v>
      </c>
      <c r="C38" s="67">
        <f>VLOOKUP($A38,FBrood!$A$8:$M$50,8)</f>
        <v>10.967819581276032</v>
      </c>
      <c r="D38" s="67">
        <f>VLOOKUP($A38,FBrood!$A$8:$M$50,12)</f>
        <v>9.7436231850942363</v>
      </c>
      <c r="E38" s="6">
        <v>32</v>
      </c>
      <c r="F38" s="6">
        <v>30</v>
      </c>
      <c r="G38" s="139">
        <v>7.1055794869283053</v>
      </c>
      <c r="H38" s="139">
        <v>0.28397572691162898</v>
      </c>
      <c r="I38" s="139">
        <v>0.18688088811760911</v>
      </c>
      <c r="J38" s="139">
        <v>10.209605253963771</v>
      </c>
      <c r="K38" s="139">
        <v>0.62988188760194863</v>
      </c>
      <c r="L38" s="139">
        <v>7.1467488595178583E-2</v>
      </c>
      <c r="M38" s="6">
        <v>0.41467270449993548</v>
      </c>
      <c r="N38" s="68">
        <f t="shared" si="1"/>
        <v>-0.46598206886953442</v>
      </c>
      <c r="O38" s="25">
        <f t="shared" si="2"/>
        <v>0.21713928850793152</v>
      </c>
      <c r="P38" s="69">
        <f t="shared" si="3"/>
        <v>10.209605253963771</v>
      </c>
      <c r="Q38" s="25">
        <f t="shared" si="4"/>
        <v>9.4898905421147663</v>
      </c>
      <c r="R38" s="25">
        <f t="shared" si="5"/>
        <v>10.929319965812775</v>
      </c>
      <c r="S38" s="70">
        <f t="shared" si="6"/>
        <v>-10117.655543286124</v>
      </c>
      <c r="T38" s="25">
        <f t="shared" si="7"/>
        <v>102366953.69258843</v>
      </c>
      <c r="U38" s="70">
        <f t="shared" si="8"/>
        <v>27162.843048218907</v>
      </c>
      <c r="V38" s="71">
        <f t="shared" si="9"/>
        <v>13225.34762882858</v>
      </c>
      <c r="W38" s="71">
        <f t="shared" si="10"/>
        <v>55788.328834084925</v>
      </c>
      <c r="X38" s="72">
        <f t="shared" si="11"/>
        <v>0.59357842442965969</v>
      </c>
      <c r="Y38" s="72">
        <f t="shared" si="12"/>
        <v>0.59357842442965969</v>
      </c>
      <c r="Z38" s="73">
        <f t="shared" si="13"/>
        <v>10.967819581276032</v>
      </c>
      <c r="AA38" s="74">
        <f t="shared" si="14"/>
        <v>10.189064785492853</v>
      </c>
      <c r="AB38" s="73">
        <f t="shared" si="15"/>
        <v>9.7436231850942363</v>
      </c>
      <c r="AC38" s="253" t="s">
        <v>355</v>
      </c>
      <c r="AD38" s="84">
        <f t="shared" si="17"/>
        <v>9.4693500736438487</v>
      </c>
      <c r="AE38" s="85">
        <f t="shared" si="18"/>
        <v>10.908779497341857</v>
      </c>
      <c r="AF38" s="140"/>
    </row>
    <row r="39" spans="1:32" s="6" customFormat="1">
      <c r="A39" s="134">
        <v>2003</v>
      </c>
      <c r="B39" s="109">
        <f t="shared" si="0"/>
        <v>2009</v>
      </c>
      <c r="C39" s="67">
        <f>VLOOKUP($A39,FBrood!$A$8:$M$50,8)</f>
        <v>10.379176371820273</v>
      </c>
      <c r="D39" s="67">
        <f>VLOOKUP($A39,FBrood!$A$8:$M$50,12)</f>
        <v>9.1721890248461087</v>
      </c>
      <c r="E39" s="6">
        <v>32</v>
      </c>
      <c r="F39" s="6">
        <v>30</v>
      </c>
      <c r="G39" s="139">
        <v>7.4097240886439479</v>
      </c>
      <c r="H39" s="139">
        <v>0.25524166533374038</v>
      </c>
      <c r="I39" s="139">
        <v>0.18255415505820399</v>
      </c>
      <c r="J39" s="139">
        <v>10.046266284480053</v>
      </c>
      <c r="K39" s="139">
        <v>0.62347632851878854</v>
      </c>
      <c r="L39" s="139">
        <v>6.117620445300137E-2</v>
      </c>
      <c r="M39" s="6">
        <v>0.40714652361065418</v>
      </c>
      <c r="N39" s="68">
        <f t="shared" si="1"/>
        <v>-0.87407725963394434</v>
      </c>
      <c r="O39" s="25">
        <f t="shared" si="2"/>
        <v>0.76401105580918571</v>
      </c>
      <c r="P39" s="69">
        <f t="shared" si="3"/>
        <v>10.046266284480053</v>
      </c>
      <c r="Q39" s="25">
        <f t="shared" si="4"/>
        <v>9.3265515726310486</v>
      </c>
      <c r="R39" s="25">
        <f t="shared" si="5"/>
        <v>10.765980996329057</v>
      </c>
      <c r="S39" s="70">
        <f t="shared" si="6"/>
        <v>-13443.818446371657</v>
      </c>
      <c r="T39" s="25">
        <f t="shared" si="7"/>
        <v>180736254.41900283</v>
      </c>
      <c r="U39" s="70">
        <f t="shared" si="8"/>
        <v>23069.49092713049</v>
      </c>
      <c r="V39" s="71">
        <f t="shared" si="9"/>
        <v>11232.330746446421</v>
      </c>
      <c r="W39" s="71">
        <f t="shared" si="10"/>
        <v>47381.209087466443</v>
      </c>
      <c r="X39" s="72">
        <f t="shared" si="11"/>
        <v>1.3966627758470984</v>
      </c>
      <c r="Y39" s="72">
        <f t="shared" si="12"/>
        <v>1.3966627758470984</v>
      </c>
      <c r="Z39" s="73">
        <f t="shared" si="13"/>
        <v>10.379176371820273</v>
      </c>
      <c r="AA39" s="74">
        <f t="shared" si="14"/>
        <v>10.036782624136478</v>
      </c>
      <c r="AB39" s="73">
        <f t="shared" si="15"/>
        <v>9.1721890248461087</v>
      </c>
      <c r="AC39" s="253" t="s">
        <v>356</v>
      </c>
      <c r="AD39" s="84">
        <f t="shared" si="17"/>
        <v>9.3170679122874738</v>
      </c>
      <c r="AE39" s="85">
        <f t="shared" si="18"/>
        <v>10.756497335985483</v>
      </c>
      <c r="AF39" s="140"/>
    </row>
    <row r="40" spans="1:32" s="6" customFormat="1">
      <c r="A40" s="134">
        <v>2004</v>
      </c>
      <c r="B40" s="109">
        <f t="shared" si="0"/>
        <v>2010</v>
      </c>
      <c r="C40" s="67">
        <f>VLOOKUP($A40,FBrood!$A$8:$M$50,8)</f>
        <v>10.205029621448679</v>
      </c>
      <c r="D40" s="67">
        <f>VLOOKUP($A40,FBrood!$A$8:$M$50,12)</f>
        <v>8.8186735071419058</v>
      </c>
      <c r="E40" s="6">
        <v>32</v>
      </c>
      <c r="F40" s="6">
        <v>30</v>
      </c>
      <c r="G40" s="139">
        <v>7.9090894789392649</v>
      </c>
      <c r="H40" s="139">
        <v>0.20873379287623853</v>
      </c>
      <c r="I40" s="139">
        <v>0.17600795543721362</v>
      </c>
      <c r="J40" s="139">
        <v>9.9810018721583518</v>
      </c>
      <c r="K40" s="139">
        <v>0.59558196453834189</v>
      </c>
      <c r="L40" s="139">
        <v>4.4781871025524105E-2</v>
      </c>
      <c r="M40" s="6">
        <v>0.37333649292475146</v>
      </c>
      <c r="N40" s="68">
        <f t="shared" si="1"/>
        <v>-1.162328365016446</v>
      </c>
      <c r="O40" s="25">
        <f t="shared" si="2"/>
        <v>1.3510072281218044</v>
      </c>
      <c r="P40" s="69">
        <f t="shared" si="3"/>
        <v>9.9810018721583518</v>
      </c>
      <c r="Q40" s="25">
        <f t="shared" si="4"/>
        <v>9.2612871603093474</v>
      </c>
      <c r="R40" s="25">
        <f t="shared" si="5"/>
        <v>10.700716584007356</v>
      </c>
      <c r="S40" s="70">
        <f t="shared" si="6"/>
        <v>-14852.661599361265</v>
      </c>
      <c r="T40" s="25">
        <f t="shared" si="7"/>
        <v>220601556.58514073</v>
      </c>
      <c r="U40" s="70">
        <f t="shared" si="8"/>
        <v>21611.954121973969</v>
      </c>
      <c r="V40" s="71">
        <f t="shared" si="9"/>
        <v>10522.668989177933</v>
      </c>
      <c r="W40" s="71">
        <f t="shared" si="10"/>
        <v>44387.651217640101</v>
      </c>
      <c r="X40" s="72">
        <f t="shared" si="11"/>
        <v>2.1973692586424991</v>
      </c>
      <c r="Y40" s="72">
        <f t="shared" si="12"/>
        <v>2.1973692586424991</v>
      </c>
      <c r="Z40" s="73">
        <f t="shared" si="13"/>
        <v>10.205029621448679</v>
      </c>
      <c r="AA40" s="74">
        <f t="shared" si="14"/>
        <v>9.9917308115719639</v>
      </c>
      <c r="AB40" s="73">
        <f t="shared" si="15"/>
        <v>8.8186735071419058</v>
      </c>
      <c r="AC40" s="253" t="s">
        <v>362</v>
      </c>
      <c r="AD40" s="84">
        <f t="shared" si="17"/>
        <v>9.2720160997229595</v>
      </c>
      <c r="AE40" s="85">
        <f t="shared" si="18"/>
        <v>10.711445523420968</v>
      </c>
      <c r="AF40" s="140"/>
    </row>
    <row r="41" spans="1:32" s="6" customFormat="1">
      <c r="A41" s="134">
        <v>2005</v>
      </c>
      <c r="B41" s="109">
        <f t="shared" si="0"/>
        <v>2011</v>
      </c>
      <c r="C41" s="67">
        <f>VLOOKUP($A41,FBrood!$A$8:$M$50,8)</f>
        <v>9.8896200751423216</v>
      </c>
      <c r="D41" s="67">
        <f>VLOOKUP($A41,FBrood!$A$8:$M$50,12)</f>
        <v>8.6999836364458236</v>
      </c>
      <c r="E41" s="6">
        <v>32</v>
      </c>
      <c r="F41" s="6">
        <v>30</v>
      </c>
      <c r="G41" s="139">
        <v>8.4093453350959084</v>
      </c>
      <c r="H41" s="139">
        <v>0.16159279621851053</v>
      </c>
      <c r="I41" s="139">
        <v>0.17044413251705082</v>
      </c>
      <c r="J41" s="139">
        <v>9.9747244113033098</v>
      </c>
      <c r="K41" s="139">
        <v>0.56953367978403857</v>
      </c>
      <c r="L41" s="139">
        <v>2.9089601972691004E-2</v>
      </c>
      <c r="M41" s="6">
        <v>0.34138803132534301</v>
      </c>
      <c r="N41" s="68">
        <f t="shared" si="1"/>
        <v>-1.2747407748574862</v>
      </c>
      <c r="O41" s="25">
        <f t="shared" si="2"/>
        <v>1.6249640430842642</v>
      </c>
      <c r="P41" s="69">
        <f t="shared" si="3"/>
        <v>9.9747244113033098</v>
      </c>
      <c r="Q41" s="25">
        <f t="shared" si="4"/>
        <v>9.2550096994543054</v>
      </c>
      <c r="R41" s="25">
        <f t="shared" si="5"/>
        <v>10.694439123152314</v>
      </c>
      <c r="S41" s="70">
        <f t="shared" si="6"/>
        <v>-15473.896873143207</v>
      </c>
      <c r="T41" s="25">
        <f t="shared" si="7"/>
        <v>239441484.44067112</v>
      </c>
      <c r="U41" s="70">
        <f t="shared" si="8"/>
        <v>21476.710862228629</v>
      </c>
      <c r="V41" s="71">
        <f t="shared" si="9"/>
        <v>10456.820244206247</v>
      </c>
      <c r="W41" s="71">
        <f t="shared" si="10"/>
        <v>44109.882228809554</v>
      </c>
      <c r="X41" s="72">
        <f t="shared" si="11"/>
        <v>2.5777738409483488</v>
      </c>
      <c r="Y41" s="72">
        <f t="shared" si="12"/>
        <v>2.5777738409483488</v>
      </c>
      <c r="Z41" s="73">
        <f t="shared" si="13"/>
        <v>9.8896200751423216</v>
      </c>
      <c r="AA41" s="74">
        <f t="shared" si="14"/>
        <v>9.9101342745654915</v>
      </c>
      <c r="AB41" s="73">
        <f t="shared" si="15"/>
        <v>8.6999836364458236</v>
      </c>
      <c r="AC41" s="253" t="s">
        <v>364</v>
      </c>
      <c r="AD41" s="84">
        <f t="shared" si="17"/>
        <v>9.1904195627164871</v>
      </c>
      <c r="AE41" s="85">
        <f t="shared" si="18"/>
        <v>10.629848986414496</v>
      </c>
      <c r="AF41" s="140"/>
    </row>
    <row r="42" spans="1:32" s="6" customFormat="1">
      <c r="A42" s="134">
        <v>2006</v>
      </c>
      <c r="B42" s="109">
        <f t="shared" si="0"/>
        <v>2012</v>
      </c>
      <c r="C42" s="67">
        <f>VLOOKUP($A42,FBrood!$A$8:$M$50,8)</f>
        <v>10.623064262285222</v>
      </c>
      <c r="D42" s="67">
        <f>VLOOKUP($A42,FBrood!$A$8:$M$50,12)</f>
        <v>8.5808976884951669</v>
      </c>
      <c r="E42" s="6">
        <v>32</v>
      </c>
      <c r="F42" s="6">
        <v>30</v>
      </c>
      <c r="G42" s="139">
        <v>7.1459824315985427</v>
      </c>
      <c r="H42" s="139">
        <v>0.28208973175204888</v>
      </c>
      <c r="I42" s="139">
        <v>0.17542031501437244</v>
      </c>
      <c r="J42" s="139">
        <v>10.138169882161662</v>
      </c>
      <c r="K42" s="139">
        <v>0.59788251874311671</v>
      </c>
      <c r="L42" s="139">
        <v>7.9356922916483122E-2</v>
      </c>
      <c r="M42" s="6">
        <v>0.37672400228616709</v>
      </c>
      <c r="N42" s="68">
        <f t="shared" si="1"/>
        <v>-1.5572721936664955</v>
      </c>
      <c r="O42" s="25">
        <f t="shared" si="2"/>
        <v>2.4250966851668592</v>
      </c>
      <c r="P42" s="69">
        <f t="shared" si="3"/>
        <v>10.138169882161662</v>
      </c>
      <c r="Q42" s="25">
        <f t="shared" si="4"/>
        <v>9.418455170312658</v>
      </c>
      <c r="R42" s="25">
        <f t="shared" si="5"/>
        <v>10.857884594010667</v>
      </c>
      <c r="S42" s="70">
        <f t="shared" si="6"/>
        <v>-19961.253110726037</v>
      </c>
      <c r="T42" s="25">
        <f t="shared" si="7"/>
        <v>398451625.75046986</v>
      </c>
      <c r="U42" s="70">
        <f t="shared" si="8"/>
        <v>25290.140170154053</v>
      </c>
      <c r="V42" s="71">
        <f t="shared" si="9"/>
        <v>12313.545188857575</v>
      </c>
      <c r="W42" s="71">
        <f t="shared" si="10"/>
        <v>51942.083292535477</v>
      </c>
      <c r="X42" s="72">
        <f t="shared" si="11"/>
        <v>3.7458577913393811</v>
      </c>
      <c r="Y42" s="72">
        <f t="shared" si="12"/>
        <v>3.7458577913393811</v>
      </c>
      <c r="Z42" s="73">
        <f t="shared" si="13"/>
        <v>10.623064262285222</v>
      </c>
      <c r="AA42" s="74">
        <f t="shared" si="14"/>
        <v>10.099876488963336</v>
      </c>
      <c r="AB42" s="73">
        <f t="shared" si="15"/>
        <v>8.5808976884951669</v>
      </c>
      <c r="AC42" s="253" t="s">
        <v>413</v>
      </c>
      <c r="AD42" s="84">
        <f t="shared" si="17"/>
        <v>9.3801617771143313</v>
      </c>
      <c r="AE42" s="85">
        <f t="shared" si="18"/>
        <v>10.81959120081234</v>
      </c>
      <c r="AF42" s="140"/>
    </row>
    <row r="43" spans="1:32" s="6" customFormat="1">
      <c r="A43" s="134">
        <v>2007</v>
      </c>
      <c r="B43" s="109">
        <f t="shared" si="0"/>
        <v>2013</v>
      </c>
      <c r="C43" s="67">
        <f>VLOOKUP($A43,FBrood!$A$8:$M$50,8)</f>
        <v>10.473047734898355</v>
      </c>
      <c r="D43" s="67">
        <f>VLOOKUP($A43,FBrood!$A$8:$M$50,12)</f>
        <v>8.4627993542207882</v>
      </c>
      <c r="E43" s="6">
        <v>32</v>
      </c>
      <c r="F43" s="6">
        <v>30</v>
      </c>
      <c r="G43" s="139">
        <v>7.3670640601903745</v>
      </c>
      <c r="H43" s="139">
        <v>0.26067414472809097</v>
      </c>
      <c r="I43" s="139">
        <v>0.17581514818314717</v>
      </c>
      <c r="J43" s="139">
        <v>10.079202685751925</v>
      </c>
      <c r="K43" s="139">
        <v>0.60053169964736741</v>
      </c>
      <c r="L43" s="139">
        <v>6.8273259538668474E-2</v>
      </c>
      <c r="M43" s="6">
        <v>0.3799976365985579</v>
      </c>
      <c r="N43" s="68">
        <f t="shared" si="1"/>
        <v>-1.6164033315311368</v>
      </c>
      <c r="O43" s="25">
        <f t="shared" si="2"/>
        <v>2.6127597301849583</v>
      </c>
      <c r="P43" s="69">
        <f t="shared" si="3"/>
        <v>10.079202685751925</v>
      </c>
      <c r="Q43" s="25">
        <f t="shared" si="4"/>
        <v>9.3594879739029206</v>
      </c>
      <c r="R43" s="25">
        <f t="shared" si="5"/>
        <v>10.798917397600929</v>
      </c>
      <c r="S43" s="70">
        <f t="shared" si="6"/>
        <v>-19106.673190844125</v>
      </c>
      <c r="T43" s="25">
        <f t="shared" si="7"/>
        <v>365064960.42172164</v>
      </c>
      <c r="U43" s="70">
        <f t="shared" si="8"/>
        <v>23841.968420671499</v>
      </c>
      <c r="V43" s="71">
        <f t="shared" si="9"/>
        <v>11608.443194226293</v>
      </c>
      <c r="W43" s="71">
        <f t="shared" si="10"/>
        <v>48967.759815977959</v>
      </c>
      <c r="X43" s="72">
        <f t="shared" si="11"/>
        <v>4.0349486702523221</v>
      </c>
      <c r="Y43" s="72">
        <f t="shared" si="12"/>
        <v>4.0349486702523221</v>
      </c>
      <c r="Z43" s="73">
        <f t="shared" si="13"/>
        <v>10.473047734898355</v>
      </c>
      <c r="AA43" s="74">
        <f t="shared" si="14"/>
        <v>10.061067171769697</v>
      </c>
      <c r="AB43" s="73">
        <f t="shared" si="15"/>
        <v>8.4627993542207882</v>
      </c>
      <c r="AC43" s="253" t="s">
        <v>419</v>
      </c>
      <c r="AD43" s="84">
        <f t="shared" si="17"/>
        <v>9.3413524599206923</v>
      </c>
      <c r="AE43" s="85">
        <f t="shared" si="18"/>
        <v>10.780781883618701</v>
      </c>
      <c r="AF43" s="140"/>
    </row>
    <row r="44" spans="1:32" s="6" customFormat="1">
      <c r="A44" s="134"/>
      <c r="B44" s="744"/>
      <c r="C44" s="67"/>
      <c r="D44" s="67"/>
      <c r="G44" s="139"/>
      <c r="H44" s="139"/>
      <c r="I44" s="139"/>
      <c r="J44" s="139"/>
      <c r="K44" s="139"/>
      <c r="L44" s="139"/>
      <c r="N44" s="68"/>
      <c r="O44" s="25"/>
      <c r="P44" s="69"/>
      <c r="Q44" s="25"/>
      <c r="R44" s="25"/>
      <c r="S44" s="70"/>
      <c r="T44" s="25"/>
      <c r="U44" s="70"/>
      <c r="V44" s="71"/>
      <c r="W44" s="71"/>
      <c r="X44" s="72"/>
      <c r="Y44" s="72"/>
      <c r="Z44" s="73"/>
      <c r="AA44" s="251"/>
      <c r="AB44" s="73"/>
      <c r="AC44" s="70"/>
      <c r="AD44" s="252"/>
      <c r="AE44" s="85"/>
      <c r="AF44" s="140"/>
    </row>
    <row r="45" spans="1:32" s="6" customFormat="1">
      <c r="A45" s="134">
        <v>2008</v>
      </c>
      <c r="B45" s="25">
        <f>FcastYR</f>
        <v>2015</v>
      </c>
      <c r="C45" s="67">
        <f>VLOOKUP($A45,FBrood!$A$8:$M$50,8)</f>
        <v>10.180696807910829</v>
      </c>
      <c r="D45" s="67">
        <f>VLOOKUP($A45,FBrood!$A$8:$M$50,12)</f>
        <v>9.0931491471601422</v>
      </c>
      <c r="E45" s="6">
        <v>33</v>
      </c>
      <c r="F45" s="6">
        <v>31</v>
      </c>
      <c r="G45" s="139">
        <v>7.3516868214325903</v>
      </c>
      <c r="H45" s="139">
        <v>0.25870027702718218</v>
      </c>
      <c r="I45" s="139">
        <v>0.18349510397423116</v>
      </c>
      <c r="J45" s="139">
        <v>10.033529491155033</v>
      </c>
      <c r="K45" s="139">
        <v>0.62677460190774004</v>
      </c>
      <c r="L45" s="139">
        <v>6.0255008458122872E-2</v>
      </c>
      <c r="M45" s="6">
        <v>0.41095550167068107</v>
      </c>
      <c r="N45" s="68">
        <f>D45-J45</f>
        <v>-0.94038034399489057</v>
      </c>
      <c r="O45" s="479">
        <f>N45^2</f>
        <v>0.88431519137194869</v>
      </c>
      <c r="P45" s="69">
        <f>J45</f>
        <v>10.033529491155033</v>
      </c>
      <c r="Q45" s="25">
        <f>$P45-SQRT($O$47)*$Q$47</f>
        <v>9.3138147793060284</v>
      </c>
      <c r="R45" s="25">
        <f>$P45+SQRT($O$47)*$Q$47</f>
        <v>10.753244203004037</v>
      </c>
      <c r="S45" s="70">
        <f>EXP(D45)-U45</f>
        <v>-13883.371917692702</v>
      </c>
      <c r="T45" s="25">
        <f>S45^2</f>
        <v>192748015.80497834</v>
      </c>
      <c r="U45" s="316">
        <f>EXP(P45)</f>
        <v>22777.522904314297</v>
      </c>
      <c r="V45" s="316">
        <f>EXP(Q45)</f>
        <v>11090.174102850931</v>
      </c>
      <c r="W45" s="316">
        <f>EXP(R45)</f>
        <v>46781.5513845893</v>
      </c>
      <c r="X45" s="72"/>
      <c r="Y45" s="72"/>
      <c r="Z45" s="447">
        <f>C45</f>
        <v>10.180696807910829</v>
      </c>
      <c r="AA45" s="74">
        <f>(+G45+H45*C45)</f>
        <v>9.9854359059688704</v>
      </c>
      <c r="AB45" s="73"/>
      <c r="AC45" s="253" t="s">
        <v>364</v>
      </c>
      <c r="AD45" s="84">
        <f>AA45-SQRT($O$47)*$Q$47</f>
        <v>9.2657211941198661</v>
      </c>
      <c r="AE45" s="85">
        <f>AA45+SQRT($O$47)*$Q$47</f>
        <v>10.705150617817875</v>
      </c>
      <c r="AF45" s="255">
        <f>AA45</f>
        <v>9.9854359059688704</v>
      </c>
    </row>
    <row r="46" spans="1:32" s="6" customFormat="1">
      <c r="A46" s="151"/>
      <c r="B46" s="142"/>
      <c r="C46" s="143"/>
      <c r="D46" s="142"/>
      <c r="E46" s="142"/>
      <c r="F46" s="142"/>
      <c r="G46" s="142"/>
      <c r="H46" s="142"/>
      <c r="I46" s="142"/>
      <c r="J46" s="142"/>
      <c r="K46" s="142"/>
      <c r="L46" s="142"/>
      <c r="M46" s="144"/>
      <c r="N46" s="143"/>
      <c r="O46" s="142"/>
      <c r="P46" s="142"/>
      <c r="Q46" s="142"/>
      <c r="R46" s="142"/>
      <c r="S46" s="142"/>
      <c r="T46" s="142"/>
      <c r="U46" s="142"/>
      <c r="V46" s="142"/>
      <c r="W46" s="142"/>
      <c r="X46" s="145"/>
      <c r="Y46" s="145"/>
      <c r="Z46" s="125"/>
      <c r="AA46" s="145"/>
      <c r="AB46" s="145"/>
      <c r="AC46" s="145"/>
      <c r="AD46" s="142"/>
      <c r="AE46" s="145"/>
    </row>
    <row r="47" spans="1:32" s="6" customFormat="1">
      <c r="A47" s="146"/>
      <c r="C47" s="147"/>
      <c r="E47" s="110" t="s">
        <v>103</v>
      </c>
      <c r="F47" s="6">
        <f>F39</f>
        <v>30</v>
      </c>
      <c r="M47" s="148" t="s">
        <v>104</v>
      </c>
      <c r="N47" s="147"/>
      <c r="O47" s="68">
        <f>AVERAGE(O11:O42)</f>
        <v>0.30184095708402459</v>
      </c>
      <c r="P47" s="110" t="s">
        <v>105</v>
      </c>
      <c r="Q47" s="6">
        <f>VLOOKUP(F47,[2]ttab!$A$3:$G$43,4)</f>
        <v>1.31</v>
      </c>
      <c r="X47" s="149"/>
      <c r="Y47" s="109"/>
      <c r="Z47" s="146"/>
    </row>
    <row r="48" spans="1:32" s="6" customFormat="1">
      <c r="A48" s="146"/>
      <c r="E48" s="110" t="s">
        <v>103</v>
      </c>
      <c r="F48" s="6">
        <f>F45</f>
        <v>31</v>
      </c>
      <c r="M48" s="148" t="s">
        <v>106</v>
      </c>
      <c r="N48" s="147"/>
      <c r="O48" s="68">
        <f>AVERAGE(O11:O44)</f>
        <v>0.37186879869314377</v>
      </c>
      <c r="P48" s="110" t="s">
        <v>105</v>
      </c>
      <c r="Q48" s="6">
        <f>VLOOKUP(F48,[2]ttab!$A$3:$G$43,4)</f>
        <v>1.31</v>
      </c>
      <c r="S48" s="110" t="s">
        <v>107</v>
      </c>
      <c r="T48" s="33">
        <f>AVERAGE(T11:T44)</f>
        <v>92058443.354512289</v>
      </c>
      <c r="W48" s="6" t="s">
        <v>108</v>
      </c>
      <c r="X48" s="414">
        <f>AVERAGE(X11:X44)</f>
        <v>0.59223378320825437</v>
      </c>
      <c r="Y48" s="414">
        <f>AVERAGE(Y11:Y44)</f>
        <v>0.70307599916076025</v>
      </c>
      <c r="Z48" s="146"/>
    </row>
    <row r="49" spans="1:25" s="6" customFormat="1">
      <c r="A49" s="142"/>
      <c r="B49" s="142"/>
      <c r="C49" s="142"/>
      <c r="D49" s="142"/>
      <c r="E49" s="142"/>
      <c r="F49" s="142"/>
      <c r="G49" s="142"/>
      <c r="H49" s="142"/>
      <c r="I49" s="142"/>
      <c r="J49" s="142"/>
      <c r="K49" s="142"/>
      <c r="L49" s="142"/>
      <c r="M49" s="144"/>
      <c r="N49" s="143"/>
      <c r="O49" s="142"/>
      <c r="P49" s="142"/>
      <c r="Q49" s="142"/>
      <c r="R49" s="142"/>
      <c r="S49" s="142"/>
      <c r="T49" s="142"/>
      <c r="U49" s="142"/>
      <c r="V49" s="142"/>
      <c r="W49" s="142"/>
      <c r="X49" s="145"/>
      <c r="Y49" s="109"/>
    </row>
    <row r="50" spans="1:25" s="6" customFormat="1">
      <c r="M50" t="s">
        <v>32</v>
      </c>
      <c r="N50"/>
      <c r="O50"/>
      <c r="P50"/>
      <c r="Q50"/>
      <c r="R50"/>
      <c r="S50"/>
      <c r="T50"/>
      <c r="U50"/>
    </row>
    <row r="51" spans="1:25" s="6" customFormat="1" ht="13.8" thickBot="1">
      <c r="G51" s="110" t="e">
        <f t="array" aca="1" ref="G51:K58" ca="1">[3]!Regression('Ln1.4=Ln1.3'!$D$11:$D$40,'Ln1.4=Ln1.3'!$C$11:$C$40,TRUE)</f>
        <v>#NAME?</v>
      </c>
      <c r="H51" s="110" t="e">
        <f ca="1"/>
        <v>#NAME?</v>
      </c>
      <c r="I51" s="110" t="e">
        <f ca="1"/>
        <v>#NAME?</v>
      </c>
      <c r="J51" s="110" t="e">
        <f ca="1"/>
        <v>#NAME?</v>
      </c>
      <c r="K51" s="110" t="e">
        <f ca="1"/>
        <v>#NAME?</v>
      </c>
      <c r="M51"/>
      <c r="N51"/>
      <c r="O51"/>
      <c r="P51"/>
      <c r="Q51"/>
      <c r="R51"/>
      <c r="S51"/>
      <c r="T51"/>
      <c r="U51"/>
      <c r="W51" s="439" t="s">
        <v>361</v>
      </c>
      <c r="X51" s="634">
        <f>AVERAGE(X29:X44)</f>
        <v>1.1786863712424502</v>
      </c>
      <c r="Y51" s="634">
        <f>AVERAGE(Y29:Y44)</f>
        <v>1.1799160476550636</v>
      </c>
    </row>
    <row r="52" spans="1:25" s="6" customFormat="1">
      <c r="G52" s="110" t="e">
        <f ca="1"/>
        <v>#NAME?</v>
      </c>
      <c r="H52" s="110" t="e">
        <f ca="1"/>
        <v>#NAME?</v>
      </c>
      <c r="I52" s="110" t="e">
        <f ca="1"/>
        <v>#NAME?</v>
      </c>
      <c r="J52" s="110" t="e">
        <f ca="1"/>
        <v>#NAME?</v>
      </c>
      <c r="K52" s="110" t="e">
        <f ca="1"/>
        <v>#NAME?</v>
      </c>
      <c r="M52" s="22" t="s">
        <v>33</v>
      </c>
      <c r="N52" s="22"/>
      <c r="O52"/>
      <c r="P52"/>
      <c r="Q52"/>
      <c r="R52"/>
      <c r="S52"/>
      <c r="T52"/>
      <c r="U52"/>
    </row>
    <row r="53" spans="1:25" s="6" customFormat="1">
      <c r="B53" s="386"/>
      <c r="C53" s="386"/>
      <c r="D53" s="386"/>
      <c r="E53" s="386"/>
      <c r="F53" s="386"/>
      <c r="G53" s="386" t="e">
        <f ca="1"/>
        <v>#NAME?</v>
      </c>
      <c r="H53" s="386" t="e">
        <f ca="1"/>
        <v>#NAME?</v>
      </c>
      <c r="I53" s="386" t="e">
        <f ca="1"/>
        <v>#NAME?</v>
      </c>
      <c r="J53" s="386" t="e">
        <f ca="1"/>
        <v>#NAME?</v>
      </c>
      <c r="K53" s="389" t="e">
        <f ca="1"/>
        <v>#NAME?</v>
      </c>
      <c r="M53" s="19" t="s">
        <v>34</v>
      </c>
      <c r="N53" s="19">
        <v>0.34190837856792083</v>
      </c>
      <c r="O53"/>
      <c r="P53"/>
      <c r="Q53"/>
      <c r="R53"/>
      <c r="S53"/>
      <c r="T53"/>
      <c r="U53"/>
    </row>
    <row r="54" spans="1:25" s="6" customFormat="1">
      <c r="B54" s="386"/>
      <c r="C54" s="386"/>
      <c r="D54" s="386"/>
      <c r="E54" s="386"/>
      <c r="F54" s="386"/>
      <c r="G54" s="386" t="e">
        <f ca="1"/>
        <v>#NAME?</v>
      </c>
      <c r="H54" s="386" t="e">
        <f ca="1"/>
        <v>#NAME?</v>
      </c>
      <c r="I54" s="386" t="e">
        <f ca="1"/>
        <v>#NAME?</v>
      </c>
      <c r="J54" s="386" t="e">
        <f ca="1"/>
        <v>#NAME?</v>
      </c>
      <c r="K54" s="389" t="e">
        <f ca="1"/>
        <v>#NAME?</v>
      </c>
      <c r="M54" s="19" t="s">
        <v>35</v>
      </c>
      <c r="N54" s="19">
        <v>0.11690133933494465</v>
      </c>
      <c r="O54"/>
      <c r="P54"/>
      <c r="Q54"/>
      <c r="R54"/>
      <c r="S54"/>
      <c r="T54"/>
      <c r="U54"/>
    </row>
    <row r="55" spans="1:25" s="6" customFormat="1">
      <c r="B55" s="387"/>
      <c r="C55" s="387"/>
      <c r="D55" s="386"/>
      <c r="E55" s="386"/>
      <c r="F55" s="386"/>
      <c r="G55" s="386" t="e">
        <f ca="1"/>
        <v>#NAME?</v>
      </c>
      <c r="H55" s="386" t="e">
        <f ca="1"/>
        <v>#NAME?</v>
      </c>
      <c r="I55" s="386" t="e">
        <f ca="1"/>
        <v>#NAME?</v>
      </c>
      <c r="J55" s="386" t="e">
        <f ca="1"/>
        <v>#NAME?</v>
      </c>
      <c r="K55" s="389" t="e">
        <f ca="1"/>
        <v>#NAME?</v>
      </c>
      <c r="M55" s="19" t="s">
        <v>36</v>
      </c>
      <c r="N55" s="19">
        <v>8.4193981532535198E-2</v>
      </c>
      <c r="O55"/>
      <c r="P55"/>
      <c r="Q55"/>
      <c r="R55"/>
      <c r="S55"/>
      <c r="T55"/>
      <c r="U55"/>
    </row>
    <row r="56" spans="1:25" s="6" customFormat="1">
      <c r="B56" s="388"/>
      <c r="C56" s="388"/>
      <c r="D56" s="386"/>
      <c r="E56" s="386"/>
      <c r="F56" s="386"/>
      <c r="G56" s="386" t="e">
        <f ca="1"/>
        <v>#NAME?</v>
      </c>
      <c r="H56" s="386" t="e">
        <f ca="1"/>
        <v>#NAME?</v>
      </c>
      <c r="I56" s="386" t="e">
        <f ca="1"/>
        <v>#NAME?</v>
      </c>
      <c r="J56" s="386" t="e">
        <f ca="1"/>
        <v>#NAME?</v>
      </c>
      <c r="K56" s="389" t="e">
        <f ca="1"/>
        <v>#NAME?</v>
      </c>
      <c r="M56" s="19" t="s">
        <v>37</v>
      </c>
      <c r="N56" s="19">
        <v>0.34592600730006362</v>
      </c>
      <c r="O56"/>
      <c r="P56"/>
      <c r="Q56"/>
      <c r="R56"/>
      <c r="S56"/>
      <c r="T56"/>
      <c r="U56"/>
    </row>
    <row r="57" spans="1:25" s="6" customFormat="1" ht="13.8" thickBot="1">
      <c r="B57" s="388"/>
      <c r="C57" s="388"/>
      <c r="D57" s="386"/>
      <c r="E57" s="386"/>
      <c r="F57" s="386"/>
      <c r="G57" s="386" t="e">
        <f ca="1"/>
        <v>#NAME?</v>
      </c>
      <c r="H57" s="386" t="e">
        <f ca="1"/>
        <v>#NAME?</v>
      </c>
      <c r="I57" s="386" t="e">
        <f ca="1"/>
        <v>#NAME?</v>
      </c>
      <c r="J57" s="386" t="e">
        <f ca="1"/>
        <v>#NAME?</v>
      </c>
      <c r="K57" s="389" t="e">
        <f ca="1"/>
        <v>#NAME?</v>
      </c>
      <c r="M57" s="20" t="s">
        <v>38</v>
      </c>
      <c r="N57" s="20">
        <v>29</v>
      </c>
      <c r="O57"/>
      <c r="P57"/>
      <c r="Q57"/>
      <c r="R57"/>
      <c r="S57"/>
      <c r="T57"/>
      <c r="U57"/>
    </row>
    <row r="58" spans="1:25" s="6" customFormat="1">
      <c r="B58" s="388"/>
      <c r="C58" s="388"/>
      <c r="D58" s="386"/>
      <c r="E58" s="386"/>
      <c r="F58" s="386"/>
      <c r="G58" s="386" t="e">
        <f ca="1"/>
        <v>#NAME?</v>
      </c>
      <c r="H58" s="386" t="e">
        <f ca="1"/>
        <v>#NAME?</v>
      </c>
      <c r="I58" s="386" t="e">
        <f ca="1"/>
        <v>#NAME?</v>
      </c>
      <c r="J58" s="386" t="e">
        <f ca="1"/>
        <v>#NAME?</v>
      </c>
      <c r="K58" s="389" t="e">
        <f ca="1"/>
        <v>#NAME?</v>
      </c>
      <c r="M58"/>
      <c r="N58"/>
      <c r="O58"/>
      <c r="P58"/>
      <c r="Q58"/>
      <c r="R58"/>
      <c r="S58"/>
      <c r="T58"/>
      <c r="U58"/>
    </row>
    <row r="59" spans="1:25" s="6" customFormat="1" ht="13.8" thickBot="1">
      <c r="B59" s="388"/>
      <c r="C59" s="388"/>
      <c r="D59" s="386"/>
      <c r="E59" s="386"/>
      <c r="F59" s="386"/>
      <c r="G59" s="386"/>
      <c r="H59" s="386"/>
      <c r="I59" s="386"/>
      <c r="J59" s="386"/>
      <c r="K59" s="389"/>
      <c r="M59" t="s">
        <v>39</v>
      </c>
      <c r="N59"/>
      <c r="O59"/>
      <c r="P59"/>
      <c r="Q59"/>
      <c r="R59"/>
      <c r="S59"/>
      <c r="T59"/>
      <c r="U59"/>
    </row>
    <row r="60" spans="1:25" s="6" customFormat="1">
      <c r="B60" s="388"/>
      <c r="C60" s="388"/>
      <c r="D60" s="386"/>
      <c r="E60" s="386"/>
      <c r="F60" s="386"/>
      <c r="G60" s="386"/>
      <c r="H60" s="386"/>
      <c r="I60" s="386"/>
      <c r="J60" s="386"/>
      <c r="K60" s="389"/>
      <c r="M60" s="21"/>
      <c r="N60" s="21" t="s">
        <v>43</v>
      </c>
      <c r="O60" s="21" t="s">
        <v>44</v>
      </c>
      <c r="P60" s="21" t="s">
        <v>45</v>
      </c>
      <c r="Q60" s="21" t="s">
        <v>46</v>
      </c>
      <c r="R60" s="21" t="s">
        <v>47</v>
      </c>
      <c r="S60"/>
      <c r="T60"/>
      <c r="U60"/>
    </row>
    <row r="61" spans="1:25" s="6" customFormat="1">
      <c r="B61" s="23"/>
      <c r="C61" s="23"/>
      <c r="D61" s="23"/>
      <c r="E61" s="23"/>
      <c r="F61" s="23"/>
      <c r="G61" s="386"/>
      <c r="H61" s="386"/>
      <c r="I61" s="386"/>
      <c r="J61" s="386"/>
      <c r="K61" s="389"/>
      <c r="M61" s="19" t="s">
        <v>40</v>
      </c>
      <c r="N61" s="19">
        <v>1</v>
      </c>
      <c r="O61" s="19">
        <v>0.42770118488679731</v>
      </c>
      <c r="P61" s="19">
        <v>0.42770118488679731</v>
      </c>
      <c r="Q61" s="19">
        <v>3.5741602865375102</v>
      </c>
      <c r="R61" s="19">
        <v>6.9462949850891589E-2</v>
      </c>
      <c r="S61"/>
      <c r="T61"/>
      <c r="U61"/>
    </row>
    <row r="62" spans="1:25" s="6" customFormat="1">
      <c r="B62" s="23"/>
      <c r="C62" s="23"/>
      <c r="D62" s="23"/>
      <c r="E62" s="23"/>
      <c r="F62" s="23"/>
      <c r="G62" s="386"/>
      <c r="H62" s="386"/>
      <c r="I62" s="386"/>
      <c r="J62" s="386"/>
      <c r="K62" s="389"/>
      <c r="M62" s="19" t="s">
        <v>41</v>
      </c>
      <c r="N62" s="19">
        <v>27</v>
      </c>
      <c r="O62" s="19">
        <v>3.2309496682172187</v>
      </c>
      <c r="P62" s="19">
        <v>0.11966480252656365</v>
      </c>
      <c r="Q62" s="19"/>
      <c r="R62" s="19"/>
      <c r="S62"/>
      <c r="T62"/>
      <c r="U62"/>
    </row>
    <row r="63" spans="1:25" ht="13.8" thickBot="1">
      <c r="B63" s="385"/>
      <c r="C63" s="385"/>
      <c r="D63" s="385"/>
      <c r="E63" s="385"/>
      <c r="F63" s="385"/>
      <c r="G63" s="387"/>
      <c r="H63" s="386"/>
      <c r="I63" s="386"/>
      <c r="J63" s="386"/>
      <c r="K63" s="386"/>
      <c r="M63" s="20" t="s">
        <v>0</v>
      </c>
      <c r="N63" s="20">
        <v>28</v>
      </c>
      <c r="O63" s="20">
        <v>3.6586508531040161</v>
      </c>
      <c r="P63" s="20"/>
      <c r="Q63" s="20"/>
      <c r="R63" s="20"/>
    </row>
    <row r="64" spans="1:25" ht="13.8" thickBot="1">
      <c r="B64" s="19"/>
      <c r="C64" s="19"/>
      <c r="D64" s="19"/>
      <c r="E64" s="19"/>
      <c r="F64" s="19"/>
      <c r="G64" s="388"/>
      <c r="H64" s="386"/>
      <c r="I64" s="386"/>
      <c r="J64" s="386"/>
      <c r="K64" s="386"/>
    </row>
    <row r="65" spans="2:21">
      <c r="B65" s="19"/>
      <c r="C65" s="19"/>
      <c r="D65" s="19"/>
      <c r="E65" s="19"/>
      <c r="F65" s="19"/>
      <c r="G65" s="388"/>
      <c r="H65" s="386"/>
      <c r="I65" s="386"/>
      <c r="J65" s="386"/>
      <c r="K65" s="386"/>
      <c r="M65" s="21"/>
      <c r="N65" s="21" t="s">
        <v>48</v>
      </c>
      <c r="O65" s="21" t="s">
        <v>37</v>
      </c>
      <c r="P65" s="21" t="s">
        <v>49</v>
      </c>
      <c r="Q65" s="21" t="s">
        <v>50</v>
      </c>
      <c r="R65" s="21" t="s">
        <v>51</v>
      </c>
      <c r="S65" s="21" t="s">
        <v>52</v>
      </c>
      <c r="T65" s="21" t="s">
        <v>205</v>
      </c>
      <c r="U65" s="21" t="s">
        <v>206</v>
      </c>
    </row>
    <row r="66" spans="2:21">
      <c r="B66" s="19"/>
      <c r="C66" s="19"/>
      <c r="D66" s="19"/>
      <c r="E66" s="19"/>
      <c r="F66" s="19"/>
      <c r="G66" s="388"/>
      <c r="H66" s="386"/>
      <c r="I66" s="386"/>
      <c r="J66" s="386"/>
      <c r="K66" s="386"/>
      <c r="M66" s="19" t="s">
        <v>42</v>
      </c>
      <c r="N66" s="19">
        <v>8.1826809554750604</v>
      </c>
      <c r="O66" s="19">
        <v>0.97789370479404292</v>
      </c>
      <c r="P66" s="19">
        <v>8.3676588931497822</v>
      </c>
      <c r="Q66" s="19">
        <v>5.6023989230854091E-9</v>
      </c>
      <c r="R66" s="19">
        <v>6.1762088330945799</v>
      </c>
      <c r="S66" s="19">
        <v>10.18915307785554</v>
      </c>
      <c r="T66" s="19">
        <v>6.1762088330945799</v>
      </c>
      <c r="U66" s="19">
        <v>10.18915307785554</v>
      </c>
    </row>
    <row r="67" spans="2:21" ht="13.8" thickBot="1">
      <c r="B67" s="23"/>
      <c r="C67" s="23"/>
      <c r="D67" s="23"/>
      <c r="E67" s="23"/>
      <c r="F67" s="23"/>
      <c r="G67" s="386"/>
      <c r="H67" s="386"/>
      <c r="I67" s="386"/>
      <c r="J67" s="386"/>
      <c r="K67" s="386"/>
      <c r="M67" s="20" t="s">
        <v>53</v>
      </c>
      <c r="N67" s="20">
        <v>0.18057715855089981</v>
      </c>
      <c r="O67" s="20">
        <v>9.5515928656539406E-2</v>
      </c>
      <c r="P67" s="20">
        <v>1.8905449707789317</v>
      </c>
      <c r="Q67" s="20">
        <v>6.9462949850891603E-2</v>
      </c>
      <c r="R67" s="20">
        <v>-1.5405336430999228E-2</v>
      </c>
      <c r="S67" s="20">
        <v>0.37655965353279885</v>
      </c>
      <c r="T67" s="20">
        <v>-1.5405336430999228E-2</v>
      </c>
      <c r="U67" s="20">
        <v>0.37655965353279885</v>
      </c>
    </row>
    <row r="68" spans="2:21">
      <c r="B68" s="385"/>
      <c r="C68" s="385"/>
      <c r="D68" s="385"/>
      <c r="E68" s="385"/>
      <c r="F68" s="385"/>
      <c r="G68" s="387"/>
      <c r="H68" s="387"/>
      <c r="I68" s="387"/>
      <c r="J68" s="387"/>
      <c r="K68" s="386"/>
    </row>
    <row r="69" spans="2:21">
      <c r="B69" s="19"/>
      <c r="C69" s="19"/>
      <c r="D69" s="19"/>
      <c r="E69" s="19"/>
      <c r="F69" s="19"/>
      <c r="G69" s="19"/>
      <c r="H69" s="19"/>
      <c r="I69" s="19"/>
      <c r="J69" s="19"/>
      <c r="K69" s="23"/>
    </row>
    <row r="70" spans="2:21">
      <c r="B70" s="19"/>
      <c r="C70" s="19"/>
      <c r="D70" s="19"/>
      <c r="E70" s="19"/>
      <c r="F70" s="19"/>
      <c r="G70" s="19"/>
      <c r="H70" s="19"/>
      <c r="I70" s="19"/>
      <c r="J70" s="19"/>
      <c r="K70" s="23"/>
    </row>
    <row r="71" spans="2:21">
      <c r="B71" s="23"/>
      <c r="C71" s="23"/>
      <c r="D71" s="23"/>
      <c r="E71" s="23"/>
      <c r="F71" s="23"/>
      <c r="G71" s="23"/>
      <c r="H71" s="23"/>
      <c r="I71" s="23"/>
      <c r="J71" s="23"/>
      <c r="K71" s="23"/>
      <c r="M71" t="s">
        <v>32</v>
      </c>
    </row>
    <row r="72" spans="2:21" ht="13.8" thickBot="1"/>
    <row r="73" spans="2:21">
      <c r="M73" s="22" t="s">
        <v>33</v>
      </c>
      <c r="N73" s="22"/>
    </row>
    <row r="74" spans="2:21">
      <c r="M74" s="19" t="s">
        <v>34</v>
      </c>
      <c r="N74" s="19">
        <v>0.54826521935088202</v>
      </c>
    </row>
    <row r="75" spans="2:21">
      <c r="M75" s="19" t="s">
        <v>35</v>
      </c>
      <c r="N75" s="19">
        <v>0.3005947507498708</v>
      </c>
    </row>
    <row r="76" spans="2:21">
      <c r="M76" s="19" t="s">
        <v>36</v>
      </c>
      <c r="N76" s="19">
        <v>0.22288305638874531</v>
      </c>
    </row>
    <row r="77" spans="2:21">
      <c r="M77" s="19" t="s">
        <v>37</v>
      </c>
      <c r="N77" s="19">
        <v>0.29554008857046776</v>
      </c>
    </row>
    <row r="78" spans="2:21" ht="13.8" thickBot="1">
      <c r="M78" s="20" t="s">
        <v>38</v>
      </c>
      <c r="N78" s="20">
        <v>11</v>
      </c>
    </row>
    <row r="80" spans="2:21" ht="13.8" thickBot="1">
      <c r="M80" t="s">
        <v>39</v>
      </c>
    </row>
    <row r="81" spans="13:21">
      <c r="M81" s="21"/>
      <c r="N81" s="21" t="s">
        <v>43</v>
      </c>
      <c r="O81" s="21" t="s">
        <v>44</v>
      </c>
      <c r="P81" s="21" t="s">
        <v>45</v>
      </c>
      <c r="Q81" s="21" t="s">
        <v>46</v>
      </c>
      <c r="R81" s="21" t="s">
        <v>47</v>
      </c>
    </row>
    <row r="82" spans="13:21">
      <c r="M82" s="19" t="s">
        <v>40</v>
      </c>
      <c r="N82" s="19">
        <v>1</v>
      </c>
      <c r="O82" s="19">
        <v>0.3378530255668718</v>
      </c>
      <c r="P82" s="19">
        <v>0.3378530255668718</v>
      </c>
      <c r="Q82" s="19">
        <v>3.8680761399051478</v>
      </c>
      <c r="R82" s="435">
        <v>8.0764154884844272E-2</v>
      </c>
    </row>
    <row r="83" spans="13:21">
      <c r="M83" s="19" t="s">
        <v>41</v>
      </c>
      <c r="N83" s="19">
        <v>9</v>
      </c>
      <c r="O83" s="19">
        <v>0.78609549557015945</v>
      </c>
      <c r="P83" s="19">
        <v>8.7343943952239933E-2</v>
      </c>
      <c r="Q83" s="19"/>
      <c r="R83" s="19"/>
    </row>
    <row r="84" spans="13:21" ht="13.8" thickBot="1">
      <c r="M84" s="20" t="s">
        <v>0</v>
      </c>
      <c r="N84" s="20">
        <v>10</v>
      </c>
      <c r="O84" s="20">
        <v>1.1239485211370313</v>
      </c>
      <c r="P84" s="20"/>
      <c r="Q84" s="20"/>
      <c r="R84" s="20"/>
    </row>
    <row r="85" spans="13:21" ht="13.8" thickBot="1"/>
    <row r="86" spans="13:21">
      <c r="M86" s="21"/>
      <c r="N86" s="21" t="s">
        <v>48</v>
      </c>
      <c r="O86" s="21" t="s">
        <v>37</v>
      </c>
      <c r="P86" s="21" t="s">
        <v>49</v>
      </c>
      <c r="Q86" s="21" t="s">
        <v>50</v>
      </c>
      <c r="R86" s="21" t="s">
        <v>51</v>
      </c>
      <c r="S86" s="21" t="s">
        <v>52</v>
      </c>
      <c r="T86" s="21" t="s">
        <v>205</v>
      </c>
      <c r="U86" s="21" t="s">
        <v>206</v>
      </c>
    </row>
    <row r="87" spans="13:21">
      <c r="M87" s="19" t="s">
        <v>42</v>
      </c>
      <c r="N87" s="19">
        <v>0.85152923064379138</v>
      </c>
      <c r="O87" s="19">
        <v>4.6179711765365994</v>
      </c>
      <c r="P87" s="19">
        <v>0.18439466122489401</v>
      </c>
      <c r="Q87" s="19">
        <v>0.85779183638083056</v>
      </c>
      <c r="R87" s="19">
        <v>-9.5950473225977593</v>
      </c>
      <c r="S87" s="19">
        <v>11.298105783885342</v>
      </c>
      <c r="T87" s="19">
        <v>-9.5950473225977593</v>
      </c>
      <c r="U87" s="19">
        <v>11.298105783885342</v>
      </c>
    </row>
    <row r="88" spans="13:21" ht="13.8" thickBot="1">
      <c r="M88" s="20" t="s">
        <v>53</v>
      </c>
      <c r="N88" s="20">
        <v>0.84226016718372998</v>
      </c>
      <c r="O88" s="20">
        <v>0.42825136418540366</v>
      </c>
      <c r="P88" s="20">
        <v>1.9667425199819999</v>
      </c>
      <c r="Q88" s="20">
        <v>8.0764154884844258E-2</v>
      </c>
      <c r="R88" s="20">
        <v>-0.12651172180588288</v>
      </c>
      <c r="S88" s="20">
        <v>1.8110320561733428</v>
      </c>
      <c r="T88" s="20">
        <v>-0.12651172180588288</v>
      </c>
      <c r="U88" s="20">
        <v>1.8110320561733428</v>
      </c>
    </row>
    <row r="92" spans="13:21">
      <c r="M92" t="s">
        <v>207</v>
      </c>
    </row>
    <row r="93" spans="13:21" ht="13.8" thickBot="1"/>
    <row r="94" spans="13:21">
      <c r="M94" s="21" t="s">
        <v>208</v>
      </c>
      <c r="N94" s="21" t="s">
        <v>209</v>
      </c>
      <c r="O94" s="21" t="s">
        <v>210</v>
      </c>
    </row>
    <row r="95" spans="13:21">
      <c r="M95" s="19">
        <v>1</v>
      </c>
      <c r="N95" s="19">
        <v>10.110775274093047</v>
      </c>
      <c r="O95" s="19">
        <v>0.33710882838539113</v>
      </c>
    </row>
    <row r="96" spans="13:21">
      <c r="M96" s="19">
        <v>2</v>
      </c>
      <c r="N96" s="19">
        <v>9.9612737178749828</v>
      </c>
      <c r="O96" s="19">
        <v>-0.27624167023495971</v>
      </c>
    </row>
    <row r="97" spans="13:15">
      <c r="M97" s="19">
        <v>3</v>
      </c>
      <c r="N97" s="19">
        <v>9.9480342432395013</v>
      </c>
      <c r="O97" s="19">
        <v>-0.17409634668722695</v>
      </c>
    </row>
    <row r="98" spans="13:15">
      <c r="M98" s="19">
        <v>4</v>
      </c>
      <c r="N98" s="19">
        <v>10.001954462557359</v>
      </c>
      <c r="O98" s="19">
        <v>-0.22816293665889376</v>
      </c>
    </row>
    <row r="99" spans="13:15">
      <c r="M99" s="19">
        <v>5</v>
      </c>
      <c r="N99" s="19">
        <v>9.8704988713529591</v>
      </c>
      <c r="O99" s="19">
        <v>0.34690409792077759</v>
      </c>
    </row>
    <row r="100" spans="13:15">
      <c r="M100" s="19">
        <v>6</v>
      </c>
      <c r="N100" s="19">
        <v>10.111784474398274</v>
      </c>
      <c r="O100" s="19">
        <v>0.30246543919430913</v>
      </c>
    </row>
    <row r="101" spans="13:15">
      <c r="M101" s="19">
        <v>7</v>
      </c>
      <c r="N101" s="19">
        <v>9.7844004126717401</v>
      </c>
      <c r="O101" s="19">
        <v>0.21559458835875667</v>
      </c>
    </row>
    <row r="102" spans="13:15">
      <c r="M102" s="19">
        <v>8</v>
      </c>
      <c r="N102" s="19">
        <v>9.7271256103685317</v>
      </c>
      <c r="O102" s="19">
        <v>0.2061746860245357</v>
      </c>
    </row>
    <row r="103" spans="13:15">
      <c r="M103" s="19">
        <v>9</v>
      </c>
      <c r="N103" s="19">
        <v>10.130164848091878</v>
      </c>
      <c r="O103" s="19">
        <v>-0.12731347146482541</v>
      </c>
    </row>
    <row r="104" spans="13:15">
      <c r="M104" s="19">
        <v>10</v>
      </c>
      <c r="N104" s="19">
        <v>10.057095359138911</v>
      </c>
      <c r="O104" s="19">
        <v>-0.38864479935794449</v>
      </c>
    </row>
    <row r="105" spans="13:15" ht="13.8" thickBot="1">
      <c r="M105" s="20">
        <v>11</v>
      </c>
      <c r="N105" s="20">
        <v>9.5510760833205115</v>
      </c>
      <c r="O105" s="20">
        <v>-0.2137884154798968</v>
      </c>
    </row>
  </sheetData>
  <sortState ref="A11:AE43">
    <sortCondition ref="B11"/>
  </sortState>
  <phoneticPr fontId="52"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8196" r:id="rId4" name="CommandButton1">
          <controlPr defaultSize="0" autoLine="0" r:id="rId5">
            <anchor moveWithCells="1">
              <from>
                <xdr:col>13</xdr:col>
                <xdr:colOff>0</xdr:colOff>
                <xdr:row>0</xdr:row>
                <xdr:rowOff>297180</xdr:rowOff>
              </from>
              <to>
                <xdr:col>15</xdr:col>
                <xdr:colOff>441960</xdr:colOff>
                <xdr:row>4</xdr:row>
                <xdr:rowOff>137160</xdr:rowOff>
              </to>
            </anchor>
          </controlPr>
        </control>
      </mc:Choice>
      <mc:Fallback>
        <control shapeId="8196" r:id="rId4" name="CommandButton1"/>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2"/>
  <sheetViews>
    <sheetView workbookViewId="0">
      <selection activeCell="A5" sqref="A5:G25"/>
    </sheetView>
  </sheetViews>
  <sheetFormatPr defaultRowHeight="13.2"/>
  <cols>
    <col min="1" max="1" width="23.109375" customWidth="1"/>
    <col min="2" max="2" width="17.109375" customWidth="1"/>
    <col min="3" max="3" width="14.6640625" customWidth="1"/>
    <col min="4" max="4" width="12.33203125" customWidth="1"/>
    <col min="5" max="5" width="11.77734375" customWidth="1"/>
    <col min="6" max="6" width="14" customWidth="1"/>
    <col min="7" max="7" width="12.33203125" customWidth="1"/>
    <col min="8" max="8" width="13.6640625" customWidth="1"/>
    <col min="9" max="9" width="13.77734375" customWidth="1"/>
  </cols>
  <sheetData>
    <row r="1" spans="1:10" ht="16.8">
      <c r="A1" s="57" t="s">
        <v>31</v>
      </c>
      <c r="B1" s="57" t="s">
        <v>97</v>
      </c>
      <c r="C1" s="56" t="s">
        <v>42</v>
      </c>
      <c r="D1" s="58" t="s">
        <v>98</v>
      </c>
      <c r="E1" s="59" t="s">
        <v>99</v>
      </c>
      <c r="F1" s="56" t="s">
        <v>100</v>
      </c>
      <c r="G1" s="57" t="s">
        <v>101</v>
      </c>
      <c r="H1" s="57" t="s">
        <v>102</v>
      </c>
      <c r="I1" s="60" t="s">
        <v>81</v>
      </c>
    </row>
    <row r="2" spans="1:10">
      <c r="A2" s="459">
        <f>B12</f>
        <v>33</v>
      </c>
      <c r="B2" s="459">
        <f>B17</f>
        <v>31</v>
      </c>
      <c r="C2" s="459">
        <f>B21</f>
        <v>3.7752910132535193</v>
      </c>
      <c r="D2" s="459">
        <f>B22</f>
        <v>0.79057078956928661</v>
      </c>
      <c r="E2" s="459">
        <f>C22</f>
        <v>8.8543818343627137E-2</v>
      </c>
      <c r="F2" s="459"/>
      <c r="G2" s="459">
        <f>B11</f>
        <v>0.38330293238694729</v>
      </c>
      <c r="H2" s="459">
        <f>B9</f>
        <v>0.72001340392237423</v>
      </c>
      <c r="I2" s="459"/>
    </row>
    <row r="3" spans="1:10">
      <c r="A3" s="450"/>
      <c r="B3" s="451"/>
      <c r="C3" s="452"/>
      <c r="D3" s="452"/>
      <c r="E3" s="452"/>
      <c r="F3" s="451"/>
      <c r="G3" s="453"/>
      <c r="H3" s="451"/>
      <c r="I3" s="451"/>
      <c r="J3" s="454"/>
    </row>
    <row r="4" spans="1:10">
      <c r="A4" s="455"/>
      <c r="B4" s="456"/>
      <c r="C4" s="457"/>
      <c r="D4" s="455"/>
      <c r="E4" s="452"/>
      <c r="F4" s="452"/>
      <c r="G4" s="458"/>
      <c r="H4" s="452"/>
      <c r="I4" s="458"/>
      <c r="J4" s="454"/>
    </row>
    <row r="5" spans="1:10">
      <c r="A5" t="s">
        <v>32</v>
      </c>
      <c r="H5" s="454"/>
      <c r="I5" s="454"/>
      <c r="J5" s="454"/>
    </row>
    <row r="6" spans="1:10" ht="13.8" thickBot="1">
      <c r="H6" s="454"/>
      <c r="I6" s="454"/>
      <c r="J6" s="454"/>
    </row>
    <row r="7" spans="1:10">
      <c r="A7" s="22" t="s">
        <v>33</v>
      </c>
      <c r="B7" s="22"/>
    </row>
    <row r="8" spans="1:10">
      <c r="A8" s="19" t="s">
        <v>34</v>
      </c>
      <c r="B8" s="19">
        <v>0.84853603572410186</v>
      </c>
    </row>
    <row r="9" spans="1:10">
      <c r="A9" s="19" t="s">
        <v>35</v>
      </c>
      <c r="B9" s="19">
        <v>0.72001340392237423</v>
      </c>
    </row>
    <row r="10" spans="1:10">
      <c r="A10" s="19" t="s">
        <v>36</v>
      </c>
      <c r="B10" s="19">
        <v>0.71098157824245078</v>
      </c>
    </row>
    <row r="11" spans="1:10">
      <c r="A11" s="19" t="s">
        <v>37</v>
      </c>
      <c r="B11" s="19">
        <v>0.38330293238694729</v>
      </c>
    </row>
    <row r="12" spans="1:10" ht="13.8" thickBot="1">
      <c r="A12" s="20" t="s">
        <v>38</v>
      </c>
      <c r="B12" s="20">
        <v>33</v>
      </c>
    </row>
    <row r="14" spans="1:10" ht="13.8" thickBot="1">
      <c r="A14" t="s">
        <v>39</v>
      </c>
    </row>
    <row r="15" spans="1:10">
      <c r="A15" s="21"/>
      <c r="B15" s="21" t="s">
        <v>43</v>
      </c>
      <c r="C15" s="21" t="s">
        <v>44</v>
      </c>
      <c r="D15" s="21" t="s">
        <v>45</v>
      </c>
      <c r="E15" s="21" t="s">
        <v>46</v>
      </c>
      <c r="F15" s="21" t="s">
        <v>47</v>
      </c>
    </row>
    <row r="16" spans="1:10">
      <c r="A16" s="19" t="s">
        <v>40</v>
      </c>
      <c r="B16" s="19">
        <v>1</v>
      </c>
      <c r="C16" s="19">
        <v>11.712492292417357</v>
      </c>
      <c r="D16" s="19">
        <v>11.712492292417357</v>
      </c>
      <c r="E16" s="19">
        <v>79.719585988342487</v>
      </c>
      <c r="F16" s="19">
        <v>4.4640646811731408E-10</v>
      </c>
    </row>
    <row r="17" spans="1:7">
      <c r="A17" s="19" t="s">
        <v>41</v>
      </c>
      <c r="B17" s="19">
        <v>31</v>
      </c>
      <c r="C17" s="19">
        <v>4.5545552772694133</v>
      </c>
      <c r="D17" s="19">
        <v>0.14692113797643269</v>
      </c>
      <c r="E17" s="19"/>
      <c r="F17" s="19"/>
    </row>
    <row r="18" spans="1:7" ht="13.8" thickBot="1">
      <c r="A18" s="20" t="s">
        <v>0</v>
      </c>
      <c r="B18" s="20">
        <v>32</v>
      </c>
      <c r="C18" s="20">
        <v>16.26704756968677</v>
      </c>
      <c r="D18" s="20"/>
      <c r="E18" s="20"/>
      <c r="F18" s="20"/>
    </row>
    <row r="19" spans="1:7" ht="13.8" thickBot="1"/>
    <row r="20" spans="1:7">
      <c r="A20" s="21"/>
      <c r="B20" s="21" t="s">
        <v>48</v>
      </c>
      <c r="C20" s="21" t="s">
        <v>37</v>
      </c>
      <c r="D20" s="21" t="s">
        <v>49</v>
      </c>
      <c r="E20" s="21" t="s">
        <v>50</v>
      </c>
      <c r="F20" s="21" t="s">
        <v>51</v>
      </c>
      <c r="G20" s="21" t="s">
        <v>52</v>
      </c>
    </row>
    <row r="21" spans="1:7">
      <c r="A21" s="19" t="s">
        <v>42</v>
      </c>
      <c r="B21" s="19">
        <v>3.7752910132535193</v>
      </c>
      <c r="C21" s="19">
        <v>0.72702080830488303</v>
      </c>
      <c r="D21" s="19">
        <v>5.1928238781170011</v>
      </c>
      <c r="E21" s="19">
        <v>1.2355729754067875E-5</v>
      </c>
      <c r="F21" s="19">
        <v>2.292522298905725</v>
      </c>
      <c r="G21" s="19">
        <v>5.2580597276013137</v>
      </c>
    </row>
    <row r="22" spans="1:7" ht="13.8" thickBot="1">
      <c r="A22" s="20" t="s">
        <v>53</v>
      </c>
      <c r="B22" s="20">
        <v>0.79057078956928661</v>
      </c>
      <c r="C22" s="20">
        <v>8.8543818343627137E-2</v>
      </c>
      <c r="D22" s="20">
        <v>8.9285825296259915</v>
      </c>
      <c r="E22" s="20">
        <v>4.4640646811731408E-10</v>
      </c>
      <c r="F22" s="20">
        <v>0.6099844814621781</v>
      </c>
      <c r="G22" s="20">
        <v>0.97115709767639513</v>
      </c>
    </row>
  </sheetData>
  <phoneticPr fontId="52" type="noConversion"/>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45"/>
  <sheetViews>
    <sheetView workbookViewId="0"/>
  </sheetViews>
  <sheetFormatPr defaultRowHeight="13.2"/>
  <sheetData>
    <row r="1" spans="1:7">
      <c r="A1" t="s">
        <v>109</v>
      </c>
    </row>
    <row r="2" spans="1:7">
      <c r="D2" s="212">
        <v>0.8</v>
      </c>
    </row>
    <row r="3" spans="1:7">
      <c r="A3">
        <v>1</v>
      </c>
      <c r="B3">
        <v>2</v>
      </c>
      <c r="C3">
        <v>3</v>
      </c>
      <c r="D3">
        <v>4</v>
      </c>
    </row>
    <row r="4" spans="1:7">
      <c r="B4" s="75">
        <v>0.5</v>
      </c>
      <c r="C4" s="75">
        <v>0.4</v>
      </c>
      <c r="D4" s="75">
        <v>0.2</v>
      </c>
      <c r="E4" s="75">
        <v>0.1</v>
      </c>
      <c r="F4" s="75">
        <v>0.05</v>
      </c>
      <c r="G4" s="75">
        <v>2.5000000000000001E-2</v>
      </c>
    </row>
    <row r="5" spans="1:7">
      <c r="A5">
        <v>1</v>
      </c>
      <c r="B5" s="76">
        <v>1</v>
      </c>
      <c r="C5" s="77">
        <v>1.3759999999999999</v>
      </c>
      <c r="D5" s="77">
        <v>3.0779999999999998</v>
      </c>
      <c r="E5" s="77">
        <v>6.3140000000000001</v>
      </c>
      <c r="F5" s="77">
        <v>12.706</v>
      </c>
      <c r="G5" s="78">
        <v>25.452000000000002</v>
      </c>
    </row>
    <row r="6" spans="1:7">
      <c r="A6">
        <v>2</v>
      </c>
      <c r="B6" s="79">
        <v>0.81600000000000006</v>
      </c>
      <c r="C6" s="75">
        <v>1.0609999999999999</v>
      </c>
      <c r="D6" s="75">
        <v>1.8859999999999999</v>
      </c>
      <c r="E6" s="75">
        <v>2.92</v>
      </c>
      <c r="F6" s="75">
        <v>4.3029999999999999</v>
      </c>
      <c r="G6" s="80">
        <v>6.2050000000000001</v>
      </c>
    </row>
    <row r="7" spans="1:7">
      <c r="A7">
        <v>3</v>
      </c>
      <c r="B7" s="79">
        <v>0.76500000000000001</v>
      </c>
      <c r="C7" s="75">
        <v>0.97799999999999998</v>
      </c>
      <c r="D7" s="75">
        <v>1.6379999999999999</v>
      </c>
      <c r="E7" s="75">
        <v>2.3530000000000002</v>
      </c>
      <c r="F7" s="75">
        <v>3.1819999999999999</v>
      </c>
      <c r="G7" s="80">
        <v>4.1760000000000002</v>
      </c>
    </row>
    <row r="8" spans="1:7">
      <c r="A8">
        <v>4</v>
      </c>
      <c r="B8" s="79">
        <v>0.74099999999999999</v>
      </c>
      <c r="C8" s="75">
        <v>0.94100000000000006</v>
      </c>
      <c r="D8" s="75">
        <v>1.5329999999999999</v>
      </c>
      <c r="E8" s="75">
        <v>2.1320000000000001</v>
      </c>
      <c r="F8" s="75">
        <v>2.7759999999999998</v>
      </c>
      <c r="G8" s="80">
        <v>3.4950000000000001</v>
      </c>
    </row>
    <row r="9" spans="1:7">
      <c r="A9">
        <v>5</v>
      </c>
      <c r="B9" s="79">
        <v>0.72699999999999998</v>
      </c>
      <c r="C9" s="75">
        <v>0.92</v>
      </c>
      <c r="D9" s="75">
        <v>1.476</v>
      </c>
      <c r="E9" s="75">
        <v>2.0150000000000001</v>
      </c>
      <c r="F9" s="75">
        <v>2.5710000000000002</v>
      </c>
      <c r="G9" s="80">
        <v>3.1629999999999998</v>
      </c>
    </row>
    <row r="10" spans="1:7">
      <c r="A10">
        <v>6</v>
      </c>
      <c r="B10" s="79">
        <v>0.71799999999999997</v>
      </c>
      <c r="C10" s="75">
        <v>0.90600000000000003</v>
      </c>
      <c r="D10" s="75">
        <v>1.44</v>
      </c>
      <c r="E10" s="75">
        <v>1.9430000000000001</v>
      </c>
      <c r="F10" s="75">
        <v>2.4470000000000001</v>
      </c>
      <c r="G10" s="80">
        <v>2.9689999999999999</v>
      </c>
    </row>
    <row r="11" spans="1:7">
      <c r="A11">
        <v>7</v>
      </c>
      <c r="B11" s="79">
        <v>0.71099999999999997</v>
      </c>
      <c r="C11" s="75">
        <v>0.89600000000000002</v>
      </c>
      <c r="D11" s="75">
        <v>1.415</v>
      </c>
      <c r="E11" s="75">
        <v>1.895</v>
      </c>
      <c r="F11" s="75">
        <v>2.3650000000000002</v>
      </c>
      <c r="G11" s="80">
        <v>2.8410000000000002</v>
      </c>
    </row>
    <row r="12" spans="1:7">
      <c r="A12">
        <v>8</v>
      </c>
      <c r="B12" s="79">
        <v>0.70599999999999996</v>
      </c>
      <c r="C12" s="75">
        <v>0.88900000000000001</v>
      </c>
      <c r="D12" s="75">
        <v>1.397</v>
      </c>
      <c r="E12" s="75">
        <v>1.86</v>
      </c>
      <c r="F12" s="75">
        <v>2.306</v>
      </c>
      <c r="G12" s="80">
        <v>2.7519999999999998</v>
      </c>
    </row>
    <row r="13" spans="1:7">
      <c r="A13">
        <v>9</v>
      </c>
      <c r="B13" s="79">
        <v>0.70300000000000007</v>
      </c>
      <c r="C13" s="75">
        <v>0.88300000000000001</v>
      </c>
      <c r="D13" s="75">
        <v>1.383</v>
      </c>
      <c r="E13" s="75">
        <v>1.833</v>
      </c>
      <c r="F13" s="75">
        <v>2.262</v>
      </c>
      <c r="G13" s="80">
        <v>2.6850000000000001</v>
      </c>
    </row>
    <row r="14" spans="1:7">
      <c r="A14">
        <v>10</v>
      </c>
      <c r="B14" s="79">
        <v>0.7</v>
      </c>
      <c r="C14" s="75">
        <v>0.879</v>
      </c>
      <c r="D14" s="75">
        <v>1.3720000000000001</v>
      </c>
      <c r="E14" s="75">
        <v>1.8120000000000001</v>
      </c>
      <c r="F14" s="75">
        <v>2.2280000000000002</v>
      </c>
      <c r="G14" s="80">
        <v>2.6339999999999999</v>
      </c>
    </row>
    <row r="15" spans="1:7">
      <c r="A15">
        <v>11</v>
      </c>
      <c r="B15" s="79">
        <v>0.69700000000000006</v>
      </c>
      <c r="C15" s="75">
        <v>0.876</v>
      </c>
      <c r="D15" s="75">
        <v>1.363</v>
      </c>
      <c r="E15" s="75">
        <v>1.796</v>
      </c>
      <c r="F15" s="75">
        <v>2.2010000000000001</v>
      </c>
      <c r="G15" s="80">
        <v>2.593</v>
      </c>
    </row>
    <row r="16" spans="1:7">
      <c r="A16">
        <v>12</v>
      </c>
      <c r="B16" s="79">
        <v>0.69499999999999995</v>
      </c>
      <c r="C16" s="75">
        <v>0.873</v>
      </c>
      <c r="D16" s="75">
        <v>1.3560000000000001</v>
      </c>
      <c r="E16" s="75">
        <v>1.782</v>
      </c>
      <c r="F16" s="75">
        <v>2.1789999999999998</v>
      </c>
      <c r="G16" s="80">
        <v>2.56</v>
      </c>
    </row>
    <row r="17" spans="1:7">
      <c r="A17">
        <v>13</v>
      </c>
      <c r="B17" s="79">
        <v>0.69400000000000006</v>
      </c>
      <c r="C17" s="75">
        <v>0.87</v>
      </c>
      <c r="D17" s="75">
        <v>1.35</v>
      </c>
      <c r="E17" s="75">
        <v>1.7709999999999999</v>
      </c>
      <c r="F17" s="75">
        <v>2.16</v>
      </c>
      <c r="G17" s="80">
        <v>2.5329999999999999</v>
      </c>
    </row>
    <row r="18" spans="1:7">
      <c r="A18">
        <v>14</v>
      </c>
      <c r="B18" s="79">
        <v>0.69200000000000006</v>
      </c>
      <c r="C18" s="75">
        <v>0.86799999999999999</v>
      </c>
      <c r="D18" s="75">
        <v>1.345</v>
      </c>
      <c r="E18" s="75">
        <v>1.7609999999999999</v>
      </c>
      <c r="F18" s="75">
        <v>2.145</v>
      </c>
      <c r="G18" s="80">
        <v>2.5099999999999998</v>
      </c>
    </row>
    <row r="19" spans="1:7">
      <c r="A19">
        <v>15</v>
      </c>
      <c r="B19" s="79">
        <v>0.69100000000000006</v>
      </c>
      <c r="C19" s="75">
        <v>0.86599999999999999</v>
      </c>
      <c r="D19" s="75">
        <v>1.341</v>
      </c>
      <c r="E19" s="75">
        <v>1.7529999999999999</v>
      </c>
      <c r="F19" s="75">
        <v>2.1309999999999998</v>
      </c>
      <c r="G19" s="80">
        <v>2.4900000000000002</v>
      </c>
    </row>
    <row r="20" spans="1:7">
      <c r="A20">
        <v>16</v>
      </c>
      <c r="B20" s="79">
        <v>0.69</v>
      </c>
      <c r="C20" s="75">
        <v>0.86499999999999999</v>
      </c>
      <c r="D20" s="75">
        <v>1.337</v>
      </c>
      <c r="E20" s="75">
        <v>1.746</v>
      </c>
      <c r="F20" s="75">
        <v>2.12</v>
      </c>
      <c r="G20" s="80">
        <v>2.4729999999999999</v>
      </c>
    </row>
    <row r="21" spans="1:7">
      <c r="A21">
        <v>17</v>
      </c>
      <c r="B21" s="79">
        <v>0.68900000000000006</v>
      </c>
      <c r="C21" s="75">
        <v>0.86299999999999999</v>
      </c>
      <c r="D21" s="75">
        <v>1.333</v>
      </c>
      <c r="E21" s="75">
        <v>1.74</v>
      </c>
      <c r="F21" s="75">
        <v>2.11</v>
      </c>
      <c r="G21" s="80">
        <v>2.4580000000000002</v>
      </c>
    </row>
    <row r="22" spans="1:7">
      <c r="A22">
        <v>18</v>
      </c>
      <c r="B22" s="79">
        <v>0.68800000000000006</v>
      </c>
      <c r="C22" s="75">
        <v>0.86199999999999999</v>
      </c>
      <c r="D22" s="75">
        <v>1.33</v>
      </c>
      <c r="E22" s="75">
        <v>1.734</v>
      </c>
      <c r="F22" s="75">
        <v>2.101</v>
      </c>
      <c r="G22" s="80">
        <v>2.4449999999999998</v>
      </c>
    </row>
    <row r="23" spans="1:7">
      <c r="A23">
        <v>19</v>
      </c>
      <c r="B23" s="79">
        <v>0.68800000000000006</v>
      </c>
      <c r="C23" s="75">
        <v>0.86099999999999999</v>
      </c>
      <c r="D23" s="75">
        <v>1.3280000000000001</v>
      </c>
      <c r="E23" s="75">
        <v>1.7290000000000001</v>
      </c>
      <c r="F23" s="75">
        <v>2.093</v>
      </c>
      <c r="G23" s="80">
        <v>2.4430000000000001</v>
      </c>
    </row>
    <row r="24" spans="1:7">
      <c r="A24">
        <v>20</v>
      </c>
      <c r="B24" s="79">
        <v>0.68700000000000006</v>
      </c>
      <c r="C24" s="75">
        <v>0.86</v>
      </c>
      <c r="D24" s="75">
        <v>1.325</v>
      </c>
      <c r="E24" s="75">
        <v>1.7250000000000001</v>
      </c>
      <c r="F24" s="75">
        <v>2.0859999999999999</v>
      </c>
      <c r="G24" s="80">
        <v>2.423</v>
      </c>
    </row>
    <row r="25" spans="1:7">
      <c r="A25">
        <v>21</v>
      </c>
      <c r="B25" s="79">
        <v>0.68600000000000005</v>
      </c>
      <c r="C25" s="75">
        <v>0.85899999999999999</v>
      </c>
      <c r="D25" s="75">
        <v>1.323</v>
      </c>
      <c r="E25" s="75">
        <v>1.7210000000000001</v>
      </c>
      <c r="F25" s="75">
        <v>2.08</v>
      </c>
      <c r="G25" s="80">
        <v>2.4140000000000001</v>
      </c>
    </row>
    <row r="26" spans="1:7">
      <c r="A26">
        <v>22</v>
      </c>
      <c r="B26" s="79">
        <v>0.69600000000000006</v>
      </c>
      <c r="C26" s="75">
        <v>0.85799999999999998</v>
      </c>
      <c r="D26" s="75">
        <v>1.321</v>
      </c>
      <c r="E26" s="75">
        <v>1.7170000000000001</v>
      </c>
      <c r="F26" s="75">
        <v>2.0739999999999998</v>
      </c>
      <c r="G26" s="80">
        <v>2.4060000000000001</v>
      </c>
    </row>
    <row r="27" spans="1:7">
      <c r="A27">
        <v>23</v>
      </c>
      <c r="B27" s="79">
        <v>0.68500000000000005</v>
      </c>
      <c r="C27" s="75">
        <v>0.85799999999999998</v>
      </c>
      <c r="D27" s="75">
        <v>1.319</v>
      </c>
      <c r="E27" s="75">
        <v>1.714</v>
      </c>
      <c r="F27" s="75">
        <v>2.069</v>
      </c>
      <c r="G27" s="80">
        <v>2.3980000000000001</v>
      </c>
    </row>
    <row r="28" spans="1:7">
      <c r="A28">
        <v>24</v>
      </c>
      <c r="B28" s="79">
        <v>0.68500000000000005</v>
      </c>
      <c r="C28" s="75">
        <v>0.85699999999999998</v>
      </c>
      <c r="D28" s="75">
        <v>1.3180000000000001</v>
      </c>
      <c r="E28" s="75">
        <v>1.7110000000000001</v>
      </c>
      <c r="F28" s="75">
        <v>2.0640000000000001</v>
      </c>
      <c r="G28" s="80">
        <v>2.391</v>
      </c>
    </row>
    <row r="29" spans="1:7">
      <c r="A29">
        <v>25</v>
      </c>
      <c r="B29" s="79">
        <v>0.68400000000000005</v>
      </c>
      <c r="C29" s="75">
        <v>0.85599999999999998</v>
      </c>
      <c r="D29" s="75">
        <v>1.3160000000000001</v>
      </c>
      <c r="E29" s="75">
        <v>1.708</v>
      </c>
      <c r="F29" s="75">
        <v>2.06</v>
      </c>
      <c r="G29" s="80">
        <v>2.3849999999999998</v>
      </c>
    </row>
    <row r="30" spans="1:7">
      <c r="A30">
        <v>26</v>
      </c>
      <c r="B30" s="79">
        <v>0.68400000000000005</v>
      </c>
      <c r="C30" s="75">
        <v>0.85599999999999998</v>
      </c>
      <c r="D30" s="75">
        <v>1.3149999999999999</v>
      </c>
      <c r="E30" s="75">
        <v>1.706</v>
      </c>
      <c r="F30" s="75">
        <v>2.056</v>
      </c>
      <c r="G30" s="80">
        <v>2.379</v>
      </c>
    </row>
    <row r="31" spans="1:7">
      <c r="A31">
        <v>27</v>
      </c>
      <c r="B31" s="79">
        <v>0.68400000000000005</v>
      </c>
      <c r="C31" s="75">
        <v>0.85499999999999998</v>
      </c>
      <c r="D31" s="75">
        <v>1.3140000000000001</v>
      </c>
      <c r="E31" s="75">
        <v>1.7030000000000001</v>
      </c>
      <c r="F31" s="75">
        <v>2.052</v>
      </c>
      <c r="G31" s="80">
        <v>2.3730000000000002</v>
      </c>
    </row>
    <row r="32" spans="1:7">
      <c r="A32">
        <v>28</v>
      </c>
      <c r="B32" s="79">
        <v>0.68300000000000005</v>
      </c>
      <c r="C32" s="75">
        <v>0.85499999999999998</v>
      </c>
      <c r="D32" s="75">
        <v>1.3129999999999999</v>
      </c>
      <c r="E32" s="75">
        <v>1.7010000000000001</v>
      </c>
      <c r="F32" s="75">
        <v>2.048</v>
      </c>
      <c r="G32" s="80">
        <v>2.3679999999999999</v>
      </c>
    </row>
    <row r="33" spans="1:7">
      <c r="A33">
        <v>29</v>
      </c>
      <c r="B33" s="79">
        <v>0.68300000000000005</v>
      </c>
      <c r="C33" s="75">
        <v>0.85399999999999998</v>
      </c>
      <c r="D33" s="75">
        <v>1.3109999999999999</v>
      </c>
      <c r="E33" s="75">
        <v>1.6990000000000001</v>
      </c>
      <c r="F33" s="75">
        <v>2.0449999999999999</v>
      </c>
      <c r="G33" s="80">
        <v>2.3639999999999999</v>
      </c>
    </row>
    <row r="34" spans="1:7">
      <c r="A34">
        <v>30</v>
      </c>
      <c r="B34" s="79">
        <v>0.68300000000000005</v>
      </c>
      <c r="C34" s="75">
        <v>0.85399999999999998</v>
      </c>
      <c r="D34" s="75">
        <v>1.31</v>
      </c>
      <c r="E34" s="75">
        <v>1.6970000000000001</v>
      </c>
      <c r="F34" s="75">
        <v>2.0419999999999998</v>
      </c>
      <c r="G34" s="80">
        <v>2.36</v>
      </c>
    </row>
    <row r="35" spans="1:7">
      <c r="A35">
        <v>35</v>
      </c>
      <c r="B35" s="79">
        <v>0.68200000000000005</v>
      </c>
      <c r="C35" s="75">
        <v>0.85199999999999998</v>
      </c>
      <c r="D35" s="75">
        <v>1.306</v>
      </c>
      <c r="E35" s="75">
        <v>1.69</v>
      </c>
      <c r="F35" s="75">
        <v>2.0299999999999998</v>
      </c>
      <c r="G35" s="80">
        <v>2.3420000000000001</v>
      </c>
    </row>
    <row r="36" spans="1:7">
      <c r="A36">
        <v>40</v>
      </c>
      <c r="B36" s="79">
        <v>0.68100000000000005</v>
      </c>
      <c r="C36" s="75">
        <v>0.85099999999999998</v>
      </c>
      <c r="D36" s="75">
        <v>1.3029999999999999</v>
      </c>
      <c r="E36" s="75">
        <v>1.6839999999999999</v>
      </c>
      <c r="F36" s="75">
        <v>2.0209999999999999</v>
      </c>
      <c r="G36" s="80">
        <v>2.3290000000000002</v>
      </c>
    </row>
    <row r="37" spans="1:7">
      <c r="A37">
        <v>45</v>
      </c>
      <c r="B37" s="79">
        <v>0.68</v>
      </c>
      <c r="C37" s="75">
        <v>0.85</v>
      </c>
      <c r="D37" s="75">
        <v>1.3009999999999999</v>
      </c>
      <c r="E37" s="75">
        <v>1.68</v>
      </c>
      <c r="F37" s="75">
        <v>2.0139999999999998</v>
      </c>
      <c r="G37" s="80">
        <v>2.319</v>
      </c>
    </row>
    <row r="38" spans="1:7">
      <c r="A38">
        <v>50</v>
      </c>
      <c r="B38" s="79">
        <v>0.68</v>
      </c>
      <c r="C38" s="75">
        <v>0.84899999999999998</v>
      </c>
      <c r="D38" s="75">
        <v>1.2989999999999999</v>
      </c>
      <c r="E38" s="75">
        <v>1.6759999999999999</v>
      </c>
      <c r="F38" s="75">
        <v>2.008</v>
      </c>
      <c r="G38" s="80">
        <v>2.31</v>
      </c>
    </row>
    <row r="39" spans="1:7">
      <c r="A39">
        <v>55</v>
      </c>
      <c r="B39" s="79">
        <v>0.67900000000000005</v>
      </c>
      <c r="C39" s="75">
        <v>0.84899999999999998</v>
      </c>
      <c r="D39" s="75">
        <v>1.2969999999999999</v>
      </c>
      <c r="E39" s="75">
        <v>1.673</v>
      </c>
      <c r="F39" s="75">
        <v>2.004</v>
      </c>
      <c r="G39" s="80">
        <v>2.3039999999999998</v>
      </c>
    </row>
    <row r="40" spans="1:7">
      <c r="A40">
        <v>60</v>
      </c>
      <c r="B40" s="79">
        <v>0.67900000000000005</v>
      </c>
      <c r="C40" s="75">
        <v>0.84799999999999998</v>
      </c>
      <c r="D40" s="75">
        <v>1.296</v>
      </c>
      <c r="E40" s="75">
        <v>1.671</v>
      </c>
      <c r="F40" s="75">
        <v>2</v>
      </c>
      <c r="G40" s="80">
        <v>2.2989999999999999</v>
      </c>
    </row>
    <row r="41" spans="1:7">
      <c r="A41">
        <v>70</v>
      </c>
      <c r="B41" s="79">
        <v>0.67800000000000005</v>
      </c>
      <c r="C41" s="75">
        <v>0.84699999999999998</v>
      </c>
      <c r="D41" s="75">
        <v>1.294</v>
      </c>
      <c r="E41" s="75">
        <v>1.667</v>
      </c>
      <c r="F41" s="75">
        <v>1.994</v>
      </c>
      <c r="G41" s="80">
        <v>2.29</v>
      </c>
    </row>
    <row r="42" spans="1:7">
      <c r="A42">
        <v>80</v>
      </c>
      <c r="B42" s="79">
        <v>0.67800000000000005</v>
      </c>
      <c r="C42" s="75">
        <v>0.84699999999999998</v>
      </c>
      <c r="D42" s="75">
        <v>1.2929999999999999</v>
      </c>
      <c r="E42" s="75">
        <v>1.665</v>
      </c>
      <c r="F42" s="75">
        <v>1.9890000000000001</v>
      </c>
      <c r="G42" s="80">
        <v>2.2839999999999998</v>
      </c>
    </row>
    <row r="43" spans="1:7">
      <c r="A43">
        <v>90</v>
      </c>
      <c r="B43" s="79">
        <v>0.67800000000000005</v>
      </c>
      <c r="C43" s="75">
        <v>0.84599999999999997</v>
      </c>
      <c r="D43" s="75">
        <v>1.2909999999999999</v>
      </c>
      <c r="E43" s="75">
        <v>1.6619999999999999</v>
      </c>
      <c r="F43" s="75">
        <v>1.986</v>
      </c>
      <c r="G43" s="80">
        <v>2.2789999999999999</v>
      </c>
    </row>
    <row r="44" spans="1:7">
      <c r="A44">
        <v>100</v>
      </c>
      <c r="B44" s="79">
        <v>0.67700000000000005</v>
      </c>
      <c r="C44" s="75">
        <v>0.84599999999999997</v>
      </c>
      <c r="D44" s="75">
        <v>1.29</v>
      </c>
      <c r="E44" s="75">
        <v>1.661</v>
      </c>
      <c r="F44" s="75">
        <v>1.982</v>
      </c>
      <c r="G44" s="80">
        <v>2.2759999999999998</v>
      </c>
    </row>
    <row r="45" spans="1:7">
      <c r="A45">
        <v>120</v>
      </c>
      <c r="B45" s="81">
        <v>0.67700000000000005</v>
      </c>
      <c r="C45" s="82">
        <v>0.84499999999999997</v>
      </c>
      <c r="D45" s="82">
        <v>1.2889999999999999</v>
      </c>
      <c r="E45" s="82">
        <v>1.6579999999999999</v>
      </c>
      <c r="F45" s="82">
        <v>1.98</v>
      </c>
      <c r="G45" s="83">
        <v>2.27</v>
      </c>
    </row>
  </sheetData>
  <phoneticPr fontId="52"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G151"/>
  <sheetViews>
    <sheetView workbookViewId="0">
      <selection activeCell="D2" sqref="D2"/>
    </sheetView>
  </sheetViews>
  <sheetFormatPr defaultRowHeight="13.2"/>
  <sheetData>
    <row r="1" spans="1:7">
      <c r="A1" s="412">
        <v>7.0318197718057061</v>
      </c>
      <c r="B1" s="412">
        <v>9.3644284148547623</v>
      </c>
      <c r="C1" s="412">
        <v>7.0318197718057061</v>
      </c>
      <c r="D1" s="412">
        <v>8.588954817484252</v>
      </c>
      <c r="E1" s="412">
        <v>10.139902012225273</v>
      </c>
      <c r="F1" s="412">
        <v>9.1527867171282669</v>
      </c>
      <c r="G1" s="412">
        <v>9.5760701125812577</v>
      </c>
    </row>
    <row r="2" spans="1:7">
      <c r="A2" s="412">
        <v>9.3593667428840597</v>
      </c>
      <c r="B2" s="412">
        <v>11.165802390574306</v>
      </c>
      <c r="C2" s="412">
        <v>7.0473367516128951</v>
      </c>
      <c r="D2" s="412">
        <v>8.6009662514292167</v>
      </c>
      <c r="E2" s="412">
        <v>10.15190889795657</v>
      </c>
      <c r="F2" s="412">
        <v>9.1648042096435436</v>
      </c>
      <c r="G2" s="412">
        <v>9.5880709397422432</v>
      </c>
    </row>
    <row r="3" spans="1:7">
      <c r="C3" s="412">
        <v>7.0628537314200841</v>
      </c>
      <c r="D3" s="412">
        <v>8.6129776852028268</v>
      </c>
      <c r="E3" s="412">
        <v>10.163915783859219</v>
      </c>
      <c r="F3" s="412">
        <v>9.1768217018345837</v>
      </c>
      <c r="G3" s="412">
        <v>9.6000717672274618</v>
      </c>
    </row>
    <row r="4" spans="1:7">
      <c r="C4" s="412">
        <v>7.0783707112272731</v>
      </c>
      <c r="D4" s="412">
        <v>8.6249891188050825</v>
      </c>
      <c r="E4" s="412">
        <v>10.175922669933222</v>
      </c>
      <c r="F4" s="412">
        <v>9.1888391937013481</v>
      </c>
      <c r="G4" s="412">
        <v>9.6120725950369561</v>
      </c>
    </row>
    <row r="5" spans="1:7">
      <c r="C5" s="412">
        <v>7.0938876910344622</v>
      </c>
      <c r="D5" s="412">
        <v>8.6370005522359854</v>
      </c>
      <c r="E5" s="412">
        <v>10.187929556178581</v>
      </c>
      <c r="F5" s="412">
        <v>9.2008566852438012</v>
      </c>
      <c r="G5" s="412">
        <v>9.6240734231707652</v>
      </c>
    </row>
    <row r="6" spans="1:7">
      <c r="C6" s="412">
        <v>7.1094046708416512</v>
      </c>
      <c r="D6" s="412">
        <v>8.6490119854955321</v>
      </c>
      <c r="E6" s="412">
        <v>10.199936442595297</v>
      </c>
      <c r="F6" s="412">
        <v>9.212874176461904</v>
      </c>
      <c r="G6" s="412">
        <v>9.6360742516289246</v>
      </c>
    </row>
    <row r="7" spans="1:7">
      <c r="C7" s="412">
        <v>7.1249216506488402</v>
      </c>
      <c r="D7" s="412">
        <v>8.6610234185837172</v>
      </c>
      <c r="E7" s="412">
        <v>10.21194332918337</v>
      </c>
      <c r="F7" s="412">
        <v>9.2248916673556156</v>
      </c>
      <c r="G7" s="412">
        <v>9.6480750804114717</v>
      </c>
    </row>
    <row r="8" spans="1:7">
      <c r="C8" s="412">
        <v>7.1404386304560292</v>
      </c>
      <c r="D8" s="412">
        <v>8.6730348515005442</v>
      </c>
      <c r="E8" s="412">
        <v>10.223950215942802</v>
      </c>
      <c r="F8" s="412">
        <v>9.2369091579248988</v>
      </c>
      <c r="G8" s="412">
        <v>9.6600759095184472</v>
      </c>
    </row>
    <row r="9" spans="1:7">
      <c r="C9" s="412">
        <v>7.1559556102632182</v>
      </c>
      <c r="D9" s="412">
        <v>8.6850462842460097</v>
      </c>
      <c r="E9" s="412">
        <v>10.235957102873599</v>
      </c>
      <c r="F9" s="412">
        <v>9.2489266481697179</v>
      </c>
      <c r="G9" s="412">
        <v>9.6720767389498903</v>
      </c>
    </row>
    <row r="10" spans="1:7">
      <c r="C10" s="412">
        <v>7.1714725900704073</v>
      </c>
      <c r="D10" s="412">
        <v>8.6970577168201135</v>
      </c>
      <c r="E10" s="412">
        <v>10.247963989975757</v>
      </c>
      <c r="F10" s="412">
        <v>9.2609441380900339</v>
      </c>
      <c r="G10" s="412">
        <v>9.6840775687058365</v>
      </c>
    </row>
    <row r="11" spans="1:7">
      <c r="C11" s="412">
        <v>7.1869895698775963</v>
      </c>
      <c r="D11" s="412">
        <v>8.7090691492228505</v>
      </c>
      <c r="E11" s="412">
        <v>10.259970877249279</v>
      </c>
      <c r="F11" s="412">
        <v>9.2729616276858042</v>
      </c>
      <c r="G11" s="412">
        <v>9.6960783987863248</v>
      </c>
    </row>
    <row r="12" spans="1:7">
      <c r="C12" s="412">
        <v>7.2025065496847853</v>
      </c>
      <c r="D12" s="412">
        <v>8.721080581454224</v>
      </c>
      <c r="E12" s="412">
        <v>10.271977764694167</v>
      </c>
      <c r="F12" s="412">
        <v>9.2849791169569951</v>
      </c>
      <c r="G12" s="412">
        <v>9.7080792291913962</v>
      </c>
    </row>
    <row r="13" spans="1:7">
      <c r="C13" s="412">
        <v>7.2180235294919743</v>
      </c>
      <c r="D13" s="412">
        <v>8.7330920135142289</v>
      </c>
      <c r="E13" s="412">
        <v>10.283984652310425</v>
      </c>
      <c r="F13" s="412">
        <v>9.2969966059035656</v>
      </c>
      <c r="G13" s="412">
        <v>9.7200800599210879</v>
      </c>
    </row>
    <row r="14" spans="1:7">
      <c r="C14" s="412">
        <v>7.2335405092991634</v>
      </c>
      <c r="D14" s="412">
        <v>8.7451034454028651</v>
      </c>
      <c r="E14" s="412">
        <v>10.295991540098047</v>
      </c>
      <c r="F14" s="412">
        <v>9.3090140945254785</v>
      </c>
      <c r="G14" s="412">
        <v>9.7320808909754337</v>
      </c>
    </row>
    <row r="15" spans="1:7">
      <c r="C15" s="412">
        <v>7.2490574891063524</v>
      </c>
      <c r="D15" s="412">
        <v>8.757114877120129</v>
      </c>
      <c r="E15" s="412">
        <v>10.307998428057042</v>
      </c>
      <c r="F15" s="412">
        <v>9.3210315828226946</v>
      </c>
      <c r="G15" s="412">
        <v>9.7440817223544762</v>
      </c>
    </row>
    <row r="16" spans="1:7">
      <c r="C16" s="412">
        <v>7.2645744689135414</v>
      </c>
      <c r="D16" s="412">
        <v>8.7691263086660225</v>
      </c>
      <c r="E16" s="412">
        <v>10.320005316187411</v>
      </c>
      <c r="F16" s="412">
        <v>9.3330490707951768</v>
      </c>
      <c r="G16" s="412">
        <v>9.7560825540582563</v>
      </c>
    </row>
    <row r="17" spans="3:7">
      <c r="C17" s="412">
        <v>7.2800914487207304</v>
      </c>
      <c r="D17" s="412">
        <v>8.7811377400405437</v>
      </c>
      <c r="E17" s="412">
        <v>10.332012204489152</v>
      </c>
      <c r="F17" s="412">
        <v>9.3450665584428876</v>
      </c>
      <c r="G17" s="412">
        <v>9.7680833860868077</v>
      </c>
    </row>
    <row r="18" spans="3:7">
      <c r="C18" s="412">
        <v>7.2956084285279195</v>
      </c>
      <c r="D18" s="412">
        <v>8.7931491712436873</v>
      </c>
      <c r="E18" s="412">
        <v>10.344019092962267</v>
      </c>
      <c r="F18" s="412">
        <v>9.3570840457657845</v>
      </c>
      <c r="G18" s="412">
        <v>9.7800842184401695</v>
      </c>
    </row>
    <row r="19" spans="3:7">
      <c r="C19" s="412">
        <v>7.3111254083351085</v>
      </c>
      <c r="D19" s="412">
        <v>8.8051606022754552</v>
      </c>
      <c r="E19" s="412">
        <v>10.356025981606757</v>
      </c>
      <c r="F19" s="412">
        <v>9.3691015327638318</v>
      </c>
      <c r="G19" s="412">
        <v>9.7920850511183808</v>
      </c>
    </row>
    <row r="20" spans="3:7">
      <c r="C20" s="412">
        <v>7.3266423881422975</v>
      </c>
      <c r="D20" s="412">
        <v>8.8171720331358472</v>
      </c>
      <c r="E20" s="412">
        <v>10.368032870422628</v>
      </c>
      <c r="F20" s="412">
        <v>9.3811190194369942</v>
      </c>
      <c r="G20" s="412">
        <v>9.8040858841214806</v>
      </c>
    </row>
    <row r="21" spans="3:7">
      <c r="C21" s="412">
        <v>7.3421593679494865</v>
      </c>
      <c r="D21" s="412">
        <v>8.8291834638248581</v>
      </c>
      <c r="E21" s="412">
        <v>10.380039759409879</v>
      </c>
      <c r="F21" s="412">
        <v>9.393136505785229</v>
      </c>
      <c r="G21" s="412">
        <v>9.8160867174495081</v>
      </c>
    </row>
    <row r="22" spans="3:7">
      <c r="C22" s="412">
        <v>7.3576763477566756</v>
      </c>
      <c r="D22" s="412">
        <v>8.8411948943424878</v>
      </c>
      <c r="E22" s="412">
        <v>10.392046648568508</v>
      </c>
      <c r="F22" s="412">
        <v>9.405153991808497</v>
      </c>
      <c r="G22" s="412">
        <v>9.8280875511024988</v>
      </c>
    </row>
    <row r="23" spans="3:7">
      <c r="C23" s="412">
        <v>7.3731933275638646</v>
      </c>
      <c r="D23" s="412">
        <v>8.8532063246887365</v>
      </c>
      <c r="E23" s="412">
        <v>10.404053537898521</v>
      </c>
      <c r="F23" s="412">
        <v>9.4171714775067645</v>
      </c>
      <c r="G23" s="412">
        <v>9.8400883850804934</v>
      </c>
    </row>
    <row r="24" spans="3:7">
      <c r="C24" s="412">
        <v>7.3887103073710536</v>
      </c>
      <c r="D24" s="412">
        <v>8.8652177548636004</v>
      </c>
      <c r="E24" s="412">
        <v>10.41606042739992</v>
      </c>
      <c r="F24" s="412">
        <v>9.4291889628799908</v>
      </c>
      <c r="G24" s="412">
        <v>9.8520892193835294</v>
      </c>
    </row>
    <row r="25" spans="3:7">
      <c r="C25" s="412">
        <v>7.4042272871782426</v>
      </c>
      <c r="D25" s="412">
        <v>8.8772291848670779</v>
      </c>
      <c r="E25" s="412">
        <v>10.428067317072701</v>
      </c>
      <c r="F25" s="412">
        <v>9.4412064479281348</v>
      </c>
      <c r="G25" s="412">
        <v>9.8640900540116441</v>
      </c>
    </row>
    <row r="26" spans="3:7">
      <c r="C26" s="412">
        <v>7.4197442669854317</v>
      </c>
      <c r="D26" s="412">
        <v>8.8892406146991689</v>
      </c>
      <c r="E26" s="412">
        <v>10.440074206916869</v>
      </c>
      <c r="F26" s="412">
        <v>9.4532239326511593</v>
      </c>
      <c r="G26" s="412">
        <v>9.8760908889648782</v>
      </c>
    </row>
    <row r="27" spans="3:7">
      <c r="C27" s="412">
        <v>7.4352612467926207</v>
      </c>
      <c r="D27" s="412">
        <v>8.9012520443598717</v>
      </c>
      <c r="E27" s="412">
        <v>10.452081096932428</v>
      </c>
      <c r="F27" s="412">
        <v>9.4652414170490307</v>
      </c>
      <c r="G27" s="412">
        <v>9.8880917242432691</v>
      </c>
    </row>
    <row r="28" spans="3:7">
      <c r="C28" s="412">
        <v>7.4507782265998097</v>
      </c>
      <c r="D28" s="412">
        <v>8.9132634738491863</v>
      </c>
      <c r="E28" s="412">
        <v>10.464087987119376</v>
      </c>
      <c r="F28" s="412">
        <v>9.4772589011217061</v>
      </c>
      <c r="G28" s="412">
        <v>9.9000925598468559</v>
      </c>
    </row>
    <row r="29" spans="3:7">
      <c r="C29" s="412">
        <v>7.4662952064069987</v>
      </c>
      <c r="D29" s="412">
        <v>8.9252749031671055</v>
      </c>
      <c r="E29" s="412">
        <v>10.476094877477715</v>
      </c>
      <c r="F29" s="412">
        <v>9.4892763848691466</v>
      </c>
      <c r="G29" s="412">
        <v>9.9120933957756741</v>
      </c>
    </row>
    <row r="30" spans="3:7">
      <c r="C30" s="412">
        <v>7.4818121862141878</v>
      </c>
      <c r="D30" s="412">
        <v>8.9372863323136329</v>
      </c>
      <c r="E30" s="412">
        <v>10.488101768007446</v>
      </c>
      <c r="F30" s="412">
        <v>9.5012938682913148</v>
      </c>
      <c r="G30" s="412">
        <v>9.9240942320297645</v>
      </c>
    </row>
    <row r="31" spans="3:7">
      <c r="C31" s="412">
        <v>7.4973291660213768</v>
      </c>
      <c r="D31" s="412">
        <v>8.9492977612887668</v>
      </c>
      <c r="E31" s="412">
        <v>10.500108658708575</v>
      </c>
      <c r="F31" s="412">
        <v>9.5133113513881753</v>
      </c>
      <c r="G31" s="412">
        <v>9.9360950686091662</v>
      </c>
    </row>
    <row r="32" spans="3:7">
      <c r="C32" s="412">
        <v>7.5128461458285658</v>
      </c>
      <c r="D32" s="412">
        <v>8.9613091900925053</v>
      </c>
      <c r="E32" s="412">
        <v>10.512115549581099</v>
      </c>
      <c r="F32" s="412">
        <v>9.5253288341596871</v>
      </c>
      <c r="G32" s="412">
        <v>9.9480959055139166</v>
      </c>
    </row>
    <row r="33" spans="3:7">
      <c r="C33" s="412">
        <v>7.5283631256357548</v>
      </c>
      <c r="D33" s="412">
        <v>8.9733206187248449</v>
      </c>
      <c r="E33" s="412">
        <v>10.524122440625018</v>
      </c>
      <c r="F33" s="412">
        <v>9.5373463166058094</v>
      </c>
      <c r="G33" s="412">
        <v>9.960096742744053</v>
      </c>
    </row>
    <row r="34" spans="3:7">
      <c r="C34" s="412">
        <v>7.5438801054429439</v>
      </c>
      <c r="D34" s="412">
        <v>8.9853320471857856</v>
      </c>
      <c r="E34" s="412">
        <v>10.536129331840339</v>
      </c>
      <c r="F34" s="412">
        <v>9.5493637987265068</v>
      </c>
      <c r="G34" s="412">
        <v>9.9720975802996179</v>
      </c>
    </row>
    <row r="35" spans="3:7">
      <c r="C35" s="412">
        <v>7.5593970852501329</v>
      </c>
      <c r="D35" s="412">
        <v>8.9973434754753274</v>
      </c>
      <c r="E35" s="412">
        <v>10.548136223227059</v>
      </c>
      <c r="F35" s="412">
        <v>9.5613812805217417</v>
      </c>
      <c r="G35" s="412">
        <v>9.9840984181806451</v>
      </c>
    </row>
    <row r="36" spans="3:7">
      <c r="C36" s="412">
        <v>7.5749140650573219</v>
      </c>
      <c r="D36" s="412">
        <v>9.009354903593465</v>
      </c>
      <c r="E36" s="412">
        <v>10.560143114785181</v>
      </c>
      <c r="F36" s="412">
        <v>9.5733987619914718</v>
      </c>
      <c r="G36" s="412">
        <v>9.9960992563871738</v>
      </c>
    </row>
    <row r="37" spans="3:7">
      <c r="C37" s="412">
        <v>7.5904310448645109</v>
      </c>
      <c r="D37" s="412">
        <v>9.0213663315401984</v>
      </c>
      <c r="E37" s="412">
        <v>10.572150006514706</v>
      </c>
      <c r="F37" s="412">
        <v>9.5854162431356595</v>
      </c>
      <c r="G37" s="412">
        <v>10.008100094919245</v>
      </c>
    </row>
    <row r="38" spans="3:7">
      <c r="C38" s="412">
        <v>7.6059480246716999</v>
      </c>
      <c r="D38" s="412">
        <v>9.0333777593155293</v>
      </c>
      <c r="E38" s="412">
        <v>10.584156898415637</v>
      </c>
      <c r="F38" s="412">
        <v>9.5974337239542713</v>
      </c>
      <c r="G38" s="412">
        <v>10.020100933776895</v>
      </c>
    </row>
    <row r="39" spans="3:7">
      <c r="C39" s="412">
        <v>7.621465004478889</v>
      </c>
      <c r="D39" s="412">
        <v>9.0453891869194525</v>
      </c>
      <c r="E39" s="412">
        <v>10.596163790487976</v>
      </c>
      <c r="F39" s="412">
        <v>9.6094512044472644</v>
      </c>
      <c r="G39" s="412">
        <v>10.032101772960164</v>
      </c>
    </row>
    <row r="40" spans="3:7">
      <c r="C40" s="412">
        <v>7.636981984286078</v>
      </c>
      <c r="D40" s="412">
        <v>9.0574006143519679</v>
      </c>
      <c r="E40" s="412">
        <v>10.608170682731719</v>
      </c>
      <c r="F40" s="412">
        <v>9.6214686846145998</v>
      </c>
      <c r="G40" s="412">
        <v>10.044102612469088</v>
      </c>
    </row>
    <row r="41" spans="3:7">
      <c r="C41" s="412">
        <v>7.652498964093267</v>
      </c>
      <c r="D41" s="412">
        <v>9.0694120416130719</v>
      </c>
      <c r="E41" s="412">
        <v>10.620177575146874</v>
      </c>
      <c r="F41" s="412">
        <v>9.6334861644562402</v>
      </c>
      <c r="G41" s="412">
        <v>10.056103452303706</v>
      </c>
    </row>
    <row r="42" spans="3:7">
      <c r="C42" s="412">
        <v>7.668015943900456</v>
      </c>
      <c r="D42" s="412">
        <v>9.0814234687027664</v>
      </c>
      <c r="E42" s="412">
        <v>10.632184467733442</v>
      </c>
      <c r="F42" s="412">
        <v>9.6455036439721482</v>
      </c>
      <c r="G42" s="412">
        <v>10.06810429246406</v>
      </c>
    </row>
    <row r="43" spans="3:7">
      <c r="C43" s="412">
        <v>7.6835329237076451</v>
      </c>
      <c r="D43" s="412">
        <v>9.0934348956210496</v>
      </c>
      <c r="E43" s="412">
        <v>10.644191360491421</v>
      </c>
      <c r="F43" s="412">
        <v>9.6575211231622848</v>
      </c>
      <c r="G43" s="412">
        <v>10.080105132950186</v>
      </c>
    </row>
    <row r="44" spans="3:7">
      <c r="C44" s="412">
        <v>7.6990499035148341</v>
      </c>
      <c r="D44" s="412">
        <v>9.1054463223679161</v>
      </c>
      <c r="E44" s="412">
        <v>10.656198253420813</v>
      </c>
      <c r="F44" s="412">
        <v>9.6695386020266092</v>
      </c>
      <c r="G44" s="412">
        <v>10.09210597376212</v>
      </c>
    </row>
    <row r="45" spans="3:7">
      <c r="C45" s="412">
        <v>7.7145668833220231</v>
      </c>
      <c r="D45" s="412">
        <v>9.1174577489433695</v>
      </c>
      <c r="E45" s="412">
        <v>10.668205146521622</v>
      </c>
      <c r="F45" s="412">
        <v>9.6815560805650875</v>
      </c>
      <c r="G45" s="412">
        <v>10.104106814899904</v>
      </c>
    </row>
    <row r="46" spans="3:7">
      <c r="C46" s="412">
        <v>7.7300838631292121</v>
      </c>
      <c r="D46" s="412">
        <v>9.1294691753474062</v>
      </c>
      <c r="E46" s="412">
        <v>10.680212039793847</v>
      </c>
      <c r="F46" s="412">
        <v>9.693573558777679</v>
      </c>
      <c r="G46" s="412">
        <v>10.116107656363575</v>
      </c>
    </row>
    <row r="47" spans="3:7">
      <c r="C47" s="412">
        <v>7.7456008429364012</v>
      </c>
      <c r="D47" s="412">
        <v>9.141480601580021</v>
      </c>
      <c r="E47" s="412">
        <v>10.692218933237491</v>
      </c>
      <c r="F47" s="412">
        <v>9.705591036664341</v>
      </c>
      <c r="G47" s="412">
        <v>10.128108498153171</v>
      </c>
    </row>
    <row r="48" spans="3:7">
      <c r="C48" s="412">
        <v>7.7611178227435902</v>
      </c>
      <c r="D48" s="412">
        <v>9.1534920276412173</v>
      </c>
      <c r="E48" s="412">
        <v>10.704225826852554</v>
      </c>
      <c r="F48" s="412">
        <v>9.7176085142250397</v>
      </c>
      <c r="G48" s="412">
        <v>10.140109340268731</v>
      </c>
    </row>
    <row r="49" spans="3:7">
      <c r="C49" s="412">
        <v>7.7766348025507792</v>
      </c>
      <c r="D49" s="412">
        <v>9.1655034535309916</v>
      </c>
      <c r="E49" s="412">
        <v>10.716232720639042</v>
      </c>
      <c r="F49" s="412">
        <v>9.7296259914597378</v>
      </c>
      <c r="G49" s="412">
        <v>10.152110182710295</v>
      </c>
    </row>
    <row r="50" spans="3:7">
      <c r="C50" s="412">
        <v>7.7921517823579682</v>
      </c>
      <c r="D50" s="412">
        <v>9.1775148792493439</v>
      </c>
      <c r="E50" s="412">
        <v>10.728239614596951</v>
      </c>
      <c r="F50" s="412">
        <v>9.7416434683683946</v>
      </c>
      <c r="G50" s="412">
        <v>10.164111025477901</v>
      </c>
    </row>
    <row r="51" spans="3:7">
      <c r="C51" s="412">
        <v>7.8076687621651573</v>
      </c>
      <c r="D51" s="412">
        <v>9.1895263047962708</v>
      </c>
      <c r="E51" s="412">
        <v>10.740246508726283</v>
      </c>
      <c r="F51" s="412">
        <v>9.753660944950969</v>
      </c>
      <c r="G51" s="412">
        <v>10.176111868571585</v>
      </c>
    </row>
    <row r="52" spans="3:7">
      <c r="C52" s="412">
        <v>7.8231857419723463</v>
      </c>
      <c r="D52" s="412">
        <v>9.2015377301717702</v>
      </c>
      <c r="E52" s="412">
        <v>10.752253403027042</v>
      </c>
      <c r="F52" s="412">
        <v>9.7656784212074275</v>
      </c>
      <c r="G52" s="412">
        <v>10.188112711991385</v>
      </c>
    </row>
    <row r="53" spans="3:7">
      <c r="C53" s="412">
        <v>7.8387027217795353</v>
      </c>
      <c r="D53" s="412">
        <v>9.2135491553758442</v>
      </c>
      <c r="E53" s="412">
        <v>10.764260297499231</v>
      </c>
      <c r="F53" s="412">
        <v>9.777695897137729</v>
      </c>
      <c r="G53" s="412">
        <v>10.200113555737346</v>
      </c>
    </row>
    <row r="54" spans="3:7">
      <c r="C54" s="412">
        <v>7.8542197015867243</v>
      </c>
      <c r="D54" s="412">
        <v>9.2255605804084908</v>
      </c>
      <c r="E54" s="412">
        <v>10.776267192142846</v>
      </c>
      <c r="F54" s="412">
        <v>9.7897133727418346</v>
      </c>
      <c r="G54" s="412">
        <v>10.212114399809503</v>
      </c>
    </row>
    <row r="55" spans="3:7">
      <c r="C55" s="412">
        <v>7.8697366813939134</v>
      </c>
      <c r="D55" s="412">
        <v>9.237572005269703</v>
      </c>
      <c r="E55" s="412">
        <v>10.788274086957893</v>
      </c>
      <c r="F55" s="412">
        <v>9.8017308480197052</v>
      </c>
      <c r="G55" s="412">
        <v>10.224115244207891</v>
      </c>
    </row>
    <row r="56" spans="3:7">
      <c r="C56" s="412">
        <v>7.8852536612011024</v>
      </c>
      <c r="D56" s="412">
        <v>9.2495834299594843</v>
      </c>
      <c r="E56" s="412">
        <v>10.800280981944374</v>
      </c>
      <c r="F56" s="412">
        <v>9.8137483229713052</v>
      </c>
      <c r="G56" s="412">
        <v>10.236116088932553</v>
      </c>
    </row>
    <row r="57" spans="3:7">
      <c r="C57" s="412">
        <v>7.9007706410082914</v>
      </c>
      <c r="D57" s="412">
        <v>9.261594854477833</v>
      </c>
      <c r="E57" s="412">
        <v>10.812287877102287</v>
      </c>
      <c r="F57" s="412">
        <v>9.8257657975965937</v>
      </c>
      <c r="G57" s="412">
        <v>10.248116933983527</v>
      </c>
    </row>
    <row r="58" spans="3:7">
      <c r="C58" s="412">
        <v>7.9162876208154804</v>
      </c>
      <c r="D58" s="412">
        <v>9.2736062788247455</v>
      </c>
      <c r="E58" s="412">
        <v>10.824294772431633</v>
      </c>
      <c r="F58" s="412">
        <v>9.8377832718955318</v>
      </c>
      <c r="G58" s="412">
        <v>10.260117779360847</v>
      </c>
    </row>
    <row r="59" spans="3:7">
      <c r="C59" s="412">
        <v>7.9318046006226695</v>
      </c>
      <c r="D59" s="412">
        <v>9.28561770300022</v>
      </c>
      <c r="E59" s="412">
        <v>10.836301667932418</v>
      </c>
      <c r="F59" s="412">
        <v>9.8498007458680821</v>
      </c>
      <c r="G59" s="412">
        <v>10.272118625064556</v>
      </c>
    </row>
    <row r="60" spans="3:7">
      <c r="C60" s="412">
        <v>7.9473215804298585</v>
      </c>
      <c r="D60" s="412">
        <v>9.2976291270042601</v>
      </c>
      <c r="E60" s="412">
        <v>10.84830856360464</v>
      </c>
      <c r="F60" s="412">
        <v>9.8618182195142072</v>
      </c>
      <c r="G60" s="412">
        <v>10.284119471094693</v>
      </c>
    </row>
    <row r="61" spans="3:7">
      <c r="C61" s="412">
        <v>7.9628385602370475</v>
      </c>
      <c r="D61" s="412">
        <v>9.3096405508368587</v>
      </c>
      <c r="E61" s="412">
        <v>10.860315459448303</v>
      </c>
      <c r="F61" s="412">
        <v>9.8738356928338664</v>
      </c>
      <c r="G61" s="412">
        <v>10.296120317451296</v>
      </c>
    </row>
    <row r="62" spans="3:7">
      <c r="C62" s="412">
        <v>7.9783555400442365</v>
      </c>
      <c r="D62" s="412">
        <v>9.3216519744980157</v>
      </c>
      <c r="E62" s="412">
        <v>10.872322355463405</v>
      </c>
      <c r="F62" s="412">
        <v>9.8858531658270206</v>
      </c>
      <c r="G62" s="412">
        <v>10.3081211641344</v>
      </c>
    </row>
    <row r="63" spans="3:7">
      <c r="C63" s="412">
        <v>7.9938725198514256</v>
      </c>
      <c r="D63" s="412">
        <v>9.3336633979877295</v>
      </c>
      <c r="E63" s="412">
        <v>10.88432925164995</v>
      </c>
      <c r="F63" s="412">
        <v>9.8978706384936324</v>
      </c>
      <c r="G63" s="412">
        <v>10.320122011144047</v>
      </c>
    </row>
    <row r="64" spans="3:7">
      <c r="C64" s="412">
        <v>8.0093894996586137</v>
      </c>
      <c r="D64" s="412">
        <v>9.3456748213059999</v>
      </c>
      <c r="E64" s="412">
        <v>10.896336148007942</v>
      </c>
      <c r="F64" s="412">
        <v>9.9098881108336663</v>
      </c>
      <c r="G64" s="412">
        <v>10.332122858480275</v>
      </c>
    </row>
    <row r="65" spans="3:7">
      <c r="C65" s="412">
        <v>8.0249064794658036</v>
      </c>
      <c r="D65" s="412">
        <v>9.3576862444528253</v>
      </c>
      <c r="E65" s="412">
        <v>10.908343044537379</v>
      </c>
      <c r="F65" s="412">
        <v>9.9219055828470797</v>
      </c>
      <c r="G65" s="412">
        <v>10.344123706143124</v>
      </c>
    </row>
    <row r="66" spans="3:7">
      <c r="C66" s="412">
        <v>8.0404234592729935</v>
      </c>
      <c r="D66" s="412">
        <v>9.369697667428202</v>
      </c>
      <c r="E66" s="412">
        <v>10.920349941238261</v>
      </c>
      <c r="F66" s="412">
        <v>9.9339230545338335</v>
      </c>
      <c r="G66" s="412">
        <v>10.356124554132629</v>
      </c>
    </row>
    <row r="67" spans="3:7">
      <c r="C67" s="412">
        <v>8.0559404390801816</v>
      </c>
      <c r="D67" s="412">
        <v>9.3817090902321318</v>
      </c>
      <c r="E67" s="412">
        <v>10.932356838110593</v>
      </c>
      <c r="F67" s="412">
        <v>9.9459405258938922</v>
      </c>
      <c r="G67" s="412">
        <v>10.368125402448833</v>
      </c>
    </row>
    <row r="68" spans="3:7">
      <c r="C68" s="412">
        <v>8.0714574188873698</v>
      </c>
      <c r="D68" s="412">
        <v>9.3937205128646095</v>
      </c>
      <c r="E68" s="412">
        <v>10.944363735154374</v>
      </c>
      <c r="F68" s="412">
        <v>9.9579579969272132</v>
      </c>
      <c r="G68" s="412">
        <v>10.38012625109177</v>
      </c>
    </row>
    <row r="69" spans="3:7">
      <c r="C69" s="412">
        <v>8.0869743986945597</v>
      </c>
      <c r="D69" s="412">
        <v>9.4057319353256386</v>
      </c>
      <c r="E69" s="412">
        <v>10.956370632369607</v>
      </c>
      <c r="F69" s="412">
        <v>9.9699754676337626</v>
      </c>
      <c r="G69" s="412">
        <v>10.392127100061483</v>
      </c>
    </row>
    <row r="70" spans="3:7">
      <c r="C70" s="412">
        <v>8.1024913785017496</v>
      </c>
      <c r="D70" s="412">
        <v>9.4177433576152136</v>
      </c>
      <c r="E70" s="412">
        <v>10.968377529756294</v>
      </c>
      <c r="F70" s="412">
        <v>9.9819929380134997</v>
      </c>
      <c r="G70" s="412">
        <v>10.404127949358008</v>
      </c>
    </row>
    <row r="71" spans="3:7">
      <c r="C71" s="412">
        <v>8.1180083583089377</v>
      </c>
      <c r="D71" s="412">
        <v>9.4297547797333312</v>
      </c>
      <c r="E71" s="412">
        <v>10.980384427314435</v>
      </c>
      <c r="F71" s="412">
        <v>9.9940104080663854</v>
      </c>
      <c r="G71" s="412">
        <v>10.416128798981381</v>
      </c>
    </row>
    <row r="72" spans="3:7">
      <c r="C72" s="412">
        <v>8.1335253381161259</v>
      </c>
      <c r="D72" s="412">
        <v>9.4417662016799948</v>
      </c>
      <c r="E72" s="412">
        <v>10.99239132504403</v>
      </c>
      <c r="F72" s="412">
        <v>10.006027877792381</v>
      </c>
      <c r="G72" s="412">
        <v>10.428129648931645</v>
      </c>
    </row>
    <row r="73" spans="3:7">
      <c r="C73" s="412">
        <v>8.1490423179233158</v>
      </c>
      <c r="D73" s="412">
        <v>9.4537776234552009</v>
      </c>
      <c r="E73" s="412">
        <v>11.004398222945087</v>
      </c>
      <c r="F73" s="412">
        <v>10.018045347191448</v>
      </c>
      <c r="G73" s="412">
        <v>10.44013049920884</v>
      </c>
    </row>
    <row r="74" spans="3:7">
      <c r="C74" s="412">
        <v>8.1645592977305057</v>
      </c>
      <c r="D74" s="412">
        <v>9.4657890450589477</v>
      </c>
      <c r="E74" s="412">
        <v>11.016405121017602</v>
      </c>
      <c r="F74" s="412">
        <v>10.03006281626355</v>
      </c>
      <c r="G74" s="412">
        <v>10.452131349813</v>
      </c>
    </row>
    <row r="75" spans="3:7">
      <c r="C75" s="412">
        <v>8.1800762775376938</v>
      </c>
      <c r="D75" s="412">
        <v>9.4778004664912334</v>
      </c>
      <c r="E75" s="412">
        <v>11.028412019261575</v>
      </c>
      <c r="F75" s="412">
        <v>10.042080285008645</v>
      </c>
      <c r="G75" s="412">
        <v>10.464132200744164</v>
      </c>
    </row>
    <row r="76" spans="3:7">
      <c r="C76" s="412">
        <v>8.195593257344882</v>
      </c>
      <c r="D76" s="412">
        <v>9.4898118877520581</v>
      </c>
      <c r="E76" s="412">
        <v>11.040418917677012</v>
      </c>
      <c r="F76" s="412">
        <v>10.054097753426696</v>
      </c>
      <c r="G76" s="412">
        <v>10.476133052002375</v>
      </c>
    </row>
    <row r="77" spans="3:7">
      <c r="C77" s="412">
        <v>8.2111102371520719</v>
      </c>
      <c r="D77" s="412">
        <v>9.5018233088414163</v>
      </c>
      <c r="E77" s="412">
        <v>11.052425816263913</v>
      </c>
      <c r="F77" s="412">
        <v>10.066115221517663</v>
      </c>
      <c r="G77" s="412">
        <v>10.488133903587666</v>
      </c>
    </row>
    <row r="78" spans="3:7">
      <c r="C78" s="412">
        <v>8.2266272169592618</v>
      </c>
      <c r="D78" s="412">
        <v>9.5138347297593118</v>
      </c>
      <c r="E78" s="412">
        <v>11.06443271502228</v>
      </c>
      <c r="F78" s="412">
        <v>10.078132689281512</v>
      </c>
      <c r="G78" s="412">
        <v>10.500134755500079</v>
      </c>
    </row>
    <row r="79" spans="3:7">
      <c r="C79" s="412">
        <v>8.2421441967664499</v>
      </c>
      <c r="D79" s="412">
        <v>9.5258461505057426</v>
      </c>
      <c r="E79" s="412">
        <v>11.076439613952111</v>
      </c>
      <c r="F79" s="412">
        <v>10.090150156718199</v>
      </c>
      <c r="G79" s="412">
        <v>10.512135607739655</v>
      </c>
    </row>
    <row r="80" spans="3:7">
      <c r="C80" s="412">
        <v>8.2576611765736381</v>
      </c>
      <c r="D80" s="412">
        <v>9.5378575710807016</v>
      </c>
      <c r="E80" s="412">
        <v>11.088446513053411</v>
      </c>
      <c r="F80" s="412">
        <v>10.102167623827686</v>
      </c>
      <c r="G80" s="412">
        <v>10.524136460306426</v>
      </c>
    </row>
    <row r="81" spans="3:7">
      <c r="C81" s="412">
        <v>8.273178156380828</v>
      </c>
      <c r="D81" s="412">
        <v>9.5498689914841908</v>
      </c>
      <c r="E81" s="412">
        <v>11.10045341232618</v>
      </c>
      <c r="F81" s="412">
        <v>10.114185090609936</v>
      </c>
      <c r="G81" s="412">
        <v>10.536137313200435</v>
      </c>
    </row>
    <row r="82" spans="3:7">
      <c r="C82" s="412">
        <v>8.2886951361880179</v>
      </c>
      <c r="D82" s="412">
        <v>9.5618804117162117</v>
      </c>
      <c r="E82" s="412">
        <v>11.112460311770425</v>
      </c>
      <c r="F82" s="412">
        <v>10.126202557064914</v>
      </c>
      <c r="G82" s="412">
        <v>10.548138166421722</v>
      </c>
    </row>
    <row r="83" spans="3:7">
      <c r="C83" s="412">
        <v>8.304212115995206</v>
      </c>
      <c r="D83" s="412">
        <v>9.5738918317767574</v>
      </c>
      <c r="E83" s="412">
        <v>11.124467211386138</v>
      </c>
      <c r="F83" s="412">
        <v>10.138220023192574</v>
      </c>
      <c r="G83" s="412">
        <v>10.560139019970322</v>
      </c>
    </row>
    <row r="84" spans="3:7">
      <c r="C84" s="412">
        <v>8.3197290958023942</v>
      </c>
      <c r="D84" s="412">
        <v>9.5859032516658296</v>
      </c>
      <c r="E84" s="412">
        <v>11.136474111173325</v>
      </c>
      <c r="F84" s="412">
        <v>10.150237488992881</v>
      </c>
      <c r="G84" s="412">
        <v>10.572139873846274</v>
      </c>
    </row>
    <row r="85" spans="3:7">
      <c r="C85" s="412">
        <v>8.3352460756095841</v>
      </c>
      <c r="D85" s="412">
        <v>9.5979146713834265</v>
      </c>
      <c r="E85" s="412">
        <v>11.148481011131986</v>
      </c>
      <c r="F85" s="412">
        <v>10.162254954465794</v>
      </c>
      <c r="G85" s="412">
        <v>10.584140728049618</v>
      </c>
    </row>
    <row r="86" spans="3:7">
      <c r="C86" s="412">
        <v>8.350763055416774</v>
      </c>
      <c r="D86" s="412">
        <v>9.6099260909295481</v>
      </c>
      <c r="E86" s="412">
        <v>11.16048791126213</v>
      </c>
      <c r="F86" s="412">
        <v>10.174272419611281</v>
      </c>
      <c r="G86" s="412">
        <v>10.596141582580398</v>
      </c>
    </row>
    <row r="87" spans="3:7">
      <c r="C87" s="412">
        <v>8.3662800352239621</v>
      </c>
      <c r="D87" s="412">
        <v>9.6219375103041873</v>
      </c>
      <c r="E87" s="412">
        <v>11.17249481156375</v>
      </c>
      <c r="F87" s="412">
        <v>10.186289884429296</v>
      </c>
      <c r="G87" s="412">
        <v>10.608142437438641</v>
      </c>
    </row>
    <row r="88" spans="3:7">
      <c r="C88" s="412">
        <v>8.3817970150311503</v>
      </c>
      <c r="D88" s="412">
        <v>9.6339489295073477</v>
      </c>
      <c r="E88" s="412">
        <v>11.184501712036848</v>
      </c>
      <c r="F88" s="412">
        <v>10.198307348919801</v>
      </c>
      <c r="G88" s="412">
        <v>10.620143292624395</v>
      </c>
    </row>
    <row r="89" spans="3:7">
      <c r="C89" s="412">
        <v>8.3973139948383402</v>
      </c>
      <c r="D89" s="412">
        <v>9.6459603485390275</v>
      </c>
      <c r="E89" s="412">
        <v>11.196508612681431</v>
      </c>
      <c r="F89" s="412">
        <v>10.210324813082764</v>
      </c>
      <c r="G89" s="412">
        <v>10.632144148137694</v>
      </c>
    </row>
    <row r="90" spans="3:7">
      <c r="C90" s="412">
        <v>8.4128309746455301</v>
      </c>
      <c r="D90" s="412">
        <v>9.6579717673992249</v>
      </c>
      <c r="E90" s="412">
        <v>11.208515513497495</v>
      </c>
      <c r="F90" s="412">
        <v>10.222342276918139</v>
      </c>
      <c r="G90" s="412">
        <v>10.644145003978581</v>
      </c>
    </row>
    <row r="91" spans="3:7">
      <c r="C91" s="412">
        <v>8.4283479544527182</v>
      </c>
      <c r="D91" s="412">
        <v>9.6699831860879364</v>
      </c>
      <c r="E91" s="412">
        <v>11.220522414485043</v>
      </c>
      <c r="F91" s="412">
        <v>10.234359740425889</v>
      </c>
      <c r="G91" s="412">
        <v>10.65614586014709</v>
      </c>
    </row>
    <row r="92" spans="3:7">
      <c r="C92" s="412">
        <v>8.4438649342599064</v>
      </c>
      <c r="D92" s="412">
        <v>9.6819946046051601</v>
      </c>
      <c r="E92" s="412">
        <v>11.232529315644078</v>
      </c>
      <c r="F92" s="412">
        <v>10.246377203605977</v>
      </c>
      <c r="G92" s="412">
        <v>10.66814671664326</v>
      </c>
    </row>
    <row r="93" spans="3:7">
      <c r="C93" s="412">
        <v>8.4593819140670963</v>
      </c>
      <c r="D93" s="412">
        <v>9.6940060229508997</v>
      </c>
      <c r="E93" s="412">
        <v>11.2445362169746</v>
      </c>
      <c r="F93" s="412">
        <v>10.258394666458365</v>
      </c>
      <c r="G93" s="412">
        <v>10.680147573467135</v>
      </c>
    </row>
    <row r="94" spans="3:7">
      <c r="C94" s="412">
        <v>8.4748988938742862</v>
      </c>
      <c r="D94" s="412">
        <v>9.7060174411251481</v>
      </c>
      <c r="E94" s="412">
        <v>11.256543118476614</v>
      </c>
      <c r="F94" s="412">
        <v>10.270412128983011</v>
      </c>
      <c r="G94" s="412">
        <v>10.692148430618751</v>
      </c>
    </row>
    <row r="95" spans="3:7">
      <c r="C95" s="412">
        <v>8.4904158736814743</v>
      </c>
      <c r="D95" s="412">
        <v>9.7180288591279052</v>
      </c>
      <c r="E95" s="412">
        <v>11.268550020150116</v>
      </c>
      <c r="F95" s="412">
        <v>10.282429591179879</v>
      </c>
      <c r="G95" s="412">
        <v>10.704149288098142</v>
      </c>
    </row>
    <row r="96" spans="3:7">
      <c r="C96" s="412">
        <v>8.5059328534886625</v>
      </c>
      <c r="D96" s="412">
        <v>9.730040276959171</v>
      </c>
      <c r="E96" s="412">
        <v>11.280556921995109</v>
      </c>
      <c r="F96" s="412">
        <v>10.294447053048927</v>
      </c>
      <c r="G96" s="412">
        <v>10.716150145905353</v>
      </c>
    </row>
    <row r="97" spans="3:7">
      <c r="C97" s="412">
        <v>8.5214498332958524</v>
      </c>
      <c r="D97" s="412">
        <v>9.7420516946189437</v>
      </c>
      <c r="E97" s="412">
        <v>11.292563824011598</v>
      </c>
      <c r="F97" s="412">
        <v>10.306464514590122</v>
      </c>
      <c r="G97" s="412">
        <v>10.72815100404042</v>
      </c>
    </row>
    <row r="98" spans="3:7">
      <c r="C98" s="412">
        <v>8.5369668131030423</v>
      </c>
      <c r="D98" s="412">
        <v>9.7540631121072217</v>
      </c>
      <c r="E98" s="412">
        <v>11.304570726199582</v>
      </c>
      <c r="F98" s="412">
        <v>10.318481975803422</v>
      </c>
      <c r="G98" s="412">
        <v>10.740151862503382</v>
      </c>
    </row>
    <row r="99" spans="3:7">
      <c r="C99" s="412">
        <v>8.5524837929102304</v>
      </c>
      <c r="D99" s="412">
        <v>9.7660745294240012</v>
      </c>
      <c r="E99" s="412">
        <v>11.316577628559061</v>
      </c>
      <c r="F99" s="412">
        <v>10.330499436688786</v>
      </c>
      <c r="G99" s="412">
        <v>10.752152721294276</v>
      </c>
    </row>
    <row r="100" spans="3:7">
      <c r="C100" s="412">
        <v>8.5680007727174186</v>
      </c>
      <c r="D100" s="412">
        <v>9.7780859465692824</v>
      </c>
      <c r="E100" s="412">
        <v>11.328584531090039</v>
      </c>
      <c r="F100" s="412">
        <v>10.342516897246178</v>
      </c>
      <c r="G100" s="412">
        <v>10.764153580413144</v>
      </c>
    </row>
    <row r="101" spans="3:7">
      <c r="C101" s="412">
        <v>8.5835177525246085</v>
      </c>
      <c r="D101" s="412">
        <v>9.790097363543067</v>
      </c>
      <c r="E101" s="412">
        <v>11.34059143379252</v>
      </c>
      <c r="F101" s="412">
        <v>10.354534357475561</v>
      </c>
      <c r="G101" s="412">
        <v>10.776154439860026</v>
      </c>
    </row>
    <row r="102" spans="3:7">
      <c r="C102" s="412">
        <v>8.5990347323317984</v>
      </c>
      <c r="D102" s="412">
        <v>9.8021087803453479</v>
      </c>
      <c r="E102" s="412">
        <v>11.352598336666498</v>
      </c>
      <c r="F102" s="412">
        <v>10.366551817376891</v>
      </c>
      <c r="G102" s="412">
        <v>10.788155299634955</v>
      </c>
    </row>
    <row r="103" spans="3:7">
      <c r="C103" s="412">
        <v>8.6145517121389865</v>
      </c>
      <c r="D103" s="412">
        <v>9.8141201969761251</v>
      </c>
      <c r="E103" s="412">
        <v>11.364605239711979</v>
      </c>
      <c r="F103" s="412">
        <v>10.378569276950131</v>
      </c>
      <c r="G103" s="412">
        <v>10.800156159737973</v>
      </c>
    </row>
    <row r="104" spans="3:7">
      <c r="C104" s="412">
        <v>8.6300686919461747</v>
      </c>
      <c r="D104" s="412">
        <v>9.8261316134354004</v>
      </c>
      <c r="E104" s="412">
        <v>11.376612142928963</v>
      </c>
      <c r="F104" s="412">
        <v>10.390586736195246</v>
      </c>
      <c r="G104" s="412">
        <v>10.812157020169117</v>
      </c>
    </row>
    <row r="105" spans="3:7">
      <c r="C105" s="412">
        <v>8.6455856717533646</v>
      </c>
      <c r="D105" s="412">
        <v>9.838143029723172</v>
      </c>
      <c r="E105" s="412">
        <v>11.388619046317457</v>
      </c>
      <c r="F105" s="412">
        <v>10.402604195112197</v>
      </c>
      <c r="G105" s="412">
        <v>10.824157880928432</v>
      </c>
    </row>
    <row r="106" spans="3:7">
      <c r="C106" s="412">
        <v>8.6611026515605545</v>
      </c>
      <c r="D106" s="412">
        <v>9.8501544458394328</v>
      </c>
      <c r="E106" s="412">
        <v>11.400625949877455</v>
      </c>
      <c r="F106" s="412">
        <v>10.414621653700939</v>
      </c>
      <c r="G106" s="412">
        <v>10.836158742015948</v>
      </c>
    </row>
    <row r="107" spans="3:7">
      <c r="C107" s="412">
        <v>8.6766196313677426</v>
      </c>
      <c r="D107" s="412">
        <v>9.8621658617841845</v>
      </c>
      <c r="E107" s="412">
        <v>11.412632853608962</v>
      </c>
      <c r="F107" s="412">
        <v>10.426639111961437</v>
      </c>
      <c r="G107" s="412">
        <v>10.848159603431709</v>
      </c>
    </row>
    <row r="108" spans="3:7">
      <c r="C108" s="412">
        <v>8.6921366111749307</v>
      </c>
      <c r="D108" s="412">
        <v>9.874177277557429</v>
      </c>
      <c r="E108" s="412">
        <v>11.424639757511979</v>
      </c>
      <c r="F108" s="412">
        <v>10.438656569893654</v>
      </c>
      <c r="G108" s="412">
        <v>10.860160465175754</v>
      </c>
    </row>
    <row r="109" spans="3:7">
      <c r="C109" s="412">
        <v>8.7076535909821207</v>
      </c>
      <c r="D109" s="412">
        <v>9.8861886931591627</v>
      </c>
      <c r="E109" s="412">
        <v>11.436646661586508</v>
      </c>
      <c r="F109" s="412">
        <v>10.45067402749755</v>
      </c>
      <c r="G109" s="412">
        <v>10.87216132724812</v>
      </c>
    </row>
    <row r="110" spans="3:7">
      <c r="C110" s="412">
        <v>8.7231705707893106</v>
      </c>
      <c r="D110" s="412">
        <v>9.8982001085893803</v>
      </c>
      <c r="E110" s="412">
        <v>11.448653565832549</v>
      </c>
      <c r="F110" s="412">
        <v>10.462691484773085</v>
      </c>
      <c r="G110" s="412">
        <v>10.884162189648844</v>
      </c>
    </row>
    <row r="111" spans="3:7">
      <c r="C111" s="412">
        <v>8.7386875505964987</v>
      </c>
      <c r="D111" s="412">
        <v>9.9102115238480852</v>
      </c>
      <c r="E111" s="412">
        <v>11.460660470250106</v>
      </c>
      <c r="F111" s="412">
        <v>10.474708941720223</v>
      </c>
      <c r="G111" s="412">
        <v>10.896163052377968</v>
      </c>
    </row>
    <row r="112" spans="3:7">
      <c r="C112" s="412">
        <v>8.7542045304036868</v>
      </c>
      <c r="D112" s="412">
        <v>9.9222229389352723</v>
      </c>
      <c r="E112" s="412">
        <v>11.472667374839178</v>
      </c>
      <c r="F112" s="412">
        <v>10.48672639833892</v>
      </c>
      <c r="G112" s="412">
        <v>10.90816391543553</v>
      </c>
    </row>
    <row r="113" spans="3:7">
      <c r="C113" s="412">
        <v>8.7697215102108768</v>
      </c>
      <c r="D113" s="412">
        <v>9.9342343538509432</v>
      </c>
      <c r="E113" s="412">
        <v>11.484674279599769</v>
      </c>
      <c r="F113" s="412">
        <v>10.498743854629144</v>
      </c>
      <c r="G113" s="412">
        <v>10.920164778821569</v>
      </c>
    </row>
    <row r="114" spans="3:7">
      <c r="C114" s="412">
        <v>8.7852384900180667</v>
      </c>
      <c r="D114" s="412">
        <v>9.9462457685950945</v>
      </c>
      <c r="E114" s="412">
        <v>11.49668118453188</v>
      </c>
      <c r="F114" s="412">
        <v>10.51076131059085</v>
      </c>
      <c r="G114" s="412">
        <v>10.932165642536125</v>
      </c>
    </row>
    <row r="115" spans="3:7">
      <c r="C115" s="412">
        <v>8.8007554698252548</v>
      </c>
      <c r="D115" s="412">
        <v>9.9582571831677242</v>
      </c>
      <c r="E115" s="412">
        <v>11.508688089635509</v>
      </c>
      <c r="F115" s="412">
        <v>10.522778766224002</v>
      </c>
      <c r="G115" s="412">
        <v>10.944166506579231</v>
      </c>
    </row>
    <row r="116" spans="3:7">
      <c r="C116" s="412">
        <v>8.8162724496324429</v>
      </c>
      <c r="D116" s="412">
        <v>9.9702685975688325</v>
      </c>
      <c r="E116" s="412">
        <v>11.520694994910659</v>
      </c>
      <c r="F116" s="412">
        <v>10.534796221528561</v>
      </c>
      <c r="G116" s="412">
        <v>10.956167370950931</v>
      </c>
    </row>
    <row r="117" spans="3:7">
      <c r="C117" s="412">
        <v>8.8317894294396329</v>
      </c>
      <c r="D117" s="412">
        <v>9.9822800117984176</v>
      </c>
      <c r="E117" s="412">
        <v>11.532701900357337</v>
      </c>
      <c r="F117" s="412">
        <v>10.546813676504488</v>
      </c>
      <c r="G117" s="412">
        <v>10.968168235651266</v>
      </c>
    </row>
    <row r="118" spans="3:7">
      <c r="C118" s="412">
        <v>8.8473064092468228</v>
      </c>
      <c r="D118" s="412">
        <v>9.9942914258564777</v>
      </c>
      <c r="E118" s="412">
        <v>11.544708805975539</v>
      </c>
      <c r="F118" s="412">
        <v>10.558831131151747</v>
      </c>
      <c r="G118" s="412">
        <v>10.98016910068027</v>
      </c>
    </row>
    <row r="119" spans="3:7">
      <c r="C119" s="412">
        <v>8.8628233890540109</v>
      </c>
      <c r="D119" s="412">
        <v>10.006302839743011</v>
      </c>
      <c r="E119" s="412">
        <v>11.556715711765264</v>
      </c>
      <c r="F119" s="412">
        <v>10.570848585470294</v>
      </c>
      <c r="G119" s="412">
        <v>10.992169966037981</v>
      </c>
    </row>
    <row r="120" spans="3:7">
      <c r="C120" s="412">
        <v>8.878340368861199</v>
      </c>
      <c r="D120" s="412">
        <v>10.018314253458017</v>
      </c>
      <c r="E120" s="412">
        <v>11.56872261772652</v>
      </c>
      <c r="F120" s="412">
        <v>10.582866039460093</v>
      </c>
      <c r="G120" s="412">
        <v>11.004170831724444</v>
      </c>
    </row>
    <row r="121" spans="3:7">
      <c r="C121" s="412">
        <v>8.893857348668389</v>
      </c>
      <c r="D121" s="412">
        <v>10.030325667001492</v>
      </c>
      <c r="E121" s="412">
        <v>11.580729523859304</v>
      </c>
      <c r="F121" s="412">
        <v>10.594883493121104</v>
      </c>
      <c r="G121" s="412">
        <v>11.016171697739692</v>
      </c>
    </row>
    <row r="122" spans="3:7">
      <c r="C122" s="412">
        <v>8.9093743284755789</v>
      </c>
      <c r="D122" s="412">
        <v>10.042337080373438</v>
      </c>
      <c r="E122" s="412">
        <v>11.592736430163621</v>
      </c>
      <c r="F122" s="412">
        <v>10.606900946453292</v>
      </c>
      <c r="G122" s="412">
        <v>11.028172564083766</v>
      </c>
    </row>
    <row r="123" spans="3:7">
      <c r="C123" s="412">
        <v>8.924891308282767</v>
      </c>
      <c r="D123" s="412">
        <v>10.054348493573849</v>
      </c>
      <c r="E123" s="412">
        <v>11.604743336639471</v>
      </c>
      <c r="F123" s="412">
        <v>10.618918399456614</v>
      </c>
      <c r="G123" s="412">
        <v>11.040173430756706</v>
      </c>
    </row>
    <row r="124" spans="3:7">
      <c r="C124" s="412">
        <v>8.9404082880899551</v>
      </c>
      <c r="D124" s="412">
        <v>10.066359906602727</v>
      </c>
      <c r="E124" s="412">
        <v>11.616750243286852</v>
      </c>
      <c r="F124" s="412">
        <v>10.630935852131032</v>
      </c>
      <c r="G124" s="412">
        <v>11.052174297758548</v>
      </c>
    </row>
    <row r="125" spans="3:7">
      <c r="C125" s="412">
        <v>8.955925267897145</v>
      </c>
      <c r="D125" s="412">
        <v>10.078371319460068</v>
      </c>
      <c r="E125" s="412">
        <v>11.62875715010577</v>
      </c>
      <c r="F125" s="412">
        <v>10.642953304476507</v>
      </c>
      <c r="G125" s="412">
        <v>11.064175165089331</v>
      </c>
    </row>
    <row r="126" spans="3:7">
      <c r="C126" s="412">
        <v>8.971442247704335</v>
      </c>
      <c r="D126" s="412">
        <v>10.090382732145876</v>
      </c>
      <c r="E126" s="412">
        <v>11.640764057096227</v>
      </c>
      <c r="F126" s="412">
        <v>10.654970756493004</v>
      </c>
      <c r="G126" s="412">
        <v>11.0761760327491</v>
      </c>
    </row>
    <row r="127" spans="3:7">
      <c r="C127" s="412">
        <v>8.9869592275115231</v>
      </c>
      <c r="D127" s="412">
        <v>10.102394144660142</v>
      </c>
      <c r="E127" s="412">
        <v>11.65277096425822</v>
      </c>
      <c r="F127" s="412">
        <v>10.666988208180475</v>
      </c>
      <c r="G127" s="412">
        <v>11.088176900737887</v>
      </c>
    </row>
    <row r="128" spans="3:7">
      <c r="C128" s="412">
        <v>9.0024762073187112</v>
      </c>
      <c r="D128" s="412">
        <v>10.114405557002868</v>
      </c>
      <c r="E128" s="412">
        <v>11.664777871591753</v>
      </c>
      <c r="F128" s="412">
        <v>10.679005659538889</v>
      </c>
      <c r="G128" s="412">
        <v>11.100177769055732</v>
      </c>
    </row>
    <row r="129" spans="3:7">
      <c r="C129" s="412">
        <v>9.0179931871259011</v>
      </c>
      <c r="D129" s="412">
        <v>10.126416969174052</v>
      </c>
      <c r="E129" s="412">
        <v>11.676784779096828</v>
      </c>
      <c r="F129" s="412">
        <v>10.691023110568207</v>
      </c>
      <c r="G129" s="412">
        <v>11.112178637702673</v>
      </c>
    </row>
    <row r="130" spans="3:7">
      <c r="C130" s="412">
        <v>9.0335101669330911</v>
      </c>
      <c r="D130" s="412">
        <v>10.138428381173698</v>
      </c>
      <c r="E130" s="412">
        <v>11.688791686773447</v>
      </c>
      <c r="F130" s="412">
        <v>10.70304056126839</v>
      </c>
      <c r="G130" s="412">
        <v>11.124179506678756</v>
      </c>
    </row>
    <row r="131" spans="3:7">
      <c r="C131" s="412">
        <v>9.0490271467402792</v>
      </c>
      <c r="D131" s="412">
        <v>10.150439793001794</v>
      </c>
      <c r="E131" s="412">
        <v>11.70079859462161</v>
      </c>
      <c r="F131" s="412">
        <v>10.715058011639393</v>
      </c>
      <c r="G131" s="412">
        <v>11.136180375984011</v>
      </c>
    </row>
    <row r="132" spans="3:7">
      <c r="C132" s="412">
        <v>9.0645441265474673</v>
      </c>
      <c r="D132" s="412">
        <v>10.162451204658344</v>
      </c>
      <c r="E132" s="412">
        <v>11.712805502641318</v>
      </c>
      <c r="F132" s="412">
        <v>10.727075461681181</v>
      </c>
      <c r="G132" s="412">
        <v>11.148181245618481</v>
      </c>
    </row>
    <row r="133" spans="3:7">
      <c r="C133" s="412">
        <v>9.0800611063546572</v>
      </c>
      <c r="D133" s="412">
        <v>10.17446261614335</v>
      </c>
      <c r="E133" s="412">
        <v>11.724812410832575</v>
      </c>
      <c r="F133" s="412">
        <v>10.739092911393719</v>
      </c>
      <c r="G133" s="412">
        <v>11.160182115582206</v>
      </c>
    </row>
    <row r="134" spans="3:7">
      <c r="C134" s="412">
        <v>9.0955780861618472</v>
      </c>
      <c r="D134" s="412">
        <v>10.186474027456805</v>
      </c>
      <c r="E134" s="412">
        <v>11.736819319195382</v>
      </c>
      <c r="F134" s="412">
        <v>10.751110360776964</v>
      </c>
      <c r="G134" s="412">
        <v>11.172182985875223</v>
      </c>
    </row>
    <row r="135" spans="3:7">
      <c r="C135" s="412">
        <v>9.1110950659690353</v>
      </c>
      <c r="D135" s="412">
        <v>10.198485438598709</v>
      </c>
      <c r="E135" s="412">
        <v>11.748826227729737</v>
      </c>
      <c r="F135" s="412">
        <v>10.763127809830875</v>
      </c>
      <c r="G135" s="412">
        <v>11.184183856497571</v>
      </c>
    </row>
    <row r="136" spans="3:7">
      <c r="C136" s="412">
        <v>9.1266120457762234</v>
      </c>
      <c r="D136" s="412">
        <v>10.210496849569061</v>
      </c>
      <c r="E136" s="412">
        <v>11.760833136435643</v>
      </c>
      <c r="F136" s="412">
        <v>10.775145258555417</v>
      </c>
      <c r="G136" s="412">
        <v>11.196184727449287</v>
      </c>
    </row>
    <row r="137" spans="3:7">
      <c r="C137" s="412">
        <v>9.1421290255834133</v>
      </c>
      <c r="D137" s="412">
        <v>10.222508260367862</v>
      </c>
      <c r="E137" s="412">
        <v>11.772840045313105</v>
      </c>
      <c r="F137" s="412">
        <v>10.787162706950552</v>
      </c>
      <c r="G137" s="412">
        <v>11.208185598730415</v>
      </c>
    </row>
    <row r="138" spans="3:7">
      <c r="C138" s="412">
        <v>9.1576460053906032</v>
      </c>
      <c r="D138" s="412">
        <v>10.234519670995107</v>
      </c>
      <c r="E138" s="412">
        <v>11.784846954362122</v>
      </c>
      <c r="F138" s="412">
        <v>10.79918015501624</v>
      </c>
      <c r="G138" s="412">
        <v>11.220186470340989</v>
      </c>
    </row>
    <row r="139" spans="3:7">
      <c r="C139" s="412">
        <v>9.1731629851977914</v>
      </c>
      <c r="D139" s="412">
        <v>10.246531081450794</v>
      </c>
      <c r="E139" s="412">
        <v>11.796853863582694</v>
      </c>
      <c r="F139" s="412">
        <v>10.811197602752436</v>
      </c>
      <c r="G139" s="412">
        <v>11.232187342281051</v>
      </c>
    </row>
    <row r="140" spans="3:7">
      <c r="C140" s="412">
        <v>9.1886799650049795</v>
      </c>
      <c r="D140" s="412">
        <v>10.258542491734921</v>
      </c>
      <c r="E140" s="412">
        <v>11.808860772974825</v>
      </c>
      <c r="F140" s="412">
        <v>10.823215050159108</v>
      </c>
      <c r="G140" s="412">
        <v>11.244188214550638</v>
      </c>
    </row>
    <row r="141" spans="3:7">
      <c r="C141" s="412">
        <v>9.2041969448121694</v>
      </c>
      <c r="D141" s="412">
        <v>10.270553901847492</v>
      </c>
      <c r="E141" s="412">
        <v>11.820867682538516</v>
      </c>
      <c r="F141" s="412">
        <v>10.835232497236218</v>
      </c>
      <c r="G141" s="412">
        <v>11.25618908714979</v>
      </c>
    </row>
    <row r="142" spans="3:7">
      <c r="C142" s="412">
        <v>9.2197139246193593</v>
      </c>
      <c r="D142" s="412">
        <v>10.282565311788503</v>
      </c>
      <c r="E142" s="412">
        <v>11.832874592273768</v>
      </c>
      <c r="F142" s="412">
        <v>10.847249943983723</v>
      </c>
      <c r="G142" s="412">
        <v>11.268189960078548</v>
      </c>
    </row>
    <row r="143" spans="3:7">
      <c r="C143" s="412">
        <v>9.2352309044265475</v>
      </c>
      <c r="D143" s="412">
        <v>10.294576721557949</v>
      </c>
      <c r="E143" s="412">
        <v>11.844881502180581</v>
      </c>
      <c r="F143" s="412">
        <v>10.859267390401584</v>
      </c>
      <c r="G143" s="412">
        <v>11.280190833336945</v>
      </c>
    </row>
    <row r="144" spans="3:7">
      <c r="C144" s="412">
        <v>9.2507478842337356</v>
      </c>
      <c r="D144" s="412">
        <v>10.306588131155831</v>
      </c>
      <c r="E144" s="412">
        <v>11.856888412258957</v>
      </c>
      <c r="F144" s="412">
        <v>10.871284836489764</v>
      </c>
      <c r="G144" s="412">
        <v>11.292191706925024</v>
      </c>
    </row>
    <row r="145" spans="3:7">
      <c r="C145" s="412">
        <v>9.2662648640409255</v>
      </c>
      <c r="D145" s="412">
        <v>10.31859954058215</v>
      </c>
      <c r="E145" s="412">
        <v>11.868895322508903</v>
      </c>
      <c r="F145" s="412">
        <v>10.883302282248227</v>
      </c>
      <c r="G145" s="412">
        <v>11.304192580842827</v>
      </c>
    </row>
    <row r="146" spans="3:7">
      <c r="C146" s="412">
        <v>9.2817818438481154</v>
      </c>
      <c r="D146" s="412">
        <v>10.330610949836901</v>
      </c>
      <c r="E146" s="412">
        <v>11.880902232930412</v>
      </c>
      <c r="F146" s="412">
        <v>10.895319727676927</v>
      </c>
      <c r="G146" s="412">
        <v>11.316193455090385</v>
      </c>
    </row>
    <row r="147" spans="3:7">
      <c r="C147" s="412">
        <v>9.2972988236553036</v>
      </c>
      <c r="D147" s="412">
        <v>10.342622358920082</v>
      </c>
      <c r="E147" s="412">
        <v>11.892909143523489</v>
      </c>
      <c r="F147" s="412">
        <v>10.907337172775827</v>
      </c>
      <c r="G147" s="412">
        <v>11.328194329667744</v>
      </c>
    </row>
    <row r="148" spans="3:7">
      <c r="C148" s="412">
        <v>9.3128158034624917</v>
      </c>
      <c r="D148" s="412">
        <v>10.354633767831693</v>
      </c>
      <c r="E148" s="412">
        <v>11.904916054288137</v>
      </c>
      <c r="F148" s="412">
        <v>10.919354617544892</v>
      </c>
      <c r="G148" s="412">
        <v>11.340195204574938</v>
      </c>
    </row>
    <row r="149" spans="3:7">
      <c r="C149" s="412">
        <v>9.3283327832696816</v>
      </c>
      <c r="D149" s="412">
        <v>10.366645176571735</v>
      </c>
      <c r="E149" s="412">
        <v>11.91692296522436</v>
      </c>
      <c r="F149" s="412">
        <v>10.931372061984083</v>
      </c>
      <c r="G149" s="412">
        <v>11.352196079812012</v>
      </c>
    </row>
    <row r="150" spans="3:7">
      <c r="C150" s="412">
        <v>9.3438497630768715</v>
      </c>
      <c r="D150" s="412">
        <v>10.378656585140202</v>
      </c>
      <c r="E150" s="412">
        <v>11.928929876332152</v>
      </c>
      <c r="F150" s="412">
        <v>10.943389506093355</v>
      </c>
      <c r="G150" s="412">
        <v>11.364196955378999</v>
      </c>
    </row>
    <row r="151" spans="3:7">
      <c r="C151" s="412">
        <v>9.3593667428840597</v>
      </c>
      <c r="D151" s="412">
        <v>10.390667993537095</v>
      </c>
      <c r="E151" s="412">
        <v>11.940936787611518</v>
      </c>
      <c r="F151" s="412">
        <v>10.955406949872675</v>
      </c>
      <c r="G151" s="412">
        <v>11.376197831275938</v>
      </c>
    </row>
  </sheetData>
  <phoneticPr fontId="52"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M89"/>
  <sheetViews>
    <sheetView workbookViewId="0"/>
  </sheetViews>
  <sheetFormatPr defaultRowHeight="13.2"/>
  <cols>
    <col min="2" max="2" width="42.109375" customWidth="1"/>
    <col min="3" max="3" width="18.6640625" customWidth="1"/>
    <col min="4" max="4" width="19.77734375" customWidth="1"/>
    <col min="5" max="5" width="23.44140625" customWidth="1"/>
    <col min="6" max="7" width="15.77734375" customWidth="1"/>
    <col min="8" max="8" width="19.33203125" customWidth="1"/>
  </cols>
  <sheetData>
    <row r="1" spans="2:8">
      <c r="B1" s="6" t="s">
        <v>266</v>
      </c>
    </row>
    <row r="2" spans="2:8">
      <c r="B2" s="6" t="s">
        <v>267</v>
      </c>
    </row>
    <row r="3" spans="2:8">
      <c r="B3" s="6" t="s">
        <v>268</v>
      </c>
    </row>
    <row r="4" spans="2:8">
      <c r="B4" s="6" t="s">
        <v>269</v>
      </c>
    </row>
    <row r="5" spans="2:8">
      <c r="B5" s="6" t="s">
        <v>270</v>
      </c>
    </row>
    <row r="6" spans="2:8">
      <c r="B6" s="6" t="s">
        <v>271</v>
      </c>
    </row>
    <row r="7" spans="2:8">
      <c r="B7" s="6" t="s">
        <v>272</v>
      </c>
    </row>
    <row r="8" spans="2:8">
      <c r="B8" s="6" t="s">
        <v>273</v>
      </c>
    </row>
    <row r="11" spans="2:8">
      <c r="B11" s="6" t="s">
        <v>274</v>
      </c>
    </row>
    <row r="13" spans="2:8">
      <c r="B13" s="6" t="s">
        <v>275</v>
      </c>
    </row>
    <row r="14" spans="2:8" ht="13.8" thickBot="1"/>
    <row r="15" spans="2:8">
      <c r="B15" s="397" t="s">
        <v>281</v>
      </c>
      <c r="C15" s="397" t="s">
        <v>276</v>
      </c>
      <c r="D15" s="397" t="s">
        <v>277</v>
      </c>
      <c r="E15" s="397" t="s">
        <v>278</v>
      </c>
      <c r="F15" s="397" t="s">
        <v>279</v>
      </c>
      <c r="G15" s="397" t="s">
        <v>26</v>
      </c>
      <c r="H15" s="397" t="s">
        <v>280</v>
      </c>
    </row>
    <row r="16" spans="2:8" ht="13.8" thickBot="1">
      <c r="B16" s="398">
        <v>10.286860848801201</v>
      </c>
      <c r="C16" s="392">
        <v>25</v>
      </c>
      <c r="D16" s="392">
        <v>25</v>
      </c>
      <c r="E16" s="392">
        <v>0</v>
      </c>
      <c r="F16" s="394">
        <v>25</v>
      </c>
      <c r="G16" s="391">
        <v>10.276569044486724</v>
      </c>
      <c r="H16" s="391">
        <v>0.64111236458560228</v>
      </c>
    </row>
    <row r="17" spans="2:8">
      <c r="C17" s="393"/>
      <c r="D17" s="393"/>
      <c r="E17" s="393"/>
      <c r="F17" s="395"/>
      <c r="G17" s="396"/>
      <c r="H17" s="396"/>
    </row>
    <row r="19" spans="2:8">
      <c r="B19" s="6" t="s">
        <v>282</v>
      </c>
    </row>
    <row r="20" spans="2:8" ht="13.8" thickBot="1"/>
    <row r="21" spans="2:8">
      <c r="B21" s="397" t="s">
        <v>281</v>
      </c>
      <c r="C21" s="397" t="s">
        <v>26</v>
      </c>
      <c r="D21" s="397" t="s">
        <v>280</v>
      </c>
    </row>
    <row r="22" spans="2:8" ht="13.8" thickBot="1">
      <c r="B22" s="398">
        <v>7.4488472692942302</v>
      </c>
      <c r="C22" s="391">
        <v>8.2103924548321405</v>
      </c>
      <c r="D22" s="391">
        <v>0.69146447430639568</v>
      </c>
    </row>
    <row r="25" spans="2:8">
      <c r="B25" s="6" t="s">
        <v>283</v>
      </c>
    </row>
    <row r="26" spans="2:8" ht="13.8" thickBot="1"/>
    <row r="27" spans="2:8">
      <c r="B27" s="402" t="s">
        <v>284</v>
      </c>
      <c r="C27" s="399">
        <v>0.83472063441048328</v>
      </c>
    </row>
    <row r="28" spans="2:8">
      <c r="B28" s="403" t="s">
        <v>285</v>
      </c>
      <c r="C28" s="400">
        <v>0.69675853751063976</v>
      </c>
    </row>
    <row r="29" spans="2:8">
      <c r="B29" s="403" t="s">
        <v>286</v>
      </c>
      <c r="C29" s="400">
        <v>0.6835741260980589</v>
      </c>
    </row>
    <row r="30" spans="2:8" ht="13.8" thickBot="1">
      <c r="B30" s="404" t="s">
        <v>287</v>
      </c>
      <c r="C30" s="401">
        <v>2.9913561968300453</v>
      </c>
    </row>
    <row r="33" spans="2:7">
      <c r="B33" s="6" t="s">
        <v>288</v>
      </c>
    </row>
    <row r="34" spans="2:7" ht="13.8" thickBot="1"/>
    <row r="35" spans="2:7">
      <c r="B35" s="397" t="s">
        <v>14</v>
      </c>
      <c r="C35" s="413" t="s">
        <v>43</v>
      </c>
      <c r="D35" s="413" t="s">
        <v>289</v>
      </c>
      <c r="E35" s="413" t="s">
        <v>290</v>
      </c>
      <c r="F35" s="413" t="s">
        <v>291</v>
      </c>
      <c r="G35" s="413" t="s">
        <v>292</v>
      </c>
    </row>
    <row r="36" spans="2:7">
      <c r="B36" s="403" t="s">
        <v>145</v>
      </c>
      <c r="C36" s="405">
        <v>1</v>
      </c>
      <c r="D36" s="400">
        <v>6.8732453397589675</v>
      </c>
      <c r="E36" s="400">
        <v>6.8732453397589675</v>
      </c>
      <c r="F36" s="400">
        <v>52.847147719144687</v>
      </c>
      <c r="G36" s="400" t="s">
        <v>293</v>
      </c>
    </row>
    <row r="37" spans="2:7">
      <c r="B37" s="403" t="s">
        <v>210</v>
      </c>
      <c r="C37" s="405">
        <v>23</v>
      </c>
      <c r="D37" s="400">
        <v>2.9913561968300453</v>
      </c>
      <c r="E37" s="400">
        <v>0.13005896507956718</v>
      </c>
      <c r="F37" s="400"/>
      <c r="G37" s="400"/>
    </row>
    <row r="38" spans="2:7" ht="13.8" thickBot="1">
      <c r="B38" s="404" t="s">
        <v>0</v>
      </c>
      <c r="C38" s="406">
        <v>24</v>
      </c>
      <c r="D38" s="401">
        <v>9.8646015365890136</v>
      </c>
      <c r="E38" s="401"/>
      <c r="F38" s="401"/>
      <c r="G38" s="401"/>
    </row>
    <row r="41" spans="2:7">
      <c r="B41" s="6" t="s">
        <v>294</v>
      </c>
    </row>
    <row r="42" spans="2:7" ht="13.8" thickBot="1"/>
    <row r="43" spans="2:7">
      <c r="B43" s="397" t="s">
        <v>14</v>
      </c>
      <c r="C43" s="413" t="s">
        <v>43</v>
      </c>
      <c r="D43" s="413" t="s">
        <v>289</v>
      </c>
      <c r="E43" s="413" t="s">
        <v>290</v>
      </c>
      <c r="F43" s="413" t="s">
        <v>291</v>
      </c>
      <c r="G43" s="413" t="s">
        <v>292</v>
      </c>
    </row>
    <row r="44" spans="2:7" ht="13.8" thickBot="1">
      <c r="B44" s="398">
        <v>7.4488472692942302</v>
      </c>
      <c r="C44" s="392">
        <v>1</v>
      </c>
      <c r="D44" s="391">
        <v>6.8732453397589675</v>
      </c>
      <c r="E44" s="391">
        <v>6.8732453397589675</v>
      </c>
      <c r="F44" s="391">
        <v>52.847147719144687</v>
      </c>
      <c r="G44" s="391" t="s">
        <v>293</v>
      </c>
    </row>
    <row r="47" spans="2:7">
      <c r="B47" s="6" t="s">
        <v>295</v>
      </c>
    </row>
    <row r="48" spans="2:7" ht="13.8" thickBot="1"/>
    <row r="49" spans="2:13">
      <c r="B49" s="397" t="s">
        <v>14</v>
      </c>
      <c r="C49" s="413" t="s">
        <v>43</v>
      </c>
      <c r="D49" s="413" t="s">
        <v>289</v>
      </c>
      <c r="E49" s="413" t="s">
        <v>290</v>
      </c>
      <c r="F49" s="413" t="s">
        <v>291</v>
      </c>
      <c r="G49" s="413" t="s">
        <v>292</v>
      </c>
    </row>
    <row r="50" spans="2:13" ht="13.8" thickBot="1">
      <c r="B50" s="398">
        <v>7.4488472692942302</v>
      </c>
      <c r="C50" s="392">
        <v>1</v>
      </c>
      <c r="D50" s="391">
        <v>6.8732453397589675</v>
      </c>
      <c r="E50" s="391">
        <v>6.8732453397589675</v>
      </c>
      <c r="F50" s="391">
        <v>52.847147719144687</v>
      </c>
      <c r="G50" s="391" t="s">
        <v>293</v>
      </c>
    </row>
    <row r="53" spans="2:13">
      <c r="B53" s="6" t="s">
        <v>296</v>
      </c>
    </row>
    <row r="54" spans="2:13" ht="13.8" thickBot="1"/>
    <row r="55" spans="2:13">
      <c r="B55" s="397" t="s">
        <v>302</v>
      </c>
      <c r="C55" s="413" t="s">
        <v>297</v>
      </c>
      <c r="D55" s="413" t="s">
        <v>280</v>
      </c>
      <c r="E55" s="413" t="s">
        <v>298</v>
      </c>
      <c r="F55" s="413" t="s">
        <v>299</v>
      </c>
      <c r="G55" s="413" t="s">
        <v>300</v>
      </c>
      <c r="H55" s="413" t="s">
        <v>301</v>
      </c>
    </row>
    <row r="56" spans="2:13">
      <c r="B56" s="403" t="s">
        <v>42</v>
      </c>
      <c r="C56" s="400">
        <v>3.9222451651597607</v>
      </c>
      <c r="D56" s="400">
        <v>0.87706567499213062</v>
      </c>
      <c r="E56" s="400">
        <v>4.4720085131537646</v>
      </c>
      <c r="F56" s="400">
        <v>1.7357643530213629E-4</v>
      </c>
      <c r="G56" s="400">
        <v>2.1078965818547446</v>
      </c>
      <c r="H56" s="400">
        <v>5.7365937484647773</v>
      </c>
    </row>
    <row r="57" spans="2:13" ht="13.8" thickBot="1">
      <c r="B57" s="404">
        <v>7.4488472692942302</v>
      </c>
      <c r="C57" s="401">
        <v>0.77393668016287898</v>
      </c>
      <c r="D57" s="401">
        <v>0.1064620081925869</v>
      </c>
      <c r="E57" s="401">
        <v>7.2696043715693248</v>
      </c>
      <c r="F57" s="401" t="s">
        <v>293</v>
      </c>
      <c r="G57" s="401">
        <v>0.55370323670750698</v>
      </c>
      <c r="H57" s="401">
        <v>0.99417012361825097</v>
      </c>
    </row>
    <row r="58" spans="2:13">
      <c r="B58" s="407" t="s">
        <v>303</v>
      </c>
    </row>
    <row r="61" spans="2:13">
      <c r="B61" s="6" t="s">
        <v>304</v>
      </c>
    </row>
    <row r="62" spans="2:13" ht="13.8" thickBot="1"/>
    <row r="63" spans="2:13">
      <c r="B63" s="397" t="s">
        <v>38</v>
      </c>
      <c r="C63" s="397" t="s">
        <v>330</v>
      </c>
      <c r="D63" s="397">
        <v>7.4488472692942302</v>
      </c>
      <c r="E63" s="397">
        <v>10.286860848801201</v>
      </c>
      <c r="F63" s="397" t="s">
        <v>331</v>
      </c>
      <c r="G63" s="397" t="s">
        <v>210</v>
      </c>
      <c r="H63" s="397" t="s">
        <v>332</v>
      </c>
      <c r="I63" s="397" t="s">
        <v>333</v>
      </c>
      <c r="J63" s="397" t="s">
        <v>334</v>
      </c>
      <c r="K63" s="397" t="s">
        <v>335</v>
      </c>
      <c r="L63" s="397" t="s">
        <v>336</v>
      </c>
      <c r="M63" s="397" t="s">
        <v>337</v>
      </c>
    </row>
    <row r="64" spans="2:13">
      <c r="B64" s="403" t="s">
        <v>305</v>
      </c>
      <c r="C64" s="408">
        <v>1</v>
      </c>
      <c r="D64" s="400">
        <v>8.3339640077467898</v>
      </c>
      <c r="E64" s="400">
        <v>10.725877252815192</v>
      </c>
      <c r="F64" s="400">
        <v>10.372205601912233</v>
      </c>
      <c r="G64" s="400">
        <v>0.35367165090295849</v>
      </c>
      <c r="H64" s="400">
        <v>0.9806862873560438</v>
      </c>
      <c r="I64" s="400">
        <v>10.220537155907854</v>
      </c>
      <c r="J64" s="400">
        <v>10.523874047916612</v>
      </c>
      <c r="K64" s="400">
        <v>9.6109103835405492</v>
      </c>
      <c r="L64" s="400">
        <v>11.133500820283917</v>
      </c>
      <c r="M64" s="400">
        <v>2.1625469045829675E-2</v>
      </c>
    </row>
    <row r="65" spans="2:13">
      <c r="B65" s="403" t="s">
        <v>306</v>
      </c>
      <c r="C65" s="408">
        <v>1</v>
      </c>
      <c r="D65" s="400">
        <v>7.9208539438314238</v>
      </c>
      <c r="E65" s="400">
        <v>9.7165493001335186</v>
      </c>
      <c r="F65" s="400">
        <v>10.052484570503699</v>
      </c>
      <c r="G65" s="400">
        <v>-0.33593527037018056</v>
      </c>
      <c r="H65" s="400">
        <v>-0.93150557091537223</v>
      </c>
      <c r="I65" s="400">
        <v>9.890223070117214</v>
      </c>
      <c r="J65" s="400">
        <v>10.214746070890184</v>
      </c>
      <c r="K65" s="400">
        <v>9.2890083845555846</v>
      </c>
      <c r="L65" s="400">
        <v>10.815960756451814</v>
      </c>
      <c r="M65" s="400">
        <v>2.261242982594867E-2</v>
      </c>
    </row>
    <row r="66" spans="2:13">
      <c r="B66" s="403" t="s">
        <v>307</v>
      </c>
      <c r="C66" s="408">
        <v>1</v>
      </c>
      <c r="D66" s="400">
        <v>7.0318197718057061</v>
      </c>
      <c r="E66" s="400">
        <v>9.6021026389355413</v>
      </c>
      <c r="F66" s="400">
        <v>9.3644284148547623</v>
      </c>
      <c r="G66" s="400">
        <v>0.23767422408077898</v>
      </c>
      <c r="H66" s="400">
        <v>0.65904024769578939</v>
      </c>
      <c r="I66" s="400">
        <v>9.0650379359229483</v>
      </c>
      <c r="J66" s="400">
        <v>9.6638188937865763</v>
      </c>
      <c r="K66" s="400">
        <v>8.5605616654010799</v>
      </c>
      <c r="L66" s="400">
        <v>10.168295164308445</v>
      </c>
      <c r="M66" s="400">
        <v>4.9691177976587599E-2</v>
      </c>
    </row>
    <row r="67" spans="2:13">
      <c r="B67" s="403" t="s">
        <v>308</v>
      </c>
      <c r="C67" s="408">
        <v>1</v>
      </c>
      <c r="D67" s="400">
        <v>8.137296461638476</v>
      </c>
      <c r="E67" s="400">
        <v>10.297824903410435</v>
      </c>
      <c r="F67" s="400">
        <v>10.219997374181384</v>
      </c>
      <c r="G67" s="400">
        <v>7.7827529229050896E-2</v>
      </c>
      <c r="H67" s="400">
        <v>0.21580579189483709</v>
      </c>
      <c r="I67" s="400">
        <v>10.069924607988007</v>
      </c>
      <c r="J67" s="400">
        <v>10.370070140374761</v>
      </c>
      <c r="K67" s="400">
        <v>9.4590184473015793</v>
      </c>
      <c r="L67" s="400">
        <v>10.980976301061188</v>
      </c>
      <c r="M67" s="400">
        <v>1.0234376090447212E-3</v>
      </c>
    </row>
    <row r="68" spans="2:13">
      <c r="B68" s="403" t="s">
        <v>309</v>
      </c>
      <c r="C68" s="408">
        <v>1</v>
      </c>
      <c r="D68" s="400">
        <v>8.0674888933612454</v>
      </c>
      <c r="E68" s="400">
        <v>9.5244400585853572</v>
      </c>
      <c r="F68" s="400">
        <v>10.165970736538661</v>
      </c>
      <c r="G68" s="400">
        <v>-0.64153067795330365</v>
      </c>
      <c r="H68" s="400">
        <v>-1.7788825798739745</v>
      </c>
      <c r="I68" s="400">
        <v>10.01348080411085</v>
      </c>
      <c r="J68" s="400">
        <v>10.318460668966472</v>
      </c>
      <c r="K68" s="400">
        <v>9.4045114326398611</v>
      </c>
      <c r="L68" s="400">
        <v>10.927430040437461</v>
      </c>
      <c r="M68" s="400">
        <v>7.1994382413574864E-2</v>
      </c>
    </row>
    <row r="69" spans="2:13">
      <c r="B69" s="403" t="s">
        <v>310</v>
      </c>
      <c r="C69" s="408">
        <v>1</v>
      </c>
      <c r="D69" s="400">
        <v>7.0344709337083833</v>
      </c>
      <c r="E69" s="400">
        <v>9.4064781293538378</v>
      </c>
      <c r="F69" s="400">
        <v>9.3664802462962946</v>
      </c>
      <c r="G69" s="400">
        <v>3.9997883057543149E-2</v>
      </c>
      <c r="H69" s="400">
        <v>0.11090901783564208</v>
      </c>
      <c r="I69" s="400">
        <v>9.0675958245912316</v>
      </c>
      <c r="J69" s="400">
        <v>9.6653646680013576</v>
      </c>
      <c r="K69" s="400">
        <v>8.5628018345293881</v>
      </c>
      <c r="L69" s="400">
        <v>10.170158658063201</v>
      </c>
      <c r="M69" s="400">
        <v>1.4007373513891829E-3</v>
      </c>
    </row>
    <row r="70" spans="2:13">
      <c r="B70" s="403" t="s">
        <v>311</v>
      </c>
      <c r="C70" s="408">
        <v>1</v>
      </c>
      <c r="D70" s="400">
        <v>7.3256315010300197</v>
      </c>
      <c r="E70" s="400">
        <v>9.3149219084753181</v>
      </c>
      <c r="F70" s="400">
        <v>9.5918200891635426</v>
      </c>
      <c r="G70" s="400">
        <v>-0.27689818068822447</v>
      </c>
      <c r="H70" s="400">
        <v>-0.76780326639461705</v>
      </c>
      <c r="I70" s="400">
        <v>9.3464005583767094</v>
      </c>
      <c r="J70" s="400">
        <v>9.8372396199503758</v>
      </c>
      <c r="K70" s="400">
        <v>8.8064553088901736</v>
      </c>
      <c r="L70" s="400">
        <v>10.377184869436912</v>
      </c>
      <c r="M70" s="400">
        <v>4.0110079632622413E-2</v>
      </c>
    </row>
    <row r="71" spans="2:13">
      <c r="B71" s="403" t="s">
        <v>312</v>
      </c>
      <c r="C71" s="408">
        <v>1</v>
      </c>
      <c r="D71" s="400">
        <v>7.0544782454746455</v>
      </c>
      <c r="E71" s="400">
        <v>9.0718764097379854</v>
      </c>
      <c r="F71" s="400">
        <v>9.3819646387436588</v>
      </c>
      <c r="G71" s="400">
        <v>-0.31008822900567345</v>
      </c>
      <c r="H71" s="400">
        <v>-0.85983502856297178</v>
      </c>
      <c r="I71" s="400">
        <v>9.0868899689577791</v>
      </c>
      <c r="J71" s="400">
        <v>9.6770393085295385</v>
      </c>
      <c r="K71" s="400">
        <v>8.5796952620680607</v>
      </c>
      <c r="L71" s="400">
        <v>10.184234015419257</v>
      </c>
      <c r="M71" s="400">
        <v>8.1266976953684206E-2</v>
      </c>
    </row>
    <row r="72" spans="2:13">
      <c r="B72" s="403" t="s">
        <v>313</v>
      </c>
      <c r="C72" s="408">
        <v>1</v>
      </c>
      <c r="D72" s="400">
        <v>7.6123227568174423</v>
      </c>
      <c r="E72" s="400">
        <v>10.289823313496736</v>
      </c>
      <c r="F72" s="400">
        <v>9.8137009678993863</v>
      </c>
      <c r="G72" s="400">
        <v>0.47612234559735001</v>
      </c>
      <c r="H72" s="400">
        <v>1.3202264140734679</v>
      </c>
      <c r="I72" s="400">
        <v>9.6146745589093872</v>
      </c>
      <c r="J72" s="400">
        <v>10.012727376889385</v>
      </c>
      <c r="K72" s="400">
        <v>9.0415749396645779</v>
      </c>
      <c r="L72" s="400">
        <v>10.585826996134195</v>
      </c>
      <c r="M72" s="400">
        <v>7.1895104992209413E-2</v>
      </c>
    </row>
    <row r="73" spans="2:13">
      <c r="B73" s="403" t="s">
        <v>314</v>
      </c>
      <c r="C73" s="408">
        <v>1</v>
      </c>
      <c r="D73" s="400">
        <v>7.441476431073812</v>
      </c>
      <c r="E73" s="400">
        <v>8.8515347430675373</v>
      </c>
      <c r="F73" s="400">
        <v>9.6814767297353352</v>
      </c>
      <c r="G73" s="400">
        <v>-0.82994198666779795</v>
      </c>
      <c r="H73" s="400">
        <v>-2.3013230592487739</v>
      </c>
      <c r="I73" s="400">
        <v>9.455779884459119</v>
      </c>
      <c r="J73" s="400">
        <v>9.9071735750115515</v>
      </c>
      <c r="K73" s="400">
        <v>8.9020499159998536</v>
      </c>
      <c r="L73" s="400">
        <v>10.460903543470817</v>
      </c>
      <c r="M73" s="400">
        <v>0.29365094858682639</v>
      </c>
    </row>
    <row r="74" spans="2:13">
      <c r="B74" s="403" t="s">
        <v>315</v>
      </c>
      <c r="C74" s="408">
        <v>1</v>
      </c>
      <c r="D74" s="400">
        <v>7.7482165633620141</v>
      </c>
      <c r="E74" s="400">
        <v>10.275244353074381</v>
      </c>
      <c r="F74" s="400">
        <v>9.9188741693911897</v>
      </c>
      <c r="G74" s="400">
        <v>0.3563701836831914</v>
      </c>
      <c r="H74" s="400">
        <v>0.98816897387275304</v>
      </c>
      <c r="I74" s="400">
        <v>9.7382552523611867</v>
      </c>
      <c r="J74" s="400">
        <v>10.099493086421193</v>
      </c>
      <c r="K74" s="400">
        <v>9.1512868550149697</v>
      </c>
      <c r="L74" s="400">
        <v>10.68646148376741</v>
      </c>
      <c r="M74" s="400">
        <v>3.22928852678162E-2</v>
      </c>
    </row>
    <row r="75" spans="2:13">
      <c r="B75" s="403" t="s">
        <v>316</v>
      </c>
      <c r="C75" s="408">
        <v>1</v>
      </c>
      <c r="D75" s="400">
        <v>8.0142885800603185</v>
      </c>
      <c r="E75" s="400">
        <v>10.136340880191563</v>
      </c>
      <c r="F75" s="400">
        <v>10.124797062678917</v>
      </c>
      <c r="G75" s="400">
        <v>1.154381751264566E-2</v>
      </c>
      <c r="H75" s="400">
        <v>3.2009530618744404E-2</v>
      </c>
      <c r="I75" s="400">
        <v>9.9694653480133475</v>
      </c>
      <c r="J75" s="400">
        <v>10.280128777344487</v>
      </c>
      <c r="K75" s="400">
        <v>9.3627635768115614</v>
      </c>
      <c r="L75" s="400">
        <v>10.886830548546273</v>
      </c>
      <c r="M75" s="400">
        <v>2.4267578873038185E-5</v>
      </c>
    </row>
    <row r="76" spans="2:13">
      <c r="B76" s="403" t="s">
        <v>317</v>
      </c>
      <c r="C76" s="408">
        <v>1</v>
      </c>
      <c r="D76" s="400">
        <v>8.1167899122756957</v>
      </c>
      <c r="E76" s="400">
        <v>10.750790077334518</v>
      </c>
      <c r="F76" s="400">
        <v>10.204126603445959</v>
      </c>
      <c r="G76" s="400">
        <v>0.54666347388855918</v>
      </c>
      <c r="H76" s="400">
        <v>1.5158279473972658</v>
      </c>
      <c r="I76" s="400">
        <v>10.05350244339653</v>
      </c>
      <c r="J76" s="400">
        <v>10.354750763495387</v>
      </c>
      <c r="K76" s="400">
        <v>9.4430387441335117</v>
      </c>
      <c r="L76" s="400">
        <v>10.965214462758405</v>
      </c>
      <c r="M76" s="400">
        <v>5.0896768433745979E-2</v>
      </c>
    </row>
    <row r="77" spans="2:13">
      <c r="B77" s="403" t="s">
        <v>318</v>
      </c>
      <c r="C77" s="408">
        <v>1</v>
      </c>
      <c r="D77" s="400">
        <v>8.5402114237869746</v>
      </c>
      <c r="E77" s="400">
        <v>10.509569182443961</v>
      </c>
      <c r="F77" s="400">
        <v>10.531828042374546</v>
      </c>
      <c r="G77" s="400">
        <v>-2.2258859930584407E-2</v>
      </c>
      <c r="H77" s="400">
        <v>-6.1720973819040841E-2</v>
      </c>
      <c r="I77" s="400">
        <v>10.365879731909608</v>
      </c>
      <c r="J77" s="400">
        <v>10.697776352839483</v>
      </c>
      <c r="K77" s="400">
        <v>9.7675598082130204</v>
      </c>
      <c r="L77" s="400">
        <v>11.296096276536071</v>
      </c>
      <c r="M77" s="400">
        <v>1.0431361833947041E-4</v>
      </c>
    </row>
    <row r="78" spans="2:13">
      <c r="B78" s="403" t="s">
        <v>319</v>
      </c>
      <c r="C78" s="408">
        <v>1</v>
      </c>
      <c r="D78" s="400">
        <v>8.5428184657409094</v>
      </c>
      <c r="E78" s="400">
        <v>10.722295417865729</v>
      </c>
      <c r="F78" s="400">
        <v>10.533845727769419</v>
      </c>
      <c r="G78" s="400">
        <v>0.1884496900963093</v>
      </c>
      <c r="H78" s="400">
        <v>0.52254690604177501</v>
      </c>
      <c r="I78" s="400">
        <v>10.367645301176838</v>
      </c>
      <c r="J78" s="400">
        <v>10.700046154362001</v>
      </c>
      <c r="K78" s="400">
        <v>9.7695227111058074</v>
      </c>
      <c r="L78" s="400">
        <v>11.298168744433031</v>
      </c>
      <c r="M78" s="400">
        <v>7.5020875869580622E-3</v>
      </c>
    </row>
    <row r="79" spans="2:13">
      <c r="B79" s="403" t="s">
        <v>320</v>
      </c>
      <c r="C79" s="408">
        <v>1</v>
      </c>
      <c r="D79" s="400">
        <v>8.9040168391425318</v>
      </c>
      <c r="E79" s="400">
        <v>11.004120163228457</v>
      </c>
      <c r="F79" s="400">
        <v>10.813390397760102</v>
      </c>
      <c r="G79" s="400">
        <v>0.19072976546835463</v>
      </c>
      <c r="H79" s="400">
        <v>0.52886926364604758</v>
      </c>
      <c r="I79" s="400">
        <v>10.599853320583481</v>
      </c>
      <c r="J79" s="400">
        <v>11.026927474936723</v>
      </c>
      <c r="K79" s="400">
        <v>10.037397372449087</v>
      </c>
      <c r="L79" s="400">
        <v>11.589383423071117</v>
      </c>
      <c r="M79" s="400">
        <v>1.3593824290246194E-2</v>
      </c>
    </row>
    <row r="80" spans="2:13">
      <c r="B80" s="403" t="s">
        <v>321</v>
      </c>
      <c r="C80" s="408">
        <v>1</v>
      </c>
      <c r="D80" s="400">
        <v>8.7280159474840087</v>
      </c>
      <c r="E80" s="400">
        <v>10.815852875061397</v>
      </c>
      <c r="F80" s="400">
        <v>10.6771768519642</v>
      </c>
      <c r="G80" s="400">
        <v>0.13867602309719729</v>
      </c>
      <c r="H80" s="400">
        <v>0.3845308887194705</v>
      </c>
      <c r="I80" s="400">
        <v>10.489405105842216</v>
      </c>
      <c r="J80" s="400">
        <v>10.864948598086183</v>
      </c>
      <c r="K80" s="400">
        <v>9.907875012213438</v>
      </c>
      <c r="L80" s="400">
        <v>11.446478691714962</v>
      </c>
      <c r="M80" s="400">
        <v>5.3385125002831726E-3</v>
      </c>
    </row>
    <row r="81" spans="2:13">
      <c r="B81" s="403" t="s">
        <v>322</v>
      </c>
      <c r="C81" s="408">
        <v>1</v>
      </c>
      <c r="D81" s="400">
        <v>9.1310467208944601</v>
      </c>
      <c r="E81" s="400">
        <v>10.803922512200318</v>
      </c>
      <c r="F81" s="400">
        <v>10.989097150740962</v>
      </c>
      <c r="G81" s="400">
        <v>-0.18517463854064431</v>
      </c>
      <c r="H81" s="400">
        <v>-0.51346560664112928</v>
      </c>
      <c r="I81" s="400">
        <v>10.737355539792066</v>
      </c>
      <c r="J81" s="400">
        <v>11.240838761689858</v>
      </c>
      <c r="K81" s="400">
        <v>10.201733873285534</v>
      </c>
      <c r="L81" s="400">
        <v>11.77646042819639</v>
      </c>
      <c r="M81" s="400">
        <v>1.9115515130594944E-2</v>
      </c>
    </row>
    <row r="82" spans="2:13">
      <c r="B82" s="403" t="s">
        <v>323</v>
      </c>
      <c r="C82" s="408">
        <v>1</v>
      </c>
      <c r="D82" s="400">
        <v>8.3530039854300533</v>
      </c>
      <c r="E82" s="400">
        <v>10.864168522131981</v>
      </c>
      <c r="F82" s="400">
        <v>10.386941339030793</v>
      </c>
      <c r="G82" s="400">
        <v>0.4772271831011885</v>
      </c>
      <c r="H82" s="400">
        <v>1.3232899872691262</v>
      </c>
      <c r="I82" s="400">
        <v>10.234464667475232</v>
      </c>
      <c r="J82" s="400">
        <v>10.539418010586354</v>
      </c>
      <c r="K82" s="400">
        <v>9.6254846906450364</v>
      </c>
      <c r="L82" s="400">
        <v>11.14839798741655</v>
      </c>
      <c r="M82" s="400">
        <v>3.9831987293685582E-2</v>
      </c>
    </row>
    <row r="83" spans="2:13">
      <c r="B83" s="403" t="s">
        <v>324</v>
      </c>
      <c r="C83" s="408">
        <v>1</v>
      </c>
      <c r="D83" s="400">
        <v>9.1791120316712416</v>
      </c>
      <c r="E83" s="400">
        <v>10.708056717042606</v>
      </c>
      <c r="F83" s="400">
        <v>11.026296657794541</v>
      </c>
      <c r="G83" s="400">
        <v>-0.31823994075193518</v>
      </c>
      <c r="H83" s="400">
        <v>-0.88243868341521647</v>
      </c>
      <c r="I83" s="400">
        <v>10.765953543354238</v>
      </c>
      <c r="J83" s="400">
        <v>11.286639772234844</v>
      </c>
      <c r="K83" s="400">
        <v>10.236141211544448</v>
      </c>
      <c r="L83" s="400">
        <v>11.816452104044634</v>
      </c>
      <c r="M83" s="400">
        <v>6.1476161137962941E-2</v>
      </c>
    </row>
    <row r="84" spans="2:13">
      <c r="B84" s="403" t="s">
        <v>325</v>
      </c>
      <c r="C84" s="408">
        <v>1</v>
      </c>
      <c r="D84" s="400">
        <v>9.1345342790197055</v>
      </c>
      <c r="E84" s="400">
        <v>10.994477680867268</v>
      </c>
      <c r="F84" s="400">
        <v>10.991796299898288</v>
      </c>
      <c r="G84" s="400">
        <v>2.6813809689798518E-3</v>
      </c>
      <c r="H84" s="400">
        <v>7.4351267366630095E-3</v>
      </c>
      <c r="I84" s="400">
        <v>10.739435650367298</v>
      </c>
      <c r="J84" s="400">
        <v>11.244156949429279</v>
      </c>
      <c r="K84" s="400">
        <v>10.204234880430631</v>
      </c>
      <c r="L84" s="400">
        <v>11.779357719365946</v>
      </c>
      <c r="M84" s="400">
        <v>4.0329520382554127E-6</v>
      </c>
    </row>
    <row r="85" spans="2:13">
      <c r="B85" s="403" t="s">
        <v>326</v>
      </c>
      <c r="C85" s="408">
        <v>1</v>
      </c>
      <c r="D85" s="400">
        <v>8.6164021903793095</v>
      </c>
      <c r="E85" s="400">
        <v>10.605659612459453</v>
      </c>
      <c r="F85" s="400">
        <v>10.590794871330083</v>
      </c>
      <c r="G85" s="400">
        <v>1.4864741129370529E-2</v>
      </c>
      <c r="H85" s="400">
        <v>4.1218027381101231E-2</v>
      </c>
      <c r="I85" s="400">
        <v>10.416846402971327</v>
      </c>
      <c r="J85" s="400">
        <v>10.764743339688838</v>
      </c>
      <c r="K85" s="400">
        <v>9.8247497279824056</v>
      </c>
      <c r="L85" s="400">
        <v>11.356840014677759</v>
      </c>
      <c r="M85" s="400">
        <v>5.1644196358009878E-5</v>
      </c>
    </row>
    <row r="86" spans="2:13">
      <c r="B86" s="403" t="s">
        <v>327</v>
      </c>
      <c r="C86" s="408">
        <v>1</v>
      </c>
      <c r="D86" s="400">
        <v>8.5165609549320731</v>
      </c>
      <c r="E86" s="400">
        <v>10.540930529216613</v>
      </c>
      <c r="F86" s="400">
        <v>10.513524077024687</v>
      </c>
      <c r="G86" s="400">
        <v>2.7406452191925723E-2</v>
      </c>
      <c r="H86" s="400">
        <v>7.5994589278616978E-2</v>
      </c>
      <c r="I86" s="400">
        <v>10.34978864378389</v>
      </c>
      <c r="J86" s="400">
        <v>10.677259510265484</v>
      </c>
      <c r="K86" s="400">
        <v>9.7497332783757642</v>
      </c>
      <c r="L86" s="400">
        <v>11.277314875673611</v>
      </c>
      <c r="M86" s="400">
        <v>1.5352655328358599E-4</v>
      </c>
    </row>
    <row r="87" spans="2:13">
      <c r="B87" s="403" t="s">
        <v>328</v>
      </c>
      <c r="C87" s="408">
        <v>1</v>
      </c>
      <c r="D87" s="400">
        <v>8.4156237872522635</v>
      </c>
      <c r="E87" s="400">
        <v>10.701877606168955</v>
      </c>
      <c r="F87" s="400">
        <v>10.435405100565532</v>
      </c>
      <c r="G87" s="400">
        <v>0.2664725056034225</v>
      </c>
      <c r="H87" s="400">
        <v>0.73889420182684984</v>
      </c>
      <c r="I87" s="400">
        <v>10.279502517274931</v>
      </c>
      <c r="J87" s="400">
        <v>10.591307683856133</v>
      </c>
      <c r="K87" s="400">
        <v>9.6732550448160826</v>
      </c>
      <c r="L87" s="400">
        <v>11.197555156314982</v>
      </c>
      <c r="M87" s="400">
        <v>1.3034926903320523E-2</v>
      </c>
    </row>
    <row r="88" spans="2:13" ht="13.8" thickBot="1">
      <c r="B88" s="404" t="s">
        <v>329</v>
      </c>
      <c r="C88" s="409">
        <v>1</v>
      </c>
      <c r="D88" s="401">
        <v>9.3593667428840597</v>
      </c>
      <c r="E88" s="401">
        <v>10.679491324869399</v>
      </c>
      <c r="F88" s="401">
        <v>11.165802390574308</v>
      </c>
      <c r="G88" s="401">
        <v>-0.48631106570490878</v>
      </c>
      <c r="H88" s="401">
        <v>-1.3484784327730979</v>
      </c>
      <c r="I88" s="401">
        <v>10.872045309255663</v>
      </c>
      <c r="J88" s="401">
        <v>11.459559471892954</v>
      </c>
      <c r="K88" s="401">
        <v>10.364016686768698</v>
      </c>
      <c r="L88" s="401">
        <v>11.967588094379918</v>
      </c>
      <c r="M88" s="401">
        <v>0.19744699652670791</v>
      </c>
    </row>
    <row r="89" spans="2:13">
      <c r="B89" s="410" t="s">
        <v>338</v>
      </c>
      <c r="E89" s="411">
        <v>2.7828465768975885</v>
      </c>
    </row>
  </sheetData>
  <phoneticPr fontId="52"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31</vt:i4>
      </vt:variant>
    </vt:vector>
  </HeadingPairs>
  <TitlesOfParts>
    <vt:vector size="55" baseType="lpstr">
      <vt:lpstr>Read_Me</vt:lpstr>
      <vt:lpstr>Harvests</vt:lpstr>
      <vt:lpstr>Escapements</vt:lpstr>
      <vt:lpstr>Total_Run_Size</vt:lpstr>
      <vt:lpstr>Mean run forecasts</vt:lpstr>
      <vt:lpstr>Exploitation rates</vt:lpstr>
      <vt:lpstr>Sibling Forecast Sumry</vt:lpstr>
      <vt:lpstr>Brood_Forecasts</vt:lpstr>
      <vt:lpstr>Ricker</vt:lpstr>
      <vt:lpstr>UCRPercentage</vt:lpstr>
      <vt:lpstr>UCRNumber</vt:lpstr>
      <vt:lpstr>CCPercentage</vt:lpstr>
      <vt:lpstr>CCNumber</vt:lpstr>
      <vt:lpstr>Major Age Brood</vt:lpstr>
      <vt:lpstr>FBrood</vt:lpstr>
      <vt:lpstr>RunXAge</vt:lpstr>
      <vt:lpstr>Brood_Tab</vt:lpstr>
      <vt:lpstr>Ln1.3=ln1.2</vt:lpstr>
      <vt:lpstr>Ln1.3=ln1.2 (2)</vt:lpstr>
      <vt:lpstr>Ln1.4=Ln1.3</vt:lpstr>
      <vt:lpstr>RegOut</vt:lpstr>
      <vt:lpstr>ttab</vt:lpstr>
      <vt:lpstr>Sheet2</vt:lpstr>
      <vt:lpstr>Linear Regression</vt:lpstr>
      <vt:lpstr>a_parameter_even</vt:lpstr>
      <vt:lpstr>AllYrs</vt:lpstr>
      <vt:lpstr>b_parameter_even</vt:lpstr>
      <vt:lpstr>c_even</vt:lpstr>
      <vt:lpstr>d_even</vt:lpstr>
      <vt:lpstr>FcastYR</vt:lpstr>
      <vt:lpstr>FirstYR</vt:lpstr>
      <vt:lpstr>ForBrood</vt:lpstr>
      <vt:lpstr>MainRegion</vt:lpstr>
      <vt:lpstr>minus_a_over_b_even</vt:lpstr>
      <vt:lpstr>MSEAll</vt:lpstr>
      <vt:lpstr>MSEcalcAll</vt:lpstr>
      <vt:lpstr>MSEcalcL1O</vt:lpstr>
      <vt:lpstr>MSEL1O</vt:lpstr>
      <vt:lpstr>Partone</vt:lpstr>
      <vt:lpstr>Parttwo</vt:lpstr>
      <vt:lpstr>Brood_Tab!Print_Area</vt:lpstr>
      <vt:lpstr>'Mean run forecasts'!Print_Area</vt:lpstr>
      <vt:lpstr>RunXAge!Print_Area</vt:lpstr>
      <vt:lpstr>Rout</vt:lpstr>
      <vt:lpstr>Rslts2All</vt:lpstr>
      <vt:lpstr>Rslts2L1O</vt:lpstr>
      <vt:lpstr>RsltsAll</vt:lpstr>
      <vt:lpstr>RsltsL1O</vt:lpstr>
      <vt:lpstr>tval</vt:lpstr>
      <vt:lpstr>XRangeAll</vt:lpstr>
      <vt:lpstr>XRangeL1O</vt:lpstr>
      <vt:lpstr>YestAll</vt:lpstr>
      <vt:lpstr>YestL1O</vt:lpstr>
      <vt:lpstr>YRangeAll</vt:lpstr>
      <vt:lpstr>YRangeL1O</vt:lpstr>
    </vt:vector>
  </TitlesOfParts>
  <Company>Alaska Dept. Fish and Game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 chinook forecast from Sibling models</dc:title>
  <dc:subject>chinook forecast</dc:subject>
  <dc:creator>Steven D. Moffitt</dc:creator>
  <cp:lastModifiedBy>Brenner, Richard E (DFG)</cp:lastModifiedBy>
  <cp:lastPrinted>2010-06-19T18:50:56Z</cp:lastPrinted>
  <dcterms:created xsi:type="dcterms:W3CDTF">1999-10-12T21:48:33Z</dcterms:created>
  <dcterms:modified xsi:type="dcterms:W3CDTF">2015-03-05T23:31:30Z</dcterms:modified>
</cp:coreProperties>
</file>