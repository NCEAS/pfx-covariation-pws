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2.xml" ContentType="application/vnd.openxmlformats-officedocument.drawing+xml"/>
  <Override PartName="/xl/comments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omments10.xml" ContentType="application/vnd.openxmlformats-officedocument.spreadsheetml.comments+xml"/>
  <Override PartName="/xl/drawings/drawing5.xml" ContentType="application/vnd.openxmlformats-officedocument.drawing+xml"/>
  <Override PartName="/xl/comments11.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omments12.xml" ContentType="application/vnd.openxmlformats-officedocument.spreadsheetml.comments+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omments13.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drawings/drawing8.xml" ContentType="application/vnd.openxmlformats-officedocument.drawing+xml"/>
  <Override PartName="/xl/comments14.xml" ContentType="application/vnd.openxmlformats-officedocument.spreadsheetml.comments+xml"/>
  <Override PartName="/xl/charts/chart15.xml" ContentType="application/vnd.openxmlformats-officedocument.drawingml.chart+xml"/>
  <Override PartName="/xl/charts/chart16.xml" ContentType="application/vnd.openxmlformats-officedocument.drawingml.chart+xml"/>
  <Override PartName="/xl/drawings/drawing9.xml" ContentType="application/vnd.openxmlformats-officedocument.drawing+xml"/>
  <Override PartName="/xl/comments15.xml" ContentType="application/vnd.openxmlformats-officedocument.spreadsheetml.comments+xml"/>
  <Override PartName="/xl/charts/chart17.xml" ContentType="application/vnd.openxmlformats-officedocument.drawingml.chart+xml"/>
  <Override PartName="/xl/charts/chart18.xml" ContentType="application/vnd.openxmlformats-officedocument.drawingml.chart+xml"/>
  <Override PartName="/xl/drawings/drawing10.xml" ContentType="application/vnd.openxmlformats-officedocument.drawing+xml"/>
  <Override PartName="/xl/comments16.xml" ContentType="application/vnd.openxmlformats-officedocument.spreadsheetml.comments+xml"/>
  <Override PartName="/xl/charts/chart19.xml" ContentType="application/vnd.openxmlformats-officedocument.drawingml.chart+xml"/>
  <Override PartName="/xl/charts/chart20.xml" ContentType="application/vnd.openxmlformats-officedocument.drawingml.chart+xml"/>
  <Override PartName="/xl/drawings/drawing11.xml" ContentType="application/vnd.openxmlformats-officedocument.drawing+xml"/>
  <Override PartName="/xl/comments17.xml" ContentType="application/vnd.openxmlformats-officedocument.spreadsheetml.comments+xml"/>
  <Override PartName="/xl/charts/chart21.xml" ContentType="application/vnd.openxmlformats-officedocument.drawingml.chart+xml"/>
  <Override PartName="/xl/charts/chart22.xml" ContentType="application/vnd.openxmlformats-officedocument.drawingml.chart+xml"/>
  <Override PartName="/xl/drawings/drawing12.xml" ContentType="application/vnd.openxmlformats-officedocument.drawing+xml"/>
  <Override PartName="/xl/comments18.xml" ContentType="application/vnd.openxmlformats-officedocument.spreadsheetml.comments+xml"/>
  <Override PartName="/xl/charts/chart23.xml" ContentType="application/vnd.openxmlformats-officedocument.drawingml.chart+xml"/>
  <Override PartName="/xl/drawings/drawing13.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codeName="ThisWorkbook" autoCompressPictures="0"/>
  <bookViews>
    <workbookView xWindow="220" yWindow="0" windowWidth="29660" windowHeight="17800" tabRatio="822" activeTab="1"/>
  </bookViews>
  <sheets>
    <sheet name="Read_Me" sheetId="16" r:id="rId1"/>
    <sheet name="Database" sheetId="25" r:id="rId2"/>
    <sheet name="Forecasts_Sum_Even" sheetId="35" state="hidden" r:id="rId3"/>
    <sheet name="Forecasts_Sum_Odd" sheetId="29" state="hidden" r:id="rId4"/>
    <sheet name="Performance 2-Yr average" sheetId="31" state="hidden" r:id="rId5"/>
    <sheet name="Performance Even" sheetId="36" state="hidden" r:id="rId6"/>
    <sheet name="Performance Odd" sheetId="32" state="hidden" r:id="rId7"/>
    <sheet name="Performance" sheetId="28" r:id="rId8"/>
    <sheet name="Lag1_Exp_smooth_Total Run Odd" sheetId="30" r:id="rId9"/>
    <sheet name="EvenRPS" sheetId="33" state="hidden" r:id="rId10"/>
    <sheet name="OddRPS" sheetId="15" r:id="rId11"/>
    <sheet name="Odd_Even" sheetId="14" state="hidden" r:id="rId12"/>
    <sheet name="Lag1_Exp_smooth_Total Run Even" sheetId="34" state="hidden" r:id="rId13"/>
    <sheet name="Evaluation_TOTAL_ODD_EVEN" sheetId="17" state="hidden" r:id="rId14"/>
    <sheet name="Exp_smoothing_w_damping_Total R" sheetId="21" r:id="rId15"/>
    <sheet name="Exp_smoothing damp_Tot odd" sheetId="26" r:id="rId16"/>
    <sheet name="Exp_smoothing damp_Tot_even" sheetId="24" state="hidden" r:id="rId17"/>
    <sheet name="Lag1_Exp_smoothing_Harvest" sheetId="27" state="hidden" r:id="rId18"/>
    <sheet name="Sensitivity Report 1" sheetId="37" state="hidden" r:id="rId19"/>
    <sheet name="Lag1_Exp_smoothing_Total Run" sheetId="22" r:id="rId20"/>
    <sheet name="MainData" sheetId="2" state="hidden" r:id="rId21"/>
    <sheet name="graphs" sheetId="12" state="hidden" r:id="rId22"/>
    <sheet name="Odd" sheetId="4" state="hidden" r:id="rId23"/>
    <sheet name="Even" sheetId="5" state="hidden" r:id="rId24"/>
    <sheet name="FryExclude89" sheetId="6" state="hidden" r:id="rId25"/>
    <sheet name="FryInclude89" sheetId="7" state="hidden" r:id="rId26"/>
    <sheet name="RegOut" sheetId="13" state="hidden" r:id="rId27"/>
    <sheet name="tval" sheetId="9" state="hidden" r:id="rId28"/>
    <sheet name="Storage" sheetId="11" state="hidden" r:id="rId29"/>
  </sheets>
  <definedNames>
    <definedName name="__123Graph_ABYE_TRN" hidden="1">MainData!$E$8:$E$38</definedName>
    <definedName name="__123Graph_LBL_ABYE_TRN" hidden="1">MainData!$A$8:$A$38</definedName>
    <definedName name="_1__123Graph_ACHART_1" hidden="1">Even!$Z$13:$Z$32</definedName>
    <definedName name="_10__123Graph_BCHART_3" localSheetId="12" hidden="1">MainData!#REF!</definedName>
    <definedName name="_11__123Graph_BCHART_3" localSheetId="8" hidden="1">MainData!#REF!</definedName>
    <definedName name="_12__123Graph_BCHART_3" localSheetId="17" hidden="1">MainData!#REF!</definedName>
    <definedName name="_13__123Graph_BCHART_3" localSheetId="4" hidden="1">MainData!#REF!</definedName>
    <definedName name="_14__123Graph_BCHART_3" localSheetId="5" hidden="1">MainData!#REF!</definedName>
    <definedName name="_15__123Graph_BCHART_3" localSheetId="6" hidden="1">MainData!#REF!</definedName>
    <definedName name="_16__123Graph_BCHART_3" hidden="1">MainData!#REF!</definedName>
    <definedName name="_17__123Graph_BCHART_7" hidden="1">Odd!$AB$13:$AB$33</definedName>
    <definedName name="_18__123Graph_BCHART_9" hidden="1">Odd!$C$13:$C$28</definedName>
    <definedName name="_19__123Graph_CCHART_1" hidden="1">Even!$AB$13:$AB$32</definedName>
    <definedName name="_2__123Graph_ACHART_10" hidden="1">Even!$D$13:$D$30</definedName>
    <definedName name="_20__123Graph_CCHART_11" hidden="1">Even!$D$14:$D$30</definedName>
    <definedName name="_21__123Graph_CCHART_3" localSheetId="9" hidden="1">MainData!#REF!</definedName>
    <definedName name="_22__123Graph_CCHART_3" localSheetId="15" hidden="1">MainData!#REF!</definedName>
    <definedName name="_23__123Graph_CCHART_3" localSheetId="2" hidden="1">MainData!#REF!</definedName>
    <definedName name="_24__123Graph_CCHART_3" localSheetId="12" hidden="1">MainData!#REF!</definedName>
    <definedName name="_25__123Graph_CCHART_3" localSheetId="8" hidden="1">MainData!#REF!</definedName>
    <definedName name="_26__123Graph_CCHART_3" localSheetId="17" hidden="1">MainData!#REF!</definedName>
    <definedName name="_27__123Graph_CCHART_3" localSheetId="4" hidden="1">MainData!#REF!</definedName>
    <definedName name="_28__123Graph_CCHART_3" localSheetId="5" hidden="1">MainData!#REF!</definedName>
    <definedName name="_29__123Graph_CCHART_3" localSheetId="6" hidden="1">MainData!#REF!</definedName>
    <definedName name="_3__123Graph_ACHART_7" hidden="1">Odd!$AA$13:$AA$33</definedName>
    <definedName name="_30__123Graph_CCHART_3" hidden="1">MainData!#REF!</definedName>
    <definedName name="_31__123Graph_CCHART_7" hidden="1">Odd!$AD$13:$AD$33</definedName>
    <definedName name="_32__123Graph_CCHART_9" hidden="1">Odd!$D$13:$D$28</definedName>
    <definedName name="_33__123Graph_DCHART_1" hidden="1">Even!$AC$13:$AC$32</definedName>
    <definedName name="_34__123Graph_DCHART_3" localSheetId="9" hidden="1">MainData!#REF!</definedName>
    <definedName name="_35__123Graph_DCHART_3" localSheetId="15" hidden="1">MainData!#REF!</definedName>
    <definedName name="_36__123Graph_DCHART_3" localSheetId="2" hidden="1">MainData!#REF!</definedName>
    <definedName name="_37__123Graph_DCHART_3" localSheetId="12" hidden="1">MainData!#REF!</definedName>
    <definedName name="_38__123Graph_DCHART_3" localSheetId="8" hidden="1">MainData!#REF!</definedName>
    <definedName name="_39__123Graph_DCHART_3" localSheetId="17" hidden="1">MainData!#REF!</definedName>
    <definedName name="_4__123Graph_ACHART_8" hidden="1">Odd!$D$13:$D$33</definedName>
    <definedName name="_40__123Graph_DCHART_3" localSheetId="4" hidden="1">MainData!#REF!</definedName>
    <definedName name="_41__123Graph_DCHART_3" localSheetId="5" hidden="1">MainData!#REF!</definedName>
    <definedName name="_42__123Graph_DCHART_3" localSheetId="6" hidden="1">MainData!#REF!</definedName>
    <definedName name="_43__123Graph_DCHART_3" hidden="1">MainData!#REF!</definedName>
    <definedName name="_44__123Graph_DCHART_7" hidden="1">Odd!$AE$13:$AE$33</definedName>
    <definedName name="_45__123Graph_ECHART_1" hidden="1">Even!$AD$13:$AD$32</definedName>
    <definedName name="_46__123Graph_ECHART_3" localSheetId="9" hidden="1">MainData!#REF!</definedName>
    <definedName name="_47__123Graph_ECHART_3" localSheetId="15" hidden="1">MainData!#REF!</definedName>
    <definedName name="_48__123Graph_ECHART_3" localSheetId="2" hidden="1">MainData!#REF!</definedName>
    <definedName name="_49__123Graph_ECHART_3" localSheetId="12" hidden="1">MainData!#REF!</definedName>
    <definedName name="_5__123Graph_BCHART_1" hidden="1">Even!$AA$13:$AA$32</definedName>
    <definedName name="_50__123Graph_ECHART_3" localSheetId="8" hidden="1">MainData!#REF!</definedName>
    <definedName name="_51__123Graph_ECHART_3" localSheetId="17" hidden="1">MainData!#REF!</definedName>
    <definedName name="_52__123Graph_ECHART_3" localSheetId="4" hidden="1">MainData!#REF!</definedName>
    <definedName name="_53__123Graph_ECHART_3" localSheetId="5" hidden="1">MainData!#REF!</definedName>
    <definedName name="_54__123Graph_ECHART_3" localSheetId="6" hidden="1">MainData!#REF!</definedName>
    <definedName name="_55__123Graph_ECHART_3" hidden="1">MainData!#REF!</definedName>
    <definedName name="_56__123Graph_ECHART_7" hidden="1">Odd!$AF$13:$AF$33</definedName>
    <definedName name="_57__123Graph_FCHART_3" localSheetId="9" hidden="1">MainData!#REF!</definedName>
    <definedName name="_58__123Graph_FCHART_3" localSheetId="15" hidden="1">MainData!#REF!</definedName>
    <definedName name="_59__123Graph_FCHART_3" localSheetId="2" hidden="1">MainData!#REF!</definedName>
    <definedName name="_6__123Graph_BCHART_11" hidden="1">Even!$C$14:$C$30</definedName>
    <definedName name="_60__123Graph_FCHART_3" localSheetId="12" hidden="1">MainData!#REF!</definedName>
    <definedName name="_61__123Graph_FCHART_3" localSheetId="8" hidden="1">MainData!#REF!</definedName>
    <definedName name="_62__123Graph_FCHART_3" localSheetId="17" hidden="1">MainData!#REF!</definedName>
    <definedName name="_63__123Graph_FCHART_3" localSheetId="4" hidden="1">MainData!#REF!</definedName>
    <definedName name="_64__123Graph_FCHART_3" localSheetId="5" hidden="1">MainData!#REF!</definedName>
    <definedName name="_65__123Graph_FCHART_3" localSheetId="6" hidden="1">MainData!#REF!</definedName>
    <definedName name="_66__123Graph_FCHART_3" hidden="1">MainData!#REF!</definedName>
    <definedName name="_67__123Graph_LBL_ACHART_10" hidden="1">Even!$A$14:$A$30</definedName>
    <definedName name="_68__123Graph_LBL_BCHART_1" hidden="1">Even!$AE$13:$AE$32</definedName>
    <definedName name="_69__123Graph_LBL_BCHART_7" hidden="1">Odd!$AC$13:$AC$33</definedName>
    <definedName name="_7__123Graph_BCHART_3" localSheetId="9" hidden="1">MainData!#REF!</definedName>
    <definedName name="_70__123Graph_XCHART_11" hidden="1">Even!$A$13:$A$30</definedName>
    <definedName name="_71__123Graph_XCHART_3" localSheetId="9" hidden="1">MainData!#REF!</definedName>
    <definedName name="_72__123Graph_XCHART_3" localSheetId="15" hidden="1">MainData!#REF!</definedName>
    <definedName name="_73__123Graph_XCHART_3" localSheetId="2" hidden="1">MainData!#REF!</definedName>
    <definedName name="_74__123Graph_XCHART_3" localSheetId="12" hidden="1">MainData!#REF!</definedName>
    <definedName name="_75__123Graph_XCHART_3" localSheetId="8" hidden="1">MainData!#REF!</definedName>
    <definedName name="_76__123Graph_XCHART_3" localSheetId="17" hidden="1">MainData!#REF!</definedName>
    <definedName name="_77__123Graph_XCHART_3" localSheetId="4" hidden="1">MainData!#REF!</definedName>
    <definedName name="_78__123Graph_XCHART_3" localSheetId="5" hidden="1">MainData!#REF!</definedName>
    <definedName name="_79__123Graph_XCHART_3" localSheetId="6" hidden="1">MainData!#REF!</definedName>
    <definedName name="_8__123Graph_BCHART_3" localSheetId="15" hidden="1">MainData!#REF!</definedName>
    <definedName name="_80__123Graph_XCHART_3" hidden="1">MainData!#REF!</definedName>
    <definedName name="_81__123Graph_XCHART_8" hidden="1">Odd!$C$13:$C$33</definedName>
    <definedName name="_82__123Graph_XCHART_9" hidden="1">Odd!$A$13:$A$28</definedName>
    <definedName name="_9__123Graph_BCHART_3" localSheetId="2" hidden="1">MainData!#REF!</definedName>
    <definedName name="_xlnm._FilterDatabase" localSheetId="13" hidden="1">Evaluation_TOTAL_ODD_EVEN!$AH$79:$AH$123</definedName>
    <definedName name="_Key1" hidden="1">Even!$B$12</definedName>
    <definedName name="_Order1" hidden="1">255</definedName>
    <definedName name="_Regression_X" hidden="1">Even!$C$13:$C$30</definedName>
    <definedName name="_Regression_Y" hidden="1">Even!$D$13:$D$30</definedName>
    <definedName name="AllYrs">Odd!$B$13:$B$31</definedName>
    <definedName name="FirstYR">Odd!$B$13</definedName>
    <definedName name="Forecast_Year">Read_Me!$D$12</definedName>
    <definedName name="ForecastYr">Read_Me!$D$12</definedName>
    <definedName name="Main">MainData!$A$8:$I$49</definedName>
    <definedName name="MainRegion">Odd!$A$13:$AE$31</definedName>
    <definedName name="MSEAll">Odd!$M$33</definedName>
    <definedName name="MSEcalcAll">Odd!$O$43</definedName>
    <definedName name="MSEcalcL1O">Odd!$O$42</definedName>
    <definedName name="MSEL1O">Odd!$M$31</definedName>
    <definedName name="PartOne">RegOut!$A$2:$E$2</definedName>
    <definedName name="PartTwo">RegOut!$G$2:$H$2</definedName>
    <definedName name="_xlnm.Print_Area" localSheetId="23">Even!$S$39:$AB$68</definedName>
    <definedName name="_xlnm.Print_Area" localSheetId="2">Forecasts_Sum_Even!$A$1:$O$28</definedName>
    <definedName name="_xlnm.Print_Area" localSheetId="3">Forecasts_Sum_Odd!$A$1:$O$28</definedName>
    <definedName name="_xlnm.Print_Area" localSheetId="12">'Lag1_Exp_smooth_Total Run Even'!$A$1:$E$46</definedName>
    <definedName name="_xlnm.Print_Area" localSheetId="8">'Lag1_Exp_smooth_Total Run Odd'!$A$1:$E$45</definedName>
    <definedName name="_xlnm.Print_Area" localSheetId="17">Lag1_Exp_smoothing_Harvest!$A$1:$E$68</definedName>
    <definedName name="_xlnm.Print_Area" localSheetId="19">'Lag1_Exp_smoothing_Total Run'!$A$1:$E$72</definedName>
    <definedName name="_xlnm.Print_Area" localSheetId="20">MainData!$A$1:$R$67</definedName>
    <definedName name="_xlnm.Print_Area" localSheetId="11">Odd_Even!$A$1:$H$75</definedName>
    <definedName name="recent10">MainData!$E$35:$E$44</definedName>
    <definedName name="ROut">RegOut!$A$5:$G$25</definedName>
    <definedName name="Rslts2All">Odd!$K$33</definedName>
    <definedName name="Rslts2L1O">Odd!$K$31</definedName>
    <definedName name="RsltsAll">Odd!$E$33</definedName>
    <definedName name="RsltsL1O">Odd!$E$31</definedName>
    <definedName name="solver_adj" localSheetId="15" hidden="1">'Exp_smoothing damp_Tot odd'!$J$4:$J$6</definedName>
    <definedName name="solver_adj" localSheetId="16" hidden="1">'Exp_smoothing damp_Tot_even'!$J$4:$J$6</definedName>
    <definedName name="solver_adj" localSheetId="14" hidden="1">'Exp_smoothing_w_damping_Total R'!$J$4:$J$6</definedName>
    <definedName name="solver_adj" localSheetId="12" hidden="1">'Lag1_Exp_smooth_Total Run Even'!$P$3</definedName>
    <definedName name="solver_adj" localSheetId="8" hidden="1">'Lag1_Exp_smooth_Total Run Odd'!$O$3</definedName>
    <definedName name="solver_adj" localSheetId="17" hidden="1">Lag1_Exp_smoothing_Harvest!$O$3</definedName>
    <definedName name="solver_adj" localSheetId="19" hidden="1">'Lag1_Exp_smoothing_Total Run'!$N$3</definedName>
    <definedName name="solver_cvg" localSheetId="15" hidden="1">0.0001</definedName>
    <definedName name="solver_cvg" localSheetId="16" hidden="1">0.0001</definedName>
    <definedName name="solver_cvg" localSheetId="14" hidden="1">0.0001</definedName>
    <definedName name="solver_cvg" localSheetId="12" hidden="1">0.0001</definedName>
    <definedName name="solver_cvg" localSheetId="8" hidden="1">0.0001</definedName>
    <definedName name="solver_cvg" localSheetId="17" hidden="1">0.0001</definedName>
    <definedName name="solver_cvg" localSheetId="19" hidden="1">0.0001</definedName>
    <definedName name="solver_drv" localSheetId="15" hidden="1">1</definedName>
    <definedName name="solver_drv" localSheetId="16" hidden="1">1</definedName>
    <definedName name="solver_drv" localSheetId="14" hidden="1">1</definedName>
    <definedName name="solver_drv" localSheetId="12" hidden="1">1</definedName>
    <definedName name="solver_drv" localSheetId="8" hidden="1">1</definedName>
    <definedName name="solver_drv" localSheetId="17" hidden="1">1</definedName>
    <definedName name="solver_drv" localSheetId="19" hidden="1">1</definedName>
    <definedName name="solver_eng" localSheetId="15" hidden="1">1</definedName>
    <definedName name="solver_eng" localSheetId="16" hidden="1">1</definedName>
    <definedName name="solver_eng" localSheetId="14" hidden="1">1</definedName>
    <definedName name="solver_eng" localSheetId="12" hidden="1">1</definedName>
    <definedName name="solver_eng" localSheetId="8" hidden="1">1</definedName>
    <definedName name="solver_eng" localSheetId="17" hidden="1">1</definedName>
    <definedName name="solver_eng" localSheetId="19" hidden="1">1</definedName>
    <definedName name="solver_est" localSheetId="15" hidden="1">1</definedName>
    <definedName name="solver_est" localSheetId="16" hidden="1">1</definedName>
    <definedName name="solver_est" localSheetId="14" hidden="1">1</definedName>
    <definedName name="solver_est" localSheetId="12" hidden="1">1</definedName>
    <definedName name="solver_est" localSheetId="8" hidden="1">1</definedName>
    <definedName name="solver_est" localSheetId="17" hidden="1">1</definedName>
    <definedName name="solver_est" localSheetId="19" hidden="1">1</definedName>
    <definedName name="solver_itr" localSheetId="15" hidden="1">100</definedName>
    <definedName name="solver_itr" localSheetId="16" hidden="1">100</definedName>
    <definedName name="solver_itr" localSheetId="14" hidden="1">100</definedName>
    <definedName name="solver_itr" localSheetId="12" hidden="1">100</definedName>
    <definedName name="solver_itr" localSheetId="8" hidden="1">100</definedName>
    <definedName name="solver_itr" localSheetId="17" hidden="1">100</definedName>
    <definedName name="solver_itr" localSheetId="19" hidden="1">100</definedName>
    <definedName name="solver_lhs1" localSheetId="15" hidden="1">'Exp_smoothing damp_Tot odd'!$J$4:$J$6</definedName>
    <definedName name="solver_lhs1" localSheetId="16" hidden="1">'Exp_smoothing damp_Tot_even'!$J$4:$J$6</definedName>
    <definedName name="solver_lhs1" localSheetId="14" hidden="1">'Exp_smoothing_w_damping_Total R'!$J$4:$J$6</definedName>
    <definedName name="solver_lhs1" localSheetId="12" hidden="1">'Lag1_Exp_smooth_Total Run Even'!$P$3</definedName>
    <definedName name="solver_lhs1" localSheetId="8" hidden="1">'Lag1_Exp_smooth_Total Run Odd'!$O$3</definedName>
    <definedName name="solver_lhs1" localSheetId="17" hidden="1">Lag1_Exp_smoothing_Harvest!$O$3</definedName>
    <definedName name="solver_lhs1" localSheetId="19" hidden="1">'Lag1_Exp_smoothing_Total Run'!$N$3</definedName>
    <definedName name="solver_lhs2" localSheetId="15" hidden="1">'Exp_smoothing damp_Tot odd'!$J$3</definedName>
    <definedName name="solver_lhs2" localSheetId="16" hidden="1">'Exp_smoothing damp_Tot_even'!$J$3</definedName>
    <definedName name="solver_lhs2" localSheetId="14" hidden="1">'Exp_smoothing_w_damping_Total R'!$J$3</definedName>
    <definedName name="solver_lhs2" localSheetId="12" hidden="1">'Lag1_Exp_smooth_Total Run Even'!$P$3</definedName>
    <definedName name="solver_lhs2" localSheetId="8" hidden="1">'Lag1_Exp_smooth_Total Run Odd'!$O$3</definedName>
    <definedName name="solver_lhs2" localSheetId="17" hidden="1">Lag1_Exp_smoothing_Harvest!$O$3</definedName>
    <definedName name="solver_lhs2" localSheetId="19" hidden="1">'Lag1_Exp_smoothing_Total Run'!$N$3</definedName>
    <definedName name="solver_lin" localSheetId="15" hidden="1">2</definedName>
    <definedName name="solver_lin" localSheetId="16" hidden="1">2</definedName>
    <definedName name="solver_lin" localSheetId="14" hidden="1">2</definedName>
    <definedName name="solver_lin" localSheetId="12" hidden="1">2</definedName>
    <definedName name="solver_lin" localSheetId="8" hidden="1">2</definedName>
    <definedName name="solver_lin" localSheetId="17" hidden="1">2</definedName>
    <definedName name="solver_lin" localSheetId="19" hidden="1">2</definedName>
    <definedName name="solver_mip" localSheetId="15" hidden="1">2147483647</definedName>
    <definedName name="solver_mip" localSheetId="16" hidden="1">2147483647</definedName>
    <definedName name="solver_mip" localSheetId="14" hidden="1">2147483647</definedName>
    <definedName name="solver_mip" localSheetId="12" hidden="1">2147483647</definedName>
    <definedName name="solver_mip" localSheetId="8" hidden="1">2147483647</definedName>
    <definedName name="solver_mip" localSheetId="17" hidden="1">2147483647</definedName>
    <definedName name="solver_mip" localSheetId="19" hidden="1">2147483647</definedName>
    <definedName name="solver_mni" localSheetId="15" hidden="1">30</definedName>
    <definedName name="solver_mni" localSheetId="16" hidden="1">30</definedName>
    <definedName name="solver_mni" localSheetId="14" hidden="1">30</definedName>
    <definedName name="solver_mni" localSheetId="12" hidden="1">30</definedName>
    <definedName name="solver_mni" localSheetId="8" hidden="1">30</definedName>
    <definedName name="solver_mni" localSheetId="17" hidden="1">30</definedName>
    <definedName name="solver_mni" localSheetId="19" hidden="1">30</definedName>
    <definedName name="solver_mrt" localSheetId="15" hidden="1">0.075</definedName>
    <definedName name="solver_mrt" localSheetId="16" hidden="1">0.075</definedName>
    <definedName name="solver_mrt" localSheetId="14" hidden="1">0.075</definedName>
    <definedName name="solver_mrt" localSheetId="12" hidden="1">0.075</definedName>
    <definedName name="solver_mrt" localSheetId="8" hidden="1">0.075</definedName>
    <definedName name="solver_mrt" localSheetId="17" hidden="1">0.075</definedName>
    <definedName name="solver_mrt" localSheetId="19" hidden="1">0.075</definedName>
    <definedName name="solver_msl" localSheetId="15" hidden="1">2</definedName>
    <definedName name="solver_msl" localSheetId="16" hidden="1">2</definedName>
    <definedName name="solver_msl" localSheetId="14" hidden="1">2</definedName>
    <definedName name="solver_msl" localSheetId="12" hidden="1">2</definedName>
    <definedName name="solver_msl" localSheetId="8" hidden="1">2</definedName>
    <definedName name="solver_msl" localSheetId="17" hidden="1">2</definedName>
    <definedName name="solver_msl" localSheetId="19" hidden="1">2</definedName>
    <definedName name="solver_neg" localSheetId="15" hidden="1">2</definedName>
    <definedName name="solver_neg" localSheetId="16" hidden="1">2</definedName>
    <definedName name="solver_neg" localSheetId="14" hidden="1">2</definedName>
    <definedName name="solver_neg" localSheetId="12" hidden="1">2</definedName>
    <definedName name="solver_neg" localSheetId="8" hidden="1">2</definedName>
    <definedName name="solver_neg" localSheetId="17" hidden="1">2</definedName>
    <definedName name="solver_neg" localSheetId="19" hidden="1">2</definedName>
    <definedName name="solver_nod" localSheetId="15" hidden="1">2147483647</definedName>
    <definedName name="solver_nod" localSheetId="16" hidden="1">2147483647</definedName>
    <definedName name="solver_nod" localSheetId="14" hidden="1">2147483647</definedName>
    <definedName name="solver_nod" localSheetId="12" hidden="1">2147483647</definedName>
    <definedName name="solver_nod" localSheetId="8" hidden="1">2147483647</definedName>
    <definedName name="solver_nod" localSheetId="17" hidden="1">2147483647</definedName>
    <definedName name="solver_nod" localSheetId="19" hidden="1">2147483647</definedName>
    <definedName name="solver_num" localSheetId="15" hidden="1">2</definedName>
    <definedName name="solver_num" localSheetId="16" hidden="1">2</definedName>
    <definedName name="solver_num" localSheetId="14" hidden="1">2</definedName>
    <definedName name="solver_num" localSheetId="12" hidden="1">1</definedName>
    <definedName name="solver_num" localSheetId="8" hidden="1">1</definedName>
    <definedName name="solver_num" localSheetId="17" hidden="1">1</definedName>
    <definedName name="solver_num" localSheetId="19" hidden="1">1</definedName>
    <definedName name="solver_nwt" localSheetId="15" hidden="1">1</definedName>
    <definedName name="solver_nwt" localSheetId="16" hidden="1">1</definedName>
    <definedName name="solver_nwt" localSheetId="14" hidden="1">1</definedName>
    <definedName name="solver_nwt" localSheetId="12" hidden="1">1</definedName>
    <definedName name="solver_nwt" localSheetId="8" hidden="1">1</definedName>
    <definedName name="solver_nwt" localSheetId="17" hidden="1">1</definedName>
    <definedName name="solver_nwt" localSheetId="19" hidden="1">1</definedName>
    <definedName name="solver_opt" localSheetId="15" hidden="1">'Exp_smoothing damp_Tot odd'!$M$3</definedName>
    <definedName name="solver_opt" localSheetId="16" hidden="1">'Exp_smoothing damp_Tot_even'!$G$45</definedName>
    <definedName name="solver_opt" localSheetId="14" hidden="1">'Exp_smoothing_w_damping_Total R'!$G$72</definedName>
    <definedName name="solver_opt" localSheetId="12" hidden="1">'Lag1_Exp_smooth_Total Run Even'!$I$43</definedName>
    <definedName name="solver_opt" localSheetId="8" hidden="1">'Lag1_Exp_smooth_Total Run Odd'!$O$4</definedName>
    <definedName name="solver_opt" localSheetId="17" hidden="1">Lag1_Exp_smoothing_Harvest!$G$65</definedName>
    <definedName name="solver_opt" localSheetId="19" hidden="1">'Lag1_Exp_smoothing_Total Run'!$G$69</definedName>
    <definedName name="solver_pre" localSheetId="15" hidden="1">0.000001</definedName>
    <definedName name="solver_pre" localSheetId="16" hidden="1">0.000001</definedName>
    <definedName name="solver_pre" localSheetId="14" hidden="1">0.000001</definedName>
    <definedName name="solver_pre" localSheetId="12" hidden="1">0.000001</definedName>
    <definedName name="solver_pre" localSheetId="8" hidden="1">0.000001</definedName>
    <definedName name="solver_pre" localSheetId="17" hidden="1">0.000001</definedName>
    <definedName name="solver_pre" localSheetId="19" hidden="1">0.000001</definedName>
    <definedName name="solver_rbv" localSheetId="15" hidden="1">1</definedName>
    <definedName name="solver_rbv" localSheetId="16" hidden="1">1</definedName>
    <definedName name="solver_rbv" localSheetId="14" hidden="1">1</definedName>
    <definedName name="solver_rbv" localSheetId="12" hidden="1">1</definedName>
    <definedName name="solver_rbv" localSheetId="8" hidden="1">1</definedName>
    <definedName name="solver_rbv" localSheetId="17" hidden="1">1</definedName>
    <definedName name="solver_rbv" localSheetId="19" hidden="1">1</definedName>
    <definedName name="solver_rel1" localSheetId="15" hidden="1">3</definedName>
    <definedName name="solver_rel1" localSheetId="16" hidden="1">3</definedName>
    <definedName name="solver_rel1" localSheetId="14" hidden="1">3</definedName>
    <definedName name="solver_rel1" localSheetId="12" hidden="1">3</definedName>
    <definedName name="solver_rel1" localSheetId="8" hidden="1">3</definedName>
    <definedName name="solver_rel1" localSheetId="17" hidden="1">3</definedName>
    <definedName name="solver_rel1" localSheetId="19" hidden="1">3</definedName>
    <definedName name="solver_rel2" localSheetId="15" hidden="1">3</definedName>
    <definedName name="solver_rel2" localSheetId="16" hidden="1">3</definedName>
    <definedName name="solver_rel2" localSheetId="14" hidden="1">3</definedName>
    <definedName name="solver_rel2" localSheetId="12" hidden="1">3</definedName>
    <definedName name="solver_rel2" localSheetId="8" hidden="1">3</definedName>
    <definedName name="solver_rel2" localSheetId="17" hidden="1">3</definedName>
    <definedName name="solver_rel2" localSheetId="19" hidden="1">3</definedName>
    <definedName name="solver_rhs1" localSheetId="15" hidden="1">0</definedName>
    <definedName name="solver_rhs1" localSheetId="16" hidden="1">0</definedName>
    <definedName name="solver_rhs1" localSheetId="14" hidden="1">0</definedName>
    <definedName name="solver_rhs1" localSheetId="12" hidden="1">0</definedName>
    <definedName name="solver_rhs1" localSheetId="8" hidden="1">0</definedName>
    <definedName name="solver_rhs1" localSheetId="17" hidden="1">0</definedName>
    <definedName name="solver_rhs1" localSheetId="19" hidden="1">0</definedName>
    <definedName name="solver_rhs2" localSheetId="15" hidden="1">0</definedName>
    <definedName name="solver_rhs2" localSheetId="16" hidden="1">0</definedName>
    <definedName name="solver_rhs2" localSheetId="14" hidden="1">0</definedName>
    <definedName name="solver_rhs2" localSheetId="12" hidden="1">0</definedName>
    <definedName name="solver_rhs2" localSheetId="8" hidden="1">0</definedName>
    <definedName name="solver_rhs2" localSheetId="17" hidden="1">0</definedName>
    <definedName name="solver_rhs2" localSheetId="19" hidden="1">0</definedName>
    <definedName name="solver_rlx" localSheetId="15" hidden="1">1</definedName>
    <definedName name="solver_rlx" localSheetId="16" hidden="1">1</definedName>
    <definedName name="solver_rlx" localSheetId="14" hidden="1">1</definedName>
    <definedName name="solver_rlx" localSheetId="12" hidden="1">1</definedName>
    <definedName name="solver_rlx" localSheetId="8" hidden="1">1</definedName>
    <definedName name="solver_rlx" localSheetId="17" hidden="1">1</definedName>
    <definedName name="solver_rlx" localSheetId="19" hidden="1">1</definedName>
    <definedName name="solver_rsd" localSheetId="15" hidden="1">0</definedName>
    <definedName name="solver_rsd" localSheetId="16" hidden="1">0</definedName>
    <definedName name="solver_rsd" localSheetId="14" hidden="1">0</definedName>
    <definedName name="solver_rsd" localSheetId="12" hidden="1">0</definedName>
    <definedName name="solver_rsd" localSheetId="8" hidden="1">0</definedName>
    <definedName name="solver_rsd" localSheetId="17" hidden="1">0</definedName>
    <definedName name="solver_rsd" localSheetId="19" hidden="1">0</definedName>
    <definedName name="solver_scl" localSheetId="15" hidden="1">2</definedName>
    <definedName name="solver_scl" localSheetId="16" hidden="1">2</definedName>
    <definedName name="solver_scl" localSheetId="14" hidden="1">2</definedName>
    <definedName name="solver_scl" localSheetId="12" hidden="1">2</definedName>
    <definedName name="solver_scl" localSheetId="8" hidden="1">2</definedName>
    <definedName name="solver_scl" localSheetId="17" hidden="1">2</definedName>
    <definedName name="solver_scl" localSheetId="19" hidden="1">2</definedName>
    <definedName name="solver_sho" localSheetId="15" hidden="1">2</definedName>
    <definedName name="solver_sho" localSheetId="16" hidden="1">2</definedName>
    <definedName name="solver_sho" localSheetId="14" hidden="1">2</definedName>
    <definedName name="solver_sho" localSheetId="12" hidden="1">2</definedName>
    <definedName name="solver_sho" localSheetId="8" hidden="1">2</definedName>
    <definedName name="solver_sho" localSheetId="17" hidden="1">2</definedName>
    <definedName name="solver_sho" localSheetId="19" hidden="1">2</definedName>
    <definedName name="solver_ssz" localSheetId="15" hidden="1">100</definedName>
    <definedName name="solver_ssz" localSheetId="16" hidden="1">100</definedName>
    <definedName name="solver_ssz" localSheetId="14" hidden="1">100</definedName>
    <definedName name="solver_ssz" localSheetId="12" hidden="1">100</definedName>
    <definedName name="solver_ssz" localSheetId="8" hidden="1">100</definedName>
    <definedName name="solver_ssz" localSheetId="17" hidden="1">100</definedName>
    <definedName name="solver_ssz" localSheetId="19" hidden="1">100</definedName>
    <definedName name="solver_tim" localSheetId="15" hidden="1">100</definedName>
    <definedName name="solver_tim" localSheetId="16" hidden="1">100</definedName>
    <definedName name="solver_tim" localSheetId="14" hidden="1">100</definedName>
    <definedName name="solver_tim" localSheetId="12" hidden="1">100</definedName>
    <definedName name="solver_tim" localSheetId="8" hidden="1">100</definedName>
    <definedName name="solver_tim" localSheetId="17" hidden="1">100</definedName>
    <definedName name="solver_tim" localSheetId="19" hidden="1">100</definedName>
    <definedName name="solver_tol" localSheetId="15" hidden="1">0.05</definedName>
    <definedName name="solver_tol" localSheetId="16" hidden="1">0.05</definedName>
    <definedName name="solver_tol" localSheetId="14" hidden="1">0.05</definedName>
    <definedName name="solver_tol" localSheetId="12" hidden="1">0.05</definedName>
    <definedName name="solver_tol" localSheetId="8" hidden="1">0.05</definedName>
    <definedName name="solver_tol" localSheetId="17" hidden="1">0.05</definedName>
    <definedName name="solver_tol" localSheetId="19" hidden="1">0.05</definedName>
    <definedName name="solver_typ" localSheetId="15" hidden="1">2</definedName>
    <definedName name="solver_typ" localSheetId="16" hidden="1">2</definedName>
    <definedName name="solver_typ" localSheetId="14" hidden="1">2</definedName>
    <definedName name="solver_typ" localSheetId="12" hidden="1">2</definedName>
    <definedName name="solver_typ" localSheetId="8" hidden="1">2</definedName>
    <definedName name="solver_typ" localSheetId="17" hidden="1">2</definedName>
    <definedName name="solver_typ" localSheetId="19" hidden="1">2</definedName>
    <definedName name="solver_val" localSheetId="15" hidden="1">0</definedName>
    <definedName name="solver_val" localSheetId="16" hidden="1">0</definedName>
    <definedName name="solver_val" localSheetId="14" hidden="1">0</definedName>
    <definedName name="solver_val" localSheetId="12" hidden="1">0</definedName>
    <definedName name="solver_val" localSheetId="8" hidden="1">0</definedName>
    <definedName name="solver_val" localSheetId="17" hidden="1">0</definedName>
    <definedName name="solver_val" localSheetId="19" hidden="1">0</definedName>
    <definedName name="solver_ver" localSheetId="15" hidden="1">3</definedName>
    <definedName name="solver_ver" localSheetId="16" hidden="1">3</definedName>
    <definedName name="solver_ver" localSheetId="14" hidden="1">3</definedName>
    <definedName name="solver_ver" localSheetId="12" hidden="1">3</definedName>
    <definedName name="solver_ver" localSheetId="8" hidden="1">3</definedName>
    <definedName name="solver_ver" localSheetId="17" hidden="1">3</definedName>
    <definedName name="solver_ver" localSheetId="19" hidden="1">3</definedName>
    <definedName name="TTAB">#REF!</definedName>
    <definedName name="TVAL">tval!$A$3:$B$43</definedName>
    <definedName name="XRangeAll">Odd!$C$13:$C$31</definedName>
    <definedName name="XRangeL1O">Odd!$C$13:$C$30</definedName>
    <definedName name="YestAll">Odd!$J$33</definedName>
    <definedName name="YestL1O">Odd!$J$31</definedName>
    <definedName name="YRangeAll">Odd!$D$13:$D$31</definedName>
    <definedName name="YRangeL1O">Odd!$D$13:$D$30</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T84" i="25" l="1"/>
  <c r="H52" i="28"/>
  <c r="C9" i="14"/>
  <c r="J5" i="29"/>
  <c r="B5" i="29"/>
  <c r="B14" i="36"/>
  <c r="B15" i="36"/>
  <c r="B16" i="36"/>
  <c r="B17" i="36"/>
  <c r="B18" i="36"/>
  <c r="B19" i="36"/>
  <c r="B20" i="36"/>
  <c r="B21" i="36"/>
  <c r="B22" i="36"/>
  <c r="B23" i="36"/>
  <c r="B24" i="36"/>
  <c r="B25" i="36"/>
  <c r="B26" i="36"/>
  <c r="B27" i="36"/>
  <c r="B28" i="36"/>
  <c r="B29" i="36"/>
  <c r="B30" i="36"/>
  <c r="B31" i="36"/>
  <c r="C61" i="14"/>
  <c r="E61" i="14"/>
  <c r="D56" i="17"/>
  <c r="B61" i="14"/>
  <c r="H51" i="28"/>
  <c r="I51" i="28"/>
  <c r="J51" i="28"/>
  <c r="K51" i="28"/>
  <c r="T128" i="25"/>
  <c r="J128" i="25"/>
  <c r="F56" i="17"/>
  <c r="G56" i="17"/>
  <c r="B60" i="22"/>
  <c r="G60" i="14"/>
  <c r="D51" i="28"/>
  <c r="B64" i="21"/>
  <c r="I64" i="21"/>
  <c r="A9" i="34"/>
  <c r="A10" i="34"/>
  <c r="A11" i="34"/>
  <c r="A12" i="34"/>
  <c r="A13" i="34"/>
  <c r="A14" i="34"/>
  <c r="A15" i="34"/>
  <c r="A16" i="34"/>
  <c r="A17" i="34"/>
  <c r="A18" i="34"/>
  <c r="A19" i="34"/>
  <c r="A20" i="34"/>
  <c r="A21" i="34"/>
  <c r="A22" i="34"/>
  <c r="A23" i="34"/>
  <c r="A24" i="34"/>
  <c r="A25" i="34"/>
  <c r="A26" i="34"/>
  <c r="A27" i="34"/>
  <c r="A28" i="34"/>
  <c r="A29" i="34"/>
  <c r="A30" i="34"/>
  <c r="A31" i="34"/>
  <c r="A32" i="34"/>
  <c r="A33" i="34"/>
  <c r="A34" i="34"/>
  <c r="A35" i="34"/>
  <c r="B35" i="34"/>
  <c r="H60" i="14"/>
  <c r="E55" i="17"/>
  <c r="G128" i="25"/>
  <c r="H128" i="25"/>
  <c r="K128" i="25"/>
  <c r="G127" i="25"/>
  <c r="H127" i="25"/>
  <c r="L128" i="25"/>
  <c r="C96" i="25"/>
  <c r="E51" i="30"/>
  <c r="J127" i="25"/>
  <c r="B34" i="30"/>
  <c r="B37" i="26"/>
  <c r="I37" i="26"/>
  <c r="E52" i="34"/>
  <c r="M3"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F36" i="33"/>
  <c r="G36" i="33"/>
  <c r="C12" i="33"/>
  <c r="C13" i="33"/>
  <c r="C14" i="33"/>
  <c r="C15" i="33"/>
  <c r="C16" i="33"/>
  <c r="C17" i="33"/>
  <c r="C18" i="33"/>
  <c r="C19" i="33"/>
  <c r="C20" i="33"/>
  <c r="C21" i="33"/>
  <c r="C22" i="33"/>
  <c r="C23" i="33"/>
  <c r="C24" i="33"/>
  <c r="C25" i="33"/>
  <c r="C26" i="33"/>
  <c r="C27" i="33"/>
  <c r="C28" i="33"/>
  <c r="C29" i="33"/>
  <c r="C30" i="33"/>
  <c r="C31" i="33"/>
  <c r="C32" i="33"/>
  <c r="C33" i="33"/>
  <c r="C34" i="33"/>
  <c r="L3" i="33"/>
  <c r="C35" i="33"/>
  <c r="C36" i="33"/>
  <c r="C11" i="33"/>
  <c r="C10" i="33"/>
  <c r="B35" i="33"/>
  <c r="B36" i="33"/>
  <c r="I48" i="28"/>
  <c r="I49" i="28"/>
  <c r="I50" i="28"/>
  <c r="H37" i="28"/>
  <c r="H38" i="28"/>
  <c r="H39" i="28"/>
  <c r="H40" i="28"/>
  <c r="H41" i="28"/>
  <c r="H42" i="28"/>
  <c r="H43" i="28"/>
  <c r="H44" i="28"/>
  <c r="H45" i="28"/>
  <c r="H46" i="28"/>
  <c r="H47" i="28"/>
  <c r="H48" i="28"/>
  <c r="H49" i="28"/>
  <c r="H50" i="28"/>
  <c r="H36" i="28"/>
  <c r="C50" i="28"/>
  <c r="K48" i="28"/>
  <c r="K49" i="28"/>
  <c r="J48" i="28"/>
  <c r="K50" i="28"/>
  <c r="J49" i="28"/>
  <c r="D36" i="33"/>
  <c r="D35" i="33"/>
  <c r="J50" i="28"/>
  <c r="C15" i="28"/>
  <c r="C16" i="28"/>
  <c r="C17" i="28"/>
  <c r="C18" i="28"/>
  <c r="C19" i="28"/>
  <c r="C20" i="28"/>
  <c r="C21" i="28"/>
  <c r="C22" i="28"/>
  <c r="C23" i="28"/>
  <c r="C24" i="28"/>
  <c r="C25" i="28"/>
  <c r="C26" i="28"/>
  <c r="C27" i="28"/>
  <c r="C28" i="28"/>
  <c r="C29" i="28"/>
  <c r="C30" i="28"/>
  <c r="C31" i="28"/>
  <c r="C32" i="28"/>
  <c r="C33" i="28"/>
  <c r="C34" i="28"/>
  <c r="C35" i="28"/>
  <c r="C36" i="28"/>
  <c r="C37" i="28"/>
  <c r="C38" i="28"/>
  <c r="C39" i="28"/>
  <c r="C40" i="28"/>
  <c r="C41" i="28"/>
  <c r="C42" i="28"/>
  <c r="C43" i="28"/>
  <c r="C44" i="28"/>
  <c r="C45" i="28"/>
  <c r="C46" i="28"/>
  <c r="C47" i="28"/>
  <c r="C48" i="28"/>
  <c r="C49" i="28"/>
  <c r="C14" i="28"/>
  <c r="H36" i="33"/>
  <c r="I36" i="33"/>
  <c r="D50" i="28"/>
  <c r="A7" i="16"/>
  <c r="A11" i="15"/>
  <c r="A12" i="15"/>
  <c r="A13" i="15"/>
  <c r="A14" i="15"/>
  <c r="A15" i="15"/>
  <c r="A16" i="15"/>
  <c r="A17" i="15"/>
  <c r="A18" i="15"/>
  <c r="A19" i="15"/>
  <c r="A20" i="15"/>
  <c r="A21" i="15"/>
  <c r="A22" i="15"/>
  <c r="A23" i="15"/>
  <c r="A24" i="15"/>
  <c r="A25" i="15"/>
  <c r="A26" i="15"/>
  <c r="A27" i="15"/>
  <c r="A28" i="15"/>
  <c r="A29" i="15"/>
  <c r="A30" i="15"/>
  <c r="A31" i="15"/>
  <c r="A32" i="15"/>
  <c r="A33" i="15"/>
  <c r="A34" i="15"/>
  <c r="A35" i="15"/>
  <c r="F35" i="15"/>
  <c r="C11" i="15"/>
  <c r="C12" i="15"/>
  <c r="C13" i="15"/>
  <c r="C14" i="15"/>
  <c r="C15" i="15"/>
  <c r="C16" i="15"/>
  <c r="C17" i="15"/>
  <c r="C18" i="15"/>
  <c r="C19" i="15"/>
  <c r="C20" i="15"/>
  <c r="C21" i="15"/>
  <c r="C22" i="15"/>
  <c r="C23" i="15"/>
  <c r="C24" i="15"/>
  <c r="C25" i="15"/>
  <c r="C26" i="15"/>
  <c r="C27" i="15"/>
  <c r="C28" i="15"/>
  <c r="C29" i="15"/>
  <c r="C30" i="15"/>
  <c r="C31" i="15"/>
  <c r="C32" i="15"/>
  <c r="C33" i="15"/>
  <c r="C34" i="15"/>
  <c r="L3" i="15"/>
  <c r="C35" i="15"/>
  <c r="D35" i="15"/>
  <c r="A36" i="15"/>
  <c r="C36" i="15"/>
  <c r="C10" i="15"/>
  <c r="B35" i="15"/>
  <c r="C44" i="15"/>
  <c r="H35" i="15"/>
  <c r="I35" i="15"/>
  <c r="E50" i="28"/>
  <c r="G50" i="28"/>
  <c r="F50" i="28"/>
  <c r="G35" i="15"/>
  <c r="B36" i="15"/>
  <c r="D36" i="15"/>
  <c r="B59" i="22"/>
  <c r="B57" i="27"/>
  <c r="B58" i="27"/>
  <c r="B59" i="27"/>
  <c r="B7" i="21"/>
  <c r="B63" i="21"/>
  <c r="I63" i="21"/>
  <c r="BQ73" i="17"/>
  <c r="AS73" i="17"/>
  <c r="F55" i="17"/>
  <c r="BZ56" i="17"/>
  <c r="CA56" i="17"/>
  <c r="CB56" i="17"/>
  <c r="CC56" i="17"/>
  <c r="CD56" i="17"/>
  <c r="CE56" i="17"/>
  <c r="BZ57" i="17"/>
  <c r="CA57" i="17"/>
  <c r="CB57" i="17"/>
  <c r="CC57" i="17"/>
  <c r="CD57" i="17"/>
  <c r="CE57" i="17"/>
  <c r="BJ56" i="17"/>
  <c r="BK56" i="17"/>
  <c r="BL56" i="17"/>
  <c r="BM56" i="17"/>
  <c r="BN56" i="17"/>
  <c r="BO56" i="17"/>
  <c r="BJ57" i="17"/>
  <c r="BK57" i="17"/>
  <c r="BL57" i="17"/>
  <c r="BM57" i="17"/>
  <c r="BN57" i="17"/>
  <c r="BO57" i="17"/>
  <c r="G55" i="17"/>
  <c r="H59" i="14"/>
  <c r="E54" i="17"/>
  <c r="F59" i="14"/>
  <c r="T127" i="25"/>
  <c r="D60" i="14"/>
  <c r="B60" i="14"/>
  <c r="L127" i="25"/>
  <c r="H56" i="17"/>
  <c r="K127" i="25"/>
  <c r="E60" i="14"/>
  <c r="D55" i="17"/>
  <c r="C101" i="25"/>
  <c r="J126" i="25"/>
  <c r="F35" i="33"/>
  <c r="G126" i="25"/>
  <c r="H126" i="25"/>
  <c r="L126" i="25"/>
  <c r="K126" i="25"/>
  <c r="G35" i="33"/>
  <c r="H35" i="33"/>
  <c r="I35" i="33"/>
  <c r="D49" i="28"/>
  <c r="B36" i="24"/>
  <c r="I36" i="24"/>
  <c r="B62" i="21"/>
  <c r="I62" i="21"/>
  <c r="B58" i="22"/>
  <c r="C59" i="14"/>
  <c r="C57" i="14"/>
  <c r="E59" i="14"/>
  <c r="D54" i="17"/>
  <c r="C67" i="14"/>
  <c r="C70" i="14"/>
  <c r="C66" i="14"/>
  <c r="E49" i="28"/>
  <c r="G49" i="28"/>
  <c r="F49" i="28"/>
  <c r="A54" i="17"/>
  <c r="B54" i="17"/>
  <c r="T126" i="25"/>
  <c r="G125" i="25"/>
  <c r="H125" i="25"/>
  <c r="J125" i="25"/>
  <c r="B36" i="26"/>
  <c r="I36" i="26"/>
  <c r="L125" i="25"/>
  <c r="N127" i="25"/>
  <c r="K125" i="25"/>
  <c r="F57" i="14"/>
  <c r="D48" i="28"/>
  <c r="F34" i="15"/>
  <c r="B57" i="22"/>
  <c r="B61" i="21"/>
  <c r="I61" i="21"/>
  <c r="G54" i="17"/>
  <c r="F54" i="17"/>
  <c r="H57" i="14"/>
  <c r="H58" i="14"/>
  <c r="G58" i="14"/>
  <c r="F66" i="14"/>
  <c r="F74" i="14"/>
  <c r="CB54" i="17"/>
  <c r="BT54" i="17"/>
  <c r="BL54" i="17"/>
  <c r="CC54" i="17"/>
  <c r="BU54" i="17"/>
  <c r="BM54" i="17"/>
  <c r="BZ54" i="17"/>
  <c r="CD54" i="17"/>
  <c r="BR54" i="17"/>
  <c r="BV54" i="17"/>
  <c r="BJ54" i="17"/>
  <c r="BN54" i="17"/>
  <c r="CA54" i="17"/>
  <c r="CE54" i="17"/>
  <c r="BS54" i="17"/>
  <c r="BW54" i="17"/>
  <c r="BK54" i="17"/>
  <c r="BO54" i="17"/>
  <c r="E48" i="28"/>
  <c r="G48" i="28"/>
  <c r="F48" i="28"/>
  <c r="G34" i="15"/>
  <c r="H34" i="15"/>
  <c r="I34" i="15"/>
  <c r="U75" i="25"/>
  <c r="T75" i="25"/>
  <c r="T76" i="25"/>
  <c r="T77" i="25"/>
  <c r="T78" i="25"/>
  <c r="T79" i="25"/>
  <c r="T80" i="25"/>
  <c r="T81" i="25"/>
  <c r="T82" i="25"/>
  <c r="T83" i="25"/>
  <c r="T85" i="25"/>
  <c r="T86" i="25"/>
  <c r="T87" i="25"/>
  <c r="T88" i="25"/>
  <c r="T89" i="25"/>
  <c r="T90" i="25"/>
  <c r="T111" i="25"/>
  <c r="T112" i="25"/>
  <c r="T113" i="25"/>
  <c r="T114" i="25"/>
  <c r="T115" i="25"/>
  <c r="T116" i="25"/>
  <c r="T117" i="25"/>
  <c r="T118" i="25"/>
  <c r="T119" i="25"/>
  <c r="T120" i="25"/>
  <c r="T121" i="25"/>
  <c r="T122" i="25"/>
  <c r="T123" i="25"/>
  <c r="T124" i="25"/>
  <c r="T125" i="25"/>
  <c r="T74" i="25"/>
  <c r="V74" i="25"/>
  <c r="S75" i="25"/>
  <c r="O3" i="33"/>
  <c r="G25" i="35"/>
  <c r="O25" i="35"/>
  <c r="B59" i="14"/>
  <c r="H29" i="36"/>
  <c r="H28" i="36"/>
  <c r="H27" i="36"/>
  <c r="H26" i="36"/>
  <c r="H25" i="36"/>
  <c r="H7" i="36"/>
  <c r="H5" i="36"/>
  <c r="H4" i="36"/>
  <c r="G4" i="36"/>
  <c r="G5" i="36"/>
  <c r="D4" i="36"/>
  <c r="D5" i="36"/>
  <c r="H3" i="36"/>
  <c r="B1" i="36"/>
  <c r="J5" i="35"/>
  <c r="B5" i="35"/>
  <c r="I1" i="35"/>
  <c r="A1" i="35"/>
  <c r="D10" i="33"/>
  <c r="A1" i="34"/>
  <c r="A52" i="17"/>
  <c r="B52" i="17"/>
  <c r="A53" i="17"/>
  <c r="B53" i="17"/>
  <c r="E52" i="17"/>
  <c r="E53" i="17"/>
  <c r="AI11" i="33"/>
  <c r="AI10" i="33"/>
  <c r="B10" i="33"/>
  <c r="O5" i="33"/>
  <c r="N5" i="33"/>
  <c r="M5" i="33"/>
  <c r="O4" i="33"/>
  <c r="G26" i="35"/>
  <c r="O26" i="35"/>
  <c r="N4" i="33"/>
  <c r="F26" i="35"/>
  <c r="N26" i="35"/>
  <c r="M4" i="33"/>
  <c r="E26" i="35"/>
  <c r="M26" i="35"/>
  <c r="N3" i="33"/>
  <c r="F25" i="35"/>
  <c r="N25" i="35"/>
  <c r="E25" i="35"/>
  <c r="M25" i="35"/>
  <c r="L2" i="33"/>
  <c r="A1" i="33"/>
  <c r="N5" i="15"/>
  <c r="D134" i="25"/>
  <c r="K73" i="21"/>
  <c r="I57" i="28"/>
  <c r="I56" i="28"/>
  <c r="F139" i="25"/>
  <c r="F138" i="25"/>
  <c r="F137" i="25"/>
  <c r="F136" i="25"/>
  <c r="F135" i="25"/>
  <c r="F134" i="25"/>
  <c r="G2" i="25"/>
  <c r="A3" i="25"/>
  <c r="L2" i="15"/>
  <c r="G7" i="28"/>
  <c r="O134" i="25"/>
  <c r="P134" i="25"/>
  <c r="O135" i="25"/>
  <c r="P135" i="25"/>
  <c r="O136" i="25"/>
  <c r="P136" i="25"/>
  <c r="O137" i="25"/>
  <c r="P137" i="25"/>
  <c r="O138" i="25"/>
  <c r="P138" i="25"/>
  <c r="O139" i="25"/>
  <c r="P139" i="25"/>
  <c r="J74" i="25"/>
  <c r="W74" i="25"/>
  <c r="I1" i="29"/>
  <c r="AI10" i="15"/>
  <c r="AI11" i="15"/>
  <c r="O5" i="15"/>
  <c r="M5" i="15"/>
  <c r="I29" i="32"/>
  <c r="H29" i="32"/>
  <c r="J29" i="32"/>
  <c r="I28" i="32"/>
  <c r="H28" i="32"/>
  <c r="J28" i="32"/>
  <c r="I27" i="32"/>
  <c r="H27" i="32"/>
  <c r="I26" i="32"/>
  <c r="H26" i="32"/>
  <c r="K26" i="32"/>
  <c r="I25" i="32"/>
  <c r="H25" i="32"/>
  <c r="K25" i="32"/>
  <c r="I24" i="32"/>
  <c r="H7" i="32"/>
  <c r="H5" i="32"/>
  <c r="H4" i="32"/>
  <c r="G4" i="32"/>
  <c r="G5" i="32"/>
  <c r="D4" i="32"/>
  <c r="D5" i="32"/>
  <c r="H3" i="32"/>
  <c r="B1" i="32"/>
  <c r="E134" i="25"/>
  <c r="D135" i="25"/>
  <c r="E135" i="25"/>
  <c r="D136" i="25"/>
  <c r="E136" i="25"/>
  <c r="D137" i="25"/>
  <c r="E137" i="25"/>
  <c r="D138" i="25"/>
  <c r="E138" i="25"/>
  <c r="D139" i="25"/>
  <c r="E139" i="25"/>
  <c r="H7" i="31"/>
  <c r="H5" i="31"/>
  <c r="H4" i="31"/>
  <c r="G4" i="31"/>
  <c r="D4" i="31"/>
  <c r="D5" i="31"/>
  <c r="H3" i="31"/>
  <c r="H8" i="28"/>
  <c r="H4" i="28"/>
  <c r="H5" i="28"/>
  <c r="H3" i="28"/>
  <c r="G4" i="28"/>
  <c r="D4" i="28"/>
  <c r="D5" i="28"/>
  <c r="G5" i="31"/>
  <c r="G5" i="28"/>
  <c r="I37" i="28"/>
  <c r="I38" i="28"/>
  <c r="I39" i="28"/>
  <c r="I40" i="28"/>
  <c r="I41" i="28"/>
  <c r="I42" i="28"/>
  <c r="K42" i="28"/>
  <c r="I43" i="28"/>
  <c r="I44" i="28"/>
  <c r="I45" i="28"/>
  <c r="I46" i="28"/>
  <c r="I47" i="28"/>
  <c r="I36" i="28"/>
  <c r="I37" i="31"/>
  <c r="J37" i="31"/>
  <c r="I38" i="31"/>
  <c r="I39" i="31"/>
  <c r="I40" i="31"/>
  <c r="I41" i="31"/>
  <c r="I42" i="31"/>
  <c r="I43" i="31"/>
  <c r="I44" i="31"/>
  <c r="I45" i="31"/>
  <c r="I46" i="31"/>
  <c r="I47" i="31"/>
  <c r="I36" i="31"/>
  <c r="J36" i="31"/>
  <c r="B1" i="31"/>
  <c r="A9" i="30"/>
  <c r="A10" i="30"/>
  <c r="A11" i="30"/>
  <c r="A12" i="30"/>
  <c r="A13" i="30"/>
  <c r="A14" i="30"/>
  <c r="A1" i="30"/>
  <c r="O3" i="15"/>
  <c r="G25" i="29"/>
  <c r="O25" i="29"/>
  <c r="M4" i="15"/>
  <c r="E26" i="29"/>
  <c r="M26" i="29"/>
  <c r="M3" i="15"/>
  <c r="E25" i="29"/>
  <c r="M25" i="29"/>
  <c r="O4" i="15"/>
  <c r="G26" i="29"/>
  <c r="O26" i="29"/>
  <c r="N4" i="15"/>
  <c r="F26" i="29"/>
  <c r="N26" i="29"/>
  <c r="N3" i="15"/>
  <c r="F25" i="29"/>
  <c r="N25" i="29"/>
  <c r="D10" i="15"/>
  <c r="A1" i="29"/>
  <c r="A1" i="28"/>
  <c r="J3" i="21"/>
  <c r="L3" i="14"/>
  <c r="D14" i="26"/>
  <c r="E14" i="26"/>
  <c r="J14" i="24"/>
  <c r="B5" i="11"/>
  <c r="C5" i="11"/>
  <c r="F5" i="11"/>
  <c r="L5" i="11"/>
  <c r="G5" i="11"/>
  <c r="H5" i="11"/>
  <c r="I5" i="11"/>
  <c r="J5" i="11"/>
  <c r="K5" i="11"/>
  <c r="B6" i="11"/>
  <c r="C6" i="11"/>
  <c r="F6" i="11"/>
  <c r="G6" i="11"/>
  <c r="H6" i="11"/>
  <c r="I6" i="11"/>
  <c r="J6" i="11"/>
  <c r="K6" i="11"/>
  <c r="L6" i="11"/>
  <c r="B7" i="11"/>
  <c r="C7" i="11"/>
  <c r="F7" i="11"/>
  <c r="G7" i="11"/>
  <c r="H7" i="11"/>
  <c r="I7" i="11"/>
  <c r="J7" i="11"/>
  <c r="K7" i="11"/>
  <c r="L7" i="11"/>
  <c r="B8" i="11"/>
  <c r="C8" i="11"/>
  <c r="F8" i="11"/>
  <c r="L8" i="11"/>
  <c r="G8" i="11"/>
  <c r="H8" i="11"/>
  <c r="I8" i="11"/>
  <c r="J8" i="11"/>
  <c r="K8" i="11"/>
  <c r="F9" i="11"/>
  <c r="L9" i="11"/>
  <c r="G9" i="11"/>
  <c r="H9" i="11"/>
  <c r="I9" i="11"/>
  <c r="J9" i="11"/>
  <c r="K9" i="11"/>
  <c r="F10" i="11"/>
  <c r="G10" i="11"/>
  <c r="H10" i="11"/>
  <c r="I10" i="11"/>
  <c r="J10" i="11"/>
  <c r="K10" i="11"/>
  <c r="L10" i="11"/>
  <c r="F11" i="11"/>
  <c r="G11" i="11"/>
  <c r="H11" i="11"/>
  <c r="I11" i="11"/>
  <c r="J11" i="11"/>
  <c r="K11" i="11"/>
  <c r="L11" i="11"/>
  <c r="F12" i="11"/>
  <c r="L12" i="11"/>
  <c r="G12" i="11"/>
  <c r="H12" i="11"/>
  <c r="I12" i="11"/>
  <c r="J12" i="11"/>
  <c r="K12" i="11"/>
  <c r="F13" i="11"/>
  <c r="L13" i="11"/>
  <c r="G13" i="11"/>
  <c r="H13" i="11"/>
  <c r="I13" i="11"/>
  <c r="J13" i="11"/>
  <c r="K13" i="11"/>
  <c r="F14" i="11"/>
  <c r="G14" i="11"/>
  <c r="H14" i="11"/>
  <c r="I14" i="11"/>
  <c r="J14" i="11"/>
  <c r="K14" i="11"/>
  <c r="L14" i="11"/>
  <c r="F15" i="11"/>
  <c r="G15" i="11"/>
  <c r="H15" i="11"/>
  <c r="I15" i="11"/>
  <c r="J15" i="11"/>
  <c r="K15" i="11"/>
  <c r="L15" i="11"/>
  <c r="F16" i="11"/>
  <c r="L16" i="11"/>
  <c r="G16" i="11"/>
  <c r="H16" i="11"/>
  <c r="I16" i="11"/>
  <c r="J16" i="11"/>
  <c r="K16" i="11"/>
  <c r="F17" i="11"/>
  <c r="G17" i="11"/>
  <c r="H17" i="11"/>
  <c r="I17" i="11"/>
  <c r="J17" i="11"/>
  <c r="K17" i="11"/>
  <c r="L17" i="11"/>
  <c r="F18" i="11"/>
  <c r="G18" i="11"/>
  <c r="H18" i="11"/>
  <c r="I18" i="11"/>
  <c r="J18" i="11"/>
  <c r="K18" i="11"/>
  <c r="L18" i="11"/>
  <c r="F19" i="11"/>
  <c r="L19" i="11"/>
  <c r="G19" i="11"/>
  <c r="H19" i="11"/>
  <c r="I19" i="11"/>
  <c r="J19" i="11"/>
  <c r="K19" i="11"/>
  <c r="F20" i="11"/>
  <c r="L20" i="11"/>
  <c r="G20" i="11"/>
  <c r="H20" i="11"/>
  <c r="I20" i="11"/>
  <c r="J20" i="11"/>
  <c r="K20" i="11"/>
  <c r="F21" i="11"/>
  <c r="G21" i="11"/>
  <c r="H21" i="11"/>
  <c r="I21" i="11"/>
  <c r="J21" i="11"/>
  <c r="K21" i="11"/>
  <c r="L21" i="11"/>
  <c r="F22" i="11"/>
  <c r="G22" i="11"/>
  <c r="H22" i="11"/>
  <c r="I22" i="11"/>
  <c r="J22" i="11"/>
  <c r="K22" i="11"/>
  <c r="L22" i="11"/>
  <c r="F23" i="11"/>
  <c r="L23" i="11"/>
  <c r="G23" i="11"/>
  <c r="H23" i="11"/>
  <c r="I23" i="11"/>
  <c r="J23" i="11"/>
  <c r="K23" i="11"/>
  <c r="F24" i="11"/>
  <c r="L24" i="11"/>
  <c r="G24" i="11"/>
  <c r="H24" i="11"/>
  <c r="I24" i="11"/>
  <c r="J24" i="11"/>
  <c r="K24" i="11"/>
  <c r="F25" i="11"/>
  <c r="L25" i="11"/>
  <c r="G25" i="11"/>
  <c r="H25" i="11"/>
  <c r="I25" i="11"/>
  <c r="J25" i="11"/>
  <c r="K25" i="11"/>
  <c r="F26" i="11"/>
  <c r="G26" i="11"/>
  <c r="H26" i="11"/>
  <c r="I26" i="11"/>
  <c r="J26" i="11"/>
  <c r="K26" i="11"/>
  <c r="L26" i="11"/>
  <c r="F27" i="11"/>
  <c r="G27" i="11"/>
  <c r="H27" i="11"/>
  <c r="I27" i="11"/>
  <c r="J27" i="11"/>
  <c r="K27" i="11"/>
  <c r="L27" i="11"/>
  <c r="F28" i="11"/>
  <c r="L28" i="11"/>
  <c r="G28" i="11"/>
  <c r="H28" i="11"/>
  <c r="I28" i="11"/>
  <c r="J28" i="11"/>
  <c r="K28" i="11"/>
  <c r="F29" i="11"/>
  <c r="L29" i="11"/>
  <c r="G29" i="11"/>
  <c r="H29" i="11"/>
  <c r="I29" i="11"/>
  <c r="J29" i="11"/>
  <c r="K29" i="11"/>
  <c r="F30" i="11"/>
  <c r="G30" i="11"/>
  <c r="H30" i="11"/>
  <c r="I30" i="11"/>
  <c r="J30" i="11"/>
  <c r="K30" i="11"/>
  <c r="L30" i="11"/>
  <c r="F31" i="11"/>
  <c r="G31" i="11"/>
  <c r="H31" i="11"/>
  <c r="I31" i="11"/>
  <c r="J31" i="11"/>
  <c r="K31" i="11"/>
  <c r="L31" i="11"/>
  <c r="F32" i="11"/>
  <c r="L32" i="11"/>
  <c r="G32" i="11"/>
  <c r="H32" i="11"/>
  <c r="I32" i="11"/>
  <c r="J32" i="11"/>
  <c r="K32" i="11"/>
  <c r="F33" i="11"/>
  <c r="G33" i="11"/>
  <c r="H33" i="11"/>
  <c r="I33" i="11"/>
  <c r="J33" i="11"/>
  <c r="K33" i="11"/>
  <c r="L33" i="11"/>
  <c r="F34" i="11"/>
  <c r="G34" i="11"/>
  <c r="H34" i="11"/>
  <c r="I34" i="11"/>
  <c r="J34" i="11"/>
  <c r="K34" i="11"/>
  <c r="L34" i="11"/>
  <c r="F35" i="11"/>
  <c r="L35" i="11"/>
  <c r="G35" i="11"/>
  <c r="H35" i="11"/>
  <c r="I35" i="11"/>
  <c r="J35" i="11"/>
  <c r="K35" i="11"/>
  <c r="F36" i="11"/>
  <c r="L36" i="11"/>
  <c r="G36" i="11"/>
  <c r="H36" i="11"/>
  <c r="I36" i="11"/>
  <c r="J36" i="11"/>
  <c r="K36" i="11"/>
  <c r="L37" i="11"/>
  <c r="L38" i="11"/>
  <c r="F39" i="11"/>
  <c r="L39" i="11"/>
  <c r="G39" i="11"/>
  <c r="H39" i="11"/>
  <c r="I39" i="11"/>
  <c r="J39" i="11"/>
  <c r="K39" i="11"/>
  <c r="A2" i="13"/>
  <c r="B2" i="13"/>
  <c r="C2" i="13"/>
  <c r="D2" i="13"/>
  <c r="E2" i="13"/>
  <c r="G2" i="13"/>
  <c r="H2" i="13"/>
  <c r="B1" i="7"/>
  <c r="B2"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C44" i="7"/>
  <c r="D44" i="7"/>
  <c r="E44" i="7"/>
  <c r="F44" i="7"/>
  <c r="G44" i="7"/>
  <c r="H44" i="7"/>
  <c r="I44" i="7"/>
  <c r="J44" i="7"/>
  <c r="K44" i="7"/>
  <c r="B1"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C46" i="6"/>
  <c r="D46" i="6"/>
  <c r="E46" i="6"/>
  <c r="F46" i="6"/>
  <c r="G46" i="6"/>
  <c r="H46" i="6"/>
  <c r="I46" i="6"/>
  <c r="J46" i="6"/>
  <c r="K46" i="6"/>
  <c r="C1" i="5"/>
  <c r="B13" i="5"/>
  <c r="AE13" i="5"/>
  <c r="C13" i="5"/>
  <c r="G8" i="2"/>
  <c r="D13" i="5"/>
  <c r="P13" i="5"/>
  <c r="Y13" i="5"/>
  <c r="B14" i="5"/>
  <c r="AE14" i="5"/>
  <c r="C14" i="5"/>
  <c r="G10" i="2"/>
  <c r="D14" i="5"/>
  <c r="N14" i="5"/>
  <c r="O14" i="5"/>
  <c r="P14" i="5"/>
  <c r="Z14" i="5"/>
  <c r="B15" i="5"/>
  <c r="AE15" i="5"/>
  <c r="C15" i="5"/>
  <c r="P15" i="5"/>
  <c r="U15" i="5"/>
  <c r="Y15" i="5"/>
  <c r="B16" i="5"/>
  <c r="AE16" i="5"/>
  <c r="C16" i="5"/>
  <c r="P16" i="5"/>
  <c r="U16" i="5"/>
  <c r="G14" i="2"/>
  <c r="D16" i="5"/>
  <c r="X16" i="5"/>
  <c r="B17" i="5"/>
  <c r="AE17" i="5"/>
  <c r="C17" i="5"/>
  <c r="P17" i="5"/>
  <c r="Y17" i="5"/>
  <c r="B18" i="5"/>
  <c r="AE18" i="5"/>
  <c r="C18" i="5"/>
  <c r="G18" i="2"/>
  <c r="D18" i="5"/>
  <c r="P18" i="5"/>
  <c r="U18" i="5"/>
  <c r="Z18" i="5"/>
  <c r="B19" i="5"/>
  <c r="C19" i="5"/>
  <c r="Z19" i="5"/>
  <c r="P19" i="5"/>
  <c r="U19" i="5"/>
  <c r="AE19" i="5"/>
  <c r="B20" i="5"/>
  <c r="C20" i="5"/>
  <c r="Z20" i="5"/>
  <c r="P20" i="5"/>
  <c r="AE20" i="5"/>
  <c r="B21" i="5"/>
  <c r="AE21" i="5"/>
  <c r="C21" i="5"/>
  <c r="P21" i="5"/>
  <c r="U21" i="5"/>
  <c r="Z21" i="5"/>
  <c r="B22" i="5"/>
  <c r="AE22" i="5"/>
  <c r="C22" i="5"/>
  <c r="G26" i="2"/>
  <c r="D22" i="5"/>
  <c r="P22" i="5"/>
  <c r="Z22" i="5"/>
  <c r="B23" i="5"/>
  <c r="AE23" i="5"/>
  <c r="C23" i="5"/>
  <c r="P23" i="5"/>
  <c r="U23" i="5"/>
  <c r="Z23" i="5"/>
  <c r="B24" i="5"/>
  <c r="C24" i="5"/>
  <c r="Z24" i="5"/>
  <c r="P24" i="5"/>
  <c r="AE24" i="5"/>
  <c r="B25" i="5"/>
  <c r="C25" i="5"/>
  <c r="P25" i="5"/>
  <c r="U25" i="5"/>
  <c r="Z25" i="5"/>
  <c r="AE25" i="5"/>
  <c r="B26" i="5"/>
  <c r="AE26" i="5"/>
  <c r="C26" i="5"/>
  <c r="G34" i="2"/>
  <c r="D26" i="5"/>
  <c r="P26" i="5"/>
  <c r="Z26" i="5"/>
  <c r="B27" i="5"/>
  <c r="AE27" i="5"/>
  <c r="C27" i="5"/>
  <c r="P27" i="5"/>
  <c r="B28" i="5"/>
  <c r="C28" i="5"/>
  <c r="Z28" i="5"/>
  <c r="G38" i="2"/>
  <c r="D28" i="5"/>
  <c r="P28" i="5"/>
  <c r="AE28" i="5"/>
  <c r="B29" i="5"/>
  <c r="AE29" i="5"/>
  <c r="C29" i="5"/>
  <c r="Z29" i="5"/>
  <c r="G40" i="2"/>
  <c r="D29" i="5"/>
  <c r="P29" i="5"/>
  <c r="B30" i="5"/>
  <c r="C30" i="5"/>
  <c r="P30" i="5"/>
  <c r="AE30" i="5"/>
  <c r="B32" i="5"/>
  <c r="C32" i="5"/>
  <c r="N32" i="5"/>
  <c r="O32" i="5"/>
  <c r="P32" i="5"/>
  <c r="AE32" i="5"/>
  <c r="F34" i="5"/>
  <c r="Q34" i="5"/>
  <c r="F35" i="5"/>
  <c r="Q35" i="5"/>
  <c r="A1" i="15"/>
  <c r="B10" i="15"/>
  <c r="B11" i="15"/>
  <c r="D13" i="15"/>
  <c r="B12" i="15"/>
  <c r="C1" i="4"/>
  <c r="B13" i="4"/>
  <c r="AC13" i="4"/>
  <c r="C13" i="4"/>
  <c r="P13" i="4"/>
  <c r="AB13" i="4"/>
  <c r="B14" i="4"/>
  <c r="C14" i="4"/>
  <c r="Z14" i="4"/>
  <c r="P14" i="4"/>
  <c r="U14" i="4"/>
  <c r="AC14" i="4"/>
  <c r="B15" i="4"/>
  <c r="AC15" i="4"/>
  <c r="C15" i="4"/>
  <c r="H15" i="2"/>
  <c r="I15" i="2"/>
  <c r="D15" i="4"/>
  <c r="P15" i="4"/>
  <c r="U15" i="4"/>
  <c r="Z15" i="4"/>
  <c r="B16" i="4"/>
  <c r="C16" i="4"/>
  <c r="Z16" i="4"/>
  <c r="P16" i="4"/>
  <c r="AC16" i="4"/>
  <c r="B17" i="4"/>
  <c r="C17" i="4"/>
  <c r="H19" i="2"/>
  <c r="I19" i="2"/>
  <c r="D17" i="4"/>
  <c r="N17" i="4"/>
  <c r="O17" i="4"/>
  <c r="P17" i="4"/>
  <c r="U17" i="4"/>
  <c r="AC17" i="4"/>
  <c r="B18" i="4"/>
  <c r="AC18" i="4"/>
  <c r="C18" i="4"/>
  <c r="Z18" i="4"/>
  <c r="P18" i="4"/>
  <c r="B19" i="4"/>
  <c r="C19" i="4"/>
  <c r="H23" i="2"/>
  <c r="I23" i="2"/>
  <c r="D19" i="4"/>
  <c r="P19" i="4"/>
  <c r="AC19" i="4"/>
  <c r="B20" i="4"/>
  <c r="AC20" i="4"/>
  <c r="C20" i="4"/>
  <c r="P20" i="4"/>
  <c r="B21" i="4"/>
  <c r="AC21" i="4"/>
  <c r="C21" i="4"/>
  <c r="P21" i="4"/>
  <c r="U21" i="4"/>
  <c r="B22" i="4"/>
  <c r="AC22" i="4"/>
  <c r="C22" i="4"/>
  <c r="P22" i="4"/>
  <c r="B23" i="4"/>
  <c r="AC23" i="4"/>
  <c r="C23" i="4"/>
  <c r="H31" i="2"/>
  <c r="I31" i="2"/>
  <c r="D23" i="4"/>
  <c r="P23" i="4"/>
  <c r="U23" i="4"/>
  <c r="Z23" i="4"/>
  <c r="B24" i="4"/>
  <c r="C24" i="4"/>
  <c r="P24" i="4"/>
  <c r="H33" i="2"/>
  <c r="I33" i="2"/>
  <c r="D24" i="4"/>
  <c r="AB24" i="4"/>
  <c r="AC24" i="4"/>
  <c r="B25" i="4"/>
  <c r="C25" i="4"/>
  <c r="P25" i="4"/>
  <c r="U25" i="4"/>
  <c r="H35" i="2"/>
  <c r="I35" i="2"/>
  <c r="D25" i="4"/>
  <c r="N25" i="4"/>
  <c r="O25" i="4"/>
  <c r="AC25" i="4"/>
  <c r="B26" i="4"/>
  <c r="C26" i="4"/>
  <c r="P26" i="4"/>
  <c r="AC26" i="4"/>
  <c r="B27" i="4"/>
  <c r="C27" i="4"/>
  <c r="P27" i="4"/>
  <c r="U27" i="4"/>
  <c r="AC27" i="4"/>
  <c r="B28" i="4"/>
  <c r="C28" i="4"/>
  <c r="P28" i="4"/>
  <c r="AC28" i="4"/>
  <c r="B29" i="4"/>
  <c r="AC29" i="4"/>
  <c r="C29" i="4"/>
  <c r="P29" i="4"/>
  <c r="B30" i="4"/>
  <c r="AC30" i="4"/>
  <c r="C30" i="4"/>
  <c r="P30" i="4"/>
  <c r="B31" i="4"/>
  <c r="C31" i="4"/>
  <c r="P31" i="4"/>
  <c r="AC31" i="4"/>
  <c r="B33" i="4"/>
  <c r="C33" i="4"/>
  <c r="N33" i="4"/>
  <c r="O33" i="4"/>
  <c r="P33" i="4"/>
  <c r="AC33" i="4"/>
  <c r="F42" i="4"/>
  <c r="Q42" i="4"/>
  <c r="F43" i="4"/>
  <c r="Q43" i="4"/>
  <c r="C1" i="2"/>
  <c r="B8" i="2"/>
  <c r="H8" i="2"/>
  <c r="I8" i="2"/>
  <c r="E58" i="2"/>
  <c r="R8" i="2"/>
  <c r="B9" i="2"/>
  <c r="G9" i="2"/>
  <c r="H9" i="2"/>
  <c r="I9" i="2"/>
  <c r="B10" i="2"/>
  <c r="H10" i="2"/>
  <c r="I10" i="2"/>
  <c r="R10" i="2"/>
  <c r="B11" i="2"/>
  <c r="G11" i="2"/>
  <c r="H11" i="2"/>
  <c r="B12" i="2"/>
  <c r="G12" i="2"/>
  <c r="D15" i="5"/>
  <c r="H12" i="2"/>
  <c r="I12" i="2"/>
  <c r="R12" i="2"/>
  <c r="B13" i="2"/>
  <c r="G13" i="2"/>
  <c r="H13" i="2"/>
  <c r="I13" i="2"/>
  <c r="D14" i="4"/>
  <c r="N14" i="4"/>
  <c r="O14" i="4"/>
  <c r="U13" i="2"/>
  <c r="B14" i="2"/>
  <c r="H14" i="2"/>
  <c r="I14" i="2"/>
  <c r="U14" i="2"/>
  <c r="B15" i="2"/>
  <c r="G15" i="2"/>
  <c r="U15" i="2"/>
  <c r="B16" i="2"/>
  <c r="G16" i="2"/>
  <c r="D17" i="5"/>
  <c r="H16" i="2"/>
  <c r="I16" i="2"/>
  <c r="U16" i="2"/>
  <c r="B17" i="2"/>
  <c r="G17" i="2"/>
  <c r="H17" i="2"/>
  <c r="I17" i="2"/>
  <c r="D16" i="4"/>
  <c r="N16" i="4"/>
  <c r="O16" i="4"/>
  <c r="U17" i="2"/>
  <c r="B18" i="2"/>
  <c r="H18" i="2"/>
  <c r="I18" i="2"/>
  <c r="U18" i="2"/>
  <c r="B19" i="2"/>
  <c r="G19" i="2"/>
  <c r="U19" i="2"/>
  <c r="B20" i="2"/>
  <c r="G20" i="2"/>
  <c r="D19" i="5"/>
  <c r="H20" i="2"/>
  <c r="I20" i="2"/>
  <c r="U20" i="2"/>
  <c r="B21" i="2"/>
  <c r="G21" i="2"/>
  <c r="H21" i="2"/>
  <c r="I21" i="2"/>
  <c r="D18" i="4"/>
  <c r="U21" i="2"/>
  <c r="B22" i="2"/>
  <c r="G22" i="2"/>
  <c r="D20" i="5"/>
  <c r="H22" i="2"/>
  <c r="I22" i="2"/>
  <c r="U22" i="2"/>
  <c r="B23" i="2"/>
  <c r="G23" i="2"/>
  <c r="U23" i="2"/>
  <c r="B24" i="2"/>
  <c r="G24" i="2"/>
  <c r="D21" i="5"/>
  <c r="H24" i="2"/>
  <c r="I24" i="2"/>
  <c r="U24" i="2"/>
  <c r="B25" i="2"/>
  <c r="G25" i="2"/>
  <c r="H25" i="2"/>
  <c r="I25" i="2"/>
  <c r="D20" i="4"/>
  <c r="U25" i="2"/>
  <c r="B26" i="2"/>
  <c r="H26" i="2"/>
  <c r="I26" i="2"/>
  <c r="U26" i="2"/>
  <c r="B27" i="2"/>
  <c r="G27" i="2"/>
  <c r="H27" i="2"/>
  <c r="I27" i="2"/>
  <c r="D21" i="4"/>
  <c r="U27" i="2"/>
  <c r="B28" i="2"/>
  <c r="G28" i="2"/>
  <c r="D23" i="5"/>
  <c r="H28" i="2"/>
  <c r="I28" i="2"/>
  <c r="U28" i="2"/>
  <c r="B29" i="2"/>
  <c r="G29" i="2"/>
  <c r="H29" i="2"/>
  <c r="I29" i="2"/>
  <c r="D22" i="4"/>
  <c r="U29" i="2"/>
  <c r="B30" i="2"/>
  <c r="G30" i="2"/>
  <c r="D24" i="5"/>
  <c r="H30" i="2"/>
  <c r="I30" i="2"/>
  <c r="U30" i="2"/>
  <c r="B31" i="2"/>
  <c r="G31" i="2"/>
  <c r="U31" i="2"/>
  <c r="B32" i="2"/>
  <c r="G32" i="2"/>
  <c r="D25" i="5"/>
  <c r="H32" i="2"/>
  <c r="I32" i="2"/>
  <c r="U32" i="2"/>
  <c r="B33" i="2"/>
  <c r="G33" i="2"/>
  <c r="N24" i="4"/>
  <c r="O24" i="4"/>
  <c r="U33" i="2"/>
  <c r="B34" i="2"/>
  <c r="H34" i="2"/>
  <c r="I34" i="2"/>
  <c r="U34" i="2"/>
  <c r="B35" i="2"/>
  <c r="G35" i="2"/>
  <c r="U35" i="2"/>
  <c r="B36" i="2"/>
  <c r="G36" i="2"/>
  <c r="D27" i="5"/>
  <c r="H36" i="2"/>
  <c r="I36" i="2"/>
  <c r="U36" i="2"/>
  <c r="B37" i="2"/>
  <c r="G37" i="2"/>
  <c r="H37" i="2"/>
  <c r="I37" i="2"/>
  <c r="D26" i="4"/>
  <c r="U37" i="2"/>
  <c r="B38" i="2"/>
  <c r="H38" i="2"/>
  <c r="I38" i="2"/>
  <c r="B39" i="2"/>
  <c r="G39" i="2"/>
  <c r="H39" i="2"/>
  <c r="I39" i="2"/>
  <c r="D27" i="4"/>
  <c r="R39" i="2"/>
  <c r="B40" i="2"/>
  <c r="H40" i="2"/>
  <c r="I40" i="2"/>
  <c r="B41" i="2"/>
  <c r="G41" i="2"/>
  <c r="H41" i="2"/>
  <c r="I41" i="2"/>
  <c r="D28" i="4"/>
  <c r="R41" i="2"/>
  <c r="B42" i="2"/>
  <c r="G42" i="2"/>
  <c r="D30" i="5"/>
  <c r="N30" i="5"/>
  <c r="O30" i="5"/>
  <c r="H42" i="2"/>
  <c r="I42" i="2"/>
  <c r="R42" i="2"/>
  <c r="B43" i="2"/>
  <c r="G43" i="2"/>
  <c r="H43" i="2"/>
  <c r="I43" i="2"/>
  <c r="D29" i="4"/>
  <c r="AB29" i="4"/>
  <c r="R43" i="2"/>
  <c r="B44" i="2"/>
  <c r="G44" i="2"/>
  <c r="H44" i="2"/>
  <c r="I44" i="2"/>
  <c r="B45" i="2"/>
  <c r="G45" i="2"/>
  <c r="H45" i="2"/>
  <c r="I45" i="2"/>
  <c r="D30" i="4"/>
  <c r="R45" i="2"/>
  <c r="B46" i="2"/>
  <c r="G46" i="2"/>
  <c r="H46" i="2"/>
  <c r="I46" i="2"/>
  <c r="R46" i="2"/>
  <c r="B47" i="2"/>
  <c r="G47" i="2"/>
  <c r="H47" i="2"/>
  <c r="I47" i="2"/>
  <c r="D31" i="4"/>
  <c r="R47" i="2"/>
  <c r="B48" i="2"/>
  <c r="G48" i="2"/>
  <c r="H48" i="2"/>
  <c r="I48" i="2"/>
  <c r="G49" i="2"/>
  <c r="H49" i="2"/>
  <c r="I49" i="2"/>
  <c r="R49" i="2"/>
  <c r="G50" i="2"/>
  <c r="H50" i="2"/>
  <c r="I50" i="2"/>
  <c r="F58" i="2"/>
  <c r="E59" i="2"/>
  <c r="E61" i="2"/>
  <c r="F59" i="2"/>
  <c r="F61" i="2"/>
  <c r="E60" i="2"/>
  <c r="E62" i="2"/>
  <c r="F60" i="2"/>
  <c r="F62" i="2"/>
  <c r="C64" i="2"/>
  <c r="C66" i="2"/>
  <c r="E69" i="2"/>
  <c r="E70" i="2"/>
  <c r="E71" i="2"/>
  <c r="E72" i="2"/>
  <c r="E73" i="2"/>
  <c r="A1" i="21"/>
  <c r="J12" i="21"/>
  <c r="J13" i="21"/>
  <c r="J14" i="21"/>
  <c r="J15" i="21"/>
  <c r="J16" i="21"/>
  <c r="A1" i="22"/>
  <c r="A1" i="27"/>
  <c r="B8" i="27"/>
  <c r="C9" i="27"/>
  <c r="B9" i="27"/>
  <c r="B10" i="27"/>
  <c r="B11" i="27"/>
  <c r="B12" i="27"/>
  <c r="B13" i="27"/>
  <c r="B14" i="27"/>
  <c r="B15" i="27"/>
  <c r="B16" i="27"/>
  <c r="B17" i="27"/>
  <c r="B18" i="27"/>
  <c r="B19" i="27"/>
  <c r="B20" i="27"/>
  <c r="B21" i="27"/>
  <c r="B22" i="27"/>
  <c r="B43" i="27"/>
  <c r="B44" i="27"/>
  <c r="B45" i="27"/>
  <c r="B46" i="27"/>
  <c r="B47" i="27"/>
  <c r="B48" i="27"/>
  <c r="B49" i="27"/>
  <c r="B50" i="27"/>
  <c r="B51" i="27"/>
  <c r="B52" i="27"/>
  <c r="B53" i="27"/>
  <c r="B54" i="27"/>
  <c r="B55" i="27"/>
  <c r="B56" i="27"/>
  <c r="A1" i="24"/>
  <c r="C11" i="24"/>
  <c r="E11" i="24"/>
  <c r="J11" i="24"/>
  <c r="J12" i="24"/>
  <c r="J3" i="24"/>
  <c r="J7" i="24"/>
  <c r="J13" i="24"/>
  <c r="A1" i="26"/>
  <c r="C11" i="26"/>
  <c r="D11" i="26"/>
  <c r="E11" i="26"/>
  <c r="J11" i="26"/>
  <c r="D12" i="26"/>
  <c r="E12" i="26"/>
  <c r="J12" i="26"/>
  <c r="D13" i="26"/>
  <c r="E13" i="26"/>
  <c r="J3" i="26"/>
  <c r="J13" i="26"/>
  <c r="A3" i="17"/>
  <c r="B3" i="17"/>
  <c r="F3" i="17"/>
  <c r="A4" i="17"/>
  <c r="B4" i="17"/>
  <c r="A5" i="17"/>
  <c r="B5" i="17"/>
  <c r="A6" i="17"/>
  <c r="B6" i="17"/>
  <c r="A7" i="17"/>
  <c r="B7" i="17"/>
  <c r="A8" i="17"/>
  <c r="B8" i="17"/>
  <c r="A9" i="17"/>
  <c r="B9" i="17"/>
  <c r="A10" i="17"/>
  <c r="B10" i="17"/>
  <c r="A11" i="17"/>
  <c r="B11" i="17"/>
  <c r="A12" i="17"/>
  <c r="B12" i="17"/>
  <c r="A13" i="17"/>
  <c r="B13" i="17"/>
  <c r="A14" i="17"/>
  <c r="B14" i="17"/>
  <c r="A15" i="17"/>
  <c r="B15" i="17"/>
  <c r="A16" i="17"/>
  <c r="B16" i="17"/>
  <c r="A17" i="17"/>
  <c r="B17" i="17"/>
  <c r="A18" i="17"/>
  <c r="B18" i="17"/>
  <c r="A19" i="17"/>
  <c r="B19" i="17"/>
  <c r="A20" i="17"/>
  <c r="B20" i="17"/>
  <c r="A21" i="17"/>
  <c r="B21" i="17"/>
  <c r="A22" i="17"/>
  <c r="B22" i="17"/>
  <c r="A23" i="17"/>
  <c r="B23" i="17"/>
  <c r="A24" i="17"/>
  <c r="B24" i="17"/>
  <c r="A25" i="17"/>
  <c r="B25" i="17"/>
  <c r="A26" i="17"/>
  <c r="B26" i="17"/>
  <c r="A27" i="17"/>
  <c r="B27" i="17"/>
  <c r="A28" i="17"/>
  <c r="B28" i="17"/>
  <c r="A29" i="17"/>
  <c r="B29" i="17"/>
  <c r="A30" i="17"/>
  <c r="B30" i="17"/>
  <c r="A31" i="17"/>
  <c r="B31" i="17"/>
  <c r="A32" i="17"/>
  <c r="B32" i="17"/>
  <c r="A33" i="17"/>
  <c r="B33" i="17"/>
  <c r="A34" i="17"/>
  <c r="B34" i="17"/>
  <c r="A35" i="17"/>
  <c r="B35" i="17"/>
  <c r="A36" i="17"/>
  <c r="B36" i="17"/>
  <c r="A37" i="17"/>
  <c r="B37" i="17"/>
  <c r="A38" i="17"/>
  <c r="B38" i="17"/>
  <c r="A39" i="17"/>
  <c r="B39" i="17"/>
  <c r="A40" i="17"/>
  <c r="B40" i="17"/>
  <c r="A41" i="17"/>
  <c r="B41" i="17"/>
  <c r="A42" i="17"/>
  <c r="B42" i="17"/>
  <c r="A43" i="17"/>
  <c r="B43" i="17"/>
  <c r="A44" i="17"/>
  <c r="B44" i="17"/>
  <c r="A45" i="17"/>
  <c r="B45" i="17"/>
  <c r="A46" i="17"/>
  <c r="B46" i="17"/>
  <c r="A47" i="17"/>
  <c r="B47" i="17"/>
  <c r="A48" i="17"/>
  <c r="B48" i="17"/>
  <c r="A49" i="17"/>
  <c r="B49" i="17"/>
  <c r="A50" i="17"/>
  <c r="B50" i="17"/>
  <c r="A51" i="17"/>
  <c r="B51" i="17"/>
  <c r="A1" i="14"/>
  <c r="L4" i="14"/>
  <c r="L5" i="14"/>
  <c r="B8" i="14"/>
  <c r="D8" i="14"/>
  <c r="B9" i="14"/>
  <c r="B10" i="14"/>
  <c r="D10" i="14"/>
  <c r="B11" i="14"/>
  <c r="C11" i="14"/>
  <c r="B12" i="14"/>
  <c r="D12" i="14"/>
  <c r="B13" i="14"/>
  <c r="C13" i="14"/>
  <c r="B14" i="14"/>
  <c r="D14" i="14"/>
  <c r="B15" i="14"/>
  <c r="C15" i="14"/>
  <c r="B16" i="14"/>
  <c r="D16" i="14"/>
  <c r="B17" i="14"/>
  <c r="C17" i="14"/>
  <c r="B18" i="14"/>
  <c r="D18" i="14"/>
  <c r="B19" i="14"/>
  <c r="C19" i="14"/>
  <c r="B20" i="14"/>
  <c r="D20" i="14"/>
  <c r="B21" i="14"/>
  <c r="C21" i="14"/>
  <c r="B22" i="14"/>
  <c r="D22" i="14"/>
  <c r="B23" i="14"/>
  <c r="C23" i="14"/>
  <c r="B24" i="14"/>
  <c r="D24" i="14"/>
  <c r="B25" i="14"/>
  <c r="C25" i="14"/>
  <c r="B26" i="14"/>
  <c r="D26" i="14"/>
  <c r="B27" i="14"/>
  <c r="C27" i="14"/>
  <c r="B28" i="14"/>
  <c r="D28" i="14"/>
  <c r="B29" i="14"/>
  <c r="C29" i="14"/>
  <c r="B30" i="14"/>
  <c r="D30" i="14"/>
  <c r="B31" i="14"/>
  <c r="C31" i="14"/>
  <c r="B32" i="14"/>
  <c r="D32" i="14"/>
  <c r="B33" i="14"/>
  <c r="C33" i="14"/>
  <c r="B34" i="14"/>
  <c r="D34" i="14"/>
  <c r="B35" i="14"/>
  <c r="C35" i="14"/>
  <c r="B36" i="14"/>
  <c r="D36" i="14"/>
  <c r="B37" i="14"/>
  <c r="C37" i="14"/>
  <c r="B38" i="14"/>
  <c r="D38" i="14"/>
  <c r="B39" i="14"/>
  <c r="C39" i="14"/>
  <c r="B40" i="14"/>
  <c r="D40" i="14"/>
  <c r="B41" i="14"/>
  <c r="C41" i="14"/>
  <c r="B42" i="14"/>
  <c r="D42" i="14"/>
  <c r="B43" i="14"/>
  <c r="C43" i="14"/>
  <c r="B44" i="14"/>
  <c r="D44" i="14"/>
  <c r="B45" i="14"/>
  <c r="C45" i="14"/>
  <c r="B46" i="14"/>
  <c r="D46" i="14"/>
  <c r="B47" i="14"/>
  <c r="C47" i="14"/>
  <c r="B48" i="14"/>
  <c r="D48" i="14"/>
  <c r="B49" i="14"/>
  <c r="C49" i="14"/>
  <c r="B50" i="14"/>
  <c r="D50" i="14"/>
  <c r="B51" i="14"/>
  <c r="C51" i="14"/>
  <c r="B52" i="14"/>
  <c r="D52" i="14"/>
  <c r="B53" i="14"/>
  <c r="C53" i="14"/>
  <c r="B54" i="14"/>
  <c r="D54" i="14"/>
  <c r="B55" i="14"/>
  <c r="C55" i="14"/>
  <c r="B56" i="14"/>
  <c r="D56" i="14"/>
  <c r="B57" i="14"/>
  <c r="B58" i="14"/>
  <c r="D58" i="14"/>
  <c r="K71" i="14"/>
  <c r="M71" i="14"/>
  <c r="N71" i="14"/>
  <c r="M73" i="14"/>
  <c r="M75" i="14"/>
  <c r="A1" i="25"/>
  <c r="G74" i="25"/>
  <c r="G75" i="25"/>
  <c r="H75" i="25"/>
  <c r="L75" i="25"/>
  <c r="J75" i="25"/>
  <c r="B8" i="30"/>
  <c r="G76" i="25"/>
  <c r="J76" i="25"/>
  <c r="G77" i="25"/>
  <c r="K77" i="25"/>
  <c r="J77" i="25"/>
  <c r="G78" i="25"/>
  <c r="H78" i="25"/>
  <c r="L78" i="25"/>
  <c r="J78" i="25"/>
  <c r="G79" i="25"/>
  <c r="H79" i="25"/>
  <c r="L79" i="25"/>
  <c r="J79" i="25"/>
  <c r="F11" i="14"/>
  <c r="G80" i="25"/>
  <c r="J80" i="25"/>
  <c r="B13" i="24"/>
  <c r="I13" i="24"/>
  <c r="G81" i="25"/>
  <c r="J81" i="25"/>
  <c r="H13" i="14"/>
  <c r="E8" i="17"/>
  <c r="G82" i="25"/>
  <c r="H82" i="25"/>
  <c r="L82" i="25"/>
  <c r="J82" i="25"/>
  <c r="G83" i="25"/>
  <c r="H83" i="25"/>
  <c r="L83" i="25"/>
  <c r="J83" i="25"/>
  <c r="F13" i="15"/>
  <c r="G84" i="25"/>
  <c r="H84" i="25"/>
  <c r="L84" i="25"/>
  <c r="J84" i="25"/>
  <c r="G85" i="25"/>
  <c r="K85" i="25"/>
  <c r="J85" i="25"/>
  <c r="F17" i="14"/>
  <c r="G86" i="25"/>
  <c r="K86" i="25"/>
  <c r="J86" i="25"/>
  <c r="G18" i="14"/>
  <c r="G87" i="25"/>
  <c r="J87" i="25"/>
  <c r="G88" i="25"/>
  <c r="H88" i="25"/>
  <c r="L88" i="25"/>
  <c r="J88" i="25"/>
  <c r="G20" i="14"/>
  <c r="G89" i="25"/>
  <c r="J89" i="25"/>
  <c r="B18" i="26"/>
  <c r="I18" i="26"/>
  <c r="G90" i="25"/>
  <c r="H90" i="25"/>
  <c r="L90" i="25"/>
  <c r="J90" i="25"/>
  <c r="B18" i="24"/>
  <c r="I18" i="24"/>
  <c r="C91" i="25"/>
  <c r="T91" i="25"/>
  <c r="G91" i="25"/>
  <c r="H91" i="25"/>
  <c r="C92" i="25"/>
  <c r="B24" i="27"/>
  <c r="G92" i="25"/>
  <c r="H92" i="25"/>
  <c r="C93" i="25"/>
  <c r="T93" i="25"/>
  <c r="G93" i="25"/>
  <c r="H93" i="25"/>
  <c r="C94" i="25"/>
  <c r="T94" i="25"/>
  <c r="G94" i="25"/>
  <c r="C95" i="25"/>
  <c r="J95" i="25"/>
  <c r="F19" i="15"/>
  <c r="G95" i="25"/>
  <c r="H95" i="25"/>
  <c r="B28" i="27"/>
  <c r="G96" i="25"/>
  <c r="H96" i="25"/>
  <c r="C97" i="25"/>
  <c r="J97" i="25"/>
  <c r="F20" i="15"/>
  <c r="G97" i="25"/>
  <c r="H97" i="25"/>
  <c r="C98" i="25"/>
  <c r="J98" i="25"/>
  <c r="F21" i="33"/>
  <c r="G98" i="25"/>
  <c r="H98" i="25"/>
  <c r="C99" i="25"/>
  <c r="G99" i="25"/>
  <c r="H99" i="25"/>
  <c r="C100" i="25"/>
  <c r="G100" i="25"/>
  <c r="H100" i="25"/>
  <c r="G101" i="25"/>
  <c r="C102" i="25"/>
  <c r="G102" i="25"/>
  <c r="C103" i="25"/>
  <c r="T103" i="25"/>
  <c r="G103" i="25"/>
  <c r="H103" i="25"/>
  <c r="C104" i="25"/>
  <c r="T104" i="25"/>
  <c r="G104" i="25"/>
  <c r="H104" i="25"/>
  <c r="C105" i="25"/>
  <c r="T105" i="25"/>
  <c r="G105" i="25"/>
  <c r="C106" i="25"/>
  <c r="G106" i="25"/>
  <c r="H106" i="25"/>
  <c r="C107" i="25"/>
  <c r="G107" i="25"/>
  <c r="H107" i="25"/>
  <c r="C108" i="25"/>
  <c r="T108" i="25"/>
  <c r="G108" i="25"/>
  <c r="H108" i="25"/>
  <c r="C109" i="25"/>
  <c r="B41" i="27"/>
  <c r="G109" i="25"/>
  <c r="H109" i="25"/>
  <c r="C110" i="25"/>
  <c r="G110" i="25"/>
  <c r="H110" i="25"/>
  <c r="G111" i="25"/>
  <c r="H111" i="25"/>
  <c r="L111" i="25"/>
  <c r="J111" i="25"/>
  <c r="F27" i="15"/>
  <c r="G112" i="25"/>
  <c r="H112" i="25"/>
  <c r="L112" i="25"/>
  <c r="J112" i="25"/>
  <c r="D35" i="31"/>
  <c r="G113" i="25"/>
  <c r="K113" i="25"/>
  <c r="J113" i="25"/>
  <c r="D36" i="28"/>
  <c r="G114" i="25"/>
  <c r="H114" i="25"/>
  <c r="L114" i="25"/>
  <c r="J114" i="25"/>
  <c r="G115" i="25"/>
  <c r="H115" i="25"/>
  <c r="L115" i="25"/>
  <c r="J115" i="25"/>
  <c r="B51" i="21"/>
  <c r="I51" i="21"/>
  <c r="G116" i="25"/>
  <c r="J116" i="25"/>
  <c r="B48" i="22"/>
  <c r="G117" i="25"/>
  <c r="H117" i="25"/>
  <c r="L117" i="25"/>
  <c r="J117" i="25"/>
  <c r="F30" i="15"/>
  <c r="G118" i="25"/>
  <c r="H118" i="25"/>
  <c r="L118" i="25"/>
  <c r="J118" i="25"/>
  <c r="G119" i="25"/>
  <c r="K119" i="25"/>
  <c r="J119" i="25"/>
  <c r="D42" i="28"/>
  <c r="G120" i="25"/>
  <c r="J120" i="25"/>
  <c r="D43" i="28"/>
  <c r="G121" i="25"/>
  <c r="K121" i="25"/>
  <c r="J121" i="25"/>
  <c r="B34" i="26"/>
  <c r="I34" i="26"/>
  <c r="G122" i="25"/>
  <c r="H122" i="25"/>
  <c r="J122" i="25"/>
  <c r="B34" i="24"/>
  <c r="I34" i="24"/>
  <c r="G123" i="25"/>
  <c r="H123" i="25"/>
  <c r="J123" i="25"/>
  <c r="D29" i="32"/>
  <c r="G29" i="32"/>
  <c r="G124" i="25"/>
  <c r="K124" i="25"/>
  <c r="J124" i="25"/>
  <c r="F34" i="33"/>
  <c r="U28" i="4"/>
  <c r="X28" i="4"/>
  <c r="Y28" i="4"/>
  <c r="AA26" i="4"/>
  <c r="AB25" i="4"/>
  <c r="U24" i="4"/>
  <c r="X24" i="4"/>
  <c r="Y24" i="4"/>
  <c r="U22" i="4"/>
  <c r="X22" i="4"/>
  <c r="Y22" i="4"/>
  <c r="AA20" i="4"/>
  <c r="U18" i="4"/>
  <c r="X18" i="4"/>
  <c r="Y18" i="4"/>
  <c r="D11" i="15"/>
  <c r="J103" i="25"/>
  <c r="B35" i="22"/>
  <c r="B33" i="27"/>
  <c r="B25" i="27"/>
  <c r="H14" i="14"/>
  <c r="E9" i="17"/>
  <c r="B13" i="15"/>
  <c r="S24" i="4"/>
  <c r="T24" i="4"/>
  <c r="B14" i="15"/>
  <c r="B15" i="15"/>
  <c r="B16" i="15"/>
  <c r="AA27" i="4"/>
  <c r="AA21" i="4"/>
  <c r="AA19" i="4"/>
  <c r="AB17" i="4"/>
  <c r="AA15" i="4"/>
  <c r="AB14" i="4"/>
  <c r="N31" i="4"/>
  <c r="O31" i="4"/>
  <c r="AA30" i="5"/>
  <c r="D40" i="31"/>
  <c r="D15" i="15"/>
  <c r="E57" i="14"/>
  <c r="D52" i="17"/>
  <c r="Z27" i="4"/>
  <c r="Z21" i="4"/>
  <c r="AA18" i="4"/>
  <c r="S30" i="5"/>
  <c r="T30" i="5"/>
  <c r="Z17" i="5"/>
  <c r="Z15" i="5"/>
  <c r="AA14" i="5"/>
  <c r="F69" i="2"/>
  <c r="X25" i="5"/>
  <c r="X21" i="5"/>
  <c r="D64" i="2"/>
  <c r="D66" i="2"/>
  <c r="U29" i="4"/>
  <c r="X29" i="4"/>
  <c r="Y29" i="4"/>
  <c r="AA25" i="4"/>
  <c r="AA23" i="4"/>
  <c r="AA17" i="4"/>
  <c r="AA14" i="4"/>
  <c r="Z13" i="4"/>
  <c r="U30" i="5"/>
  <c r="X30" i="5"/>
  <c r="Y29" i="5"/>
  <c r="Y27" i="5"/>
  <c r="Y25" i="5"/>
  <c r="Y23" i="5"/>
  <c r="Y21" i="5"/>
  <c r="Y19" i="5"/>
  <c r="B11" i="33"/>
  <c r="D11" i="33"/>
  <c r="B13" i="33"/>
  <c r="D13" i="33"/>
  <c r="S25" i="4"/>
  <c r="T25" i="4"/>
  <c r="X25" i="4"/>
  <c r="Y25" i="4"/>
  <c r="S17" i="4"/>
  <c r="T17" i="4"/>
  <c r="X17" i="4"/>
  <c r="Y17" i="4"/>
  <c r="S15" i="5"/>
  <c r="T15" i="5"/>
  <c r="X15" i="5"/>
  <c r="N29" i="4"/>
  <c r="O29" i="4"/>
  <c r="X18" i="5"/>
  <c r="Z25" i="4"/>
  <c r="Z17" i="4"/>
  <c r="AA13" i="4"/>
  <c r="Z33" i="4"/>
  <c r="AA33" i="4"/>
  <c r="S33" i="4"/>
  <c r="T33" i="4"/>
  <c r="Z31" i="4"/>
  <c r="AA31" i="4"/>
  <c r="Z30" i="4"/>
  <c r="U30" i="4"/>
  <c r="X30" i="4"/>
  <c r="Y30" i="4"/>
  <c r="N28" i="4"/>
  <c r="O28" i="4"/>
  <c r="S28" i="4"/>
  <c r="T28" i="4"/>
  <c r="AB28" i="4"/>
  <c r="N27" i="4"/>
  <c r="O27" i="4"/>
  <c r="AB27" i="4"/>
  <c r="S27" i="4"/>
  <c r="T27" i="4"/>
  <c r="N26" i="4"/>
  <c r="O26" i="4"/>
  <c r="AB26" i="4"/>
  <c r="N23" i="4"/>
  <c r="O23" i="4"/>
  <c r="S23" i="4"/>
  <c r="T23" i="4"/>
  <c r="N22" i="4"/>
  <c r="O22" i="4"/>
  <c r="S22" i="4"/>
  <c r="T22" i="4"/>
  <c r="AB22" i="4"/>
  <c r="N21" i="4"/>
  <c r="O21" i="4"/>
  <c r="AB21" i="4"/>
  <c r="S21" i="4"/>
  <c r="T21" i="4"/>
  <c r="N20" i="4"/>
  <c r="O20" i="4"/>
  <c r="AB20" i="4"/>
  <c r="N19" i="4"/>
  <c r="O19" i="4"/>
  <c r="AB19" i="4"/>
  <c r="N18" i="4"/>
  <c r="O18" i="4"/>
  <c r="S18" i="4"/>
  <c r="T18" i="4"/>
  <c r="N15" i="4"/>
  <c r="O15" i="4"/>
  <c r="S15" i="4"/>
  <c r="T15" i="4"/>
  <c r="Y32" i="5"/>
  <c r="U32" i="5"/>
  <c r="W68" i="5"/>
  <c r="Z32" i="5"/>
  <c r="Z30" i="5"/>
  <c r="Y30" i="5"/>
  <c r="N29" i="5"/>
  <c r="O29" i="5"/>
  <c r="AA29" i="5"/>
  <c r="U28" i="5"/>
  <c r="Y28" i="5"/>
  <c r="N27" i="5"/>
  <c r="O27" i="5"/>
  <c r="AA27" i="5"/>
  <c r="U26" i="5"/>
  <c r="X26" i="5"/>
  <c r="Y26" i="5"/>
  <c r="N25" i="5"/>
  <c r="O25" i="5"/>
  <c r="AA25" i="5"/>
  <c r="S25" i="5"/>
  <c r="T25" i="5"/>
  <c r="U24" i="5"/>
  <c r="Y24" i="5"/>
  <c r="N23" i="5"/>
  <c r="O23" i="5"/>
  <c r="AA23" i="5"/>
  <c r="S23" i="5"/>
  <c r="T23" i="5"/>
  <c r="U22" i="5"/>
  <c r="Y22" i="5"/>
  <c r="N21" i="5"/>
  <c r="O21" i="5"/>
  <c r="AA21" i="5"/>
  <c r="S21" i="5"/>
  <c r="T21" i="5"/>
  <c r="U20" i="5"/>
  <c r="Y20" i="5"/>
  <c r="N19" i="5"/>
  <c r="O19" i="5"/>
  <c r="AA19" i="5"/>
  <c r="S19" i="5"/>
  <c r="T19" i="5"/>
  <c r="N17" i="5"/>
  <c r="O17" i="5"/>
  <c r="AA17" i="5"/>
  <c r="U13" i="5"/>
  <c r="Z13" i="5"/>
  <c r="N30" i="4"/>
  <c r="O30" i="4"/>
  <c r="S30" i="4"/>
  <c r="T30" i="4"/>
  <c r="AB30" i="4"/>
  <c r="Z29" i="4"/>
  <c r="AA29" i="4"/>
  <c r="Z28" i="4"/>
  <c r="AA28" i="4"/>
  <c r="Z26" i="4"/>
  <c r="U26" i="4"/>
  <c r="X26" i="4"/>
  <c r="Y26" i="4"/>
  <c r="Z22" i="4"/>
  <c r="AA22" i="4"/>
  <c r="Z20" i="4"/>
  <c r="U20" i="4"/>
  <c r="X20" i="4"/>
  <c r="Y20" i="4"/>
  <c r="U19" i="4"/>
  <c r="X19" i="4"/>
  <c r="Y19" i="4"/>
  <c r="Z19" i="4"/>
  <c r="X14" i="4"/>
  <c r="S14" i="4"/>
  <c r="T14" i="4"/>
  <c r="N28" i="5"/>
  <c r="O28" i="5"/>
  <c r="AA28" i="5"/>
  <c r="N26" i="5"/>
  <c r="O26" i="5"/>
  <c r="AA26" i="5"/>
  <c r="N24" i="5"/>
  <c r="O24" i="5"/>
  <c r="AA24" i="5"/>
  <c r="N22" i="5"/>
  <c r="O22" i="5"/>
  <c r="AA22" i="5"/>
  <c r="N20" i="5"/>
  <c r="O20" i="5"/>
  <c r="AA20" i="5"/>
  <c r="N18" i="5"/>
  <c r="O18" i="5"/>
  <c r="AA18" i="5"/>
  <c r="N16" i="5"/>
  <c r="O16" i="5"/>
  <c r="AA16" i="5"/>
  <c r="U14" i="5"/>
  <c r="Y14" i="5"/>
  <c r="N13" i="5"/>
  <c r="O13" i="5"/>
  <c r="AA13" i="5"/>
  <c r="Y18" i="5"/>
  <c r="AB15" i="4"/>
  <c r="AB18" i="4"/>
  <c r="U33" i="4"/>
  <c r="S18" i="5"/>
  <c r="T18" i="5"/>
  <c r="X19" i="5"/>
  <c r="X23" i="5"/>
  <c r="S26" i="5"/>
  <c r="T26" i="5"/>
  <c r="S32" i="5"/>
  <c r="T32" i="5"/>
  <c r="S26" i="4"/>
  <c r="T26" i="4"/>
  <c r="U31" i="4"/>
  <c r="X31" i="4"/>
  <c r="Y31" i="4"/>
  <c r="AB23" i="4"/>
  <c r="AA30" i="4"/>
  <c r="S16" i="5"/>
  <c r="T16" i="5"/>
  <c r="S31" i="4"/>
  <c r="T31" i="4"/>
  <c r="X27" i="4"/>
  <c r="Y27" i="4"/>
  <c r="X23" i="4"/>
  <c r="Y23" i="4"/>
  <c r="X21" i="4"/>
  <c r="Y21" i="4"/>
  <c r="X15" i="4"/>
  <c r="Y15" i="4"/>
  <c r="X20" i="5"/>
  <c r="S20" i="5"/>
  <c r="T20" i="5"/>
  <c r="X24" i="5"/>
  <c r="S24" i="5"/>
  <c r="T24" i="5"/>
  <c r="X28" i="5"/>
  <c r="S28" i="5"/>
  <c r="T28" i="5"/>
  <c r="AD32" i="5"/>
  <c r="AF33" i="4"/>
  <c r="S19" i="4"/>
  <c r="T19" i="4"/>
  <c r="X14" i="5"/>
  <c r="S14" i="5"/>
  <c r="T14" i="5"/>
  <c r="Y14" i="4"/>
  <c r="S20" i="4"/>
  <c r="T20" i="4"/>
  <c r="B29" i="24"/>
  <c r="I29" i="24"/>
  <c r="D27" i="32"/>
  <c r="E27" i="32"/>
  <c r="S76" i="25"/>
  <c r="S77" i="25"/>
  <c r="S78" i="25"/>
  <c r="S79" i="25"/>
  <c r="S80" i="25"/>
  <c r="S81" i="25"/>
  <c r="S82" i="25"/>
  <c r="S83" i="25"/>
  <c r="S84" i="25"/>
  <c r="S85" i="25"/>
  <c r="S86" i="25"/>
  <c r="S87" i="25"/>
  <c r="S88" i="25"/>
  <c r="S89" i="25"/>
  <c r="S90" i="25"/>
  <c r="S91" i="25"/>
  <c r="S92" i="25"/>
  <c r="S93" i="25"/>
  <c r="S94" i="25"/>
  <c r="S95" i="25"/>
  <c r="S96" i="25"/>
  <c r="S97" i="25"/>
  <c r="S98" i="25"/>
  <c r="S99" i="25"/>
  <c r="S100" i="25"/>
  <c r="S101" i="25"/>
  <c r="S102" i="25"/>
  <c r="S103" i="25"/>
  <c r="S104" i="25"/>
  <c r="S105" i="25"/>
  <c r="S106" i="25"/>
  <c r="S107" i="25"/>
  <c r="S108" i="25"/>
  <c r="S109" i="25"/>
  <c r="S110" i="25"/>
  <c r="S111" i="25"/>
  <c r="S112" i="25"/>
  <c r="S113" i="25"/>
  <c r="S114" i="25"/>
  <c r="S115" i="25"/>
  <c r="S116" i="25"/>
  <c r="S117" i="25"/>
  <c r="S118" i="25"/>
  <c r="S119" i="25"/>
  <c r="S120" i="25"/>
  <c r="S121" i="25"/>
  <c r="S122" i="25"/>
  <c r="S123" i="25"/>
  <c r="S124" i="25"/>
  <c r="S125" i="25"/>
  <c r="S126" i="25"/>
  <c r="S127" i="25"/>
  <c r="S128" i="25"/>
  <c r="S129" i="25"/>
  <c r="Z75" i="25"/>
  <c r="B13" i="22"/>
  <c r="H17" i="14"/>
  <c r="E12" i="17"/>
  <c r="B48" i="21"/>
  <c r="I48" i="21"/>
  <c r="U76" i="25"/>
  <c r="U77" i="25"/>
  <c r="W75" i="25"/>
  <c r="D47" i="28"/>
  <c r="E47" i="28"/>
  <c r="F10" i="15"/>
  <c r="F9" i="14"/>
  <c r="B15" i="21"/>
  <c r="I15" i="21"/>
  <c r="B35" i="26"/>
  <c r="I35" i="26"/>
  <c r="J55" i="14"/>
  <c r="L54" i="14"/>
  <c r="K84" i="25"/>
  <c r="L123" i="25"/>
  <c r="N125" i="25"/>
  <c r="N111" i="25"/>
  <c r="N90" i="25"/>
  <c r="L122" i="25"/>
  <c r="N114" i="25"/>
  <c r="N117" i="25"/>
  <c r="L50" i="14"/>
  <c r="N84" i="25"/>
  <c r="L30" i="14"/>
  <c r="N112" i="25"/>
  <c r="J31" i="14"/>
  <c r="E27" i="14"/>
  <c r="D22" i="17"/>
  <c r="J27" i="14"/>
  <c r="E11" i="14"/>
  <c r="D6" i="17"/>
  <c r="J11" i="14"/>
  <c r="J40" i="14"/>
  <c r="J12" i="14"/>
  <c r="J30" i="14"/>
  <c r="J44" i="14"/>
  <c r="J26" i="14"/>
  <c r="J18" i="14"/>
  <c r="J38" i="14"/>
  <c r="J58" i="14"/>
  <c r="J14" i="14"/>
  <c r="J28" i="14"/>
  <c r="J46" i="14"/>
  <c r="J60" i="14"/>
  <c r="J9" i="14"/>
  <c r="J16" i="14"/>
  <c r="J34" i="14"/>
  <c r="J48" i="14"/>
  <c r="J22" i="14"/>
  <c r="J36" i="14"/>
  <c r="J54" i="14"/>
  <c r="J61" i="14"/>
  <c r="J10" i="14"/>
  <c r="J24" i="14"/>
  <c r="J42" i="14"/>
  <c r="J56" i="14"/>
  <c r="J8" i="14"/>
  <c r="J32" i="14"/>
  <c r="J50" i="14"/>
  <c r="J20" i="14"/>
  <c r="J52" i="14"/>
  <c r="J59" i="14"/>
  <c r="J57" i="14"/>
  <c r="D67" i="14"/>
  <c r="D70" i="14"/>
  <c r="D66" i="14"/>
  <c r="L58" i="14"/>
  <c r="E43" i="14"/>
  <c r="D38" i="17"/>
  <c r="J43" i="14"/>
  <c r="E35" i="14"/>
  <c r="D30" i="17"/>
  <c r="J35" i="14"/>
  <c r="J19" i="14"/>
  <c r="L38" i="14"/>
  <c r="L18" i="14"/>
  <c r="C69" i="14"/>
  <c r="C71" i="14"/>
  <c r="J53" i="14"/>
  <c r="E49" i="14"/>
  <c r="D44" i="17"/>
  <c r="J49" i="14"/>
  <c r="E45" i="14"/>
  <c r="D40" i="17"/>
  <c r="J45" i="14"/>
  <c r="J41" i="14"/>
  <c r="E37" i="14"/>
  <c r="D32" i="17"/>
  <c r="J37" i="14"/>
  <c r="E33" i="14"/>
  <c r="D28" i="17"/>
  <c r="J33" i="14"/>
  <c r="E29" i="14"/>
  <c r="D24" i="17"/>
  <c r="J29" i="14"/>
  <c r="E25" i="14"/>
  <c r="D20" i="17"/>
  <c r="J25" i="14"/>
  <c r="E21" i="14"/>
  <c r="D16" i="17"/>
  <c r="J21" i="14"/>
  <c r="J17" i="14"/>
  <c r="E13" i="14"/>
  <c r="D8" i="17"/>
  <c r="J13" i="14"/>
  <c r="E51" i="14"/>
  <c r="D46" i="17"/>
  <c r="J51" i="14"/>
  <c r="E39" i="14"/>
  <c r="D34" i="17"/>
  <c r="J39" i="14"/>
  <c r="J15" i="14"/>
  <c r="E19" i="14"/>
  <c r="D14" i="17"/>
  <c r="L42" i="14"/>
  <c r="L26" i="14"/>
  <c r="L10" i="14"/>
  <c r="L8" i="14"/>
  <c r="L9" i="14"/>
  <c r="L13" i="14"/>
  <c r="L17" i="14"/>
  <c r="L21" i="14"/>
  <c r="L25" i="14"/>
  <c r="L29" i="14"/>
  <c r="L11" i="14"/>
  <c r="L33" i="14"/>
  <c r="L41" i="14"/>
  <c r="L49" i="14"/>
  <c r="L57" i="14"/>
  <c r="L15" i="14"/>
  <c r="L35" i="14"/>
  <c r="L43" i="14"/>
  <c r="L59" i="14"/>
  <c r="L23" i="14"/>
  <c r="L51" i="14"/>
  <c r="L27" i="14"/>
  <c r="L37" i="14"/>
  <c r="L45" i="14"/>
  <c r="L53" i="14"/>
  <c r="L19" i="14"/>
  <c r="L31" i="14"/>
  <c r="L39" i="14"/>
  <c r="L47" i="14"/>
  <c r="L55" i="14"/>
  <c r="L60" i="14"/>
  <c r="E47" i="14"/>
  <c r="D42" i="17"/>
  <c r="J47" i="14"/>
  <c r="J23" i="14"/>
  <c r="L46" i="14"/>
  <c r="L34" i="14"/>
  <c r="L22" i="14"/>
  <c r="L14" i="14"/>
  <c r="L56" i="14"/>
  <c r="D69" i="14"/>
  <c r="L52" i="14"/>
  <c r="L48" i="14"/>
  <c r="L44" i="14"/>
  <c r="L40" i="14"/>
  <c r="L36" i="14"/>
  <c r="L32" i="14"/>
  <c r="L28" i="14"/>
  <c r="L24" i="14"/>
  <c r="L20" i="14"/>
  <c r="L16" i="14"/>
  <c r="L12" i="14"/>
  <c r="I56" i="17"/>
  <c r="B13" i="30"/>
  <c r="C9" i="30"/>
  <c r="J7" i="26"/>
  <c r="D38" i="28"/>
  <c r="F38" i="28"/>
  <c r="D44" i="28"/>
  <c r="E44" i="28"/>
  <c r="D44" i="31"/>
  <c r="B22" i="21"/>
  <c r="I22" i="21"/>
  <c r="B23" i="27"/>
  <c r="B29" i="26"/>
  <c r="I29" i="26"/>
  <c r="D28" i="32"/>
  <c r="E28" i="32"/>
  <c r="D47" i="31"/>
  <c r="D34" i="31"/>
  <c r="J91" i="25"/>
  <c r="F17" i="15"/>
  <c r="G17" i="15"/>
  <c r="B43" i="22"/>
  <c r="K78" i="25"/>
  <c r="K82" i="25"/>
  <c r="K96" i="25"/>
  <c r="K123" i="25"/>
  <c r="H77" i="25"/>
  <c r="L77" i="25"/>
  <c r="K79" i="25"/>
  <c r="H101" i="25"/>
  <c r="L101" i="25"/>
  <c r="K101" i="25"/>
  <c r="K37" i="31"/>
  <c r="J108" i="25"/>
  <c r="F26" i="33"/>
  <c r="K117" i="25"/>
  <c r="K115" i="25"/>
  <c r="B18" i="22"/>
  <c r="B15" i="22"/>
  <c r="L107" i="25"/>
  <c r="B35" i="24"/>
  <c r="I35" i="24"/>
  <c r="H30" i="14"/>
  <c r="E25" i="17"/>
  <c r="H27" i="17"/>
  <c r="H47" i="14"/>
  <c r="E42" i="17"/>
  <c r="H44" i="17"/>
  <c r="B21" i="26"/>
  <c r="I21" i="26"/>
  <c r="H56" i="14"/>
  <c r="E51" i="17"/>
  <c r="I55" i="17"/>
  <c r="G56" i="14"/>
  <c r="H53" i="14"/>
  <c r="E48" i="17"/>
  <c r="H50" i="17"/>
  <c r="F53" i="14"/>
  <c r="B57" i="21"/>
  <c r="I57" i="21"/>
  <c r="K102" i="25"/>
  <c r="B44" i="21"/>
  <c r="I44" i="21"/>
  <c r="F33" i="33"/>
  <c r="F28" i="33"/>
  <c r="F13" i="33"/>
  <c r="F12" i="33"/>
  <c r="G12" i="33"/>
  <c r="F11" i="33"/>
  <c r="G11" i="33"/>
  <c r="B11" i="24"/>
  <c r="D11" i="24"/>
  <c r="F10" i="33"/>
  <c r="G10" i="33"/>
  <c r="E56" i="14"/>
  <c r="E54" i="14"/>
  <c r="D49" i="17"/>
  <c r="E52" i="14"/>
  <c r="E50" i="14"/>
  <c r="D45" i="17"/>
  <c r="E48" i="14"/>
  <c r="D43" i="17"/>
  <c r="E46" i="14"/>
  <c r="D41" i="17"/>
  <c r="E44" i="14"/>
  <c r="D39" i="17"/>
  <c r="E42" i="14"/>
  <c r="D37" i="17"/>
  <c r="E40" i="14"/>
  <c r="D35" i="17"/>
  <c r="E38" i="14"/>
  <c r="D33" i="17"/>
  <c r="E36" i="14"/>
  <c r="D31" i="17"/>
  <c r="E34" i="14"/>
  <c r="D29" i="17"/>
  <c r="E32" i="14"/>
  <c r="D27" i="17"/>
  <c r="E30" i="14"/>
  <c r="D25" i="17"/>
  <c r="E28" i="14"/>
  <c r="D23" i="17"/>
  <c r="H121" i="25"/>
  <c r="L121" i="25"/>
  <c r="F32" i="33"/>
  <c r="F31" i="33"/>
  <c r="B31" i="24"/>
  <c r="I31" i="24"/>
  <c r="F30" i="33"/>
  <c r="D37" i="28"/>
  <c r="G37" i="28"/>
  <c r="F29" i="33"/>
  <c r="D35" i="28"/>
  <c r="E35" i="28"/>
  <c r="L100" i="25"/>
  <c r="L99" i="25"/>
  <c r="L93" i="25"/>
  <c r="L91" i="25"/>
  <c r="F17" i="33"/>
  <c r="F16" i="33"/>
  <c r="F15" i="33"/>
  <c r="B20" i="21"/>
  <c r="I20" i="21"/>
  <c r="F14" i="33"/>
  <c r="E58" i="14"/>
  <c r="D53" i="17"/>
  <c r="E26" i="14"/>
  <c r="D21" i="17"/>
  <c r="E24" i="14"/>
  <c r="D19" i="17"/>
  <c r="E22" i="14"/>
  <c r="D17" i="17"/>
  <c r="E20" i="14"/>
  <c r="D15" i="17"/>
  <c r="E18" i="14"/>
  <c r="D13" i="17"/>
  <c r="E16" i="14"/>
  <c r="D11" i="17"/>
  <c r="E14" i="14"/>
  <c r="D9" i="17"/>
  <c r="E12" i="14"/>
  <c r="D7" i="17"/>
  <c r="E10" i="14"/>
  <c r="D5" i="17"/>
  <c r="E9" i="14"/>
  <c r="D4" i="17"/>
  <c r="E8" i="14"/>
  <c r="D3" i="17"/>
  <c r="H55" i="17"/>
  <c r="K100" i="25"/>
  <c r="B11" i="34"/>
  <c r="D25" i="32"/>
  <c r="E25" i="32"/>
  <c r="B14" i="22"/>
  <c r="H18" i="14"/>
  <c r="E13" i="17"/>
  <c r="H15" i="17"/>
  <c r="B26" i="21"/>
  <c r="I26" i="21"/>
  <c r="B16" i="24"/>
  <c r="I16" i="24"/>
  <c r="H20" i="14"/>
  <c r="E15" i="17"/>
  <c r="H17" i="17"/>
  <c r="H85" i="25"/>
  <c r="L85" i="25"/>
  <c r="H50" i="14"/>
  <c r="E45" i="17"/>
  <c r="H47" i="17"/>
  <c r="K108" i="25"/>
  <c r="F51" i="14"/>
  <c r="L106" i="25"/>
  <c r="L104" i="25"/>
  <c r="H102" i="25"/>
  <c r="L102" i="25"/>
  <c r="B10" i="34"/>
  <c r="B9" i="34"/>
  <c r="D43" i="31"/>
  <c r="K103" i="25"/>
  <c r="B8" i="22"/>
  <c r="C9" i="22"/>
  <c r="H52" i="14"/>
  <c r="E47" i="17"/>
  <c r="B11" i="30"/>
  <c r="D39" i="28"/>
  <c r="E39" i="28"/>
  <c r="D40" i="28"/>
  <c r="E40" i="28"/>
  <c r="D42" i="31"/>
  <c r="G8" i="14"/>
  <c r="B18" i="21"/>
  <c r="I18" i="21"/>
  <c r="B12" i="24"/>
  <c r="I12" i="24"/>
  <c r="H8" i="14"/>
  <c r="E3" i="17"/>
  <c r="H5" i="17"/>
  <c r="B56" i="21"/>
  <c r="I56" i="21"/>
  <c r="B21" i="22"/>
  <c r="B35" i="27"/>
  <c r="F45" i="14"/>
  <c r="H86" i="25"/>
  <c r="L86" i="25"/>
  <c r="D45" i="28"/>
  <c r="F45" i="28"/>
  <c r="D26" i="28"/>
  <c r="E26" i="28"/>
  <c r="D36" i="31"/>
  <c r="B14" i="24"/>
  <c r="I14" i="24"/>
  <c r="H12" i="14"/>
  <c r="E7" i="17"/>
  <c r="H9" i="17"/>
  <c r="P9" i="17"/>
  <c r="G44" i="14"/>
  <c r="F21" i="14"/>
  <c r="B25" i="21"/>
  <c r="I25" i="21"/>
  <c r="J93" i="25"/>
  <c r="F18" i="15"/>
  <c r="B47" i="22"/>
  <c r="B53" i="22"/>
  <c r="H113" i="25"/>
  <c r="L113" i="25"/>
  <c r="K110" i="25"/>
  <c r="B40" i="27"/>
  <c r="B37" i="27"/>
  <c r="L103" i="25"/>
  <c r="K88" i="25"/>
  <c r="J37" i="28"/>
  <c r="H21" i="14"/>
  <c r="E16" i="17"/>
  <c r="H18" i="17"/>
  <c r="D14" i="28"/>
  <c r="E14" i="28"/>
  <c r="D38" i="31"/>
  <c r="K93" i="25"/>
  <c r="B11" i="26"/>
  <c r="F11" i="26"/>
  <c r="K111" i="25"/>
  <c r="B29" i="22"/>
  <c r="H23" i="14"/>
  <c r="E18" i="17"/>
  <c r="B12" i="22"/>
  <c r="G12" i="14"/>
  <c r="B16" i="21"/>
  <c r="I16" i="21"/>
  <c r="G14" i="14"/>
  <c r="H44" i="14"/>
  <c r="E39" i="17"/>
  <c r="H41" i="17"/>
  <c r="B44" i="22"/>
  <c r="K114" i="25"/>
  <c r="K83" i="25"/>
  <c r="D15" i="32"/>
  <c r="E15" i="32"/>
  <c r="D21" i="28"/>
  <c r="G21" i="28"/>
  <c r="F23" i="15"/>
  <c r="F15" i="15"/>
  <c r="G15" i="15"/>
  <c r="D16" i="36"/>
  <c r="F16" i="36"/>
  <c r="J110" i="25"/>
  <c r="F27" i="33"/>
  <c r="D45" i="31"/>
  <c r="B30" i="22"/>
  <c r="H22" i="14"/>
  <c r="E17" i="17"/>
  <c r="F15" i="14"/>
  <c r="B30" i="24"/>
  <c r="I30" i="24"/>
  <c r="G50" i="14"/>
  <c r="B54" i="22"/>
  <c r="K75" i="25"/>
  <c r="J141" i="25"/>
  <c r="J145" i="25"/>
  <c r="F33" i="15"/>
  <c r="F11" i="15"/>
  <c r="K104" i="25"/>
  <c r="D23" i="32"/>
  <c r="E23" i="32"/>
  <c r="D39" i="31"/>
  <c r="D34" i="28"/>
  <c r="E34" i="28"/>
  <c r="D18" i="31"/>
  <c r="D14" i="31"/>
  <c r="K95" i="25"/>
  <c r="K118" i="25"/>
  <c r="B22" i="24"/>
  <c r="I22" i="24"/>
  <c r="H35" i="14"/>
  <c r="E30" i="17"/>
  <c r="H32" i="17"/>
  <c r="B39" i="21"/>
  <c r="I39" i="21"/>
  <c r="F23" i="14"/>
  <c r="B12" i="21"/>
  <c r="I12" i="21"/>
  <c r="B20" i="22"/>
  <c r="G22" i="14"/>
  <c r="H15" i="14"/>
  <c r="E10" i="17"/>
  <c r="I12" i="17"/>
  <c r="B19" i="21"/>
  <c r="I19" i="21"/>
  <c r="B19" i="22"/>
  <c r="H46" i="14"/>
  <c r="E41" i="17"/>
  <c r="H43" i="17"/>
  <c r="B32" i="24"/>
  <c r="I32" i="24"/>
  <c r="F13" i="14"/>
  <c r="J92" i="25"/>
  <c r="F18" i="33"/>
  <c r="J94" i="25"/>
  <c r="B30" i="21"/>
  <c r="J104" i="25"/>
  <c r="F24" i="33"/>
  <c r="B47" i="21"/>
  <c r="I47" i="21"/>
  <c r="F29" i="15"/>
  <c r="F16" i="15"/>
  <c r="G16" i="15"/>
  <c r="F14" i="15"/>
  <c r="F12" i="15"/>
  <c r="G12" i="15"/>
  <c r="D41" i="28"/>
  <c r="E41" i="28"/>
  <c r="D37" i="31"/>
  <c r="G30" i="14"/>
  <c r="F35" i="14"/>
  <c r="B50" i="22"/>
  <c r="F31" i="15"/>
  <c r="K92" i="25"/>
  <c r="J105" i="25"/>
  <c r="D21" i="31"/>
  <c r="D41" i="31"/>
  <c r="B12" i="30"/>
  <c r="D26" i="31"/>
  <c r="B10" i="30"/>
  <c r="K97" i="25"/>
  <c r="K122" i="25"/>
  <c r="B34" i="21"/>
  <c r="I34" i="21"/>
  <c r="B25" i="26"/>
  <c r="I25" i="26"/>
  <c r="B22" i="22"/>
  <c r="B24" i="21"/>
  <c r="I24" i="21"/>
  <c r="B17" i="24"/>
  <c r="I17" i="24"/>
  <c r="H11" i="14"/>
  <c r="E6" i="17"/>
  <c r="I10" i="17"/>
  <c r="B15" i="26"/>
  <c r="I15" i="26"/>
  <c r="F19" i="14"/>
  <c r="B54" i="21"/>
  <c r="I54" i="21"/>
  <c r="K112" i="25"/>
  <c r="B14" i="26"/>
  <c r="I14" i="26"/>
  <c r="B17" i="21"/>
  <c r="I17" i="21"/>
  <c r="B26" i="27"/>
  <c r="D19" i="32"/>
  <c r="G19" i="32"/>
  <c r="B36" i="27"/>
  <c r="B33" i="26"/>
  <c r="I33" i="26"/>
  <c r="B60" i="21"/>
  <c r="I60" i="21"/>
  <c r="B56" i="22"/>
  <c r="F32" i="15"/>
  <c r="B45" i="22"/>
  <c r="F28" i="15"/>
  <c r="L110" i="25"/>
  <c r="L108" i="25"/>
  <c r="K94" i="25"/>
  <c r="L92" i="25"/>
  <c r="K90" i="25"/>
  <c r="K36" i="31"/>
  <c r="J44" i="28"/>
  <c r="J40" i="28"/>
  <c r="D16" i="15"/>
  <c r="J7" i="21"/>
  <c r="G50" i="17"/>
  <c r="F50" i="17"/>
  <c r="G46" i="17"/>
  <c r="F46" i="17"/>
  <c r="G48" i="17"/>
  <c r="F48" i="17"/>
  <c r="G44" i="17"/>
  <c r="F44" i="17"/>
  <c r="G40" i="17"/>
  <c r="F40" i="17"/>
  <c r="G10" i="17"/>
  <c r="F10" i="17"/>
  <c r="G52" i="17"/>
  <c r="F52" i="17"/>
  <c r="G51" i="17"/>
  <c r="F51" i="17"/>
  <c r="G47" i="17"/>
  <c r="F47" i="17"/>
  <c r="G43" i="17"/>
  <c r="F43" i="17"/>
  <c r="G39" i="17"/>
  <c r="F39" i="17"/>
  <c r="G37" i="17"/>
  <c r="F37" i="17"/>
  <c r="G33" i="17"/>
  <c r="F33" i="17"/>
  <c r="G29" i="17"/>
  <c r="F29" i="17"/>
  <c r="G25" i="17"/>
  <c r="F25" i="17"/>
  <c r="G22" i="17"/>
  <c r="F22" i="17"/>
  <c r="G20" i="17"/>
  <c r="F20" i="17"/>
  <c r="G18" i="17"/>
  <c r="F18" i="17"/>
  <c r="G16" i="17"/>
  <c r="F16" i="17"/>
  <c r="G14" i="17"/>
  <c r="F14" i="17"/>
  <c r="G5" i="17"/>
  <c r="F5" i="17"/>
  <c r="G42" i="17"/>
  <c r="F42" i="17"/>
  <c r="G13" i="17"/>
  <c r="F13" i="17"/>
  <c r="G7" i="17"/>
  <c r="F7" i="17"/>
  <c r="G4" i="17"/>
  <c r="F4" i="17"/>
  <c r="G49" i="17"/>
  <c r="F49" i="17"/>
  <c r="G45" i="17"/>
  <c r="F45" i="17"/>
  <c r="G41" i="17"/>
  <c r="F41" i="17"/>
  <c r="G35" i="17"/>
  <c r="F35" i="17"/>
  <c r="G31" i="17"/>
  <c r="F31" i="17"/>
  <c r="G27" i="17"/>
  <c r="F27" i="17"/>
  <c r="G12" i="17"/>
  <c r="F12" i="17"/>
  <c r="G36" i="17"/>
  <c r="F36" i="17"/>
  <c r="G32" i="17"/>
  <c r="F32" i="17"/>
  <c r="G28" i="17"/>
  <c r="F28" i="17"/>
  <c r="G24" i="17"/>
  <c r="F24" i="17"/>
  <c r="G23" i="17"/>
  <c r="F23" i="17"/>
  <c r="G19" i="17"/>
  <c r="F19" i="17"/>
  <c r="G15" i="17"/>
  <c r="F15" i="17"/>
  <c r="G9" i="17"/>
  <c r="F9" i="17"/>
  <c r="G8" i="17"/>
  <c r="F8" i="17"/>
  <c r="G38" i="17"/>
  <c r="F38" i="17"/>
  <c r="G34" i="17"/>
  <c r="F34" i="17"/>
  <c r="G30" i="17"/>
  <c r="F30" i="17"/>
  <c r="G26" i="17"/>
  <c r="F26" i="17"/>
  <c r="G21" i="17"/>
  <c r="F21" i="17"/>
  <c r="G17" i="17"/>
  <c r="F17" i="17"/>
  <c r="G11" i="17"/>
  <c r="F11" i="17"/>
  <c r="G6" i="17"/>
  <c r="F6" i="17"/>
  <c r="G53" i="17"/>
  <c r="F53" i="17"/>
  <c r="I45" i="32"/>
  <c r="K47" i="28"/>
  <c r="J41" i="28"/>
  <c r="K39" i="28"/>
  <c r="B31" i="26"/>
  <c r="I31" i="26"/>
  <c r="F47" i="14"/>
  <c r="H51" i="14"/>
  <c r="E46" i="17"/>
  <c r="H48" i="17"/>
  <c r="B51" i="22"/>
  <c r="B55" i="21"/>
  <c r="I55" i="21"/>
  <c r="L98" i="25"/>
  <c r="L96" i="25"/>
  <c r="H94" i="25"/>
  <c r="L94" i="25"/>
  <c r="T92" i="25"/>
  <c r="C139" i="25"/>
  <c r="C137" i="25"/>
  <c r="C135" i="25"/>
  <c r="C134" i="25"/>
  <c r="C138" i="25"/>
  <c r="C136" i="25"/>
  <c r="E53" i="14"/>
  <c r="D48" i="17"/>
  <c r="E23" i="14"/>
  <c r="D18" i="17"/>
  <c r="E17" i="14"/>
  <c r="D12" i="17"/>
  <c r="E15" i="14"/>
  <c r="D10" i="17"/>
  <c r="I61" i="31"/>
  <c r="J43" i="28"/>
  <c r="E41" i="14"/>
  <c r="D36" i="17"/>
  <c r="J25" i="32"/>
  <c r="K29" i="32"/>
  <c r="B8" i="34"/>
  <c r="C9" i="34"/>
  <c r="J46" i="28"/>
  <c r="H10" i="17"/>
  <c r="H11" i="17"/>
  <c r="G3" i="17"/>
  <c r="H54" i="17"/>
  <c r="K43" i="28"/>
  <c r="J47" i="28"/>
  <c r="E9" i="27"/>
  <c r="C10" i="27"/>
  <c r="E10" i="27"/>
  <c r="I44" i="32"/>
  <c r="F36" i="28"/>
  <c r="K46" i="28"/>
  <c r="J38" i="28"/>
  <c r="K36" i="28"/>
  <c r="E36" i="28"/>
  <c r="E42" i="28"/>
  <c r="J42" i="28"/>
  <c r="I60" i="31"/>
  <c r="I63" i="31"/>
  <c r="J36" i="28"/>
  <c r="J45" i="28"/>
  <c r="I65" i="28"/>
  <c r="G6" i="32"/>
  <c r="G7" i="32"/>
  <c r="I67" i="28"/>
  <c r="I64" i="28"/>
  <c r="G36" i="28"/>
  <c r="J24" i="32"/>
  <c r="K44" i="28"/>
  <c r="G6" i="28"/>
  <c r="G8" i="28"/>
  <c r="K38" i="28"/>
  <c r="K37" i="28"/>
  <c r="K40" i="28"/>
  <c r="J26" i="32"/>
  <c r="K41" i="28"/>
  <c r="K24" i="32"/>
  <c r="K28" i="32"/>
  <c r="I46" i="32"/>
  <c r="I62" i="31"/>
  <c r="J39" i="28"/>
  <c r="K45" i="28"/>
  <c r="H9" i="14"/>
  <c r="E4" i="17"/>
  <c r="B13" i="21"/>
  <c r="B12" i="26"/>
  <c r="B9" i="22"/>
  <c r="B9" i="30"/>
  <c r="H76" i="25"/>
  <c r="L76" i="25"/>
  <c r="K76" i="25"/>
  <c r="G137" i="25"/>
  <c r="G138" i="25"/>
  <c r="G136" i="25"/>
  <c r="G139" i="25"/>
  <c r="G135" i="25"/>
  <c r="E55" i="14"/>
  <c r="D50" i="17"/>
  <c r="G134" i="25"/>
  <c r="H87" i="25"/>
  <c r="L87" i="25"/>
  <c r="K87" i="25"/>
  <c r="K81" i="25"/>
  <c r="H81" i="25"/>
  <c r="L81" i="25"/>
  <c r="D18" i="15"/>
  <c r="B18" i="15"/>
  <c r="G43" i="28"/>
  <c r="F43" i="28"/>
  <c r="N15" i="5"/>
  <c r="O15" i="5"/>
  <c r="O34" i="5"/>
  <c r="AC15" i="5"/>
  <c r="H89" i="25"/>
  <c r="L89" i="25"/>
  <c r="K89" i="25"/>
  <c r="E43" i="28"/>
  <c r="X13" i="5"/>
  <c r="S13" i="5"/>
  <c r="T13" i="5"/>
  <c r="AB30" i="5"/>
  <c r="AC30" i="5"/>
  <c r="AC17" i="5"/>
  <c r="B12" i="33"/>
  <c r="D12" i="33"/>
  <c r="S22" i="5"/>
  <c r="T22" i="5"/>
  <c r="X22" i="5"/>
  <c r="D17" i="15"/>
  <c r="B17" i="15"/>
  <c r="H14" i="17"/>
  <c r="F27" i="14"/>
  <c r="H27" i="14"/>
  <c r="E22" i="17"/>
  <c r="B27" i="22"/>
  <c r="B31" i="21"/>
  <c r="D18" i="28"/>
  <c r="G42" i="28"/>
  <c r="F42" i="28"/>
  <c r="D16" i="32"/>
  <c r="H29" i="14"/>
  <c r="E24" i="17"/>
  <c r="F29" i="14"/>
  <c r="B33" i="21"/>
  <c r="D20" i="31"/>
  <c r="D20" i="28"/>
  <c r="B22" i="26"/>
  <c r="G48" i="14"/>
  <c r="H48" i="14"/>
  <c r="E43" i="17"/>
  <c r="B52" i="21"/>
  <c r="H80" i="25"/>
  <c r="L80" i="25"/>
  <c r="K80" i="25"/>
  <c r="B14" i="21"/>
  <c r="G10" i="14"/>
  <c r="H10" i="14"/>
  <c r="E5" i="17"/>
  <c r="B10" i="22"/>
  <c r="E31" i="14"/>
  <c r="D26" i="17"/>
  <c r="E29" i="32"/>
  <c r="F29" i="32"/>
  <c r="B53" i="21"/>
  <c r="B49" i="22"/>
  <c r="D26" i="32"/>
  <c r="B32" i="26"/>
  <c r="H49" i="14"/>
  <c r="E44" i="17"/>
  <c r="F49" i="14"/>
  <c r="K105" i="25"/>
  <c r="H105" i="25"/>
  <c r="L105" i="25"/>
  <c r="D13" i="32"/>
  <c r="B27" i="21"/>
  <c r="B19" i="26"/>
  <c r="B23" i="22"/>
  <c r="F55" i="14"/>
  <c r="B59" i="21"/>
  <c r="B55" i="22"/>
  <c r="J142" i="25"/>
  <c r="J143" i="25"/>
  <c r="H55" i="14"/>
  <c r="E50" i="17"/>
  <c r="D46" i="31"/>
  <c r="D46" i="28"/>
  <c r="T109" i="25"/>
  <c r="K109" i="25"/>
  <c r="J109" i="25"/>
  <c r="F26" i="15"/>
  <c r="L109" i="25"/>
  <c r="K98" i="25"/>
  <c r="T97" i="25"/>
  <c r="B29" i="27"/>
  <c r="T95" i="25"/>
  <c r="B27" i="27"/>
  <c r="D14" i="15"/>
  <c r="G54" i="14"/>
  <c r="B58" i="21"/>
  <c r="H54" i="14"/>
  <c r="B50" i="21"/>
  <c r="G46" i="14"/>
  <c r="B46" i="22"/>
  <c r="T110" i="25"/>
  <c r="B42" i="27"/>
  <c r="H16" i="14"/>
  <c r="E11" i="17"/>
  <c r="B15" i="24"/>
  <c r="G16" i="14"/>
  <c r="B16" i="22"/>
  <c r="H120" i="25"/>
  <c r="L120" i="25"/>
  <c r="K120" i="25"/>
  <c r="B49" i="21"/>
  <c r="B30" i="26"/>
  <c r="D24" i="32"/>
  <c r="T107" i="25"/>
  <c r="K107" i="25"/>
  <c r="T106" i="25"/>
  <c r="B38" i="27"/>
  <c r="J106" i="25"/>
  <c r="F25" i="33"/>
  <c r="T102" i="25"/>
  <c r="B34" i="27"/>
  <c r="J102" i="25"/>
  <c r="T101" i="25"/>
  <c r="J101" i="25"/>
  <c r="F22" i="15"/>
  <c r="T100" i="25"/>
  <c r="B32" i="27"/>
  <c r="J100" i="25"/>
  <c r="T99" i="25"/>
  <c r="J99" i="25"/>
  <c r="F21" i="15"/>
  <c r="B31" i="27"/>
  <c r="L97" i="25"/>
  <c r="L95" i="25"/>
  <c r="B23" i="21"/>
  <c r="B17" i="26"/>
  <c r="B21" i="21"/>
  <c r="B17" i="22"/>
  <c r="B16" i="26"/>
  <c r="I11" i="2"/>
  <c r="D13" i="4"/>
  <c r="H58" i="2"/>
  <c r="H74" i="25"/>
  <c r="K74" i="25"/>
  <c r="S29" i="4"/>
  <c r="T29" i="4"/>
  <c r="A15" i="30"/>
  <c r="B14" i="30"/>
  <c r="AA15" i="5"/>
  <c r="AA24" i="4"/>
  <c r="Z24" i="4"/>
  <c r="D12" i="15"/>
  <c r="K91" i="25"/>
  <c r="K99" i="25"/>
  <c r="J107" i="25"/>
  <c r="F25" i="15"/>
  <c r="H119" i="25"/>
  <c r="L119" i="25"/>
  <c r="H19" i="14"/>
  <c r="E14" i="17"/>
  <c r="K106" i="25"/>
  <c r="H45" i="14"/>
  <c r="E40" i="17"/>
  <c r="H124" i="25"/>
  <c r="B52" i="22"/>
  <c r="B33" i="24"/>
  <c r="G52" i="14"/>
  <c r="H116" i="25"/>
  <c r="L116" i="25"/>
  <c r="K116" i="25"/>
  <c r="F43" i="14"/>
  <c r="H43" i="14"/>
  <c r="B39" i="27"/>
  <c r="T98" i="25"/>
  <c r="B30" i="27"/>
  <c r="T96" i="25"/>
  <c r="J96" i="25"/>
  <c r="F20" i="33"/>
  <c r="B11" i="22"/>
  <c r="B13" i="26"/>
  <c r="AA16" i="4"/>
  <c r="U16" i="4"/>
  <c r="U27" i="5"/>
  <c r="Z27" i="5"/>
  <c r="G69" i="2"/>
  <c r="I58" i="2"/>
  <c r="AB16" i="4"/>
  <c r="U13" i="4"/>
  <c r="X13" i="4"/>
  <c r="E64" i="2"/>
  <c r="E66" i="2"/>
  <c r="R9" i="2"/>
  <c r="R13" i="2"/>
  <c r="R14" i="2"/>
  <c r="R15" i="2"/>
  <c r="R16" i="2"/>
  <c r="R17" i="2"/>
  <c r="R18" i="2"/>
  <c r="R19" i="2"/>
  <c r="R20" i="2"/>
  <c r="R21" i="2"/>
  <c r="R22" i="2"/>
  <c r="R23" i="2"/>
  <c r="R24" i="2"/>
  <c r="R25" i="2"/>
  <c r="R26" i="2"/>
  <c r="R27" i="2"/>
  <c r="R28" i="2"/>
  <c r="R29" i="2"/>
  <c r="R30" i="2"/>
  <c r="R31" i="2"/>
  <c r="R32" i="2"/>
  <c r="R33" i="2"/>
  <c r="R34" i="2"/>
  <c r="R35" i="2"/>
  <c r="R36" i="2"/>
  <c r="R37" i="2"/>
  <c r="R38" i="2"/>
  <c r="R48" i="2"/>
  <c r="R44" i="2"/>
  <c r="R40" i="2"/>
  <c r="R11" i="2"/>
  <c r="U29" i="5"/>
  <c r="Z16" i="5"/>
  <c r="Y16" i="5"/>
  <c r="U17" i="5"/>
  <c r="I66" i="28"/>
  <c r="K27" i="32"/>
  <c r="J27" i="32"/>
  <c r="G47" i="28"/>
  <c r="F47" i="28"/>
  <c r="V75" i="25"/>
  <c r="F27" i="32"/>
  <c r="H40" i="14"/>
  <c r="E35" i="17"/>
  <c r="H37" i="17"/>
  <c r="G27" i="32"/>
  <c r="W77" i="25"/>
  <c r="V77" i="25"/>
  <c r="V76" i="25"/>
  <c r="W76" i="25"/>
  <c r="L124" i="25"/>
  <c r="N124" i="25"/>
  <c r="N126" i="25"/>
  <c r="Z76" i="25"/>
  <c r="AB75" i="25"/>
  <c r="AA75" i="25"/>
  <c r="N79" i="25"/>
  <c r="N115" i="25"/>
  <c r="N110" i="25"/>
  <c r="N102" i="25"/>
  <c r="N77" i="25"/>
  <c r="N122" i="25"/>
  <c r="N113" i="25"/>
  <c r="N104" i="25"/>
  <c r="N91" i="25"/>
  <c r="N106" i="25"/>
  <c r="N93" i="25"/>
  <c r="N118" i="25"/>
  <c r="N78" i="25"/>
  <c r="N123" i="25"/>
  <c r="N97" i="25"/>
  <c r="N109" i="25"/>
  <c r="N105" i="25"/>
  <c r="N80" i="25"/>
  <c r="N99" i="25"/>
  <c r="N116" i="25"/>
  <c r="N119" i="25"/>
  <c r="N89" i="25"/>
  <c r="N81" i="25"/>
  <c r="N94" i="25"/>
  <c r="N100" i="25"/>
  <c r="N121" i="25"/>
  <c r="N82" i="25"/>
  <c r="N120" i="25"/>
  <c r="N76" i="25"/>
  <c r="N95" i="25"/>
  <c r="N92" i="25"/>
  <c r="N103" i="25"/>
  <c r="N86" i="25"/>
  <c r="N88" i="25"/>
  <c r="N107" i="25"/>
  <c r="N96" i="25"/>
  <c r="N98" i="25"/>
  <c r="N85" i="25"/>
  <c r="N101" i="25"/>
  <c r="N87" i="25"/>
  <c r="N108" i="25"/>
  <c r="N83" i="25"/>
  <c r="D51" i="17"/>
  <c r="E66" i="14"/>
  <c r="E67" i="14"/>
  <c r="E70" i="14"/>
  <c r="K56" i="17"/>
  <c r="D9" i="30"/>
  <c r="P48" i="17"/>
  <c r="AS48" i="17"/>
  <c r="D71" i="14"/>
  <c r="D47" i="17"/>
  <c r="E69" i="14"/>
  <c r="F9" i="30"/>
  <c r="I63" i="17"/>
  <c r="Q55" i="17"/>
  <c r="BK55" i="17"/>
  <c r="CA55" i="17"/>
  <c r="L56" i="17"/>
  <c r="P55" i="17"/>
  <c r="BJ55" i="17"/>
  <c r="BZ55" i="17"/>
  <c r="J56" i="17"/>
  <c r="G44" i="28"/>
  <c r="F44" i="28"/>
  <c r="F28" i="32"/>
  <c r="G28" i="32"/>
  <c r="E38" i="28"/>
  <c r="D31" i="28"/>
  <c r="E31" i="28"/>
  <c r="D16" i="28"/>
  <c r="F16" i="28"/>
  <c r="B25" i="22"/>
  <c r="B27" i="24"/>
  <c r="I27" i="24"/>
  <c r="G40" i="14"/>
  <c r="D31" i="31"/>
  <c r="G38" i="28"/>
  <c r="B40" i="22"/>
  <c r="F25" i="14"/>
  <c r="G45" i="28"/>
  <c r="E45" i="28"/>
  <c r="G35" i="28"/>
  <c r="F11" i="24"/>
  <c r="F35" i="28"/>
  <c r="F26" i="28"/>
  <c r="P47" i="17"/>
  <c r="W47" i="17"/>
  <c r="AD47" i="17"/>
  <c r="H53" i="17"/>
  <c r="P53" i="17"/>
  <c r="W53" i="17"/>
  <c r="AD53" i="17"/>
  <c r="P41" i="17"/>
  <c r="BR41" i="17"/>
  <c r="I49" i="17"/>
  <c r="C45" i="31"/>
  <c r="H45" i="31"/>
  <c r="K45" i="31"/>
  <c r="I17" i="17"/>
  <c r="Q17" i="17"/>
  <c r="X17" i="17"/>
  <c r="AE17" i="17"/>
  <c r="F37" i="28"/>
  <c r="F21" i="28"/>
  <c r="P5" i="17"/>
  <c r="W5" i="17"/>
  <c r="C12" i="26"/>
  <c r="G12" i="26"/>
  <c r="G11" i="24"/>
  <c r="H49" i="17"/>
  <c r="H11" i="33"/>
  <c r="I11" i="33"/>
  <c r="E37" i="28"/>
  <c r="H10" i="33"/>
  <c r="I10" i="33"/>
  <c r="I20" i="17"/>
  <c r="H20" i="17"/>
  <c r="G41" i="28"/>
  <c r="F14" i="28"/>
  <c r="I11" i="24"/>
  <c r="F40" i="28"/>
  <c r="C12" i="24"/>
  <c r="E12" i="24"/>
  <c r="G40" i="28"/>
  <c r="Q10" i="17"/>
  <c r="X10" i="17"/>
  <c r="AE10" i="17"/>
  <c r="I19" i="17"/>
  <c r="C15" i="31"/>
  <c r="F22" i="33"/>
  <c r="D18" i="36"/>
  <c r="E18" i="36"/>
  <c r="F23" i="33"/>
  <c r="D17" i="31"/>
  <c r="F19" i="33"/>
  <c r="P18" i="17"/>
  <c r="AS18" i="17"/>
  <c r="F9" i="34"/>
  <c r="D9" i="34"/>
  <c r="E9" i="34"/>
  <c r="G25" i="32"/>
  <c r="I11" i="17"/>
  <c r="Q11" i="17"/>
  <c r="X11" i="17"/>
  <c r="AE11" i="17"/>
  <c r="G15" i="32"/>
  <c r="H25" i="14"/>
  <c r="E20" i="17"/>
  <c r="L24" i="17"/>
  <c r="T24" i="17"/>
  <c r="K145" i="25"/>
  <c r="H8" i="17"/>
  <c r="P8" i="17"/>
  <c r="AS8" i="17"/>
  <c r="E21" i="28"/>
  <c r="F15" i="32"/>
  <c r="F25" i="32"/>
  <c r="I43" i="17"/>
  <c r="C39" i="31"/>
  <c r="G39" i="31"/>
  <c r="H15" i="15"/>
  <c r="I15" i="15"/>
  <c r="F39" i="28"/>
  <c r="F34" i="28"/>
  <c r="F19" i="32"/>
  <c r="G39" i="28"/>
  <c r="G16" i="36"/>
  <c r="H19" i="17"/>
  <c r="G26" i="28"/>
  <c r="F23" i="32"/>
  <c r="G14" i="28"/>
  <c r="P17" i="17"/>
  <c r="BR17" i="17"/>
  <c r="H16" i="15"/>
  <c r="I16" i="15"/>
  <c r="C13" i="21"/>
  <c r="E13" i="21"/>
  <c r="E16" i="36"/>
  <c r="J19" i="17"/>
  <c r="J14" i="17"/>
  <c r="R14" i="17"/>
  <c r="G11" i="26"/>
  <c r="I11" i="26"/>
  <c r="B20" i="26"/>
  <c r="I20" i="26"/>
  <c r="D16" i="31"/>
  <c r="B29" i="21"/>
  <c r="I29" i="21"/>
  <c r="D14" i="32"/>
  <c r="G36" i="14"/>
  <c r="D27" i="31"/>
  <c r="B25" i="24"/>
  <c r="I25" i="24"/>
  <c r="B36" i="22"/>
  <c r="B40" i="21"/>
  <c r="I40" i="21"/>
  <c r="D27" i="28"/>
  <c r="H36" i="14"/>
  <c r="E31" i="17"/>
  <c r="H33" i="17"/>
  <c r="I14" i="17"/>
  <c r="Q14" i="17"/>
  <c r="G23" i="32"/>
  <c r="H12" i="17"/>
  <c r="P12" i="17"/>
  <c r="W12" i="17"/>
  <c r="AD12" i="17"/>
  <c r="F24" i="15"/>
  <c r="F44" i="15"/>
  <c r="D28" i="28"/>
  <c r="F37" i="14"/>
  <c r="B41" i="21"/>
  <c r="I41" i="21"/>
  <c r="B26" i="26"/>
  <c r="I26" i="26"/>
  <c r="D20" i="32"/>
  <c r="D28" i="31"/>
  <c r="H37" i="14"/>
  <c r="E32" i="17"/>
  <c r="P32" i="17"/>
  <c r="AS32" i="17"/>
  <c r="B37" i="22"/>
  <c r="D14" i="36"/>
  <c r="B26" i="22"/>
  <c r="G26" i="14"/>
  <c r="D17" i="28"/>
  <c r="D19" i="36"/>
  <c r="B20" i="24"/>
  <c r="I20" i="24"/>
  <c r="G34" i="28"/>
  <c r="J12" i="17"/>
  <c r="R12" i="17"/>
  <c r="AU12" i="17"/>
  <c r="B28" i="21"/>
  <c r="I28" i="21"/>
  <c r="D13" i="36"/>
  <c r="B24" i="22"/>
  <c r="H24" i="14"/>
  <c r="E19" i="17"/>
  <c r="G24" i="14"/>
  <c r="B19" i="24"/>
  <c r="I19" i="24"/>
  <c r="D15" i="31"/>
  <c r="D15" i="28"/>
  <c r="H42" i="14"/>
  <c r="E37" i="17"/>
  <c r="K43" i="17"/>
  <c r="S43" i="17"/>
  <c r="Z43" i="17"/>
  <c r="AG43" i="17"/>
  <c r="B42" i="22"/>
  <c r="G42" i="14"/>
  <c r="D33" i="28"/>
  <c r="B46" i="21"/>
  <c r="I46" i="21"/>
  <c r="B28" i="24"/>
  <c r="I28" i="24"/>
  <c r="D33" i="31"/>
  <c r="J139" i="25"/>
  <c r="G145" i="25"/>
  <c r="H26" i="14"/>
  <c r="E21" i="17"/>
  <c r="H23" i="17"/>
  <c r="K14" i="17"/>
  <c r="S14" i="17"/>
  <c r="L14" i="17"/>
  <c r="AO14" i="17"/>
  <c r="F41" i="28"/>
  <c r="E19" i="32"/>
  <c r="P10" i="17"/>
  <c r="W10" i="17"/>
  <c r="AD10" i="17"/>
  <c r="H12" i="15"/>
  <c r="I12" i="15"/>
  <c r="B12" i="34"/>
  <c r="BW32" i="17"/>
  <c r="BV32" i="17"/>
  <c r="BT32" i="17"/>
  <c r="BS32" i="17"/>
  <c r="BU32" i="17"/>
  <c r="BR32" i="17"/>
  <c r="BR44" i="17"/>
  <c r="BW44" i="17"/>
  <c r="BV44" i="17"/>
  <c r="BT44" i="17"/>
  <c r="BU44" i="17"/>
  <c r="BS44" i="17"/>
  <c r="BW30" i="17"/>
  <c r="BV30" i="17"/>
  <c r="BT30" i="17"/>
  <c r="BS30" i="17"/>
  <c r="BU30" i="17"/>
  <c r="BR30" i="17"/>
  <c r="BW38" i="17"/>
  <c r="BV38" i="17"/>
  <c r="BT38" i="17"/>
  <c r="BR38" i="17"/>
  <c r="BS38" i="17"/>
  <c r="BU38" i="17"/>
  <c r="BS8" i="17"/>
  <c r="BR8" i="17"/>
  <c r="BW28" i="17"/>
  <c r="BV28" i="17"/>
  <c r="BT28" i="17"/>
  <c r="BU28" i="17"/>
  <c r="BR28" i="17"/>
  <c r="BS28" i="17"/>
  <c r="BR36" i="17"/>
  <c r="BW36" i="17"/>
  <c r="BV36" i="17"/>
  <c r="BT36" i="17"/>
  <c r="BU36" i="17"/>
  <c r="BS36" i="17"/>
  <c r="BJ4" i="17"/>
  <c r="BR4" i="17"/>
  <c r="BV16" i="17"/>
  <c r="BT16" i="17"/>
  <c r="BS16" i="17"/>
  <c r="BU16" i="17"/>
  <c r="BR16" i="17"/>
  <c r="BV20" i="17"/>
  <c r="BT20" i="17"/>
  <c r="BU20" i="17"/>
  <c r="BS20" i="17"/>
  <c r="BR20" i="17"/>
  <c r="BR52" i="17"/>
  <c r="BW52" i="17"/>
  <c r="BV52" i="17"/>
  <c r="BT52" i="17"/>
  <c r="BU52" i="17"/>
  <c r="BS52" i="17"/>
  <c r="BR40" i="17"/>
  <c r="BW40" i="17"/>
  <c r="BV40" i="17"/>
  <c r="BT40" i="17"/>
  <c r="BS40" i="17"/>
  <c r="BU40" i="17"/>
  <c r="BR48" i="17"/>
  <c r="BW48" i="17"/>
  <c r="BV48" i="17"/>
  <c r="BT48" i="17"/>
  <c r="BU48" i="17"/>
  <c r="BS48" i="17"/>
  <c r="BW50" i="17"/>
  <c r="BV50" i="17"/>
  <c r="BT50" i="17"/>
  <c r="BR50" i="17"/>
  <c r="BU50" i="17"/>
  <c r="BS50" i="17"/>
  <c r="BS6" i="17"/>
  <c r="BR6" i="17"/>
  <c r="BW26" i="17"/>
  <c r="BV26" i="17"/>
  <c r="BT26" i="17"/>
  <c r="BU26" i="17"/>
  <c r="BR26" i="17"/>
  <c r="BS26" i="17"/>
  <c r="BW34" i="17"/>
  <c r="BV34" i="17"/>
  <c r="BT34" i="17"/>
  <c r="BR34" i="17"/>
  <c r="BU34" i="17"/>
  <c r="BS34" i="17"/>
  <c r="BR9" i="17"/>
  <c r="BW24" i="17"/>
  <c r="BV24" i="17"/>
  <c r="BT24" i="17"/>
  <c r="BS24" i="17"/>
  <c r="BU24" i="17"/>
  <c r="BR24" i="17"/>
  <c r="BT12" i="17"/>
  <c r="BU12" i="17"/>
  <c r="BS12" i="17"/>
  <c r="BR12" i="17"/>
  <c r="BW42" i="17"/>
  <c r="BV42" i="17"/>
  <c r="BT42" i="17"/>
  <c r="BR42" i="17"/>
  <c r="BU42" i="17"/>
  <c r="BS42" i="17"/>
  <c r="BV14" i="17"/>
  <c r="BT14" i="17"/>
  <c r="BS14" i="17"/>
  <c r="BU14" i="17"/>
  <c r="BR14" i="17"/>
  <c r="AK18" i="17"/>
  <c r="BA18" i="17"/>
  <c r="BV18" i="17"/>
  <c r="BT18" i="17"/>
  <c r="BU18" i="17"/>
  <c r="BR18" i="17"/>
  <c r="BS18" i="17"/>
  <c r="BW22" i="17"/>
  <c r="BV22" i="17"/>
  <c r="BT22" i="17"/>
  <c r="BS22" i="17"/>
  <c r="BU22" i="17"/>
  <c r="BR22" i="17"/>
  <c r="BT10" i="17"/>
  <c r="BR10" i="17"/>
  <c r="BS10" i="17"/>
  <c r="BW46" i="17"/>
  <c r="BV46" i="17"/>
  <c r="BT46" i="17"/>
  <c r="BR46" i="17"/>
  <c r="BS46" i="17"/>
  <c r="BU46" i="17"/>
  <c r="H63" i="17"/>
  <c r="AT9" i="17"/>
  <c r="AS9" i="17"/>
  <c r="AL9" i="17"/>
  <c r="BB9" i="17"/>
  <c r="AK9" i="17"/>
  <c r="BA9" i="17"/>
  <c r="BK32" i="17"/>
  <c r="BO32" i="17"/>
  <c r="CC32" i="17"/>
  <c r="BM32" i="17"/>
  <c r="CA32" i="17"/>
  <c r="CE32" i="17"/>
  <c r="BJ32" i="17"/>
  <c r="CB32" i="17"/>
  <c r="BL32" i="17"/>
  <c r="CD32" i="17"/>
  <c r="BN32" i="17"/>
  <c r="BZ32" i="17"/>
  <c r="AX41" i="17"/>
  <c r="AU41" i="17"/>
  <c r="AS41" i="17"/>
  <c r="AW41" i="17"/>
  <c r="AV41" i="17"/>
  <c r="AT41" i="17"/>
  <c r="AN41" i="17"/>
  <c r="BB41" i="17"/>
  <c r="BF41" i="17"/>
  <c r="AK41" i="17"/>
  <c r="AO41" i="17"/>
  <c r="BC41" i="17"/>
  <c r="AL41" i="17"/>
  <c r="AP41" i="17"/>
  <c r="BD41" i="17"/>
  <c r="AM41" i="17"/>
  <c r="BA41" i="17"/>
  <c r="BE41" i="17"/>
  <c r="BJ44" i="17"/>
  <c r="BN44" i="17"/>
  <c r="CB44" i="17"/>
  <c r="BL44" i="17"/>
  <c r="BZ44" i="17"/>
  <c r="CD44" i="17"/>
  <c r="BM44" i="17"/>
  <c r="CA44" i="17"/>
  <c r="CE44" i="17"/>
  <c r="BK44" i="17"/>
  <c r="BO44" i="17"/>
  <c r="CC44" i="17"/>
  <c r="P54" i="17"/>
  <c r="AS54" i="17"/>
  <c r="AK54" i="17"/>
  <c r="AX53" i="17"/>
  <c r="AT53" i="17"/>
  <c r="AV53" i="17"/>
  <c r="AK53" i="17"/>
  <c r="AS53" i="17"/>
  <c r="AO53" i="17"/>
  <c r="AN53" i="17"/>
  <c r="AU53" i="17"/>
  <c r="AP53" i="17"/>
  <c r="AM53" i="17"/>
  <c r="AW53" i="17"/>
  <c r="AL53" i="17"/>
  <c r="AT11" i="17"/>
  <c r="AS11" i="17"/>
  <c r="AU11" i="17"/>
  <c r="BA11" i="17"/>
  <c r="AL11" i="17"/>
  <c r="BC11" i="17"/>
  <c r="AK11" i="17"/>
  <c r="AM11" i="17"/>
  <c r="BB11" i="17"/>
  <c r="AU21" i="17"/>
  <c r="AW21" i="17"/>
  <c r="AV21" i="17"/>
  <c r="AT21" i="17"/>
  <c r="AS21" i="17"/>
  <c r="AN21" i="17"/>
  <c r="BC21" i="17"/>
  <c r="AL21" i="17"/>
  <c r="BA21" i="17"/>
  <c r="BE21" i="17"/>
  <c r="BB21" i="17"/>
  <c r="AK21" i="17"/>
  <c r="BD21" i="17"/>
  <c r="AM21" i="17"/>
  <c r="AO21" i="17"/>
  <c r="BM30" i="17"/>
  <c r="CA30" i="17"/>
  <c r="CE30" i="17"/>
  <c r="BK30" i="17"/>
  <c r="BO30" i="17"/>
  <c r="CC30" i="17"/>
  <c r="BN30" i="17"/>
  <c r="BZ30" i="17"/>
  <c r="BJ30" i="17"/>
  <c r="CB30" i="17"/>
  <c r="BL30" i="17"/>
  <c r="CD30" i="17"/>
  <c r="BM38" i="17"/>
  <c r="CA38" i="17"/>
  <c r="BK38" i="17"/>
  <c r="BO38" i="17"/>
  <c r="BN38" i="17"/>
  <c r="CD38" i="17"/>
  <c r="BZ38" i="17"/>
  <c r="CE38" i="17"/>
  <c r="BJ38" i="17"/>
  <c r="CB38" i="17"/>
  <c r="BL38" i="17"/>
  <c r="CC38" i="17"/>
  <c r="BK8" i="17"/>
  <c r="CC8" i="17"/>
  <c r="CA8" i="17"/>
  <c r="BJ8" i="17"/>
  <c r="BZ8" i="17"/>
  <c r="CB8" i="17"/>
  <c r="CD8" i="17"/>
  <c r="AT15" i="17"/>
  <c r="AS15" i="17"/>
  <c r="AW15" i="17"/>
  <c r="AV15" i="17"/>
  <c r="AU15" i="17"/>
  <c r="AL15" i="17"/>
  <c r="BA15" i="17"/>
  <c r="BE15" i="17"/>
  <c r="AN15" i="17"/>
  <c r="BC15" i="17"/>
  <c r="BB15" i="17"/>
  <c r="AK15" i="17"/>
  <c r="BD15" i="17"/>
  <c r="AM15" i="17"/>
  <c r="AO15" i="17"/>
  <c r="AW23" i="17"/>
  <c r="AU23" i="17"/>
  <c r="AV23" i="17"/>
  <c r="AT23" i="17"/>
  <c r="AS23" i="17"/>
  <c r="AL23" i="17"/>
  <c r="AP23" i="17"/>
  <c r="BD23" i="17"/>
  <c r="AN23" i="17"/>
  <c r="BB23" i="17"/>
  <c r="BA23" i="17"/>
  <c r="AK23" i="17"/>
  <c r="BC23" i="17"/>
  <c r="AM23" i="17"/>
  <c r="BE23" i="17"/>
  <c r="AO23" i="17"/>
  <c r="BK28" i="17"/>
  <c r="BO28" i="17"/>
  <c r="CC28" i="17"/>
  <c r="BM28" i="17"/>
  <c r="CA28" i="17"/>
  <c r="CE28" i="17"/>
  <c r="BJ28" i="17"/>
  <c r="CB28" i="17"/>
  <c r="BL28" i="17"/>
  <c r="CD28" i="17"/>
  <c r="BN28" i="17"/>
  <c r="BZ28" i="17"/>
  <c r="BK36" i="17"/>
  <c r="BO36" i="17"/>
  <c r="CC36" i="17"/>
  <c r="BM36" i="17"/>
  <c r="CA36" i="17"/>
  <c r="CE36" i="17"/>
  <c r="BJ36" i="17"/>
  <c r="CB36" i="17"/>
  <c r="BL36" i="17"/>
  <c r="CD36" i="17"/>
  <c r="BN36" i="17"/>
  <c r="BZ36" i="17"/>
  <c r="AW27" i="17"/>
  <c r="AV27" i="17"/>
  <c r="AT27" i="17"/>
  <c r="AS27" i="17"/>
  <c r="AX27" i="17"/>
  <c r="AU27" i="17"/>
  <c r="AM27" i="17"/>
  <c r="BA27" i="17"/>
  <c r="BE27" i="17"/>
  <c r="AK27" i="17"/>
  <c r="AO27" i="17"/>
  <c r="BC27" i="17"/>
  <c r="BB27" i="17"/>
  <c r="AL27" i="17"/>
  <c r="BD27" i="17"/>
  <c r="AN27" i="17"/>
  <c r="BF27" i="17"/>
  <c r="AP27" i="17"/>
  <c r="AW35" i="17"/>
  <c r="AV35" i="17"/>
  <c r="AT35" i="17"/>
  <c r="AS35" i="17"/>
  <c r="AX35" i="17"/>
  <c r="AU35" i="17"/>
  <c r="AM35" i="17"/>
  <c r="BA35" i="17"/>
  <c r="BE35" i="17"/>
  <c r="AK35" i="17"/>
  <c r="AO35" i="17"/>
  <c r="BC35" i="17"/>
  <c r="BB35" i="17"/>
  <c r="AL35" i="17"/>
  <c r="BD35" i="17"/>
  <c r="AN35" i="17"/>
  <c r="BF35" i="17"/>
  <c r="AP35" i="17"/>
  <c r="AW45" i="17"/>
  <c r="AV45" i="17"/>
  <c r="AT45" i="17"/>
  <c r="AS45" i="17"/>
  <c r="AX45" i="17"/>
  <c r="AU45" i="17"/>
  <c r="AN45" i="17"/>
  <c r="BB45" i="17"/>
  <c r="BF45" i="17"/>
  <c r="AL45" i="17"/>
  <c r="AP45" i="17"/>
  <c r="BD45" i="17"/>
  <c r="AM45" i="17"/>
  <c r="BA45" i="17"/>
  <c r="BE45" i="17"/>
  <c r="AK45" i="17"/>
  <c r="AO45" i="17"/>
  <c r="BC45" i="17"/>
  <c r="AS13" i="17"/>
  <c r="AV13" i="17"/>
  <c r="AU13" i="17"/>
  <c r="AT13" i="17"/>
  <c r="AM13" i="17"/>
  <c r="BB13" i="17"/>
  <c r="AK13" i="17"/>
  <c r="AO13" i="17"/>
  <c r="BD13" i="17"/>
  <c r="BA13" i="17"/>
  <c r="BC13" i="17"/>
  <c r="AL13" i="17"/>
  <c r="AN13" i="17"/>
  <c r="BL16" i="17"/>
  <c r="CA16" i="17"/>
  <c r="BJ16" i="17"/>
  <c r="BN16" i="17"/>
  <c r="CC16" i="17"/>
  <c r="BM16" i="17"/>
  <c r="BZ16" i="17"/>
  <c r="CB16" i="17"/>
  <c r="BK16" i="17"/>
  <c r="CD16" i="17"/>
  <c r="BL20" i="17"/>
  <c r="CA20" i="17"/>
  <c r="BJ20" i="17"/>
  <c r="BN20" i="17"/>
  <c r="CC20" i="17"/>
  <c r="BM20" i="17"/>
  <c r="BZ20" i="17"/>
  <c r="CB20" i="17"/>
  <c r="BK20" i="17"/>
  <c r="CD20" i="17"/>
  <c r="AX25" i="17"/>
  <c r="AU25" i="17"/>
  <c r="AV25" i="17"/>
  <c r="AS25" i="17"/>
  <c r="AW25" i="17"/>
  <c r="AT25" i="17"/>
  <c r="AK25" i="17"/>
  <c r="AO25" i="17"/>
  <c r="BC25" i="17"/>
  <c r="AM25" i="17"/>
  <c r="BA25" i="17"/>
  <c r="BE25" i="17"/>
  <c r="AN25" i="17"/>
  <c r="BF25" i="17"/>
  <c r="AP25" i="17"/>
  <c r="BB25" i="17"/>
  <c r="AL25" i="17"/>
  <c r="BD25" i="17"/>
  <c r="AX33" i="17"/>
  <c r="AU33" i="17"/>
  <c r="AW33" i="17"/>
  <c r="AV33" i="17"/>
  <c r="AT33" i="17"/>
  <c r="AS33" i="17"/>
  <c r="AK33" i="17"/>
  <c r="AO33" i="17"/>
  <c r="BC33" i="17"/>
  <c r="AM33" i="17"/>
  <c r="BA33" i="17"/>
  <c r="BE33" i="17"/>
  <c r="AN33" i="17"/>
  <c r="BF33" i="17"/>
  <c r="AP33" i="17"/>
  <c r="BB33" i="17"/>
  <c r="AL33" i="17"/>
  <c r="BD33" i="17"/>
  <c r="AT39" i="17"/>
  <c r="AX39" i="17"/>
  <c r="AU39" i="17"/>
  <c r="AW39" i="17"/>
  <c r="AV39" i="17"/>
  <c r="AS39" i="17"/>
  <c r="AL39" i="17"/>
  <c r="AP39" i="17"/>
  <c r="BD39" i="17"/>
  <c r="AM39" i="17"/>
  <c r="BA39" i="17"/>
  <c r="BE39" i="17"/>
  <c r="AN39" i="17"/>
  <c r="BB39" i="17"/>
  <c r="BF39" i="17"/>
  <c r="AK39" i="17"/>
  <c r="AO39" i="17"/>
  <c r="BC39" i="17"/>
  <c r="AW47" i="17"/>
  <c r="AV47" i="17"/>
  <c r="AS47" i="17"/>
  <c r="AT47" i="17"/>
  <c r="AX47" i="17"/>
  <c r="AU47" i="17"/>
  <c r="AL47" i="17"/>
  <c r="AP47" i="17"/>
  <c r="BD47" i="17"/>
  <c r="AN47" i="17"/>
  <c r="BB47" i="17"/>
  <c r="BF47" i="17"/>
  <c r="AK47" i="17"/>
  <c r="AO47" i="17"/>
  <c r="BC47" i="17"/>
  <c r="AM47" i="17"/>
  <c r="BA47" i="17"/>
  <c r="BE47" i="17"/>
  <c r="BZ52" i="17"/>
  <c r="CD52" i="17"/>
  <c r="CA52" i="17"/>
  <c r="CE52" i="17"/>
  <c r="CB52" i="17"/>
  <c r="CC52" i="17"/>
  <c r="BM52" i="17"/>
  <c r="BK52" i="17"/>
  <c r="BO52" i="17"/>
  <c r="BJ52" i="17"/>
  <c r="BL52" i="17"/>
  <c r="BN52" i="17"/>
  <c r="BJ40" i="17"/>
  <c r="BN40" i="17"/>
  <c r="CB40" i="17"/>
  <c r="BK40" i="17"/>
  <c r="BO40" i="17"/>
  <c r="CC40" i="17"/>
  <c r="BL40" i="17"/>
  <c r="BZ40" i="17"/>
  <c r="CD40" i="17"/>
  <c r="BM40" i="17"/>
  <c r="CA40" i="17"/>
  <c r="CE40" i="17"/>
  <c r="BJ48" i="17"/>
  <c r="BN48" i="17"/>
  <c r="CB48" i="17"/>
  <c r="BL48" i="17"/>
  <c r="BZ48" i="17"/>
  <c r="CD48" i="17"/>
  <c r="BM48" i="17"/>
  <c r="CA48" i="17"/>
  <c r="CE48" i="17"/>
  <c r="BK48" i="17"/>
  <c r="BO48" i="17"/>
  <c r="CC48" i="17"/>
  <c r="BL50" i="17"/>
  <c r="BZ50" i="17"/>
  <c r="CD50" i="17"/>
  <c r="BJ50" i="17"/>
  <c r="BN50" i="17"/>
  <c r="CB50" i="17"/>
  <c r="BK50" i="17"/>
  <c r="BO50" i="17"/>
  <c r="CC50" i="17"/>
  <c r="BM50" i="17"/>
  <c r="CA50" i="17"/>
  <c r="CE50" i="17"/>
  <c r="BZ6" i="17"/>
  <c r="BJ6" i="17"/>
  <c r="AU17" i="17"/>
  <c r="AS17" i="17"/>
  <c r="AW17" i="17"/>
  <c r="AT17" i="17"/>
  <c r="AV17" i="17"/>
  <c r="AN17" i="17"/>
  <c r="BC17" i="17"/>
  <c r="AL17" i="17"/>
  <c r="BA17" i="17"/>
  <c r="BE17" i="17"/>
  <c r="BB17" i="17"/>
  <c r="AK17" i="17"/>
  <c r="BD17" i="17"/>
  <c r="AM17" i="17"/>
  <c r="AO17" i="17"/>
  <c r="BM26" i="17"/>
  <c r="CA26" i="17"/>
  <c r="CE26" i="17"/>
  <c r="BK26" i="17"/>
  <c r="BO26" i="17"/>
  <c r="CC26" i="17"/>
  <c r="BN26" i="17"/>
  <c r="BZ26" i="17"/>
  <c r="BJ26" i="17"/>
  <c r="CB26" i="17"/>
  <c r="BL26" i="17"/>
  <c r="CD26" i="17"/>
  <c r="BM34" i="17"/>
  <c r="CA34" i="17"/>
  <c r="CE34" i="17"/>
  <c r="BK34" i="17"/>
  <c r="BO34" i="17"/>
  <c r="CC34" i="17"/>
  <c r="BN34" i="17"/>
  <c r="BZ34" i="17"/>
  <c r="BJ34" i="17"/>
  <c r="CB34" i="17"/>
  <c r="BL34" i="17"/>
  <c r="CD34" i="17"/>
  <c r="AW19" i="17"/>
  <c r="AV19" i="17"/>
  <c r="AT19" i="17"/>
  <c r="AS19" i="17"/>
  <c r="AU19" i="17"/>
  <c r="AL19" i="17"/>
  <c r="BA19" i="17"/>
  <c r="BE19" i="17"/>
  <c r="AN19" i="17"/>
  <c r="BC19" i="17"/>
  <c r="BB19" i="17"/>
  <c r="AK19" i="17"/>
  <c r="BD19" i="17"/>
  <c r="AM19" i="17"/>
  <c r="AO19" i="17"/>
  <c r="BK24" i="17"/>
  <c r="BO24" i="17"/>
  <c r="CC24" i="17"/>
  <c r="BM24" i="17"/>
  <c r="CA24" i="17"/>
  <c r="CE24" i="17"/>
  <c r="BJ24" i="17"/>
  <c r="CB24" i="17"/>
  <c r="BL24" i="17"/>
  <c r="CD24" i="17"/>
  <c r="BN24" i="17"/>
  <c r="BZ24" i="17"/>
  <c r="BJ12" i="17"/>
  <c r="BZ12" i="17"/>
  <c r="CD12" i="17"/>
  <c r="BL12" i="17"/>
  <c r="CB12" i="17"/>
  <c r="CC12" i="17"/>
  <c r="BK12" i="17"/>
  <c r="BM12" i="17"/>
  <c r="CA12" i="17"/>
  <c r="AV31" i="17"/>
  <c r="AS31" i="17"/>
  <c r="AW31" i="17"/>
  <c r="AT31" i="17"/>
  <c r="AX31" i="17"/>
  <c r="AU31" i="17"/>
  <c r="AM31" i="17"/>
  <c r="BA31" i="17"/>
  <c r="BE31" i="17"/>
  <c r="AK31" i="17"/>
  <c r="AO31" i="17"/>
  <c r="BC31" i="17"/>
  <c r="BB31" i="17"/>
  <c r="AL31" i="17"/>
  <c r="BD31" i="17"/>
  <c r="AN31" i="17"/>
  <c r="BF31" i="17"/>
  <c r="AP31" i="17"/>
  <c r="AX49" i="17"/>
  <c r="AU49" i="17"/>
  <c r="AW49" i="17"/>
  <c r="AV49" i="17"/>
  <c r="AT49" i="17"/>
  <c r="AS49" i="17"/>
  <c r="AN49" i="17"/>
  <c r="BB49" i="17"/>
  <c r="BF49" i="17"/>
  <c r="AL49" i="17"/>
  <c r="AP49" i="17"/>
  <c r="BD49" i="17"/>
  <c r="AM49" i="17"/>
  <c r="BA49" i="17"/>
  <c r="BE49" i="17"/>
  <c r="AK49" i="17"/>
  <c r="AO49" i="17"/>
  <c r="BC49" i="17"/>
  <c r="AS7" i="17"/>
  <c r="AK7" i="17"/>
  <c r="BA7" i="17"/>
  <c r="BL42" i="17"/>
  <c r="BZ42" i="17"/>
  <c r="CD42" i="17"/>
  <c r="BM42" i="17"/>
  <c r="CA42" i="17"/>
  <c r="CE42" i="17"/>
  <c r="BJ42" i="17"/>
  <c r="BN42" i="17"/>
  <c r="CB42" i="17"/>
  <c r="BK42" i="17"/>
  <c r="BO42" i="17"/>
  <c r="CC42" i="17"/>
  <c r="BJ14" i="17"/>
  <c r="BN14" i="17"/>
  <c r="CC14" i="17"/>
  <c r="BL14" i="17"/>
  <c r="CA14" i="17"/>
  <c r="BM14" i="17"/>
  <c r="BZ14" i="17"/>
  <c r="CB14" i="17"/>
  <c r="BK14" i="17"/>
  <c r="CD14" i="17"/>
  <c r="BJ18" i="17"/>
  <c r="BN18" i="17"/>
  <c r="CC18" i="17"/>
  <c r="BL18" i="17"/>
  <c r="CA18" i="17"/>
  <c r="BM18" i="17"/>
  <c r="BZ18" i="17"/>
  <c r="CB18" i="17"/>
  <c r="BK18" i="17"/>
  <c r="CD18" i="17"/>
  <c r="BJ22" i="17"/>
  <c r="BN22" i="17"/>
  <c r="CC22" i="17"/>
  <c r="BL22" i="17"/>
  <c r="CA22" i="17"/>
  <c r="BM22" i="17"/>
  <c r="BZ22" i="17"/>
  <c r="CB22" i="17"/>
  <c r="BK22" i="17"/>
  <c r="CD22" i="17"/>
  <c r="AW29" i="17"/>
  <c r="AV29" i="17"/>
  <c r="AT29" i="17"/>
  <c r="AS29" i="17"/>
  <c r="AX29" i="17"/>
  <c r="AU29" i="17"/>
  <c r="AK29" i="17"/>
  <c r="AO29" i="17"/>
  <c r="BC29" i="17"/>
  <c r="AM29" i="17"/>
  <c r="BA29" i="17"/>
  <c r="BE29" i="17"/>
  <c r="AN29" i="17"/>
  <c r="BF29" i="17"/>
  <c r="AP29" i="17"/>
  <c r="BB29" i="17"/>
  <c r="AL29" i="17"/>
  <c r="BD29" i="17"/>
  <c r="AX37" i="17"/>
  <c r="AU37" i="17"/>
  <c r="AW37" i="17"/>
  <c r="AV37" i="17"/>
  <c r="AT37" i="17"/>
  <c r="AS37" i="17"/>
  <c r="AK37" i="17"/>
  <c r="AO37" i="17"/>
  <c r="BC37" i="17"/>
  <c r="AM37" i="17"/>
  <c r="BA37" i="17"/>
  <c r="BE37" i="17"/>
  <c r="AN37" i="17"/>
  <c r="BF37" i="17"/>
  <c r="AP37" i="17"/>
  <c r="BB37" i="17"/>
  <c r="AL37" i="17"/>
  <c r="BD37" i="17"/>
  <c r="AW43" i="17"/>
  <c r="AV43" i="17"/>
  <c r="AT43" i="17"/>
  <c r="AS43" i="17"/>
  <c r="AX43" i="17"/>
  <c r="AU43" i="17"/>
  <c r="AL43" i="17"/>
  <c r="AP43" i="17"/>
  <c r="BD43" i="17"/>
  <c r="AM43" i="17"/>
  <c r="AN43" i="17"/>
  <c r="BB43" i="17"/>
  <c r="BF43" i="17"/>
  <c r="AK43" i="17"/>
  <c r="AO43" i="17"/>
  <c r="BC43" i="17"/>
  <c r="BA43" i="17"/>
  <c r="BE43" i="17"/>
  <c r="AW51" i="17"/>
  <c r="AV51" i="17"/>
  <c r="AT51" i="17"/>
  <c r="AS51" i="17"/>
  <c r="AX51" i="17"/>
  <c r="AU51" i="17"/>
  <c r="AL51" i="17"/>
  <c r="AP51" i="17"/>
  <c r="AN51" i="17"/>
  <c r="AK51" i="17"/>
  <c r="AO51" i="17"/>
  <c r="AM51" i="17"/>
  <c r="BJ10" i="17"/>
  <c r="CA10" i="17"/>
  <c r="BL10" i="17"/>
  <c r="CC10" i="17"/>
  <c r="BK10" i="17"/>
  <c r="BZ10" i="17"/>
  <c r="CB10" i="17"/>
  <c r="CD10" i="17"/>
  <c r="BL46" i="17"/>
  <c r="BZ46" i="17"/>
  <c r="CD46" i="17"/>
  <c r="BJ46" i="17"/>
  <c r="BN46" i="17"/>
  <c r="CB46" i="17"/>
  <c r="BK46" i="17"/>
  <c r="BO46" i="17"/>
  <c r="CC46" i="17"/>
  <c r="BM46" i="17"/>
  <c r="CA46" i="17"/>
  <c r="CE46" i="17"/>
  <c r="I50" i="17"/>
  <c r="Q50" i="17"/>
  <c r="AL10" i="17"/>
  <c r="BB10" i="17"/>
  <c r="C10" i="34"/>
  <c r="F10" i="34"/>
  <c r="F10" i="27"/>
  <c r="H67" i="14"/>
  <c r="H70" i="14"/>
  <c r="G67" i="14"/>
  <c r="G70" i="14"/>
  <c r="P44" i="17"/>
  <c r="AL12" i="17"/>
  <c r="BB12" i="17"/>
  <c r="Q12" i="17"/>
  <c r="P50" i="17"/>
  <c r="AS50" i="17"/>
  <c r="P43" i="17"/>
  <c r="W43" i="17"/>
  <c r="AD43" i="17"/>
  <c r="P11" i="17"/>
  <c r="BR11" i="17"/>
  <c r="P14" i="17"/>
  <c r="BJ15" i="17"/>
  <c r="BZ15" i="17"/>
  <c r="P15" i="17"/>
  <c r="W15" i="17"/>
  <c r="AD15" i="17"/>
  <c r="AK10" i="17"/>
  <c r="BA10" i="17"/>
  <c r="BJ41" i="17"/>
  <c r="BZ41" i="17"/>
  <c r="J17" i="17"/>
  <c r="K47" i="17"/>
  <c r="BM47" i="17"/>
  <c r="CC47" i="17"/>
  <c r="K20" i="17"/>
  <c r="BJ9" i="17"/>
  <c r="BZ9" i="17"/>
  <c r="I7" i="17"/>
  <c r="Q7" i="17"/>
  <c r="BS7" i="17"/>
  <c r="I18" i="17"/>
  <c r="Q18" i="17"/>
  <c r="K54" i="17"/>
  <c r="I52" i="17"/>
  <c r="Q52" i="17"/>
  <c r="L19" i="17"/>
  <c r="C30" i="36"/>
  <c r="J54" i="17"/>
  <c r="L54" i="17"/>
  <c r="BJ17" i="17"/>
  <c r="BZ17" i="17"/>
  <c r="L49" i="17"/>
  <c r="I47" i="17"/>
  <c r="Q47" i="17"/>
  <c r="BS47" i="17"/>
  <c r="I54" i="17"/>
  <c r="K49" i="17"/>
  <c r="J56" i="28"/>
  <c r="J57" i="28"/>
  <c r="J59" i="28"/>
  <c r="K59" i="28"/>
  <c r="C11" i="27"/>
  <c r="C12" i="27"/>
  <c r="G10" i="27"/>
  <c r="D10" i="27"/>
  <c r="J36" i="32"/>
  <c r="J37" i="32"/>
  <c r="J39" i="32"/>
  <c r="K36" i="32"/>
  <c r="K37" i="32"/>
  <c r="K38" i="32"/>
  <c r="K56" i="28"/>
  <c r="K57" i="28"/>
  <c r="K58" i="28"/>
  <c r="I13" i="26"/>
  <c r="A16" i="30"/>
  <c r="B15" i="30"/>
  <c r="I17" i="26"/>
  <c r="B36" i="21"/>
  <c r="H32" i="14"/>
  <c r="E27" i="17"/>
  <c r="P27" i="17"/>
  <c r="BR27" i="17"/>
  <c r="B32" i="22"/>
  <c r="G32" i="14"/>
  <c r="D23" i="28"/>
  <c r="B23" i="24"/>
  <c r="D17" i="36"/>
  <c r="D23" i="31"/>
  <c r="I50" i="21"/>
  <c r="I27" i="21"/>
  <c r="H7" i="17"/>
  <c r="P7" i="17"/>
  <c r="BR7" i="17"/>
  <c r="K11" i="17"/>
  <c r="S11" i="17"/>
  <c r="BU11" i="17"/>
  <c r="I9" i="17"/>
  <c r="Q9" i="17"/>
  <c r="BS9" i="17"/>
  <c r="J9" i="17"/>
  <c r="R9" i="17"/>
  <c r="BT9" i="17"/>
  <c r="BJ5" i="17"/>
  <c r="J11" i="17"/>
  <c r="R11" i="17"/>
  <c r="BT11" i="17"/>
  <c r="J137" i="25"/>
  <c r="C10" i="30"/>
  <c r="F10" i="30"/>
  <c r="H10" i="15"/>
  <c r="I10" i="15"/>
  <c r="G10" i="15"/>
  <c r="AC16" i="5"/>
  <c r="AB16" i="5"/>
  <c r="U78" i="25"/>
  <c r="I16" i="26"/>
  <c r="I23" i="21"/>
  <c r="B38" i="21"/>
  <c r="D25" i="28"/>
  <c r="B34" i="22"/>
  <c r="G34" i="14"/>
  <c r="B24" i="24"/>
  <c r="D25" i="31"/>
  <c r="H34" i="14"/>
  <c r="E29" i="17"/>
  <c r="F24" i="32"/>
  <c r="E24" i="32"/>
  <c r="G24" i="32"/>
  <c r="I15" i="24"/>
  <c r="L15" i="17"/>
  <c r="T15" i="17"/>
  <c r="BV15" i="17"/>
  <c r="G14" i="15"/>
  <c r="H14" i="15"/>
  <c r="I14" i="15"/>
  <c r="H24" i="17"/>
  <c r="P24" i="17"/>
  <c r="X29" i="5"/>
  <c r="S29" i="5"/>
  <c r="T29" i="5"/>
  <c r="G11" i="15"/>
  <c r="H11" i="15"/>
  <c r="I11" i="15"/>
  <c r="E38" i="17"/>
  <c r="R15" i="5"/>
  <c r="W15" i="5"/>
  <c r="R24" i="5"/>
  <c r="W24" i="5"/>
  <c r="R16" i="5"/>
  <c r="W16" i="5"/>
  <c r="R28" i="5"/>
  <c r="W28" i="5"/>
  <c r="Q24" i="5"/>
  <c r="V24" i="5"/>
  <c r="R32" i="5"/>
  <c r="W32" i="5"/>
  <c r="Y68" i="5"/>
  <c r="Q27" i="5"/>
  <c r="V27" i="5"/>
  <c r="Q29" i="5"/>
  <c r="V29" i="5"/>
  <c r="Q32" i="5"/>
  <c r="V32" i="5"/>
  <c r="X68" i="5"/>
  <c r="R18" i="5"/>
  <c r="W18" i="5"/>
  <c r="AB14" i="5"/>
  <c r="Q28" i="5"/>
  <c r="V28" i="5"/>
  <c r="R22" i="5"/>
  <c r="W22" i="5"/>
  <c r="AC18" i="5"/>
  <c r="R21" i="5"/>
  <c r="W21" i="5"/>
  <c r="AC21" i="5"/>
  <c r="AC28" i="5"/>
  <c r="AC22" i="5"/>
  <c r="AC32" i="5"/>
  <c r="Q15" i="5"/>
  <c r="V15" i="5"/>
  <c r="AC19" i="5"/>
  <c r="Q21" i="5"/>
  <c r="V21" i="5"/>
  <c r="AC25" i="5"/>
  <c r="R23" i="5"/>
  <c r="W23" i="5"/>
  <c r="AB25" i="5"/>
  <c r="AC23" i="5"/>
  <c r="Q18" i="5"/>
  <c r="V18" i="5"/>
  <c r="R25" i="5"/>
  <c r="W25" i="5"/>
  <c r="R17" i="5"/>
  <c r="W17" i="5"/>
  <c r="R29" i="5"/>
  <c r="W29" i="5"/>
  <c r="R14" i="5"/>
  <c r="W14" i="5"/>
  <c r="R30" i="5"/>
  <c r="W30" i="5"/>
  <c r="AC26" i="5"/>
  <c r="AB26" i="5"/>
  <c r="AB32" i="5"/>
  <c r="AC13" i="5"/>
  <c r="Q20" i="5"/>
  <c r="V20" i="5"/>
  <c r="R20" i="5"/>
  <c r="W20" i="5"/>
  <c r="AB19" i="5"/>
  <c r="R27" i="5"/>
  <c r="W27" i="5"/>
  <c r="Q13" i="5"/>
  <c r="V13" i="5"/>
  <c r="AC14" i="5"/>
  <c r="Q19" i="5"/>
  <c r="V19" i="5"/>
  <c r="Q25" i="5"/>
  <c r="V25" i="5"/>
  <c r="AB23" i="5"/>
  <c r="AB29" i="5"/>
  <c r="AB21" i="5"/>
  <c r="Q22" i="5"/>
  <c r="V22" i="5"/>
  <c r="AB24" i="5"/>
  <c r="R19" i="5"/>
  <c r="W19" i="5"/>
  <c r="Q30" i="5"/>
  <c r="V30" i="5"/>
  <c r="Q26" i="5"/>
  <c r="V26" i="5"/>
  <c r="R13" i="5"/>
  <c r="W13" i="5"/>
  <c r="R26" i="5"/>
  <c r="W26" i="5"/>
  <c r="AB20" i="5"/>
  <c r="AB13" i="5"/>
  <c r="AC29" i="5"/>
  <c r="AB18" i="5"/>
  <c r="AB28" i="5"/>
  <c r="Q23" i="5"/>
  <c r="V23" i="5"/>
  <c r="AB15" i="5"/>
  <c r="AB22" i="5"/>
  <c r="AC24" i="5"/>
  <c r="Q17" i="5"/>
  <c r="V17" i="5"/>
  <c r="AC20" i="5"/>
  <c r="Q16" i="5"/>
  <c r="V16" i="5"/>
  <c r="Q14" i="5"/>
  <c r="V14" i="5"/>
  <c r="K138" i="25"/>
  <c r="K139" i="25"/>
  <c r="K135" i="25"/>
  <c r="K136" i="25"/>
  <c r="K134" i="25"/>
  <c r="K137" i="25"/>
  <c r="B23" i="26"/>
  <c r="B35" i="21"/>
  <c r="H31" i="14"/>
  <c r="E26" i="17"/>
  <c r="D22" i="31"/>
  <c r="D17" i="32"/>
  <c r="B31" i="22"/>
  <c r="D22" i="28"/>
  <c r="F31" i="14"/>
  <c r="K17" i="17"/>
  <c r="S17" i="17"/>
  <c r="BU17" i="17"/>
  <c r="B67" i="27"/>
  <c r="B63" i="27"/>
  <c r="B69" i="27"/>
  <c r="B68" i="27"/>
  <c r="B66" i="27"/>
  <c r="S17" i="5"/>
  <c r="T17" i="5"/>
  <c r="S27" i="5"/>
  <c r="T27" i="5"/>
  <c r="T35" i="5"/>
  <c r="X17" i="5"/>
  <c r="Y13" i="4"/>
  <c r="X16" i="4"/>
  <c r="X43" i="4"/>
  <c r="G13" i="15"/>
  <c r="H13" i="15"/>
  <c r="I13" i="15"/>
  <c r="G69" i="14"/>
  <c r="G66" i="14"/>
  <c r="G74" i="14"/>
  <c r="H42" i="17"/>
  <c r="P42" i="17"/>
  <c r="H137" i="25"/>
  <c r="H136" i="25"/>
  <c r="H135" i="25"/>
  <c r="H134" i="25"/>
  <c r="H138" i="25"/>
  <c r="H139" i="25"/>
  <c r="L74" i="25"/>
  <c r="N13" i="4"/>
  <c r="O13" i="4"/>
  <c r="S13" i="4"/>
  <c r="T13" i="4"/>
  <c r="I21" i="21"/>
  <c r="B37" i="21"/>
  <c r="B33" i="22"/>
  <c r="D24" i="28"/>
  <c r="D18" i="32"/>
  <c r="B24" i="26"/>
  <c r="D24" i="31"/>
  <c r="F33" i="14"/>
  <c r="H33" i="14"/>
  <c r="E28" i="17"/>
  <c r="I49" i="21"/>
  <c r="I58" i="21"/>
  <c r="F46" i="28"/>
  <c r="E46" i="28"/>
  <c r="G46" i="28"/>
  <c r="K50" i="17"/>
  <c r="S50" i="17"/>
  <c r="I19" i="26"/>
  <c r="E26" i="32"/>
  <c r="G26" i="32"/>
  <c r="D44" i="32"/>
  <c r="F26" i="32"/>
  <c r="J45" i="17"/>
  <c r="R45" i="17"/>
  <c r="BT45" i="17"/>
  <c r="I45" i="17"/>
  <c r="Q45" i="17"/>
  <c r="BS45" i="17"/>
  <c r="H45" i="17"/>
  <c r="P45" i="17"/>
  <c r="BR45" i="17"/>
  <c r="BJ43" i="17"/>
  <c r="BZ43" i="17"/>
  <c r="J49" i="17"/>
  <c r="BJ47" i="17"/>
  <c r="BZ47" i="17"/>
  <c r="I31" i="21"/>
  <c r="J47" i="17"/>
  <c r="R47" i="17"/>
  <c r="BT47" i="17"/>
  <c r="L50" i="17"/>
  <c r="T50" i="17"/>
  <c r="K48" i="17"/>
  <c r="S48" i="17"/>
  <c r="G13" i="33"/>
  <c r="H13" i="33"/>
  <c r="I13" i="33"/>
  <c r="W9" i="17"/>
  <c r="AD9" i="17"/>
  <c r="AB17" i="5"/>
  <c r="D64" i="28"/>
  <c r="D19" i="15"/>
  <c r="B19" i="15"/>
  <c r="O35" i="5"/>
  <c r="J134" i="25"/>
  <c r="E9" i="22"/>
  <c r="C10" i="22"/>
  <c r="AB27" i="5"/>
  <c r="AC27" i="5"/>
  <c r="I33" i="24"/>
  <c r="D30" i="31"/>
  <c r="B43" i="21"/>
  <c r="D30" i="28"/>
  <c r="D21" i="32"/>
  <c r="F39" i="14"/>
  <c r="B27" i="26"/>
  <c r="H39" i="14"/>
  <c r="E34" i="17"/>
  <c r="B39" i="22"/>
  <c r="B42" i="21"/>
  <c r="G38" i="14"/>
  <c r="B38" i="22"/>
  <c r="H38" i="14"/>
  <c r="E33" i="17"/>
  <c r="D29" i="31"/>
  <c r="B26" i="24"/>
  <c r="D29" i="28"/>
  <c r="F41" i="14"/>
  <c r="B41" i="22"/>
  <c r="B45" i="21"/>
  <c r="D32" i="28"/>
  <c r="B28" i="26"/>
  <c r="D32" i="31"/>
  <c r="D22" i="32"/>
  <c r="H41" i="14"/>
  <c r="E36" i="17"/>
  <c r="I59" i="21"/>
  <c r="G20" i="28"/>
  <c r="F20" i="28"/>
  <c r="E20" i="28"/>
  <c r="H26" i="17"/>
  <c r="I26" i="17"/>
  <c r="D61" i="31"/>
  <c r="H6" i="17"/>
  <c r="P6" i="17"/>
  <c r="AS6" i="17"/>
  <c r="J10" i="17"/>
  <c r="R10" i="17"/>
  <c r="I8" i="17"/>
  <c r="Q8" i="17"/>
  <c r="AT8" i="17"/>
  <c r="L11" i="2"/>
  <c r="L9" i="2"/>
  <c r="L13" i="2"/>
  <c r="L17" i="2"/>
  <c r="L21" i="2"/>
  <c r="L25" i="2"/>
  <c r="L29" i="2"/>
  <c r="L33" i="2"/>
  <c r="L37" i="2"/>
  <c r="L39" i="2"/>
  <c r="L43" i="2"/>
  <c r="L47" i="2"/>
  <c r="L10" i="2"/>
  <c r="L16" i="2"/>
  <c r="L20" i="2"/>
  <c r="L24" i="2"/>
  <c r="L28" i="2"/>
  <c r="L32" i="2"/>
  <c r="L36" i="2"/>
  <c r="L42" i="2"/>
  <c r="L46" i="2"/>
  <c r="L49" i="2"/>
  <c r="L12" i="2"/>
  <c r="L40" i="2"/>
  <c r="L41" i="2"/>
  <c r="L15" i="2"/>
  <c r="L19" i="2"/>
  <c r="L23" i="2"/>
  <c r="L27" i="2"/>
  <c r="L31" i="2"/>
  <c r="L35" i="2"/>
  <c r="L44" i="2"/>
  <c r="L45" i="2"/>
  <c r="L14" i="2"/>
  <c r="L22" i="2"/>
  <c r="L30" i="2"/>
  <c r="L38" i="2"/>
  <c r="L50" i="2"/>
  <c r="L8" i="2"/>
  <c r="L48" i="2"/>
  <c r="L18" i="2"/>
  <c r="L26" i="2"/>
  <c r="L34" i="2"/>
  <c r="X27" i="5"/>
  <c r="X35" i="5"/>
  <c r="G28" i="14"/>
  <c r="B28" i="22"/>
  <c r="H28" i="14"/>
  <c r="E23" i="17"/>
  <c r="B21" i="24"/>
  <c r="D19" i="31"/>
  <c r="B32" i="21"/>
  <c r="D19" i="28"/>
  <c r="D15" i="36"/>
  <c r="H52" i="17"/>
  <c r="P52" i="17"/>
  <c r="J52" i="17"/>
  <c r="R52" i="17"/>
  <c r="L52" i="17"/>
  <c r="T52" i="17"/>
  <c r="K52" i="17"/>
  <c r="S52" i="17"/>
  <c r="AK50" i="17"/>
  <c r="BA50" i="17"/>
  <c r="F69" i="14"/>
  <c r="F67" i="14"/>
  <c r="F70" i="14"/>
  <c r="B65" i="27"/>
  <c r="F13" i="32"/>
  <c r="E13" i="32"/>
  <c r="G13" i="32"/>
  <c r="J46" i="17"/>
  <c r="R46" i="17"/>
  <c r="H46" i="17"/>
  <c r="P46" i="17"/>
  <c r="AK44" i="17"/>
  <c r="BA44" i="17"/>
  <c r="I46" i="17"/>
  <c r="Q46" i="17"/>
  <c r="J50" i="17"/>
  <c r="R50" i="17"/>
  <c r="I53" i="21"/>
  <c r="D60" i="31"/>
  <c r="F16" i="32"/>
  <c r="G16" i="32"/>
  <c r="E16" i="32"/>
  <c r="E9" i="30"/>
  <c r="H12" i="33"/>
  <c r="I12" i="33"/>
  <c r="I48" i="17"/>
  <c r="Q48" i="17"/>
  <c r="D20" i="36"/>
  <c r="J135" i="25"/>
  <c r="J136" i="25"/>
  <c r="I12" i="26"/>
  <c r="Y16" i="4"/>
  <c r="S16" i="4"/>
  <c r="T16" i="4"/>
  <c r="L16" i="17"/>
  <c r="T16" i="17"/>
  <c r="J18" i="17"/>
  <c r="R18" i="17"/>
  <c r="J16" i="17"/>
  <c r="R16" i="17"/>
  <c r="J20" i="17"/>
  <c r="K16" i="17"/>
  <c r="S16" i="17"/>
  <c r="AK14" i="17"/>
  <c r="BA14" i="17"/>
  <c r="L18" i="17"/>
  <c r="T18" i="17"/>
  <c r="H16" i="17"/>
  <c r="P16" i="17"/>
  <c r="I16" i="17"/>
  <c r="Q16" i="17"/>
  <c r="K18" i="17"/>
  <c r="S18" i="17"/>
  <c r="I30" i="26"/>
  <c r="K13" i="17"/>
  <c r="S13" i="17"/>
  <c r="BU13" i="17"/>
  <c r="BJ11" i="17"/>
  <c r="BZ11" i="17"/>
  <c r="K15" i="17"/>
  <c r="S15" i="17"/>
  <c r="BU15" i="17"/>
  <c r="J15" i="17"/>
  <c r="R15" i="17"/>
  <c r="BT15" i="17"/>
  <c r="K19" i="17"/>
  <c r="J13" i="17"/>
  <c r="R13" i="17"/>
  <c r="BT13" i="17"/>
  <c r="I15" i="17"/>
  <c r="Q15" i="17"/>
  <c r="BS15" i="17"/>
  <c r="H13" i="17"/>
  <c r="P13" i="17"/>
  <c r="BR13" i="17"/>
  <c r="L17" i="17"/>
  <c r="T17" i="17"/>
  <c r="BV17" i="17"/>
  <c r="L13" i="17"/>
  <c r="T13" i="17"/>
  <c r="BV13" i="17"/>
  <c r="I13" i="17"/>
  <c r="E49" i="17"/>
  <c r="H66" i="14"/>
  <c r="H74" i="14"/>
  <c r="I30" i="21"/>
  <c r="I32" i="26"/>
  <c r="I14" i="21"/>
  <c r="I52" i="21"/>
  <c r="I22" i="26"/>
  <c r="I33" i="21"/>
  <c r="K12" i="17"/>
  <c r="S12" i="17"/>
  <c r="L20" i="17"/>
  <c r="I44" i="17"/>
  <c r="F18" i="28"/>
  <c r="E18" i="28"/>
  <c r="G18" i="28"/>
  <c r="AK48" i="17"/>
  <c r="BA48" i="17"/>
  <c r="J48" i="17"/>
  <c r="R48" i="17"/>
  <c r="B14" i="33"/>
  <c r="D14" i="33"/>
  <c r="D65" i="28"/>
  <c r="G18" i="15"/>
  <c r="H18" i="15"/>
  <c r="I18" i="15"/>
  <c r="H17" i="15"/>
  <c r="I17" i="15"/>
  <c r="J138" i="25"/>
  <c r="I13" i="21"/>
  <c r="R77" i="25"/>
  <c r="V78" i="25"/>
  <c r="W78" i="25"/>
  <c r="AB76" i="25"/>
  <c r="Z77" i="25"/>
  <c r="AA76" i="25"/>
  <c r="R97" i="25"/>
  <c r="I55" i="14"/>
  <c r="R87" i="25"/>
  <c r="R81" i="25"/>
  <c r="I20" i="14"/>
  <c r="R98" i="25"/>
  <c r="R113" i="25"/>
  <c r="I38" i="14"/>
  <c r="R120" i="25"/>
  <c r="R93" i="25"/>
  <c r="R122" i="25"/>
  <c r="I10" i="14"/>
  <c r="E71" i="14"/>
  <c r="R109" i="25"/>
  <c r="R103" i="25"/>
  <c r="R106" i="25"/>
  <c r="R116" i="25"/>
  <c r="R108" i="25"/>
  <c r="R96" i="25"/>
  <c r="R95" i="25"/>
  <c r="R94" i="25"/>
  <c r="R99" i="25"/>
  <c r="I58" i="14"/>
  <c r="I50" i="14"/>
  <c r="I46" i="14"/>
  <c r="R92" i="25"/>
  <c r="I34" i="14"/>
  <c r="I9" i="14"/>
  <c r="I44" i="14"/>
  <c r="I49" i="14"/>
  <c r="R101" i="25"/>
  <c r="R107" i="25"/>
  <c r="R121" i="25"/>
  <c r="R89" i="25"/>
  <c r="R80" i="25"/>
  <c r="R123" i="25"/>
  <c r="R91" i="25"/>
  <c r="K38" i="14"/>
  <c r="I36" i="14"/>
  <c r="I26" i="14"/>
  <c r="R74" i="25"/>
  <c r="R128" i="25"/>
  <c r="R125" i="25"/>
  <c r="R126" i="25"/>
  <c r="R124" i="25"/>
  <c r="R127" i="25"/>
  <c r="R115" i="25"/>
  <c r="R117" i="25"/>
  <c r="R112" i="25"/>
  <c r="R114" i="25"/>
  <c r="R83" i="25"/>
  <c r="R111" i="25"/>
  <c r="R79" i="25"/>
  <c r="R88" i="25"/>
  <c r="R75" i="25"/>
  <c r="R90" i="25"/>
  <c r="R82" i="25"/>
  <c r="R84" i="25"/>
  <c r="R78" i="25"/>
  <c r="R118" i="25"/>
  <c r="BR53" i="17"/>
  <c r="I43" i="14"/>
  <c r="I53" i="14"/>
  <c r="F79" i="14"/>
  <c r="R85" i="25"/>
  <c r="R100" i="25"/>
  <c r="R119" i="25"/>
  <c r="R105" i="25"/>
  <c r="R104" i="25"/>
  <c r="R102" i="25"/>
  <c r="M56" i="17"/>
  <c r="K33" i="14"/>
  <c r="I35" i="14"/>
  <c r="I41" i="14"/>
  <c r="R86" i="25"/>
  <c r="R76" i="25"/>
  <c r="R110" i="25"/>
  <c r="K32" i="14"/>
  <c r="K29" i="14"/>
  <c r="K36" i="14"/>
  <c r="I25" i="14"/>
  <c r="I18" i="14"/>
  <c r="I8" i="14"/>
  <c r="K18" i="14"/>
  <c r="I57" i="14"/>
  <c r="I42" i="14"/>
  <c r="K58" i="14"/>
  <c r="K19" i="14"/>
  <c r="K57" i="14"/>
  <c r="K25" i="14"/>
  <c r="K52" i="14"/>
  <c r="I32" i="14"/>
  <c r="K28" i="14"/>
  <c r="K24" i="14"/>
  <c r="I61" i="14"/>
  <c r="I45" i="14"/>
  <c r="K50" i="14"/>
  <c r="K56" i="14"/>
  <c r="K60" i="14"/>
  <c r="K8" i="14"/>
  <c r="K53" i="14"/>
  <c r="K21" i="14"/>
  <c r="I28" i="14"/>
  <c r="I30" i="14"/>
  <c r="K51" i="14"/>
  <c r="I54" i="14"/>
  <c r="K42" i="14"/>
  <c r="K26" i="14"/>
  <c r="K30" i="14"/>
  <c r="K48" i="14"/>
  <c r="I21" i="14"/>
  <c r="K44" i="14"/>
  <c r="K22" i="14"/>
  <c r="K35" i="14"/>
  <c r="K59" i="14"/>
  <c r="K45" i="14"/>
  <c r="K13" i="14"/>
  <c r="I22" i="14"/>
  <c r="I51" i="14"/>
  <c r="K34" i="14"/>
  <c r="K20" i="14"/>
  <c r="K39" i="14"/>
  <c r="K31" i="14"/>
  <c r="K11" i="14"/>
  <c r="I19" i="14"/>
  <c r="I52" i="14"/>
  <c r="K27" i="14"/>
  <c r="K17" i="14"/>
  <c r="I37" i="14"/>
  <c r="K40" i="14"/>
  <c r="I47" i="14"/>
  <c r="I11" i="14"/>
  <c r="K12" i="14"/>
  <c r="K10" i="14"/>
  <c r="I23" i="14"/>
  <c r="K14" i="14"/>
  <c r="I24" i="14"/>
  <c r="K55" i="14"/>
  <c r="K43" i="14"/>
  <c r="K41" i="14"/>
  <c r="K9" i="14"/>
  <c r="I59" i="14"/>
  <c r="I29" i="14"/>
  <c r="K23" i="14"/>
  <c r="K54" i="14"/>
  <c r="I16" i="14"/>
  <c r="K49" i="14"/>
  <c r="I60" i="14"/>
  <c r="I39" i="14"/>
  <c r="I33" i="14"/>
  <c r="I31" i="14"/>
  <c r="I17" i="14"/>
  <c r="K16" i="14"/>
  <c r="I40" i="14"/>
  <c r="I15" i="14"/>
  <c r="K46" i="14"/>
  <c r="I12" i="14"/>
  <c r="I14" i="14"/>
  <c r="I56" i="14"/>
  <c r="K47" i="14"/>
  <c r="K15" i="14"/>
  <c r="K37" i="14"/>
  <c r="I13" i="14"/>
  <c r="I27" i="14"/>
  <c r="I48" i="14"/>
  <c r="BK17" i="17"/>
  <c r="CA17" i="17"/>
  <c r="BR47" i="17"/>
  <c r="BS55" i="17"/>
  <c r="X55" i="17"/>
  <c r="AE55" i="17"/>
  <c r="BR55" i="17"/>
  <c r="W55" i="17"/>
  <c r="AD55" i="17"/>
  <c r="G16" i="28"/>
  <c r="E16" i="28"/>
  <c r="F31" i="28"/>
  <c r="G31" i="28"/>
  <c r="F12" i="26"/>
  <c r="C13" i="26"/>
  <c r="C14" i="26"/>
  <c r="J14" i="26"/>
  <c r="J24" i="17"/>
  <c r="R24" i="17"/>
  <c r="AU24" i="17"/>
  <c r="W18" i="17"/>
  <c r="AD18" i="17"/>
  <c r="M26" i="17"/>
  <c r="AP26" i="17"/>
  <c r="BF26" i="17"/>
  <c r="G18" i="36"/>
  <c r="K26" i="17"/>
  <c r="AN26" i="17"/>
  <c r="BD26" i="17"/>
  <c r="K24" i="17"/>
  <c r="S24" i="17"/>
  <c r="Z24" i="17"/>
  <c r="AG24" i="17"/>
  <c r="AK20" i="17"/>
  <c r="BA20" i="17"/>
  <c r="T20" i="17"/>
  <c r="F12" i="24"/>
  <c r="K22" i="17"/>
  <c r="S22" i="17"/>
  <c r="Z22" i="17"/>
  <c r="AG22" i="17"/>
  <c r="W41" i="17"/>
  <c r="AD41" i="17"/>
  <c r="BR5" i="17"/>
  <c r="Q20" i="17"/>
  <c r="AT20" i="17"/>
  <c r="F36" i="32"/>
  <c r="S20" i="17"/>
  <c r="AV20" i="17"/>
  <c r="AL20" i="17"/>
  <c r="BB20" i="17"/>
  <c r="Y12" i="17"/>
  <c r="AF12" i="17"/>
  <c r="BS17" i="17"/>
  <c r="Q19" i="17"/>
  <c r="X19" i="17"/>
  <c r="AE19" i="17"/>
  <c r="BJ53" i="17"/>
  <c r="BZ53" i="17"/>
  <c r="AM12" i="17"/>
  <c r="BC12" i="17"/>
  <c r="AK8" i="17"/>
  <c r="BA8" i="17"/>
  <c r="AT10" i="17"/>
  <c r="C16" i="31"/>
  <c r="G16" i="31"/>
  <c r="C14" i="21"/>
  <c r="F14" i="21"/>
  <c r="F13" i="21"/>
  <c r="AM14" i="17"/>
  <c r="BC14" i="17"/>
  <c r="R20" i="17"/>
  <c r="F18" i="36"/>
  <c r="J26" i="17"/>
  <c r="AM26" i="17"/>
  <c r="BC26" i="17"/>
  <c r="L45" i="17"/>
  <c r="T45" i="17"/>
  <c r="BV45" i="17"/>
  <c r="G36" i="32"/>
  <c r="G37" i="32"/>
  <c r="G38" i="32"/>
  <c r="I24" i="17"/>
  <c r="Q24" i="17"/>
  <c r="M24" i="17"/>
  <c r="U24" i="17"/>
  <c r="AB24" i="17"/>
  <c r="AI24" i="17"/>
  <c r="G12" i="24"/>
  <c r="D12" i="24"/>
  <c r="L22" i="17"/>
  <c r="T22" i="17"/>
  <c r="AW22" i="17"/>
  <c r="AK32" i="17"/>
  <c r="BA32" i="17"/>
  <c r="P19" i="17"/>
  <c r="W19" i="17"/>
  <c r="AD19" i="17"/>
  <c r="G13" i="21"/>
  <c r="D13" i="21"/>
  <c r="AL14" i="17"/>
  <c r="BB14" i="17"/>
  <c r="L26" i="17"/>
  <c r="T26" i="17"/>
  <c r="H69" i="14"/>
  <c r="H71" i="14"/>
  <c r="H73" i="14"/>
  <c r="C13" i="24"/>
  <c r="E13" i="24"/>
  <c r="C46" i="31"/>
  <c r="H46" i="31"/>
  <c r="J46" i="31"/>
  <c r="B10" i="35"/>
  <c r="J10" i="35"/>
  <c r="BR73" i="17"/>
  <c r="H30" i="36"/>
  <c r="H46" i="36"/>
  <c r="P33" i="17"/>
  <c r="BR33" i="17"/>
  <c r="F39" i="31"/>
  <c r="H39" i="31"/>
  <c r="J39" i="31"/>
  <c r="E39" i="31"/>
  <c r="BK11" i="17"/>
  <c r="CA11" i="17"/>
  <c r="S19" i="17"/>
  <c r="BU19" i="17"/>
  <c r="BK43" i="17"/>
  <c r="CA43" i="17"/>
  <c r="T19" i="17"/>
  <c r="BV19" i="17"/>
  <c r="AS10" i="17"/>
  <c r="Q43" i="17"/>
  <c r="X43" i="17"/>
  <c r="AE43" i="17"/>
  <c r="J22" i="17"/>
  <c r="H22" i="17"/>
  <c r="I22" i="17"/>
  <c r="BL19" i="17"/>
  <c r="CB19" i="17"/>
  <c r="P20" i="17"/>
  <c r="AS20" i="17"/>
  <c r="F14" i="32"/>
  <c r="G14" i="32"/>
  <c r="E14" i="32"/>
  <c r="G71" i="14"/>
  <c r="G75" i="14"/>
  <c r="BK19" i="17"/>
  <c r="CA19" i="17"/>
  <c r="W32" i="17"/>
  <c r="AD32" i="17"/>
  <c r="BJ19" i="17"/>
  <c r="BZ19" i="17"/>
  <c r="R19" i="17"/>
  <c r="Y19" i="17"/>
  <c r="AF19" i="17"/>
  <c r="J74" i="14"/>
  <c r="L21" i="17"/>
  <c r="BN21" i="17"/>
  <c r="CD21" i="17"/>
  <c r="AN14" i="17"/>
  <c r="BD14" i="17"/>
  <c r="T14" i="17"/>
  <c r="AA14" i="17"/>
  <c r="AH14" i="17"/>
  <c r="J23" i="17"/>
  <c r="BL23" i="17"/>
  <c r="CB23" i="17"/>
  <c r="F19" i="36"/>
  <c r="E19" i="36"/>
  <c r="G19" i="36"/>
  <c r="M23" i="17"/>
  <c r="U23" i="17"/>
  <c r="BW23" i="17"/>
  <c r="L23" i="17"/>
  <c r="BN23" i="17"/>
  <c r="CD23" i="17"/>
  <c r="H39" i="17"/>
  <c r="I39" i="17"/>
  <c r="I41" i="17"/>
  <c r="G13" i="36"/>
  <c r="F13" i="36"/>
  <c r="E13" i="36"/>
  <c r="P37" i="17"/>
  <c r="F17" i="28"/>
  <c r="E17" i="28"/>
  <c r="G17" i="28"/>
  <c r="E14" i="36"/>
  <c r="G14" i="36"/>
  <c r="F14" i="36"/>
  <c r="F27" i="28"/>
  <c r="G27" i="28"/>
  <c r="E27" i="28"/>
  <c r="K23" i="17"/>
  <c r="S23" i="17"/>
  <c r="I23" i="17"/>
  <c r="Q23" i="17"/>
  <c r="BS23" i="17"/>
  <c r="BM43" i="17"/>
  <c r="CC43" i="17"/>
  <c r="AK12" i="17"/>
  <c r="BA12" i="17"/>
  <c r="AS12" i="17"/>
  <c r="BJ37" i="17"/>
  <c r="BZ37" i="17"/>
  <c r="J41" i="17"/>
  <c r="R41" i="17"/>
  <c r="Y41" i="17"/>
  <c r="AF41" i="17"/>
  <c r="F33" i="28"/>
  <c r="E33" i="28"/>
  <c r="G33" i="28"/>
  <c r="E20" i="32"/>
  <c r="F20" i="32"/>
  <c r="G20" i="32"/>
  <c r="E28" i="28"/>
  <c r="G28" i="28"/>
  <c r="F28" i="28"/>
  <c r="B75" i="21"/>
  <c r="L47" i="17"/>
  <c r="T47" i="17"/>
  <c r="BV47" i="17"/>
  <c r="K45" i="17"/>
  <c r="S45" i="17"/>
  <c r="BU45" i="17"/>
  <c r="F15" i="31"/>
  <c r="E15" i="28"/>
  <c r="F15" i="28"/>
  <c r="G15" i="28"/>
  <c r="H21" i="17"/>
  <c r="I21" i="17"/>
  <c r="BK21" i="17"/>
  <c r="CA21" i="17"/>
  <c r="K21" i="17"/>
  <c r="S21" i="17"/>
  <c r="Z21" i="17"/>
  <c r="AG21" i="17"/>
  <c r="J21" i="17"/>
  <c r="R21" i="17"/>
  <c r="Y21" i="17"/>
  <c r="AF21" i="17"/>
  <c r="J43" i="17"/>
  <c r="H34" i="17"/>
  <c r="P34" i="17"/>
  <c r="AS34" i="17"/>
  <c r="I34" i="17"/>
  <c r="C30" i="31"/>
  <c r="E30" i="31"/>
  <c r="B74" i="21"/>
  <c r="B72" i="21"/>
  <c r="B69" i="21"/>
  <c r="B76" i="21"/>
  <c r="B73" i="21"/>
  <c r="E10" i="34"/>
  <c r="D10" i="34"/>
  <c r="I10" i="34"/>
  <c r="B13" i="34"/>
  <c r="C11" i="34"/>
  <c r="BU43" i="17"/>
  <c r="BT21" i="17"/>
  <c r="BS11" i="17"/>
  <c r="BR43" i="17"/>
  <c r="BR15" i="17"/>
  <c r="AL50" i="17"/>
  <c r="BB50" i="17"/>
  <c r="AK52" i="17"/>
  <c r="BA52" i="17"/>
  <c r="P49" i="17"/>
  <c r="BR49" i="17"/>
  <c r="L55" i="17"/>
  <c r="J55" i="17"/>
  <c r="K55" i="17"/>
  <c r="M55" i="17"/>
  <c r="Q54" i="17"/>
  <c r="AL54" i="17"/>
  <c r="T54" i="17"/>
  <c r="AO54" i="17"/>
  <c r="R54" i="17"/>
  <c r="AM54" i="17"/>
  <c r="S54" i="17"/>
  <c r="AN54" i="17"/>
  <c r="W54" i="17"/>
  <c r="AD54" i="17"/>
  <c r="Q26" i="17"/>
  <c r="G15" i="31"/>
  <c r="E15" i="31"/>
  <c r="E45" i="31"/>
  <c r="P26" i="17"/>
  <c r="AS26" i="17"/>
  <c r="G45" i="31"/>
  <c r="F45" i="31"/>
  <c r="C14" i="31"/>
  <c r="F14" i="31"/>
  <c r="H10" i="34"/>
  <c r="B45" i="24"/>
  <c r="AL44" i="17"/>
  <c r="BB44" i="17"/>
  <c r="Q44" i="17"/>
  <c r="R49" i="17"/>
  <c r="T49" i="17"/>
  <c r="S47" i="17"/>
  <c r="Q13" i="17"/>
  <c r="P23" i="17"/>
  <c r="BR23" i="17"/>
  <c r="S49" i="17"/>
  <c r="R17" i="17"/>
  <c r="Q49" i="17"/>
  <c r="J45" i="31"/>
  <c r="BK47" i="17"/>
  <c r="CA47" i="17"/>
  <c r="X47" i="17"/>
  <c r="AE47" i="17"/>
  <c r="AS52" i="17"/>
  <c r="BL17" i="17"/>
  <c r="CB17" i="17"/>
  <c r="X50" i="17"/>
  <c r="AE50" i="17"/>
  <c r="AT50" i="17"/>
  <c r="AN20" i="17"/>
  <c r="BD20" i="17"/>
  <c r="Y11" i="17"/>
  <c r="AF11" i="17"/>
  <c r="K46" i="17"/>
  <c r="S46" i="17"/>
  <c r="AS24" i="17"/>
  <c r="BN19" i="17"/>
  <c r="CD19" i="17"/>
  <c r="Z14" i="17"/>
  <c r="AG14" i="17"/>
  <c r="AV14" i="17"/>
  <c r="AA50" i="17"/>
  <c r="AH50" i="17"/>
  <c r="AW50" i="17"/>
  <c r="W14" i="17"/>
  <c r="AD14" i="17"/>
  <c r="AS14" i="17"/>
  <c r="Y50" i="17"/>
  <c r="AF50" i="17"/>
  <c r="AU50" i="17"/>
  <c r="Z50" i="17"/>
  <c r="AG50" i="17"/>
  <c r="AV50" i="17"/>
  <c r="AA24" i="17"/>
  <c r="AH24" i="17"/>
  <c r="AW24" i="17"/>
  <c r="W44" i="17"/>
  <c r="AD44" i="17"/>
  <c r="AS44" i="17"/>
  <c r="Y14" i="17"/>
  <c r="AF14" i="17"/>
  <c r="AU14" i="17"/>
  <c r="X14" i="17"/>
  <c r="AE14" i="17"/>
  <c r="AT14" i="17"/>
  <c r="X12" i="17"/>
  <c r="AE12" i="17"/>
  <c r="AT12" i="17"/>
  <c r="H45" i="36"/>
  <c r="B10" i="29"/>
  <c r="J10" i="29"/>
  <c r="M52" i="17"/>
  <c r="U52" i="17"/>
  <c r="C43" i="31"/>
  <c r="G43" i="31"/>
  <c r="AK24" i="17"/>
  <c r="BA24" i="17"/>
  <c r="BM11" i="17"/>
  <c r="CC11" i="17"/>
  <c r="AL18" i="17"/>
  <c r="BB18" i="17"/>
  <c r="AO50" i="17"/>
  <c r="BE50" i="17"/>
  <c r="BL11" i="17"/>
  <c r="CB11" i="17"/>
  <c r="M49" i="17"/>
  <c r="U49" i="17"/>
  <c r="BW49" i="17"/>
  <c r="L42" i="17"/>
  <c r="T42" i="17"/>
  <c r="L48" i="17"/>
  <c r="T48" i="17"/>
  <c r="W17" i="17"/>
  <c r="AD17" i="17"/>
  <c r="I42" i="17"/>
  <c r="Q42" i="17"/>
  <c r="L46" i="17"/>
  <c r="T46" i="17"/>
  <c r="M44" i="17"/>
  <c r="U44" i="17"/>
  <c r="M54" i="17"/>
  <c r="B42" i="24"/>
  <c r="E11" i="27"/>
  <c r="F11" i="27"/>
  <c r="G11" i="27"/>
  <c r="D11" i="27"/>
  <c r="B47" i="26"/>
  <c r="B48" i="24"/>
  <c r="F12" i="27"/>
  <c r="G12" i="27"/>
  <c r="D12" i="27"/>
  <c r="C13" i="27"/>
  <c r="E12" i="27"/>
  <c r="B46" i="24"/>
  <c r="B46" i="26"/>
  <c r="B72" i="22"/>
  <c r="W11" i="17"/>
  <c r="AD11" i="17"/>
  <c r="BM13" i="17"/>
  <c r="CC13" i="17"/>
  <c r="Z13" i="17"/>
  <c r="AG13" i="17"/>
  <c r="AS16" i="17"/>
  <c r="AK16" i="17"/>
  <c r="BA16" i="17"/>
  <c r="AS46" i="17"/>
  <c r="AK46" i="17"/>
  <c r="BA46" i="17"/>
  <c r="F19" i="28"/>
  <c r="G19" i="28"/>
  <c r="E19" i="28"/>
  <c r="L25" i="17"/>
  <c r="T25" i="17"/>
  <c r="BV25" i="17"/>
  <c r="M25" i="17"/>
  <c r="U25" i="17"/>
  <c r="BW25" i="17"/>
  <c r="H25" i="17"/>
  <c r="P25" i="17"/>
  <c r="BR25" i="17"/>
  <c r="K25" i="17"/>
  <c r="S25" i="17"/>
  <c r="BU25" i="17"/>
  <c r="I25" i="17"/>
  <c r="Q25" i="17"/>
  <c r="BS25" i="17"/>
  <c r="J25" i="17"/>
  <c r="R25" i="17"/>
  <c r="BT25" i="17"/>
  <c r="BJ23" i="17"/>
  <c r="BZ23" i="17"/>
  <c r="L27" i="17"/>
  <c r="T27" i="17"/>
  <c r="BV27" i="17"/>
  <c r="J27" i="17"/>
  <c r="R27" i="17"/>
  <c r="BT27" i="17"/>
  <c r="M27" i="17"/>
  <c r="U27" i="17"/>
  <c r="BW27" i="17"/>
  <c r="K27" i="17"/>
  <c r="S27" i="17"/>
  <c r="BU27" i="17"/>
  <c r="I27" i="17"/>
  <c r="M18" i="2"/>
  <c r="M45" i="2"/>
  <c r="M46" i="2"/>
  <c r="M10" i="2"/>
  <c r="M21" i="2"/>
  <c r="I42" i="21"/>
  <c r="H36" i="17"/>
  <c r="P36" i="17"/>
  <c r="M36" i="17"/>
  <c r="U36" i="17"/>
  <c r="L36" i="17"/>
  <c r="T36" i="17"/>
  <c r="I36" i="17"/>
  <c r="K36" i="17"/>
  <c r="S36" i="17"/>
  <c r="J36" i="17"/>
  <c r="R36" i="17"/>
  <c r="B70" i="22"/>
  <c r="M45" i="17"/>
  <c r="U45" i="17"/>
  <c r="BW45" i="17"/>
  <c r="L139" i="25"/>
  <c r="L137" i="25"/>
  <c r="L138" i="25"/>
  <c r="L134" i="25"/>
  <c r="L135" i="25"/>
  <c r="L136" i="25"/>
  <c r="G17" i="32"/>
  <c r="E17" i="32"/>
  <c r="F17" i="32"/>
  <c r="BN15" i="17"/>
  <c r="CD15" i="17"/>
  <c r="AA15" i="17"/>
  <c r="AH15" i="17"/>
  <c r="I31" i="17"/>
  <c r="Q31" i="17"/>
  <c r="BS31" i="17"/>
  <c r="L31" i="17"/>
  <c r="T31" i="17"/>
  <c r="BV31" i="17"/>
  <c r="H31" i="17"/>
  <c r="P31" i="17"/>
  <c r="BR31" i="17"/>
  <c r="M31" i="17"/>
  <c r="U31" i="17"/>
  <c r="BW31" i="17"/>
  <c r="K31" i="17"/>
  <c r="S31" i="17"/>
  <c r="BU31" i="17"/>
  <c r="J31" i="17"/>
  <c r="R31" i="17"/>
  <c r="BT31" i="17"/>
  <c r="L33" i="17"/>
  <c r="T33" i="17"/>
  <c r="BV33" i="17"/>
  <c r="I33" i="17"/>
  <c r="M33" i="17"/>
  <c r="U33" i="17"/>
  <c r="BW33" i="17"/>
  <c r="J33" i="17"/>
  <c r="R33" i="17"/>
  <c r="BT33" i="17"/>
  <c r="K33" i="17"/>
  <c r="S33" i="17"/>
  <c r="BU33" i="17"/>
  <c r="BZ5" i="17"/>
  <c r="F17" i="36"/>
  <c r="E17" i="36"/>
  <c r="G17" i="36"/>
  <c r="D46" i="32"/>
  <c r="M48" i="17"/>
  <c r="U48" i="17"/>
  <c r="C42" i="31"/>
  <c r="AL46" i="17"/>
  <c r="BB46" i="17"/>
  <c r="C48" i="31"/>
  <c r="H48" i="31"/>
  <c r="AL52" i="17"/>
  <c r="BB52" i="17"/>
  <c r="I32" i="21"/>
  <c r="M30" i="2"/>
  <c r="M23" i="2"/>
  <c r="M42" i="2"/>
  <c r="M47" i="2"/>
  <c r="M17" i="2"/>
  <c r="G29" i="28"/>
  <c r="F29" i="28"/>
  <c r="D66" i="28"/>
  <c r="E29" i="28"/>
  <c r="B69" i="22"/>
  <c r="H19" i="15"/>
  <c r="I19" i="15"/>
  <c r="G19" i="15"/>
  <c r="M42" i="17"/>
  <c r="U42" i="17"/>
  <c r="E20" i="29"/>
  <c r="M20" i="29"/>
  <c r="F25" i="28"/>
  <c r="G25" i="28"/>
  <c r="E25" i="28"/>
  <c r="E10" i="30"/>
  <c r="G10" i="30"/>
  <c r="H10" i="30"/>
  <c r="C11" i="30"/>
  <c r="F11" i="30"/>
  <c r="D10" i="30"/>
  <c r="BL9" i="17"/>
  <c r="BJ7" i="17"/>
  <c r="I23" i="24"/>
  <c r="J29" i="17"/>
  <c r="R29" i="17"/>
  <c r="BT29" i="17"/>
  <c r="H29" i="17"/>
  <c r="P29" i="17"/>
  <c r="BR29" i="17"/>
  <c r="K29" i="17"/>
  <c r="S29" i="17"/>
  <c r="BU29" i="17"/>
  <c r="I29" i="17"/>
  <c r="Q29" i="17"/>
  <c r="BS29" i="17"/>
  <c r="L29" i="17"/>
  <c r="T29" i="17"/>
  <c r="BV29" i="17"/>
  <c r="M29" i="17"/>
  <c r="U29" i="17"/>
  <c r="BW29" i="17"/>
  <c r="BJ27" i="17"/>
  <c r="BZ27" i="17"/>
  <c r="W50" i="17"/>
  <c r="AD50" i="17"/>
  <c r="H14" i="33"/>
  <c r="I14" i="33"/>
  <c r="G14" i="33"/>
  <c r="AN12" i="17"/>
  <c r="BK13" i="17"/>
  <c r="CA13" i="17"/>
  <c r="X15" i="17"/>
  <c r="AE15" i="17"/>
  <c r="BK15" i="17"/>
  <c r="CA15" i="17"/>
  <c r="Z15" i="17"/>
  <c r="AG15" i="17"/>
  <c r="BM15" i="17"/>
  <c r="CC15" i="17"/>
  <c r="AL16" i="17"/>
  <c r="BB16" i="17"/>
  <c r="AO18" i="17"/>
  <c r="BE18" i="17"/>
  <c r="AM16" i="17"/>
  <c r="BC16" i="17"/>
  <c r="B43" i="26"/>
  <c r="E20" i="36"/>
  <c r="F20" i="36"/>
  <c r="G20" i="36"/>
  <c r="C44" i="31"/>
  <c r="AL48" i="17"/>
  <c r="BB48" i="17"/>
  <c r="M50" i="17"/>
  <c r="U50" i="17"/>
  <c r="AM46" i="17"/>
  <c r="BC46" i="17"/>
  <c r="AN52" i="17"/>
  <c r="BD52" i="17"/>
  <c r="AM50" i="17"/>
  <c r="BC50" i="17"/>
  <c r="AM52" i="17"/>
  <c r="BC52" i="17"/>
  <c r="M34" i="2"/>
  <c r="M8" i="2"/>
  <c r="L58" i="2"/>
  <c r="L59" i="2"/>
  <c r="L61" i="2"/>
  <c r="L60" i="2"/>
  <c r="M22" i="2"/>
  <c r="M35" i="2"/>
  <c r="M19" i="2"/>
  <c r="M12" i="2"/>
  <c r="M36" i="2"/>
  <c r="M20" i="2"/>
  <c r="M43" i="2"/>
  <c r="M29" i="2"/>
  <c r="M13" i="2"/>
  <c r="AM10" i="17"/>
  <c r="G22" i="32"/>
  <c r="F22" i="32"/>
  <c r="E22" i="32"/>
  <c r="I45" i="21"/>
  <c r="I26" i="24"/>
  <c r="I27" i="26"/>
  <c r="I43" i="21"/>
  <c r="B73" i="22"/>
  <c r="D20" i="15"/>
  <c r="B20" i="15"/>
  <c r="Y45" i="17"/>
  <c r="AF45" i="17"/>
  <c r="BL45" i="17"/>
  <c r="CB45" i="17"/>
  <c r="I24" i="26"/>
  <c r="I37" i="21"/>
  <c r="T43" i="4"/>
  <c r="AS42" i="17"/>
  <c r="AK42" i="17"/>
  <c r="BA42" i="17"/>
  <c r="Y43" i="4"/>
  <c r="E22" i="28"/>
  <c r="F22" i="28"/>
  <c r="G22" i="28"/>
  <c r="AK26" i="17"/>
  <c r="BA26" i="17"/>
  <c r="K28" i="17"/>
  <c r="S28" i="17"/>
  <c r="M28" i="17"/>
  <c r="U28" i="17"/>
  <c r="J28" i="17"/>
  <c r="R28" i="17"/>
  <c r="H28" i="17"/>
  <c r="P28" i="17"/>
  <c r="L28" i="17"/>
  <c r="T28" i="17"/>
  <c r="I28" i="17"/>
  <c r="AL26" i="17"/>
  <c r="BB26" i="17"/>
  <c r="W24" i="17"/>
  <c r="AD24" i="17"/>
  <c r="I24" i="24"/>
  <c r="I38" i="21"/>
  <c r="X9" i="17"/>
  <c r="AE9" i="17"/>
  <c r="BK9" i="17"/>
  <c r="CA9" i="17"/>
  <c r="G23" i="28"/>
  <c r="E23" i="28"/>
  <c r="D67" i="28"/>
  <c r="F23" i="28"/>
  <c r="I36" i="21"/>
  <c r="W27" i="17"/>
  <c r="AD27" i="17"/>
  <c r="W48" i="17"/>
  <c r="AD48" i="17"/>
  <c r="BM19" i="17"/>
  <c r="CC19" i="17"/>
  <c r="AN18" i="17"/>
  <c r="BD18" i="17"/>
  <c r="AN16" i="17"/>
  <c r="BD16" i="17"/>
  <c r="BE14" i="17"/>
  <c r="M38" i="2"/>
  <c r="M27" i="2"/>
  <c r="M41" i="2"/>
  <c r="M28" i="2"/>
  <c r="M37" i="2"/>
  <c r="M11" i="2"/>
  <c r="C22" i="31"/>
  <c r="E22" i="31"/>
  <c r="I28" i="26"/>
  <c r="L35" i="17"/>
  <c r="T35" i="17"/>
  <c r="BV35" i="17"/>
  <c r="M35" i="17"/>
  <c r="U35" i="17"/>
  <c r="BW35" i="17"/>
  <c r="H35" i="17"/>
  <c r="P35" i="17"/>
  <c r="BR35" i="17"/>
  <c r="I35" i="17"/>
  <c r="Q35" i="17"/>
  <c r="BS35" i="17"/>
  <c r="BJ33" i="17"/>
  <c r="BZ33" i="17"/>
  <c r="J35" i="17"/>
  <c r="R35" i="17"/>
  <c r="BT35" i="17"/>
  <c r="K35" i="17"/>
  <c r="S35" i="17"/>
  <c r="BU35" i="17"/>
  <c r="K37" i="17"/>
  <c r="S37" i="17"/>
  <c r="BU37" i="17"/>
  <c r="J39" i="17"/>
  <c r="R39" i="17"/>
  <c r="BT39" i="17"/>
  <c r="L43" i="17"/>
  <c r="T43" i="17"/>
  <c r="BV43" i="17"/>
  <c r="M39" i="17"/>
  <c r="U39" i="17"/>
  <c r="BW39" i="17"/>
  <c r="M41" i="17"/>
  <c r="U41" i="17"/>
  <c r="BW41" i="17"/>
  <c r="M37" i="17"/>
  <c r="U37" i="17"/>
  <c r="BW37" i="17"/>
  <c r="L39" i="17"/>
  <c r="T39" i="17"/>
  <c r="BV39" i="17"/>
  <c r="L41" i="17"/>
  <c r="T41" i="17"/>
  <c r="BV41" i="17"/>
  <c r="K41" i="17"/>
  <c r="S41" i="17"/>
  <c r="BU41" i="17"/>
  <c r="I37" i="17"/>
  <c r="Q37" i="17"/>
  <c r="BS37" i="17"/>
  <c r="J37" i="17"/>
  <c r="R37" i="17"/>
  <c r="BT37" i="17"/>
  <c r="M43" i="17"/>
  <c r="U43" i="17"/>
  <c r="BW43" i="17"/>
  <c r="L37" i="17"/>
  <c r="T37" i="17"/>
  <c r="BV37" i="17"/>
  <c r="K39" i="17"/>
  <c r="S39" i="17"/>
  <c r="BU39" i="17"/>
  <c r="G21" i="32"/>
  <c r="E21" i="32"/>
  <c r="D45" i="32"/>
  <c r="F21" i="32"/>
  <c r="G10" i="22"/>
  <c r="D10" i="22"/>
  <c r="E10" i="22"/>
  <c r="F10" i="22"/>
  <c r="AN48" i="17"/>
  <c r="BD48" i="17"/>
  <c r="BJ45" i="17"/>
  <c r="BZ45" i="17"/>
  <c r="E24" i="28"/>
  <c r="G24" i="28"/>
  <c r="F24" i="28"/>
  <c r="I23" i="26"/>
  <c r="BK7" i="17"/>
  <c r="A17" i="30"/>
  <c r="B16" i="30"/>
  <c r="B15" i="33"/>
  <c r="D15" i="33"/>
  <c r="AO20" i="17"/>
  <c r="BE20" i="17"/>
  <c r="H51" i="17"/>
  <c r="P51" i="17"/>
  <c r="BR51" i="17"/>
  <c r="K51" i="17"/>
  <c r="S51" i="17"/>
  <c r="BU51" i="17"/>
  <c r="I51" i="17"/>
  <c r="Q51" i="17"/>
  <c r="BS51" i="17"/>
  <c r="BK49" i="17"/>
  <c r="CA49" i="17"/>
  <c r="K53" i="17"/>
  <c r="S53" i="17"/>
  <c r="L51" i="17"/>
  <c r="T51" i="17"/>
  <c r="BV51" i="17"/>
  <c r="BL49" i="17"/>
  <c r="CB49" i="17"/>
  <c r="BJ49" i="17"/>
  <c r="BZ49" i="17"/>
  <c r="BN49" i="17"/>
  <c r="CD49" i="17"/>
  <c r="M51" i="17"/>
  <c r="U51" i="17"/>
  <c r="BW51" i="17"/>
  <c r="BM49" i="17"/>
  <c r="CC49" i="17"/>
  <c r="J53" i="17"/>
  <c r="R53" i="17"/>
  <c r="J51" i="17"/>
  <c r="R51" i="17"/>
  <c r="BT51" i="17"/>
  <c r="L53" i="17"/>
  <c r="T53" i="17"/>
  <c r="M53" i="17"/>
  <c r="U53" i="17"/>
  <c r="I53" i="17"/>
  <c r="Q53" i="17"/>
  <c r="BN13" i="17"/>
  <c r="BJ13" i="17"/>
  <c r="BZ13" i="17"/>
  <c r="Y15" i="17"/>
  <c r="AF15" i="17"/>
  <c r="BL15" i="17"/>
  <c r="CB15" i="17"/>
  <c r="AM20" i="17"/>
  <c r="BC20" i="17"/>
  <c r="AO16" i="17"/>
  <c r="BE16" i="17"/>
  <c r="B45" i="26"/>
  <c r="B41" i="26"/>
  <c r="AO52" i="17"/>
  <c r="BE52" i="17"/>
  <c r="M48" i="2"/>
  <c r="M44" i="2"/>
  <c r="M40" i="2"/>
  <c r="M24" i="2"/>
  <c r="M33" i="2"/>
  <c r="AL8" i="17"/>
  <c r="I38" i="17"/>
  <c r="L38" i="17"/>
  <c r="T38" i="17"/>
  <c r="H38" i="17"/>
  <c r="P38" i="17"/>
  <c r="K38" i="17"/>
  <c r="S38" i="17"/>
  <c r="J38" i="17"/>
  <c r="R38" i="17"/>
  <c r="M38" i="17"/>
  <c r="U38" i="17"/>
  <c r="G32" i="28"/>
  <c r="F32" i="28"/>
  <c r="E32" i="28"/>
  <c r="G30" i="28"/>
  <c r="E30" i="28"/>
  <c r="F30" i="28"/>
  <c r="B66" i="22"/>
  <c r="W8" i="17"/>
  <c r="AD8" i="17"/>
  <c r="X45" i="17"/>
  <c r="AE45" i="17"/>
  <c r="BK45" i="17"/>
  <c r="CA45" i="17"/>
  <c r="C41" i="31"/>
  <c r="I40" i="17"/>
  <c r="Q40" i="17"/>
  <c r="H40" i="17"/>
  <c r="P40" i="17"/>
  <c r="L40" i="17"/>
  <c r="T40" i="17"/>
  <c r="J40" i="17"/>
  <c r="R40" i="17"/>
  <c r="M40" i="17"/>
  <c r="U40" i="17"/>
  <c r="K40" i="17"/>
  <c r="S40" i="17"/>
  <c r="L44" i="17"/>
  <c r="T44" i="17"/>
  <c r="K44" i="17"/>
  <c r="S44" i="17"/>
  <c r="J44" i="17"/>
  <c r="R44" i="17"/>
  <c r="AM48" i="17"/>
  <c r="BC48" i="17"/>
  <c r="C40" i="31"/>
  <c r="AA17" i="17"/>
  <c r="AH17" i="17"/>
  <c r="BN17" i="17"/>
  <c r="CD17" i="17"/>
  <c r="Y13" i="17"/>
  <c r="AF13" i="17"/>
  <c r="BL13" i="17"/>
  <c r="CB13" i="17"/>
  <c r="AM18" i="17"/>
  <c r="BC18" i="17"/>
  <c r="B44" i="26"/>
  <c r="D21" i="36"/>
  <c r="C30" i="32"/>
  <c r="M46" i="17"/>
  <c r="U46" i="17"/>
  <c r="F71" i="14"/>
  <c r="F73" i="14"/>
  <c r="AN50" i="17"/>
  <c r="BD50" i="17"/>
  <c r="E15" i="36"/>
  <c r="G15" i="36"/>
  <c r="F15" i="36"/>
  <c r="I21" i="24"/>
  <c r="M26" i="2"/>
  <c r="M50" i="2"/>
  <c r="M14" i="2"/>
  <c r="M31" i="2"/>
  <c r="M15" i="2"/>
  <c r="M49" i="2"/>
  <c r="M32" i="2"/>
  <c r="M16" i="2"/>
  <c r="M39" i="2"/>
  <c r="M25" i="2"/>
  <c r="M9" i="2"/>
  <c r="AK6" i="17"/>
  <c r="AO24" i="17"/>
  <c r="BE24" i="17"/>
  <c r="D62" i="31"/>
  <c r="B71" i="22"/>
  <c r="Y47" i="17"/>
  <c r="AF47" i="17"/>
  <c r="BL47" i="17"/>
  <c r="CB47" i="17"/>
  <c r="M47" i="17"/>
  <c r="U47" i="17"/>
  <c r="BW47" i="17"/>
  <c r="C11" i="22"/>
  <c r="M32" i="17"/>
  <c r="U32" i="17"/>
  <c r="J30" i="17"/>
  <c r="R30" i="17"/>
  <c r="L30" i="17"/>
  <c r="T30" i="17"/>
  <c r="H30" i="17"/>
  <c r="P30" i="17"/>
  <c r="I30" i="17"/>
  <c r="Q30" i="17"/>
  <c r="K30" i="17"/>
  <c r="S30" i="17"/>
  <c r="K32" i="17"/>
  <c r="S32" i="17"/>
  <c r="M30" i="17"/>
  <c r="U30" i="17"/>
  <c r="L32" i="17"/>
  <c r="T32" i="17"/>
  <c r="I32" i="17"/>
  <c r="Q32" i="17"/>
  <c r="M34" i="17"/>
  <c r="U34" i="17"/>
  <c r="L34" i="17"/>
  <c r="T34" i="17"/>
  <c r="J34" i="17"/>
  <c r="R34" i="17"/>
  <c r="K34" i="17"/>
  <c r="S34" i="17"/>
  <c r="J32" i="17"/>
  <c r="R32" i="17"/>
  <c r="E18" i="32"/>
  <c r="G18" i="32"/>
  <c r="F18" i="32"/>
  <c r="O43" i="4"/>
  <c r="O42" i="4"/>
  <c r="J42" i="17"/>
  <c r="R42" i="17"/>
  <c r="K42" i="17"/>
  <c r="S42" i="17"/>
  <c r="Z17" i="17"/>
  <c r="AG17" i="17"/>
  <c r="BM17" i="17"/>
  <c r="CC17" i="17"/>
  <c r="I35" i="21"/>
  <c r="B47" i="24"/>
  <c r="B49" i="24"/>
  <c r="U79" i="25"/>
  <c r="Z11" i="17"/>
  <c r="D63" i="31"/>
  <c r="AA77" i="25"/>
  <c r="AB77" i="25"/>
  <c r="Z78" i="25"/>
  <c r="W79" i="25"/>
  <c r="V79" i="25"/>
  <c r="G13" i="26"/>
  <c r="F14" i="26"/>
  <c r="AX24" i="17"/>
  <c r="Y24" i="17"/>
  <c r="AF24" i="17"/>
  <c r="U55" i="17"/>
  <c r="BO55" i="17"/>
  <c r="CE55" i="17"/>
  <c r="S55" i="17"/>
  <c r="BM55" i="17"/>
  <c r="CC55" i="17"/>
  <c r="R26" i="17"/>
  <c r="AU26" i="17"/>
  <c r="R55" i="17"/>
  <c r="BL55" i="17"/>
  <c r="CB55" i="17"/>
  <c r="T55" i="17"/>
  <c r="BN55" i="17"/>
  <c r="CD55" i="17"/>
  <c r="G14" i="26"/>
  <c r="F13" i="26"/>
  <c r="C15" i="26"/>
  <c r="F15" i="26"/>
  <c r="F46" i="31"/>
  <c r="AA19" i="17"/>
  <c r="AH19" i="17"/>
  <c r="AM24" i="17"/>
  <c r="BC24" i="17"/>
  <c r="X20" i="17"/>
  <c r="AE20" i="17"/>
  <c r="U26" i="17"/>
  <c r="AB26" i="17"/>
  <c r="AI26" i="17"/>
  <c r="S26" i="17"/>
  <c r="Z26" i="17"/>
  <c r="AG26" i="17"/>
  <c r="BO23" i="17"/>
  <c r="CE23" i="17"/>
  <c r="Z45" i="17"/>
  <c r="AG45" i="17"/>
  <c r="AP52" i="17"/>
  <c r="BF52" i="17"/>
  <c r="E46" i="31"/>
  <c r="BK23" i="17"/>
  <c r="CA23" i="17"/>
  <c r="G13" i="24"/>
  <c r="AN24" i="17"/>
  <c r="BD24" i="17"/>
  <c r="AN22" i="17"/>
  <c r="BD22" i="17"/>
  <c r="AV24" i="17"/>
  <c r="AV22" i="17"/>
  <c r="F16" i="31"/>
  <c r="D14" i="21"/>
  <c r="AL34" i="17"/>
  <c r="BB34" i="17"/>
  <c r="Z20" i="17"/>
  <c r="AG20" i="17"/>
  <c r="C15" i="21"/>
  <c r="F15" i="21"/>
  <c r="BS19" i="17"/>
  <c r="C19" i="31"/>
  <c r="E19" i="31"/>
  <c r="AA22" i="17"/>
  <c r="AH22" i="17"/>
  <c r="R23" i="17"/>
  <c r="BT23" i="17"/>
  <c r="G46" i="31"/>
  <c r="BN45" i="17"/>
  <c r="CD45" i="17"/>
  <c r="G30" i="31"/>
  <c r="AO26" i="17"/>
  <c r="BE26" i="17"/>
  <c r="AP24" i="17"/>
  <c r="BF24" i="17"/>
  <c r="K46" i="31"/>
  <c r="T21" i="17"/>
  <c r="BV21" i="17"/>
  <c r="BM45" i="17"/>
  <c r="CC45" i="17"/>
  <c r="G14" i="21"/>
  <c r="E16" i="31"/>
  <c r="T23" i="17"/>
  <c r="BV23" i="17"/>
  <c r="BL41" i="17"/>
  <c r="CB41" i="17"/>
  <c r="BR19" i="17"/>
  <c r="E14" i="21"/>
  <c r="AA45" i="17"/>
  <c r="AH45" i="17"/>
  <c r="AW14" i="17"/>
  <c r="BT19" i="17"/>
  <c r="H75" i="14"/>
  <c r="K39" i="31"/>
  <c r="D13" i="24"/>
  <c r="F13" i="24"/>
  <c r="C20" i="31"/>
  <c r="F20" i="31"/>
  <c r="C14" i="24"/>
  <c r="E14" i="24"/>
  <c r="AO22" i="17"/>
  <c r="BE22" i="17"/>
  <c r="AL24" i="17"/>
  <c r="BB24" i="17"/>
  <c r="G73" i="14"/>
  <c r="H30" i="32"/>
  <c r="H46" i="32"/>
  <c r="J46" i="32"/>
  <c r="C45" i="32"/>
  <c r="E45" i="32"/>
  <c r="C44" i="32"/>
  <c r="E44" i="32"/>
  <c r="C46" i="32"/>
  <c r="E46" i="32"/>
  <c r="I11" i="34"/>
  <c r="F11" i="34"/>
  <c r="R22" i="17"/>
  <c r="AM22" i="17"/>
  <c r="BC22" i="17"/>
  <c r="Z19" i="17"/>
  <c r="AG19" i="17"/>
  <c r="W20" i="17"/>
  <c r="AD20" i="17"/>
  <c r="BM23" i="17"/>
  <c r="CC23" i="17"/>
  <c r="BS43" i="17"/>
  <c r="P22" i="17"/>
  <c r="AK22" i="17"/>
  <c r="BA22" i="17"/>
  <c r="Q22" i="17"/>
  <c r="AL22" i="17"/>
  <c r="BB22" i="17"/>
  <c r="C18" i="31"/>
  <c r="F30" i="31"/>
  <c r="AA47" i="17"/>
  <c r="AH47" i="17"/>
  <c r="BU21" i="17"/>
  <c r="BT41" i="17"/>
  <c r="BM21" i="17"/>
  <c r="CC21" i="17"/>
  <c r="Q34" i="17"/>
  <c r="AT34" i="17"/>
  <c r="BN47" i="17"/>
  <c r="CD47" i="17"/>
  <c r="X23" i="17"/>
  <c r="AE23" i="17"/>
  <c r="C35" i="31"/>
  <c r="Q39" i="17"/>
  <c r="BK39" i="17"/>
  <c r="CA39" i="17"/>
  <c r="C17" i="31"/>
  <c r="Q21" i="17"/>
  <c r="BJ39" i="17"/>
  <c r="BZ39" i="17"/>
  <c r="P39" i="17"/>
  <c r="R43" i="17"/>
  <c r="BL43" i="17"/>
  <c r="CB43" i="17"/>
  <c r="P21" i="17"/>
  <c r="BJ21" i="17"/>
  <c r="BZ21" i="17"/>
  <c r="AK34" i="17"/>
  <c r="BA34" i="17"/>
  <c r="BR37" i="17"/>
  <c r="W37" i="17"/>
  <c r="AD37" i="17"/>
  <c r="C37" i="31"/>
  <c r="BK41" i="17"/>
  <c r="CA41" i="17"/>
  <c r="Q41" i="17"/>
  <c r="BL21" i="17"/>
  <c r="CB21" i="17"/>
  <c r="D11" i="34"/>
  <c r="C12" i="34"/>
  <c r="H11" i="34"/>
  <c r="E11" i="34"/>
  <c r="B14" i="34"/>
  <c r="Y53" i="17"/>
  <c r="AF53" i="17"/>
  <c r="BT53" i="17"/>
  <c r="Z47" i="17"/>
  <c r="AG47" i="17"/>
  <c r="BU47" i="17"/>
  <c r="AB53" i="17"/>
  <c r="AI53" i="17"/>
  <c r="BW53" i="17"/>
  <c r="BW63" i="17"/>
  <c r="Y17" i="17"/>
  <c r="AF17" i="17"/>
  <c r="BT17" i="17"/>
  <c r="X13" i="17"/>
  <c r="AE13" i="17"/>
  <c r="BS13" i="17"/>
  <c r="AA49" i="17"/>
  <c r="AH49" i="17"/>
  <c r="BV49" i="17"/>
  <c r="Z53" i="17"/>
  <c r="AG53" i="17"/>
  <c r="BU53" i="17"/>
  <c r="AT73" i="17"/>
  <c r="Y49" i="17"/>
  <c r="AF49" i="17"/>
  <c r="BT49" i="17"/>
  <c r="X53" i="17"/>
  <c r="AE53" i="17"/>
  <c r="BS53" i="17"/>
  <c r="X49" i="17"/>
  <c r="AE49" i="17"/>
  <c r="BS49" i="17"/>
  <c r="AA53" i="17"/>
  <c r="AH53" i="17"/>
  <c r="BV53" i="17"/>
  <c r="Z49" i="17"/>
  <c r="AG49" i="17"/>
  <c r="BU49" i="17"/>
  <c r="Z23" i="17"/>
  <c r="AG23" i="17"/>
  <c r="BU23" i="17"/>
  <c r="AA54" i="17"/>
  <c r="AH54" i="17"/>
  <c r="AW54" i="17"/>
  <c r="U54" i="17"/>
  <c r="AP54" i="17"/>
  <c r="Y54" i="17"/>
  <c r="AF54" i="17"/>
  <c r="AU54" i="17"/>
  <c r="X54" i="17"/>
  <c r="AE54" i="17"/>
  <c r="AT54" i="17"/>
  <c r="Z54" i="17"/>
  <c r="AG54" i="17"/>
  <c r="AV54" i="17"/>
  <c r="E14" i="31"/>
  <c r="G14" i="31"/>
  <c r="AN46" i="17"/>
  <c r="BD46" i="17"/>
  <c r="AK28" i="17"/>
  <c r="BA28" i="17"/>
  <c r="AL28" i="17"/>
  <c r="BB28" i="17"/>
  <c r="Q28" i="17"/>
  <c r="BB74" i="17"/>
  <c r="BK33" i="17"/>
  <c r="CA33" i="17"/>
  <c r="Q33" i="17"/>
  <c r="AL36" i="17"/>
  <c r="BB36" i="17"/>
  <c r="Q36" i="17"/>
  <c r="F75" i="14"/>
  <c r="AL38" i="17"/>
  <c r="BB38" i="17"/>
  <c r="Q38" i="17"/>
  <c r="BK27" i="17"/>
  <c r="CA27" i="17"/>
  <c r="Q27" i="17"/>
  <c r="AO48" i="17"/>
  <c r="BE48" i="17"/>
  <c r="AA27" i="17"/>
  <c r="AH27" i="17"/>
  <c r="Z33" i="17"/>
  <c r="AG33" i="17"/>
  <c r="AO46" i="17"/>
  <c r="BE46" i="17"/>
  <c r="AA29" i="17"/>
  <c r="AH29" i="17"/>
  <c r="Z29" i="17"/>
  <c r="AG29" i="17"/>
  <c r="AB33" i="17"/>
  <c r="AI33" i="17"/>
  <c r="AS28" i="17"/>
  <c r="AB49" i="17"/>
  <c r="AI49" i="17"/>
  <c r="AS38" i="17"/>
  <c r="Y29" i="17"/>
  <c r="AF29" i="17"/>
  <c r="AA33" i="17"/>
  <c r="AH33" i="17"/>
  <c r="AS36" i="17"/>
  <c r="AK38" i="17"/>
  <c r="BA38" i="17"/>
  <c r="W26" i="17"/>
  <c r="AD26" i="17"/>
  <c r="X29" i="17"/>
  <c r="AE29" i="17"/>
  <c r="Y33" i="17"/>
  <c r="AF33" i="17"/>
  <c r="AB27" i="17"/>
  <c r="AI27" i="17"/>
  <c r="Y27" i="17"/>
  <c r="AF27" i="17"/>
  <c r="Z27" i="17"/>
  <c r="AG27" i="17"/>
  <c r="AB29" i="17"/>
  <c r="AI29" i="17"/>
  <c r="Z34" i="17"/>
  <c r="AG34" i="17"/>
  <c r="AV34" i="17"/>
  <c r="AA34" i="17"/>
  <c r="AH34" i="17"/>
  <c r="AW34" i="17"/>
  <c r="Y18" i="17"/>
  <c r="AF18" i="17"/>
  <c r="AU18" i="17"/>
  <c r="Y48" i="17"/>
  <c r="AF48" i="17"/>
  <c r="AU48" i="17"/>
  <c r="Z38" i="17"/>
  <c r="AG38" i="17"/>
  <c r="AV38" i="17"/>
  <c r="AA52" i="17"/>
  <c r="AH52" i="17"/>
  <c r="AW52" i="17"/>
  <c r="Z16" i="17"/>
  <c r="AG16" i="17"/>
  <c r="AV16" i="17"/>
  <c r="Y10" i="17"/>
  <c r="AF10" i="17"/>
  <c r="AU10" i="17"/>
  <c r="Y52" i="17"/>
  <c r="AF52" i="17"/>
  <c r="AU52" i="17"/>
  <c r="Y16" i="17"/>
  <c r="AF16" i="17"/>
  <c r="AU16" i="17"/>
  <c r="X16" i="17"/>
  <c r="AE16" i="17"/>
  <c r="AT16" i="17"/>
  <c r="Z12" i="17"/>
  <c r="AG12" i="17"/>
  <c r="AV12" i="17"/>
  <c r="AB36" i="17"/>
  <c r="AI36" i="17"/>
  <c r="AX36" i="17"/>
  <c r="X18" i="17"/>
  <c r="AE18" i="17"/>
  <c r="AT18" i="17"/>
  <c r="AB34" i="17"/>
  <c r="AI34" i="17"/>
  <c r="AX34" i="17"/>
  <c r="AA16" i="17"/>
  <c r="AH16" i="17"/>
  <c r="AW16" i="17"/>
  <c r="Z48" i="17"/>
  <c r="AG48" i="17"/>
  <c r="AV48" i="17"/>
  <c r="X26" i="17"/>
  <c r="AE26" i="17"/>
  <c r="AT26" i="17"/>
  <c r="Y28" i="17"/>
  <c r="AF28" i="17"/>
  <c r="AU28" i="17"/>
  <c r="Z28" i="17"/>
  <c r="AG28" i="17"/>
  <c r="AV28" i="17"/>
  <c r="X48" i="17"/>
  <c r="AE48" i="17"/>
  <c r="AT48" i="17"/>
  <c r="Y36" i="17"/>
  <c r="AF36" i="17"/>
  <c r="AU36" i="17"/>
  <c r="AA42" i="17"/>
  <c r="AH42" i="17"/>
  <c r="AW42" i="17"/>
  <c r="AB52" i="17"/>
  <c r="AI52" i="17"/>
  <c r="AX52" i="17"/>
  <c r="X24" i="17"/>
  <c r="AE24" i="17"/>
  <c r="AT24" i="17"/>
  <c r="X44" i="17"/>
  <c r="AE44" i="17"/>
  <c r="AT44" i="17"/>
  <c r="AB38" i="17"/>
  <c r="AI38" i="17"/>
  <c r="AX38" i="17"/>
  <c r="AA38" i="17"/>
  <c r="AH38" i="17"/>
  <c r="AW38" i="17"/>
  <c r="X8" i="17"/>
  <c r="AE8" i="17"/>
  <c r="Y20" i="17"/>
  <c r="AF20" i="17"/>
  <c r="AU20" i="17"/>
  <c r="AA20" i="17"/>
  <c r="AH20" i="17"/>
  <c r="AW20" i="17"/>
  <c r="Z18" i="17"/>
  <c r="AG18" i="17"/>
  <c r="AV18" i="17"/>
  <c r="Z52" i="17"/>
  <c r="AG52" i="17"/>
  <c r="AV52" i="17"/>
  <c r="Y46" i="17"/>
  <c r="AF46" i="17"/>
  <c r="AU46" i="17"/>
  <c r="AA18" i="17"/>
  <c r="AH18" i="17"/>
  <c r="AW18" i="17"/>
  <c r="X52" i="17"/>
  <c r="AE52" i="17"/>
  <c r="AT52" i="17"/>
  <c r="Z36" i="17"/>
  <c r="AG36" i="17"/>
  <c r="AV36" i="17"/>
  <c r="X42" i="17"/>
  <c r="AE42" i="17"/>
  <c r="AT42" i="17"/>
  <c r="AA26" i="17"/>
  <c r="AH26" i="17"/>
  <c r="AW26" i="17"/>
  <c r="Y34" i="17"/>
  <c r="AF34" i="17"/>
  <c r="AU34" i="17"/>
  <c r="Y38" i="17"/>
  <c r="AF38" i="17"/>
  <c r="AU38" i="17"/>
  <c r="Z46" i="17"/>
  <c r="AG46" i="17"/>
  <c r="AV46" i="17"/>
  <c r="AA28" i="17"/>
  <c r="AH28" i="17"/>
  <c r="AW28" i="17"/>
  <c r="AB28" i="17"/>
  <c r="AI28" i="17"/>
  <c r="AX28" i="17"/>
  <c r="X46" i="17"/>
  <c r="AE46" i="17"/>
  <c r="AT46" i="17"/>
  <c r="AL42" i="17"/>
  <c r="BB42" i="17"/>
  <c r="AA36" i="17"/>
  <c r="AH36" i="17"/>
  <c r="AW36" i="17"/>
  <c r="AB44" i="17"/>
  <c r="AI44" i="17"/>
  <c r="AX44" i="17"/>
  <c r="BO49" i="17"/>
  <c r="CE49" i="17"/>
  <c r="E43" i="31"/>
  <c r="BL33" i="17"/>
  <c r="CB33" i="17"/>
  <c r="H43" i="31"/>
  <c r="J43" i="31"/>
  <c r="AO28" i="17"/>
  <c r="BE28" i="17"/>
  <c r="AO38" i="17"/>
  <c r="BE38" i="17"/>
  <c r="F43" i="31"/>
  <c r="BO27" i="17"/>
  <c r="CE27" i="17"/>
  <c r="AP36" i="17"/>
  <c r="BF36" i="17"/>
  <c r="AO42" i="17"/>
  <c r="BE42" i="17"/>
  <c r="C38" i="31"/>
  <c r="H38" i="31"/>
  <c r="AP34" i="17"/>
  <c r="BF34" i="17"/>
  <c r="AO36" i="17"/>
  <c r="BE36" i="17"/>
  <c r="AM36" i="17"/>
  <c r="BC36" i="17"/>
  <c r="BB77" i="17"/>
  <c r="BA77" i="17"/>
  <c r="AP28" i="17"/>
  <c r="BF28" i="17"/>
  <c r="AM38" i="17"/>
  <c r="BC38" i="17"/>
  <c r="AP44" i="17"/>
  <c r="BF44" i="17"/>
  <c r="BA74" i="17"/>
  <c r="BO33" i="17"/>
  <c r="CE33" i="17"/>
  <c r="AN38" i="17"/>
  <c r="BD38" i="17"/>
  <c r="AK36" i="17"/>
  <c r="BA36" i="17"/>
  <c r="W52" i="17"/>
  <c r="AD52" i="17"/>
  <c r="BM27" i="17"/>
  <c r="CC27" i="17"/>
  <c r="BJ29" i="17"/>
  <c r="BZ29" i="17"/>
  <c r="F22" i="31"/>
  <c r="G22" i="31"/>
  <c r="D13" i="27"/>
  <c r="C14" i="27"/>
  <c r="G13" i="27"/>
  <c r="F13" i="27"/>
  <c r="E13" i="27"/>
  <c r="D6" i="32"/>
  <c r="D7" i="32"/>
  <c r="U80" i="25"/>
  <c r="AM30" i="17"/>
  <c r="BC30" i="17"/>
  <c r="D22" i="36"/>
  <c r="W49" i="17"/>
  <c r="AD49" i="17"/>
  <c r="AB51" i="17"/>
  <c r="AI51" i="17"/>
  <c r="BO51" i="17"/>
  <c r="CE51" i="17"/>
  <c r="Z51" i="17"/>
  <c r="AG51" i="17"/>
  <c r="BM51" i="17"/>
  <c r="CC51" i="17"/>
  <c r="Z39" i="17"/>
  <c r="AG39" i="17"/>
  <c r="BM39" i="17"/>
  <c r="CC39" i="17"/>
  <c r="BK37" i="17"/>
  <c r="CA37" i="17"/>
  <c r="X37" i="17"/>
  <c r="AE37" i="17"/>
  <c r="C33" i="31"/>
  <c r="AA43" i="17"/>
  <c r="AH43" i="17"/>
  <c r="BN43" i="17"/>
  <c r="CD43" i="17"/>
  <c r="AB23" i="17"/>
  <c r="BZ7" i="17"/>
  <c r="BO29" i="17"/>
  <c r="CE29" i="17"/>
  <c r="Z31" i="17"/>
  <c r="AG31" i="17"/>
  <c r="BM31" i="17"/>
  <c r="CC31" i="17"/>
  <c r="C27" i="31"/>
  <c r="X31" i="17"/>
  <c r="AE31" i="17"/>
  <c r="BK31" i="17"/>
  <c r="CA31" i="17"/>
  <c r="AN32" i="17"/>
  <c r="BD32" i="17"/>
  <c r="C26" i="31"/>
  <c r="AL30" i="17"/>
  <c r="BB30" i="17"/>
  <c r="BA6" i="17"/>
  <c r="E18" i="29"/>
  <c r="M18" i="29"/>
  <c r="C36" i="31"/>
  <c r="AL40" i="17"/>
  <c r="BB40" i="17"/>
  <c r="BO53" i="17"/>
  <c r="CE53" i="17"/>
  <c r="M63" i="17"/>
  <c r="BL53" i="17"/>
  <c r="CB53" i="17"/>
  <c r="J63" i="17"/>
  <c r="K63" i="17"/>
  <c r="BM53" i="17"/>
  <c r="CC53" i="17"/>
  <c r="BJ51" i="17"/>
  <c r="BZ51" i="17"/>
  <c r="G15" i="33"/>
  <c r="H15" i="33"/>
  <c r="I15" i="33"/>
  <c r="CA7" i="17"/>
  <c r="W45" i="17"/>
  <c r="AD45" i="17"/>
  <c r="AA37" i="17"/>
  <c r="AH37" i="17"/>
  <c r="BN37" i="17"/>
  <c r="CD37" i="17"/>
  <c r="BM41" i="17"/>
  <c r="CC41" i="17"/>
  <c r="Z41" i="17"/>
  <c r="AG41" i="17"/>
  <c r="BN35" i="17"/>
  <c r="CD35" i="17"/>
  <c r="AA35" i="17"/>
  <c r="AH35" i="17"/>
  <c r="W42" i="17"/>
  <c r="AD42" i="17"/>
  <c r="M60" i="2"/>
  <c r="M59" i="2"/>
  <c r="M61" i="2"/>
  <c r="M58" i="2"/>
  <c r="AB31" i="17"/>
  <c r="AI31" i="17"/>
  <c r="BO31" i="17"/>
  <c r="CE31" i="17"/>
  <c r="W34" i="17"/>
  <c r="AD34" i="17"/>
  <c r="C23" i="31"/>
  <c r="X25" i="17"/>
  <c r="AE25" i="17"/>
  <c r="C21" i="31"/>
  <c r="BK25" i="17"/>
  <c r="CA25" i="17"/>
  <c r="AA25" i="17"/>
  <c r="AH25" i="17"/>
  <c r="BN25" i="17"/>
  <c r="CD25" i="17"/>
  <c r="W16" i="17"/>
  <c r="AD16" i="17"/>
  <c r="AG11" i="17"/>
  <c r="W33" i="17"/>
  <c r="AD33" i="17"/>
  <c r="AM32" i="17"/>
  <c r="BC32" i="17"/>
  <c r="AO32" i="17"/>
  <c r="BE32" i="17"/>
  <c r="AK30" i="17"/>
  <c r="BA30" i="17"/>
  <c r="AS30" i="17"/>
  <c r="AN28" i="17"/>
  <c r="BD28" i="17"/>
  <c r="AB47" i="17"/>
  <c r="AI47" i="17"/>
  <c r="BO47" i="17"/>
  <c r="CE47" i="17"/>
  <c r="AP46" i="17"/>
  <c r="BF46" i="17"/>
  <c r="AP38" i="17"/>
  <c r="BF38" i="17"/>
  <c r="AP40" i="17"/>
  <c r="BF40" i="17"/>
  <c r="G41" i="31"/>
  <c r="F41" i="31"/>
  <c r="H41" i="31"/>
  <c r="E41" i="31"/>
  <c r="AN36" i="17"/>
  <c r="BD36" i="17"/>
  <c r="C34" i="31"/>
  <c r="AA13" i="17"/>
  <c r="L63" i="17"/>
  <c r="BN53" i="17"/>
  <c r="CD53" i="17"/>
  <c r="X7" i="17"/>
  <c r="AB43" i="17"/>
  <c r="AI43" i="17"/>
  <c r="BO43" i="17"/>
  <c r="CE43" i="17"/>
  <c r="AA41" i="17"/>
  <c r="AH41" i="17"/>
  <c r="BN41" i="17"/>
  <c r="CD41" i="17"/>
  <c r="BN33" i="17"/>
  <c r="CD33" i="17"/>
  <c r="Z37" i="17"/>
  <c r="AG37" i="17"/>
  <c r="BM37" i="17"/>
  <c r="CC37" i="17"/>
  <c r="BJ35" i="17"/>
  <c r="BZ35" i="17"/>
  <c r="C24" i="31"/>
  <c r="L62" i="2"/>
  <c r="L65" i="2"/>
  <c r="G44" i="31"/>
  <c r="F44" i="31"/>
  <c r="E44" i="31"/>
  <c r="H44" i="31"/>
  <c r="BD12" i="17"/>
  <c r="C25" i="31"/>
  <c r="W29" i="17"/>
  <c r="AD29" i="17"/>
  <c r="CB9" i="17"/>
  <c r="BK29" i="17"/>
  <c r="CA29" i="17"/>
  <c r="Y31" i="17"/>
  <c r="AF31" i="17"/>
  <c r="BL31" i="17"/>
  <c r="CB31" i="17"/>
  <c r="BJ31" i="17"/>
  <c r="BZ31" i="17"/>
  <c r="BO45" i="17"/>
  <c r="CE45" i="17"/>
  <c r="AB45" i="17"/>
  <c r="AI45" i="17"/>
  <c r="AN34" i="17"/>
  <c r="BD34" i="17"/>
  <c r="AO34" i="17"/>
  <c r="BE34" i="17"/>
  <c r="W36" i="17"/>
  <c r="AD36" i="17"/>
  <c r="BM25" i="17"/>
  <c r="CC25" i="17"/>
  <c r="AM42" i="17"/>
  <c r="BC42" i="17"/>
  <c r="AN30" i="17"/>
  <c r="BD30" i="17"/>
  <c r="W6" i="17"/>
  <c r="AD6" i="17"/>
  <c r="AN44" i="17"/>
  <c r="BD44" i="17"/>
  <c r="AS40" i="17"/>
  <c r="AK40" i="17"/>
  <c r="BA40" i="17"/>
  <c r="BB8" i="17"/>
  <c r="AA51" i="17"/>
  <c r="AH51" i="17"/>
  <c r="BN51" i="17"/>
  <c r="CD51" i="17"/>
  <c r="B16" i="33"/>
  <c r="D16" i="33"/>
  <c r="BO37" i="17"/>
  <c r="CE37" i="17"/>
  <c r="AB37" i="17"/>
  <c r="AI37" i="17"/>
  <c r="Y35" i="17"/>
  <c r="AF35" i="17"/>
  <c r="BL35" i="17"/>
  <c r="CB35" i="17"/>
  <c r="D21" i="15"/>
  <c r="B21" i="15"/>
  <c r="L64" i="2"/>
  <c r="L63" i="2"/>
  <c r="AB25" i="17"/>
  <c r="AI25" i="17"/>
  <c r="BO25" i="17"/>
  <c r="CE25" i="17"/>
  <c r="W46" i="17"/>
  <c r="AD46" i="17"/>
  <c r="R13" i="4"/>
  <c r="W13" i="4"/>
  <c r="Q26" i="4"/>
  <c r="V26" i="4"/>
  <c r="Q28" i="4"/>
  <c r="V28" i="4"/>
  <c r="Q30" i="4"/>
  <c r="V30" i="4"/>
  <c r="Q33" i="4"/>
  <c r="V33" i="4"/>
  <c r="AD19" i="4"/>
  <c r="AD26" i="4"/>
  <c r="R33" i="4"/>
  <c r="W33" i="4"/>
  <c r="Q19" i="4"/>
  <c r="V19" i="4"/>
  <c r="Q24" i="4"/>
  <c r="V24" i="4"/>
  <c r="AD13" i="4"/>
  <c r="AE25" i="4"/>
  <c r="AD20" i="4"/>
  <c r="AE26" i="4"/>
  <c r="AD17" i="4"/>
  <c r="AE15" i="4"/>
  <c r="AE29" i="4"/>
  <c r="AE30" i="4"/>
  <c r="Q16" i="4"/>
  <c r="V16" i="4"/>
  <c r="AE13" i="4"/>
  <c r="R19" i="4"/>
  <c r="W19" i="4"/>
  <c r="R23" i="4"/>
  <c r="W23" i="4"/>
  <c r="R16" i="4"/>
  <c r="W16" i="4"/>
  <c r="Q21" i="4"/>
  <c r="V21" i="4"/>
  <c r="AD25" i="4"/>
  <c r="AE19" i="4"/>
  <c r="R18" i="4"/>
  <c r="W18" i="4"/>
  <c r="R22" i="4"/>
  <c r="W22" i="4"/>
  <c r="Q15" i="4"/>
  <c r="V15" i="4"/>
  <c r="R14" i="4"/>
  <c r="W14" i="4"/>
  <c r="R30" i="4"/>
  <c r="W30" i="4"/>
  <c r="AD27" i="4"/>
  <c r="AE20" i="4"/>
  <c r="AE33" i="4"/>
  <c r="AD30" i="4"/>
  <c r="AE22" i="4"/>
  <c r="R27" i="4"/>
  <c r="W27" i="4"/>
  <c r="R31" i="4"/>
  <c r="W31" i="4"/>
  <c r="Q20" i="4"/>
  <c r="V20" i="4"/>
  <c r="Q23" i="4"/>
  <c r="V23" i="4"/>
  <c r="AE21" i="4"/>
  <c r="AE28" i="4"/>
  <c r="R20" i="4"/>
  <c r="W20" i="4"/>
  <c r="AD14" i="4"/>
  <c r="Q27" i="4"/>
  <c r="V27" i="4"/>
  <c r="Q29" i="4"/>
  <c r="V29" i="4"/>
  <c r="Q22" i="4"/>
  <c r="V22" i="4"/>
  <c r="R26" i="4"/>
  <c r="W26" i="4"/>
  <c r="AD28" i="4"/>
  <c r="AD31" i="4"/>
  <c r="Q13" i="4"/>
  <c r="V13" i="4"/>
  <c r="R21" i="4"/>
  <c r="W21" i="4"/>
  <c r="Q14" i="4"/>
  <c r="V14" i="4"/>
  <c r="R24" i="4"/>
  <c r="W24" i="4"/>
  <c r="R28" i="4"/>
  <c r="W28" i="4"/>
  <c r="Q18" i="4"/>
  <c r="V18" i="4"/>
  <c r="AD23" i="4"/>
  <c r="AD15" i="4"/>
  <c r="Q25" i="4"/>
  <c r="V25" i="4"/>
  <c r="Q31" i="4"/>
  <c r="V31" i="4"/>
  <c r="AD21" i="4"/>
  <c r="AD29" i="4"/>
  <c r="AD18" i="4"/>
  <c r="R29" i="4"/>
  <c r="W29" i="4"/>
  <c r="AE17" i="4"/>
  <c r="AD22" i="4"/>
  <c r="R15" i="4"/>
  <c r="W15" i="4"/>
  <c r="AD33" i="4"/>
  <c r="R25" i="4"/>
  <c r="W25" i="4"/>
  <c r="AE23" i="4"/>
  <c r="AE27" i="4"/>
  <c r="R17" i="4"/>
  <c r="W17" i="4"/>
  <c r="AE31" i="4"/>
  <c r="Q17" i="4"/>
  <c r="V17" i="4"/>
  <c r="AE14" i="4"/>
  <c r="AE18" i="4"/>
  <c r="AD16" i="4"/>
  <c r="AE16" i="4"/>
  <c r="AD24" i="4"/>
  <c r="AE24" i="4"/>
  <c r="AL32" i="17"/>
  <c r="BB32" i="17"/>
  <c r="C28" i="31"/>
  <c r="AP32" i="17"/>
  <c r="BF32" i="17"/>
  <c r="AO44" i="17"/>
  <c r="BE44" i="17"/>
  <c r="AO40" i="17"/>
  <c r="BE40" i="17"/>
  <c r="CD13" i="17"/>
  <c r="AB41" i="17"/>
  <c r="AI41" i="17"/>
  <c r="BO41" i="17"/>
  <c r="CE41" i="17"/>
  <c r="Y39" i="17"/>
  <c r="AF39" i="17"/>
  <c r="BL39" i="17"/>
  <c r="CB39" i="17"/>
  <c r="C31" i="31"/>
  <c r="BK35" i="17"/>
  <c r="CA35" i="17"/>
  <c r="X35" i="17"/>
  <c r="AE35" i="17"/>
  <c r="BL27" i="17"/>
  <c r="CB27" i="17"/>
  <c r="W7" i="17"/>
  <c r="AD7" i="17"/>
  <c r="AP48" i="17"/>
  <c r="BF48" i="17"/>
  <c r="BN29" i="17"/>
  <c r="CD29" i="17"/>
  <c r="AN42" i="17"/>
  <c r="BD42" i="17"/>
  <c r="AM28" i="17"/>
  <c r="BC28" i="17"/>
  <c r="AP30" i="17"/>
  <c r="BF30" i="17"/>
  <c r="AO30" i="17"/>
  <c r="BE30" i="17"/>
  <c r="G11" i="22"/>
  <c r="D11" i="22"/>
  <c r="F11" i="22"/>
  <c r="E11" i="22"/>
  <c r="C12" i="22"/>
  <c r="G21" i="36"/>
  <c r="E21" i="36"/>
  <c r="F21" i="36"/>
  <c r="H40" i="31"/>
  <c r="F40" i="31"/>
  <c r="G40" i="31"/>
  <c r="E40" i="31"/>
  <c r="AM44" i="17"/>
  <c r="BC44" i="17"/>
  <c r="AN40" i="17"/>
  <c r="BD40" i="17"/>
  <c r="AM40" i="17"/>
  <c r="BC40" i="17"/>
  <c r="W38" i="17"/>
  <c r="AD38" i="17"/>
  <c r="E19" i="29"/>
  <c r="M19" i="29"/>
  <c r="W13" i="17"/>
  <c r="AD13" i="17"/>
  <c r="BK53" i="17"/>
  <c r="CA53" i="17"/>
  <c r="Y51" i="17"/>
  <c r="AF51" i="17"/>
  <c r="BL51" i="17"/>
  <c r="CB51" i="17"/>
  <c r="C47" i="31"/>
  <c r="X51" i="17"/>
  <c r="AE51" i="17"/>
  <c r="BK51" i="17"/>
  <c r="CA51" i="17"/>
  <c r="CA77" i="17"/>
  <c r="A18" i="30"/>
  <c r="B17" i="30"/>
  <c r="Y37" i="17"/>
  <c r="AF37" i="17"/>
  <c r="BL37" i="17"/>
  <c r="CB37" i="17"/>
  <c r="AA39" i="17"/>
  <c r="AH39" i="17"/>
  <c r="BN39" i="17"/>
  <c r="CD39" i="17"/>
  <c r="AB39" i="17"/>
  <c r="AI39" i="17"/>
  <c r="BO39" i="17"/>
  <c r="CE39" i="17"/>
  <c r="Z35" i="17"/>
  <c r="AG35" i="17"/>
  <c r="BM35" i="17"/>
  <c r="CC35" i="17"/>
  <c r="BM33" i="17"/>
  <c r="CC33" i="17"/>
  <c r="AB35" i="17"/>
  <c r="AI35" i="17"/>
  <c r="BO35" i="17"/>
  <c r="CE35" i="17"/>
  <c r="AD5" i="17"/>
  <c r="G20" i="15"/>
  <c r="H20" i="15"/>
  <c r="I20" i="15"/>
  <c r="W23" i="17"/>
  <c r="AD23" i="17"/>
  <c r="BC10" i="17"/>
  <c r="AP50" i="17"/>
  <c r="BF50" i="17"/>
  <c r="BN27" i="17"/>
  <c r="CD27" i="17"/>
  <c r="Y9" i="17"/>
  <c r="G11" i="30"/>
  <c r="D11" i="30"/>
  <c r="H11" i="30"/>
  <c r="E11" i="30"/>
  <c r="C12" i="30"/>
  <c r="F12" i="30"/>
  <c r="AP42" i="17"/>
  <c r="BF42" i="17"/>
  <c r="F42" i="31"/>
  <c r="H42" i="31"/>
  <c r="E42" i="31"/>
  <c r="G42" i="31"/>
  <c r="C29" i="31"/>
  <c r="BM29" i="17"/>
  <c r="CC29" i="17"/>
  <c r="BL29" i="17"/>
  <c r="CB29" i="17"/>
  <c r="AA31" i="17"/>
  <c r="AH31" i="17"/>
  <c r="BN31" i="17"/>
  <c r="CD31" i="17"/>
  <c r="AM34" i="17"/>
  <c r="BC34" i="17"/>
  <c r="C32" i="31"/>
  <c r="Y25" i="17"/>
  <c r="AF25" i="17"/>
  <c r="BL25" i="17"/>
  <c r="CB25" i="17"/>
  <c r="BJ25" i="17"/>
  <c r="BZ25" i="17"/>
  <c r="V80" i="25"/>
  <c r="W80" i="25"/>
  <c r="Z79" i="25"/>
  <c r="AA78" i="25"/>
  <c r="AB78" i="25"/>
  <c r="Y26" i="17"/>
  <c r="AF26" i="17"/>
  <c r="O55" i="17"/>
  <c r="AA21" i="17"/>
  <c r="AH21" i="17"/>
  <c r="AA23" i="17"/>
  <c r="AH23" i="17"/>
  <c r="BC64" i="17"/>
  <c r="BC63" i="17"/>
  <c r="BC61" i="17"/>
  <c r="BB64" i="17"/>
  <c r="BB63" i="17"/>
  <c r="BB61" i="17"/>
  <c r="BT55" i="17"/>
  <c r="Y55" i="17"/>
  <c r="AF55" i="17"/>
  <c r="BD61" i="17"/>
  <c r="BD64" i="17"/>
  <c r="BD63" i="17"/>
  <c r="BU55" i="17"/>
  <c r="Z55" i="17"/>
  <c r="AG55" i="17"/>
  <c r="BA63" i="17"/>
  <c r="BA61" i="17"/>
  <c r="BA64" i="17"/>
  <c r="BV55" i="17"/>
  <c r="AA55" i="17"/>
  <c r="AH55" i="17"/>
  <c r="BW55" i="17"/>
  <c r="AB55" i="17"/>
  <c r="AI55" i="17"/>
  <c r="G15" i="26"/>
  <c r="J15" i="26"/>
  <c r="D15" i="26"/>
  <c r="E15" i="26"/>
  <c r="C16" i="26"/>
  <c r="G16" i="26"/>
  <c r="H45" i="32"/>
  <c r="J45" i="32"/>
  <c r="AV26" i="17"/>
  <c r="AX26" i="17"/>
  <c r="E15" i="21"/>
  <c r="D15" i="21"/>
  <c r="G15" i="21"/>
  <c r="G14" i="24"/>
  <c r="C16" i="21"/>
  <c r="E16" i="21"/>
  <c r="G20" i="31"/>
  <c r="F19" i="31"/>
  <c r="E20" i="31"/>
  <c r="G19" i="31"/>
  <c r="H44" i="32"/>
  <c r="J44" i="32"/>
  <c r="Y23" i="17"/>
  <c r="AF23" i="17"/>
  <c r="C15" i="24"/>
  <c r="G15" i="24"/>
  <c r="F14" i="24"/>
  <c r="D14" i="24"/>
  <c r="K39" i="32"/>
  <c r="X34" i="17"/>
  <c r="AE34" i="17"/>
  <c r="O5" i="17"/>
  <c r="E12" i="34"/>
  <c r="F12" i="34"/>
  <c r="BZ64" i="17"/>
  <c r="X22" i="17"/>
  <c r="AE22" i="17"/>
  <c r="AT22" i="17"/>
  <c r="F18" i="31"/>
  <c r="G18" i="31"/>
  <c r="E18" i="31"/>
  <c r="AS22" i="17"/>
  <c r="AS63" i="17"/>
  <c r="W22" i="17"/>
  <c r="AD22" i="17"/>
  <c r="AU22" i="17"/>
  <c r="Y22" i="17"/>
  <c r="AF22" i="17"/>
  <c r="X41" i="17"/>
  <c r="AE41" i="17"/>
  <c r="BS41" i="17"/>
  <c r="E35" i="31"/>
  <c r="F35" i="31"/>
  <c r="G35" i="31"/>
  <c r="BW62" i="17"/>
  <c r="Y43" i="17"/>
  <c r="AF43" i="17"/>
  <c r="BT43" i="17"/>
  <c r="BT63" i="17"/>
  <c r="F17" i="31"/>
  <c r="G17" i="31"/>
  <c r="E17" i="31"/>
  <c r="BZ61" i="17"/>
  <c r="F10" i="35"/>
  <c r="N10" i="35"/>
  <c r="F37" i="31"/>
  <c r="G37" i="31"/>
  <c r="E37" i="31"/>
  <c r="W39" i="17"/>
  <c r="AD39" i="17"/>
  <c r="BR39" i="17"/>
  <c r="X21" i="17"/>
  <c r="AE21" i="17"/>
  <c r="BS21" i="17"/>
  <c r="CB74" i="17"/>
  <c r="BR21" i="17"/>
  <c r="W21" i="17"/>
  <c r="AD21" i="17"/>
  <c r="X39" i="17"/>
  <c r="AE39" i="17"/>
  <c r="BS39" i="17"/>
  <c r="BK62" i="17"/>
  <c r="D12" i="34"/>
  <c r="C13" i="34"/>
  <c r="H12" i="34"/>
  <c r="I12" i="34"/>
  <c r="B15" i="34"/>
  <c r="BU63" i="17"/>
  <c r="X33" i="17"/>
  <c r="AE33" i="17"/>
  <c r="BS33" i="17"/>
  <c r="X27" i="17"/>
  <c r="AE27" i="17"/>
  <c r="BS27" i="17"/>
  <c r="BU62" i="17"/>
  <c r="BV62" i="17"/>
  <c r="BV63" i="17"/>
  <c r="AB54" i="17"/>
  <c r="AI54" i="17"/>
  <c r="AX54" i="17"/>
  <c r="W28" i="17"/>
  <c r="AD28" i="17"/>
  <c r="AB42" i="17"/>
  <c r="AI42" i="17"/>
  <c r="AX42" i="17"/>
  <c r="Y40" i="17"/>
  <c r="AF40" i="17"/>
  <c r="AU40" i="17"/>
  <c r="X32" i="17"/>
  <c r="AE32" i="17"/>
  <c r="AT32" i="17"/>
  <c r="Z40" i="17"/>
  <c r="AG40" i="17"/>
  <c r="AV40" i="17"/>
  <c r="AA30" i="17"/>
  <c r="AH30" i="17"/>
  <c r="AW30" i="17"/>
  <c r="Z42" i="17"/>
  <c r="AG42" i="17"/>
  <c r="AV42" i="17"/>
  <c r="AB48" i="17"/>
  <c r="AI48" i="17"/>
  <c r="AX48" i="17"/>
  <c r="AB32" i="17"/>
  <c r="AI32" i="17"/>
  <c r="AX32" i="17"/>
  <c r="Z44" i="17"/>
  <c r="AG44" i="17"/>
  <c r="AV44" i="17"/>
  <c r="X38" i="17"/>
  <c r="AE38" i="17"/>
  <c r="AT38" i="17"/>
  <c r="AB46" i="17"/>
  <c r="AI46" i="17"/>
  <c r="AX46" i="17"/>
  <c r="Y32" i="17"/>
  <c r="AF32" i="17"/>
  <c r="AU32" i="17"/>
  <c r="X30" i="17"/>
  <c r="AE30" i="17"/>
  <c r="AT30" i="17"/>
  <c r="Y30" i="17"/>
  <c r="AF30" i="17"/>
  <c r="AU30" i="17"/>
  <c r="X36" i="17"/>
  <c r="AE36" i="17"/>
  <c r="AT36" i="17"/>
  <c r="AA44" i="17"/>
  <c r="AH44" i="17"/>
  <c r="AW44" i="17"/>
  <c r="Y42" i="17"/>
  <c r="AF42" i="17"/>
  <c r="AU42" i="17"/>
  <c r="AB40" i="17"/>
  <c r="AI40" i="17"/>
  <c r="AX40" i="17"/>
  <c r="BB78" i="17"/>
  <c r="AA48" i="17"/>
  <c r="AH48" i="17"/>
  <c r="AW48" i="17"/>
  <c r="Y44" i="17"/>
  <c r="AF44" i="17"/>
  <c r="AU44" i="17"/>
  <c r="AB30" i="17"/>
  <c r="AI30" i="17"/>
  <c r="AX30" i="17"/>
  <c r="Z30" i="17"/>
  <c r="AG30" i="17"/>
  <c r="AV30" i="17"/>
  <c r="AA32" i="17"/>
  <c r="AH32" i="17"/>
  <c r="AW32" i="17"/>
  <c r="Z32" i="17"/>
  <c r="AG32" i="17"/>
  <c r="AV32" i="17"/>
  <c r="AA46" i="17"/>
  <c r="AH46" i="17"/>
  <c r="AW46" i="17"/>
  <c r="AB50" i="17"/>
  <c r="AI50" i="17"/>
  <c r="AX50" i="17"/>
  <c r="AA40" i="17"/>
  <c r="AH40" i="17"/>
  <c r="AW40" i="17"/>
  <c r="X28" i="17"/>
  <c r="AE28" i="17"/>
  <c r="AT28" i="17"/>
  <c r="X40" i="17"/>
  <c r="AE40" i="17"/>
  <c r="AT40" i="17"/>
  <c r="K43" i="31"/>
  <c r="C61" i="31"/>
  <c r="E61" i="31"/>
  <c r="E38" i="31"/>
  <c r="G38" i="31"/>
  <c r="F38" i="31"/>
  <c r="BA75" i="17"/>
  <c r="CB77" i="17"/>
  <c r="CB78" i="17"/>
  <c r="BF75" i="17"/>
  <c r="CA74" i="17"/>
  <c r="O25" i="17"/>
  <c r="BE63" i="17"/>
  <c r="CA75" i="17"/>
  <c r="BF63" i="17"/>
  <c r="BF78" i="17"/>
  <c r="BF64" i="17"/>
  <c r="BA78" i="17"/>
  <c r="BE64" i="17"/>
  <c r="O44" i="17"/>
  <c r="O15" i="17"/>
  <c r="O26" i="17"/>
  <c r="BF61" i="17"/>
  <c r="O23" i="17"/>
  <c r="O38" i="17"/>
  <c r="O22" i="17"/>
  <c r="CC64" i="17"/>
  <c r="CE75" i="17"/>
  <c r="CC63" i="17"/>
  <c r="G13" i="35"/>
  <c r="O13" i="35"/>
  <c r="BD78" i="17"/>
  <c r="BD75" i="17"/>
  <c r="O19" i="17"/>
  <c r="O6" i="17"/>
  <c r="BB75" i="17"/>
  <c r="O29" i="17"/>
  <c r="BF77" i="17"/>
  <c r="BF74" i="17"/>
  <c r="O28" i="17"/>
  <c r="O11" i="17"/>
  <c r="AP64" i="17"/>
  <c r="CB75" i="17"/>
  <c r="BE77" i="17"/>
  <c r="BE74" i="17"/>
  <c r="AL64" i="17"/>
  <c r="BD77" i="17"/>
  <c r="BD74" i="17"/>
  <c r="O35" i="17"/>
  <c r="O47" i="17"/>
  <c r="O52" i="17"/>
  <c r="O54" i="17"/>
  <c r="O13" i="17"/>
  <c r="BE61" i="17"/>
  <c r="O39" i="17"/>
  <c r="O24" i="17"/>
  <c r="O46" i="17"/>
  <c r="O45" i="17"/>
  <c r="O53" i="17"/>
  <c r="O16" i="17"/>
  <c r="O12" i="17"/>
  <c r="BE78" i="17"/>
  <c r="BE75" i="17"/>
  <c r="O10" i="17"/>
  <c r="O21" i="17"/>
  <c r="O36" i="17"/>
  <c r="O50" i="17"/>
  <c r="BC78" i="17"/>
  <c r="BC75" i="17"/>
  <c r="O40" i="17"/>
  <c r="O31" i="17"/>
  <c r="W51" i="17"/>
  <c r="AD51" i="17"/>
  <c r="O51" i="17"/>
  <c r="O43" i="17"/>
  <c r="O33" i="17"/>
  <c r="O27" i="17"/>
  <c r="BZ63" i="17"/>
  <c r="G10" i="29"/>
  <c r="O10" i="29"/>
  <c r="BC77" i="17"/>
  <c r="BC74" i="17"/>
  <c r="CE78" i="17"/>
  <c r="BZ78" i="17"/>
  <c r="O30" i="17"/>
  <c r="O20" i="17"/>
  <c r="O37" i="17"/>
  <c r="O42" i="17"/>
  <c r="O41" i="17"/>
  <c r="O8" i="17"/>
  <c r="O18" i="17"/>
  <c r="O9" i="17"/>
  <c r="O48" i="17"/>
  <c r="O34" i="17"/>
  <c r="O7" i="17"/>
  <c r="O49" i="17"/>
  <c r="O17" i="17"/>
  <c r="O14" i="17"/>
  <c r="O32" i="17"/>
  <c r="F37" i="32"/>
  <c r="F39" i="32"/>
  <c r="G39" i="32"/>
  <c r="C60" i="31"/>
  <c r="E60" i="31"/>
  <c r="D14" i="27"/>
  <c r="G14" i="27"/>
  <c r="F14" i="27"/>
  <c r="E14" i="27"/>
  <c r="C15" i="27"/>
  <c r="R64" i="17"/>
  <c r="BN61" i="17"/>
  <c r="C62" i="31"/>
  <c r="E62" i="31"/>
  <c r="G28" i="31"/>
  <c r="F28" i="31"/>
  <c r="E28" i="31"/>
  <c r="BO63" i="17"/>
  <c r="Z25" i="17"/>
  <c r="S63" i="17"/>
  <c r="AP63" i="17"/>
  <c r="BL62" i="17"/>
  <c r="AN64" i="17"/>
  <c r="K44" i="31"/>
  <c r="J44" i="31"/>
  <c r="CE77" i="17"/>
  <c r="CE74" i="17"/>
  <c r="W30" i="17"/>
  <c r="AD30" i="17"/>
  <c r="CC62" i="17"/>
  <c r="E13" i="35"/>
  <c r="BZ75" i="17"/>
  <c r="CA62" i="17"/>
  <c r="E11" i="35"/>
  <c r="CA63" i="17"/>
  <c r="CA64" i="17"/>
  <c r="CA61" i="17"/>
  <c r="G27" i="31"/>
  <c r="E27" i="31"/>
  <c r="F27" i="31"/>
  <c r="BJ64" i="17"/>
  <c r="U61" i="17"/>
  <c r="U81" i="25"/>
  <c r="AF9" i="17"/>
  <c r="BM63" i="17"/>
  <c r="CC78" i="17"/>
  <c r="CC75" i="17"/>
  <c r="BJ62" i="17"/>
  <c r="D22" i="15"/>
  <c r="B22" i="15"/>
  <c r="AL61" i="17"/>
  <c r="AN61" i="17"/>
  <c r="BM61" i="17"/>
  <c r="CD78" i="17"/>
  <c r="CD75" i="17"/>
  <c r="T64" i="17"/>
  <c r="J38" i="31"/>
  <c r="K38" i="31"/>
  <c r="F36" i="31"/>
  <c r="E36" i="31"/>
  <c r="G36" i="31"/>
  <c r="AK64" i="17"/>
  <c r="AI23" i="17"/>
  <c r="W25" i="17"/>
  <c r="J42" i="31"/>
  <c r="K42" i="31"/>
  <c r="R61" i="17"/>
  <c r="AM64" i="17"/>
  <c r="AO61" i="17"/>
  <c r="F47" i="31"/>
  <c r="F52" i="31"/>
  <c r="E47" i="31"/>
  <c r="H47" i="31"/>
  <c r="H63" i="31"/>
  <c r="J63" i="31"/>
  <c r="G47" i="31"/>
  <c r="G52" i="31"/>
  <c r="G53" i="31"/>
  <c r="G54" i="31"/>
  <c r="B11" i="29"/>
  <c r="B11" i="35"/>
  <c r="K40" i="31"/>
  <c r="J40" i="31"/>
  <c r="G12" i="22"/>
  <c r="C13" i="22"/>
  <c r="D12" i="22"/>
  <c r="F12" i="22"/>
  <c r="E12" i="22"/>
  <c r="BM64" i="17"/>
  <c r="H12" i="30"/>
  <c r="D12" i="30"/>
  <c r="E12" i="30"/>
  <c r="G12" i="30"/>
  <c r="C13" i="30"/>
  <c r="F13" i="30"/>
  <c r="R63" i="17"/>
  <c r="AM63" i="17"/>
  <c r="A19" i="30"/>
  <c r="B18" i="30"/>
  <c r="AO63" i="17"/>
  <c r="BN64" i="17"/>
  <c r="CD63" i="17"/>
  <c r="CD61" i="17"/>
  <c r="CD62" i="17"/>
  <c r="E14" i="35"/>
  <c r="CD64" i="17"/>
  <c r="BO61" i="17"/>
  <c r="P64" i="17"/>
  <c r="BM62" i="17"/>
  <c r="BZ62" i="17"/>
  <c r="E10" i="35"/>
  <c r="BL64" i="17"/>
  <c r="E25" i="31"/>
  <c r="F25" i="31"/>
  <c r="G25" i="31"/>
  <c r="W35" i="17"/>
  <c r="AD35" i="17"/>
  <c r="Q61" i="17"/>
  <c r="T61" i="17"/>
  <c r="E21" i="31"/>
  <c r="F21" i="31"/>
  <c r="G21" i="31"/>
  <c r="M64" i="2"/>
  <c r="M62" i="2"/>
  <c r="M65" i="2"/>
  <c r="O18" i="2"/>
  <c r="N45" i="2"/>
  <c r="O10" i="2"/>
  <c r="N21" i="2"/>
  <c r="N23" i="2"/>
  <c r="N42" i="2"/>
  <c r="O34" i="2"/>
  <c r="N19" i="2"/>
  <c r="N20" i="2"/>
  <c r="O43" i="2"/>
  <c r="O38" i="2"/>
  <c r="N27" i="2"/>
  <c r="N37" i="2"/>
  <c r="O11" i="2"/>
  <c r="N48" i="2"/>
  <c r="O44" i="2"/>
  <c r="N33" i="2"/>
  <c r="O14" i="2"/>
  <c r="N49" i="2"/>
  <c r="N32" i="2"/>
  <c r="O16" i="2"/>
  <c r="N9" i="2"/>
  <c r="N10" i="2"/>
  <c r="N30" i="2"/>
  <c r="N47" i="2"/>
  <c r="N8" i="2"/>
  <c r="N22" i="2"/>
  <c r="O19" i="2"/>
  <c r="N12" i="2"/>
  <c r="O36" i="2"/>
  <c r="N29" i="2"/>
  <c r="O13" i="2"/>
  <c r="N40" i="2"/>
  <c r="N46" i="2"/>
  <c r="O23" i="2"/>
  <c r="O47" i="2"/>
  <c r="N41" i="2"/>
  <c r="N11" i="2"/>
  <c r="N44" i="2"/>
  <c r="O40" i="2"/>
  <c r="O39" i="2"/>
  <c r="N18" i="2"/>
  <c r="O46" i="2"/>
  <c r="O21" i="2"/>
  <c r="O30" i="2"/>
  <c r="N17" i="2"/>
  <c r="N34" i="2"/>
  <c r="O22" i="2"/>
  <c r="N35" i="2"/>
  <c r="N36" i="2"/>
  <c r="O20" i="2"/>
  <c r="N13" i="2"/>
  <c r="N38" i="2"/>
  <c r="O41" i="2"/>
  <c r="N28" i="2"/>
  <c r="O37" i="2"/>
  <c r="O48" i="2"/>
  <c r="N24" i="2"/>
  <c r="O33" i="2"/>
  <c r="O50" i="2"/>
  <c r="N14" i="2"/>
  <c r="O15" i="2"/>
  <c r="O32" i="2"/>
  <c r="N25" i="2"/>
  <c r="O9" i="2"/>
  <c r="O45" i="2"/>
  <c r="O42" i="2"/>
  <c r="O17" i="2"/>
  <c r="O27" i="2"/>
  <c r="O28" i="2"/>
  <c r="O24" i="2"/>
  <c r="O26" i="2"/>
  <c r="N50" i="2"/>
  <c r="O31" i="2"/>
  <c r="N15" i="2"/>
  <c r="O49" i="2"/>
  <c r="N39" i="2"/>
  <c r="O25" i="2"/>
  <c r="O8" i="2"/>
  <c r="O35" i="2"/>
  <c r="O12" i="2"/>
  <c r="N43" i="2"/>
  <c r="O29" i="2"/>
  <c r="N26" i="2"/>
  <c r="N31" i="2"/>
  <c r="N16" i="2"/>
  <c r="P61" i="17"/>
  <c r="CC61" i="17"/>
  <c r="BZ74" i="17"/>
  <c r="BZ77" i="17"/>
  <c r="B12" i="35"/>
  <c r="B12" i="29"/>
  <c r="AK63" i="17"/>
  <c r="BJ63" i="17"/>
  <c r="U63" i="17"/>
  <c r="G33" i="31"/>
  <c r="F33" i="31"/>
  <c r="E33" i="31"/>
  <c r="CC77" i="17"/>
  <c r="CC74" i="17"/>
  <c r="D23" i="36"/>
  <c r="AP61" i="17"/>
  <c r="CE63" i="17"/>
  <c r="CE62" i="17"/>
  <c r="E15" i="35"/>
  <c r="CE64" i="17"/>
  <c r="CE61" i="17"/>
  <c r="CA78" i="17"/>
  <c r="B17" i="33"/>
  <c r="D17" i="33"/>
  <c r="CB61" i="17"/>
  <c r="CB64" i="17"/>
  <c r="CB62" i="17"/>
  <c r="E12" i="35"/>
  <c r="CB63" i="17"/>
  <c r="Q64" i="17"/>
  <c r="B14" i="29"/>
  <c r="B14" i="35"/>
  <c r="T63" i="17"/>
  <c r="BK63" i="17"/>
  <c r="E29" i="31"/>
  <c r="G29" i="31"/>
  <c r="F29" i="31"/>
  <c r="AM61" i="17"/>
  <c r="BN62" i="17"/>
  <c r="BO62" i="17"/>
  <c r="H16" i="33"/>
  <c r="I16" i="33"/>
  <c r="G16" i="33"/>
  <c r="W40" i="17"/>
  <c r="AD40" i="17"/>
  <c r="BL63" i="17"/>
  <c r="E24" i="31"/>
  <c r="G24" i="31"/>
  <c r="F24" i="31"/>
  <c r="P63" i="17"/>
  <c r="AE7" i="17"/>
  <c r="M63" i="2"/>
  <c r="BK61" i="17"/>
  <c r="B15" i="29"/>
  <c r="B15" i="35"/>
  <c r="CD77" i="17"/>
  <c r="CD74" i="17"/>
  <c r="E32" i="31"/>
  <c r="G32" i="31"/>
  <c r="F32" i="31"/>
  <c r="S64" i="17"/>
  <c r="E31" i="31"/>
  <c r="F31" i="31"/>
  <c r="G31" i="31"/>
  <c r="BN63" i="17"/>
  <c r="BO64" i="17"/>
  <c r="G21" i="15"/>
  <c r="H21" i="15"/>
  <c r="I21" i="15"/>
  <c r="AL63" i="17"/>
  <c r="W31" i="17"/>
  <c r="AD31" i="17"/>
  <c r="BL61" i="17"/>
  <c r="AN63" i="17"/>
  <c r="AO64" i="17"/>
  <c r="Q63" i="17"/>
  <c r="AH13" i="17"/>
  <c r="E34" i="31"/>
  <c r="F34" i="31"/>
  <c r="G34" i="31"/>
  <c r="K41" i="31"/>
  <c r="J41" i="31"/>
  <c r="C63" i="31"/>
  <c r="E63" i="31"/>
  <c r="E23" i="31"/>
  <c r="F23" i="31"/>
  <c r="G23" i="31"/>
  <c r="BK64" i="17"/>
  <c r="B13" i="35"/>
  <c r="B13" i="29"/>
  <c r="AK61" i="17"/>
  <c r="F26" i="31"/>
  <c r="G26" i="31"/>
  <c r="E26" i="31"/>
  <c r="S61" i="17"/>
  <c r="BJ61" i="17"/>
  <c r="U64" i="17"/>
  <c r="E22" i="36"/>
  <c r="F22" i="36"/>
  <c r="G22" i="36"/>
  <c r="AB79" i="25"/>
  <c r="Z80" i="25"/>
  <c r="AA79" i="25"/>
  <c r="W81" i="25"/>
  <c r="V81" i="25"/>
  <c r="C17" i="26"/>
  <c r="F17" i="26"/>
  <c r="F16" i="26"/>
  <c r="J16" i="26"/>
  <c r="D16" i="26"/>
  <c r="E16" i="26"/>
  <c r="C17" i="21"/>
  <c r="J17" i="21"/>
  <c r="F16" i="21"/>
  <c r="G16" i="21"/>
  <c r="F15" i="24"/>
  <c r="D16" i="21"/>
  <c r="J15" i="24"/>
  <c r="AS62" i="17"/>
  <c r="E15" i="24"/>
  <c r="C16" i="24"/>
  <c r="C17" i="24"/>
  <c r="D15" i="24"/>
  <c r="I13" i="34"/>
  <c r="F13" i="34"/>
  <c r="BT62" i="17"/>
  <c r="BR63" i="17"/>
  <c r="BR74" i="17"/>
  <c r="BR62" i="17"/>
  <c r="BR72" i="17"/>
  <c r="H13" i="34"/>
  <c r="E13" i="34"/>
  <c r="C14" i="34"/>
  <c r="F14" i="34"/>
  <c r="D13" i="34"/>
  <c r="B16" i="34"/>
  <c r="BS62" i="17"/>
  <c r="BS63" i="17"/>
  <c r="AA61" i="17"/>
  <c r="AV62" i="17"/>
  <c r="AU63" i="17"/>
  <c r="X63" i="17"/>
  <c r="AU62" i="17"/>
  <c r="AX62" i="17"/>
  <c r="AB63" i="17"/>
  <c r="AB61" i="17"/>
  <c r="AV63" i="17"/>
  <c r="AT62" i="17"/>
  <c r="AT72" i="17"/>
  <c r="AT63" i="17"/>
  <c r="AT74" i="17"/>
  <c r="AW63" i="17"/>
  <c r="AA63" i="17"/>
  <c r="Y63" i="17"/>
  <c r="AX63" i="17"/>
  <c r="X61" i="17"/>
  <c r="Y61" i="17"/>
  <c r="AW62" i="17"/>
  <c r="F10" i="29"/>
  <c r="N10" i="29"/>
  <c r="W61" i="17"/>
  <c r="G13" i="29"/>
  <c r="O13" i="29"/>
  <c r="G10" i="35"/>
  <c r="O10" i="35"/>
  <c r="C16" i="27"/>
  <c r="G15" i="27"/>
  <c r="E15" i="27"/>
  <c r="D15" i="27"/>
  <c r="F15" i="27"/>
  <c r="D6" i="31"/>
  <c r="D7" i="31"/>
  <c r="E14" i="29"/>
  <c r="M14" i="29"/>
  <c r="M14" i="35"/>
  <c r="J12" i="35"/>
  <c r="M15" i="35"/>
  <c r="E15" i="29"/>
  <c r="M15" i="29"/>
  <c r="B18" i="33"/>
  <c r="D18" i="33"/>
  <c r="G15" i="29"/>
  <c r="O15" i="29"/>
  <c r="G15" i="35"/>
  <c r="O15" i="35"/>
  <c r="E13" i="29"/>
  <c r="M13" i="29"/>
  <c r="M13" i="35"/>
  <c r="K47" i="31"/>
  <c r="K52" i="31"/>
  <c r="K53" i="31"/>
  <c r="K54" i="31"/>
  <c r="J47" i="31"/>
  <c r="J52" i="31"/>
  <c r="AI64" i="17"/>
  <c r="AI61" i="17"/>
  <c r="AI63" i="17"/>
  <c r="H62" i="31"/>
  <c r="J62" i="31"/>
  <c r="D23" i="15"/>
  <c r="B23" i="15"/>
  <c r="M10" i="35"/>
  <c r="E10" i="29"/>
  <c r="M10" i="29"/>
  <c r="F11" i="35"/>
  <c r="N11" i="35"/>
  <c r="F11" i="29"/>
  <c r="N11" i="29"/>
  <c r="AG25" i="17"/>
  <c r="Z63" i="17"/>
  <c r="Z61" i="17"/>
  <c r="J15" i="35"/>
  <c r="F12" i="29"/>
  <c r="N12" i="29"/>
  <c r="F12" i="35"/>
  <c r="N12" i="35"/>
  <c r="G17" i="33"/>
  <c r="H17" i="33"/>
  <c r="I17" i="33"/>
  <c r="F15" i="35"/>
  <c r="N15" i="35"/>
  <c r="F15" i="29"/>
  <c r="N15" i="29"/>
  <c r="F23" i="36"/>
  <c r="E23" i="36"/>
  <c r="G23" i="36"/>
  <c r="A20" i="30"/>
  <c r="B19" i="30"/>
  <c r="C14" i="22"/>
  <c r="F13" i="22"/>
  <c r="E13" i="22"/>
  <c r="G13" i="22"/>
  <c r="D13" i="22"/>
  <c r="J11" i="35"/>
  <c r="H61" i="31"/>
  <c r="J61" i="31"/>
  <c r="H60" i="31"/>
  <c r="J60" i="31"/>
  <c r="M12" i="35"/>
  <c r="E12" i="29"/>
  <c r="M12" i="29"/>
  <c r="J13" i="35"/>
  <c r="AE63" i="17"/>
  <c r="AE64" i="17"/>
  <c r="AE61" i="17"/>
  <c r="J14" i="29"/>
  <c r="F13" i="29"/>
  <c r="N13" i="29"/>
  <c r="F13" i="35"/>
  <c r="N13" i="35"/>
  <c r="G14" i="29"/>
  <c r="O14" i="29"/>
  <c r="G14" i="35"/>
  <c r="O14" i="35"/>
  <c r="G22" i="15"/>
  <c r="H22" i="15"/>
  <c r="I22" i="15"/>
  <c r="AF61" i="17"/>
  <c r="AF63" i="17"/>
  <c r="AF64" i="17"/>
  <c r="U82" i="25"/>
  <c r="J13" i="29"/>
  <c r="AH64" i="17"/>
  <c r="AH61" i="17"/>
  <c r="AH63" i="17"/>
  <c r="J15" i="29"/>
  <c r="J14" i="35"/>
  <c r="G12" i="29"/>
  <c r="O12" i="29"/>
  <c r="G12" i="35"/>
  <c r="O12" i="35"/>
  <c r="D24" i="36"/>
  <c r="I24" i="36"/>
  <c r="J12" i="29"/>
  <c r="E11" i="29"/>
  <c r="M11" i="29"/>
  <c r="M11" i="35"/>
  <c r="F14" i="29"/>
  <c r="N14" i="29"/>
  <c r="F14" i="35"/>
  <c r="N14" i="35"/>
  <c r="G13" i="30"/>
  <c r="C14" i="30"/>
  <c r="F14" i="30"/>
  <c r="H13" i="30"/>
  <c r="D13" i="30"/>
  <c r="E13" i="30"/>
  <c r="J11" i="29"/>
  <c r="AD25" i="17"/>
  <c r="AD61" i="17"/>
  <c r="W63" i="17"/>
  <c r="G11" i="35"/>
  <c r="O11" i="35"/>
  <c r="G11" i="29"/>
  <c r="O11" i="29"/>
  <c r="W82" i="25"/>
  <c r="V82" i="25"/>
  <c r="AB80" i="25"/>
  <c r="Z81" i="25"/>
  <c r="AA80" i="25"/>
  <c r="E17" i="26"/>
  <c r="C18" i="26"/>
  <c r="F18" i="26"/>
  <c r="D17" i="26"/>
  <c r="G17" i="26"/>
  <c r="J17" i="26"/>
  <c r="D17" i="21"/>
  <c r="E17" i="21"/>
  <c r="G17" i="21"/>
  <c r="F17" i="21"/>
  <c r="C18" i="21"/>
  <c r="E18" i="21"/>
  <c r="D16" i="24"/>
  <c r="J16" i="24"/>
  <c r="E16" i="24"/>
  <c r="G16" i="24"/>
  <c r="F16" i="24"/>
  <c r="E14" i="34"/>
  <c r="C15" i="34"/>
  <c r="I14" i="34"/>
  <c r="H14" i="34"/>
  <c r="D14" i="34"/>
  <c r="B17" i="34"/>
  <c r="C17" i="27"/>
  <c r="E16" i="27"/>
  <c r="G16" i="27"/>
  <c r="F16" i="27"/>
  <c r="D16" i="27"/>
  <c r="J17" i="24"/>
  <c r="F17" i="24"/>
  <c r="G17" i="24"/>
  <c r="C18" i="24"/>
  <c r="D17" i="24"/>
  <c r="E17" i="24"/>
  <c r="F53" i="31"/>
  <c r="F55" i="31"/>
  <c r="G55" i="31"/>
  <c r="G6" i="31"/>
  <c r="G7" i="31"/>
  <c r="AD64" i="17"/>
  <c r="AD63" i="17"/>
  <c r="G14" i="22"/>
  <c r="E14" i="22"/>
  <c r="D14" i="22"/>
  <c r="F14" i="22"/>
  <c r="C15" i="22"/>
  <c r="A21" i="30"/>
  <c r="B20" i="30"/>
  <c r="F24" i="36"/>
  <c r="G24" i="36"/>
  <c r="E24" i="36"/>
  <c r="H23" i="15"/>
  <c r="I23" i="15"/>
  <c r="G23" i="15"/>
  <c r="H18" i="33"/>
  <c r="I18" i="33"/>
  <c r="G18" i="33"/>
  <c r="D24" i="15"/>
  <c r="B24" i="15"/>
  <c r="K24" i="36"/>
  <c r="J24" i="36"/>
  <c r="AG64" i="17"/>
  <c r="AG63" i="17"/>
  <c r="AG61" i="17"/>
  <c r="D14" i="30"/>
  <c r="E14" i="30"/>
  <c r="G14" i="30"/>
  <c r="H14" i="30"/>
  <c r="C15" i="30"/>
  <c r="F15" i="30"/>
  <c r="D25" i="36"/>
  <c r="I25" i="36"/>
  <c r="U83" i="25"/>
  <c r="D19" i="33"/>
  <c r="B19" i="33"/>
  <c r="Z82" i="25"/>
  <c r="AB81" i="25"/>
  <c r="AA81" i="25"/>
  <c r="V83" i="25"/>
  <c r="W83" i="25"/>
  <c r="C19" i="26"/>
  <c r="D19" i="26"/>
  <c r="J18" i="26"/>
  <c r="E18" i="26"/>
  <c r="G18" i="26"/>
  <c r="D18" i="26"/>
  <c r="F18" i="21"/>
  <c r="C19" i="21"/>
  <c r="D19" i="21"/>
  <c r="D18" i="21"/>
  <c r="J18" i="21"/>
  <c r="G18" i="21"/>
  <c r="E15" i="34"/>
  <c r="F15" i="34"/>
  <c r="H15" i="34"/>
  <c r="D15" i="34"/>
  <c r="C16" i="34"/>
  <c r="I15" i="34"/>
  <c r="B18" i="34"/>
  <c r="D18" i="24"/>
  <c r="C19" i="24"/>
  <c r="F18" i="24"/>
  <c r="G18" i="24"/>
  <c r="J18" i="24"/>
  <c r="E18" i="24"/>
  <c r="D17" i="27"/>
  <c r="G17" i="27"/>
  <c r="E17" i="27"/>
  <c r="F17" i="27"/>
  <c r="C18" i="27"/>
  <c r="J53" i="31"/>
  <c r="J55" i="31"/>
  <c r="K55" i="31"/>
  <c r="D26" i="36"/>
  <c r="I26" i="36"/>
  <c r="D20" i="33"/>
  <c r="B20" i="33"/>
  <c r="A22" i="30"/>
  <c r="B21" i="30"/>
  <c r="G15" i="22"/>
  <c r="F15" i="22"/>
  <c r="E15" i="22"/>
  <c r="C16" i="22"/>
  <c r="D15" i="22"/>
  <c r="U84" i="25"/>
  <c r="G25" i="36"/>
  <c r="E25" i="36"/>
  <c r="F25" i="36"/>
  <c r="H24" i="15"/>
  <c r="I24" i="15"/>
  <c r="G24" i="15"/>
  <c r="D25" i="15"/>
  <c r="B25" i="15"/>
  <c r="H19" i="33"/>
  <c r="I19" i="33"/>
  <c r="G19" i="33"/>
  <c r="J25" i="36"/>
  <c r="K25" i="36"/>
  <c r="G15" i="30"/>
  <c r="E15" i="30"/>
  <c r="H15" i="30"/>
  <c r="D15" i="30"/>
  <c r="C16" i="30"/>
  <c r="F16" i="30"/>
  <c r="V84" i="25"/>
  <c r="W84" i="25"/>
  <c r="Z83" i="25"/>
  <c r="AA82" i="25"/>
  <c r="AB82" i="25"/>
  <c r="G19" i="26"/>
  <c r="E19" i="26"/>
  <c r="C20" i="26"/>
  <c r="E20" i="26"/>
  <c r="F19" i="26"/>
  <c r="J19" i="26"/>
  <c r="J19" i="21"/>
  <c r="G19" i="21"/>
  <c r="E19" i="21"/>
  <c r="F19" i="21"/>
  <c r="C20" i="21"/>
  <c r="F20" i="21"/>
  <c r="I16" i="34"/>
  <c r="F16" i="34"/>
  <c r="C17" i="34"/>
  <c r="E16" i="34"/>
  <c r="H16" i="34"/>
  <c r="D16" i="34"/>
  <c r="B19" i="34"/>
  <c r="D18" i="27"/>
  <c r="G18" i="27"/>
  <c r="C19" i="27"/>
  <c r="E18" i="27"/>
  <c r="F18" i="27"/>
  <c r="D19" i="24"/>
  <c r="F19" i="24"/>
  <c r="E19" i="24"/>
  <c r="G19" i="24"/>
  <c r="C20" i="24"/>
  <c r="J19" i="24"/>
  <c r="G16" i="30"/>
  <c r="H16" i="30"/>
  <c r="D16" i="30"/>
  <c r="E16" i="30"/>
  <c r="C17" i="30"/>
  <c r="F17" i="30"/>
  <c r="B22" i="30"/>
  <c r="A23" i="30"/>
  <c r="B21" i="33"/>
  <c r="D21" i="33"/>
  <c r="K26" i="36"/>
  <c r="J26" i="36"/>
  <c r="G20" i="21"/>
  <c r="D26" i="15"/>
  <c r="B26" i="15"/>
  <c r="U85" i="25"/>
  <c r="G16" i="22"/>
  <c r="E16" i="22"/>
  <c r="D16" i="22"/>
  <c r="F16" i="22"/>
  <c r="C17" i="22"/>
  <c r="E26" i="36"/>
  <c r="G26" i="36"/>
  <c r="F26" i="36"/>
  <c r="H25" i="15"/>
  <c r="I25" i="15"/>
  <c r="G25" i="15"/>
  <c r="H20" i="33"/>
  <c r="I20" i="33"/>
  <c r="G20" i="33"/>
  <c r="D27" i="36"/>
  <c r="I27" i="36"/>
  <c r="V85" i="25"/>
  <c r="W85" i="25"/>
  <c r="Z84" i="25"/>
  <c r="AA83" i="25"/>
  <c r="AB83" i="25"/>
  <c r="C21" i="26"/>
  <c r="D21" i="26"/>
  <c r="J20" i="26"/>
  <c r="D20" i="26"/>
  <c r="G20" i="26"/>
  <c r="F20" i="26"/>
  <c r="D20" i="21"/>
  <c r="C21" i="21"/>
  <c r="D21" i="21"/>
  <c r="J20" i="21"/>
  <c r="E20" i="21"/>
  <c r="C18" i="34"/>
  <c r="F18" i="34"/>
  <c r="F17" i="34"/>
  <c r="D17" i="34"/>
  <c r="E17" i="34"/>
  <c r="H17" i="34"/>
  <c r="I17" i="34"/>
  <c r="B20" i="34"/>
  <c r="G19" i="27"/>
  <c r="E19" i="27"/>
  <c r="D19" i="27"/>
  <c r="F19" i="27"/>
  <c r="C20" i="27"/>
  <c r="D20" i="24"/>
  <c r="F20" i="24"/>
  <c r="G20" i="24"/>
  <c r="E20" i="24"/>
  <c r="C21" i="24"/>
  <c r="J20" i="24"/>
  <c r="E27" i="36"/>
  <c r="F27" i="36"/>
  <c r="G27" i="36"/>
  <c r="I28" i="36"/>
  <c r="D28" i="36"/>
  <c r="E17" i="22"/>
  <c r="F17" i="22"/>
  <c r="D17" i="22"/>
  <c r="G17" i="22"/>
  <c r="C18" i="22"/>
  <c r="U86" i="25"/>
  <c r="H26" i="15"/>
  <c r="I26" i="15"/>
  <c r="G26" i="15"/>
  <c r="A24" i="30"/>
  <c r="B23" i="30"/>
  <c r="H17" i="30"/>
  <c r="D17" i="30"/>
  <c r="E17" i="30"/>
  <c r="G17" i="30"/>
  <c r="C18" i="30"/>
  <c r="F18" i="30"/>
  <c r="AE14" i="15"/>
  <c r="D27" i="15"/>
  <c r="AF14" i="15"/>
  <c r="AH14" i="15"/>
  <c r="B27" i="15"/>
  <c r="D22" i="33"/>
  <c r="B22" i="33"/>
  <c r="K27" i="36"/>
  <c r="J27" i="36"/>
  <c r="G21" i="33"/>
  <c r="H21" i="33"/>
  <c r="I21" i="33"/>
  <c r="Z85" i="25"/>
  <c r="AB84" i="25"/>
  <c r="AA84" i="25"/>
  <c r="W86" i="25"/>
  <c r="V86" i="25"/>
  <c r="F21" i="26"/>
  <c r="J21" i="26"/>
  <c r="E21" i="26"/>
  <c r="C22" i="26"/>
  <c r="D22" i="26"/>
  <c r="G21" i="26"/>
  <c r="J21" i="21"/>
  <c r="C22" i="21"/>
  <c r="C23" i="21"/>
  <c r="F21" i="21"/>
  <c r="E21" i="21"/>
  <c r="G21" i="21"/>
  <c r="C19" i="34"/>
  <c r="F19" i="34"/>
  <c r="D18" i="34"/>
  <c r="E18" i="34"/>
  <c r="H18" i="34"/>
  <c r="I18" i="34"/>
  <c r="B21" i="34"/>
  <c r="D20" i="27"/>
  <c r="E20" i="27"/>
  <c r="C21" i="27"/>
  <c r="G20" i="27"/>
  <c r="F20" i="27"/>
  <c r="E21" i="24"/>
  <c r="D21" i="24"/>
  <c r="F21" i="24"/>
  <c r="J21" i="24"/>
  <c r="C22" i="24"/>
  <c r="G21" i="24"/>
  <c r="G22" i="33"/>
  <c r="H22" i="33"/>
  <c r="I22" i="33"/>
  <c r="U87" i="25"/>
  <c r="AE15" i="15"/>
  <c r="D28" i="15"/>
  <c r="AF15" i="15"/>
  <c r="AH15" i="15"/>
  <c r="B28" i="15"/>
  <c r="E18" i="30"/>
  <c r="H18" i="30"/>
  <c r="G18" i="30"/>
  <c r="D18" i="30"/>
  <c r="C19" i="30"/>
  <c r="F19" i="30"/>
  <c r="J28" i="36"/>
  <c r="K28" i="36"/>
  <c r="AI14" i="15"/>
  <c r="AJ14" i="15"/>
  <c r="AK14" i="15"/>
  <c r="AL14" i="15"/>
  <c r="H27" i="15"/>
  <c r="I27" i="15"/>
  <c r="G27" i="15"/>
  <c r="AG14" i="15"/>
  <c r="D18" i="22"/>
  <c r="F18" i="22"/>
  <c r="C19" i="22"/>
  <c r="E18" i="22"/>
  <c r="G18" i="22"/>
  <c r="D29" i="36"/>
  <c r="I29" i="36"/>
  <c r="A25" i="30"/>
  <c r="B24" i="30"/>
  <c r="B23" i="33"/>
  <c r="D23" i="33"/>
  <c r="E28" i="36"/>
  <c r="F28" i="36"/>
  <c r="G28" i="36"/>
  <c r="W87" i="25"/>
  <c r="V87" i="25"/>
  <c r="Z86" i="25"/>
  <c r="AA85" i="25"/>
  <c r="AB85" i="25"/>
  <c r="J22" i="26"/>
  <c r="C23" i="26"/>
  <c r="D23" i="26"/>
  <c r="F22" i="26"/>
  <c r="G22" i="26"/>
  <c r="E22" i="26"/>
  <c r="J22" i="21"/>
  <c r="F22" i="21"/>
  <c r="G22" i="21"/>
  <c r="D22" i="21"/>
  <c r="E22" i="21"/>
  <c r="H19" i="34"/>
  <c r="C20" i="34"/>
  <c r="F20" i="34"/>
  <c r="D19" i="34"/>
  <c r="E19" i="34"/>
  <c r="I19" i="34"/>
  <c r="B22" i="34"/>
  <c r="F21" i="27"/>
  <c r="D21" i="27"/>
  <c r="E21" i="27"/>
  <c r="G21" i="27"/>
  <c r="C22" i="27"/>
  <c r="D22" i="24"/>
  <c r="C23" i="24"/>
  <c r="J22" i="24"/>
  <c r="E22" i="24"/>
  <c r="G22" i="24"/>
  <c r="F22" i="24"/>
  <c r="J23" i="21"/>
  <c r="G23" i="21"/>
  <c r="F23" i="21"/>
  <c r="D23" i="21"/>
  <c r="E23" i="21"/>
  <c r="C24" i="21"/>
  <c r="J29" i="36"/>
  <c r="J36" i="36"/>
  <c r="K29" i="36"/>
  <c r="K36" i="36"/>
  <c r="K37" i="36"/>
  <c r="K38" i="36"/>
  <c r="G6" i="36"/>
  <c r="G7" i="36"/>
  <c r="I46" i="36"/>
  <c r="J46" i="36"/>
  <c r="AE16" i="15"/>
  <c r="D29" i="15"/>
  <c r="AF16" i="15"/>
  <c r="AH16" i="15"/>
  <c r="B29" i="15"/>
  <c r="F19" i="22"/>
  <c r="G19" i="22"/>
  <c r="C20" i="22"/>
  <c r="E19" i="22"/>
  <c r="D19" i="22"/>
  <c r="I44" i="36"/>
  <c r="G23" i="33"/>
  <c r="H23" i="33"/>
  <c r="I23" i="33"/>
  <c r="D45" i="36"/>
  <c r="H44" i="36"/>
  <c r="D46" i="36"/>
  <c r="C45" i="36"/>
  <c r="D44" i="36"/>
  <c r="C44" i="36"/>
  <c r="C46" i="36"/>
  <c r="J23" i="26"/>
  <c r="B25" i="30"/>
  <c r="A26" i="30"/>
  <c r="E29" i="36"/>
  <c r="G29" i="36"/>
  <c r="G36" i="36"/>
  <c r="G37" i="36"/>
  <c r="G38" i="36"/>
  <c r="F29" i="36"/>
  <c r="AI15" i="15"/>
  <c r="AJ15" i="15"/>
  <c r="AK15" i="15"/>
  <c r="AL15" i="15"/>
  <c r="H28" i="15"/>
  <c r="I28" i="15"/>
  <c r="G28" i="15"/>
  <c r="AG15" i="15"/>
  <c r="D24" i="33"/>
  <c r="B24" i="33"/>
  <c r="I45" i="36"/>
  <c r="J45" i="36"/>
  <c r="D19" i="30"/>
  <c r="G19" i="30"/>
  <c r="E19" i="30"/>
  <c r="H19" i="30"/>
  <c r="C20" i="30"/>
  <c r="F20" i="30"/>
  <c r="U88" i="25"/>
  <c r="Z87" i="25"/>
  <c r="AB86" i="25"/>
  <c r="AA86" i="25"/>
  <c r="W88" i="25"/>
  <c r="V88" i="25"/>
  <c r="G23" i="26"/>
  <c r="F23" i="26"/>
  <c r="E23" i="26"/>
  <c r="C24" i="26"/>
  <c r="D24" i="26"/>
  <c r="H20" i="34"/>
  <c r="I20" i="34"/>
  <c r="C21" i="34"/>
  <c r="F21" i="34"/>
  <c r="E20" i="34"/>
  <c r="D20" i="34"/>
  <c r="B23" i="34"/>
  <c r="E46" i="36"/>
  <c r="E22" i="27"/>
  <c r="C23" i="27"/>
  <c r="G22" i="27"/>
  <c r="F22" i="27"/>
  <c r="D22" i="27"/>
  <c r="J37" i="36"/>
  <c r="J39" i="36"/>
  <c r="K39" i="36"/>
  <c r="J23" i="24"/>
  <c r="D23" i="24"/>
  <c r="C24" i="24"/>
  <c r="E23" i="24"/>
  <c r="F23" i="24"/>
  <c r="G23" i="24"/>
  <c r="E44" i="36"/>
  <c r="J44" i="36"/>
  <c r="H20" i="30"/>
  <c r="D20" i="30"/>
  <c r="G20" i="30"/>
  <c r="E20" i="30"/>
  <c r="C21" i="30"/>
  <c r="F21" i="30"/>
  <c r="E24" i="21"/>
  <c r="C25" i="21"/>
  <c r="J24" i="21"/>
  <c r="F24" i="21"/>
  <c r="D24" i="21"/>
  <c r="G24" i="21"/>
  <c r="G24" i="33"/>
  <c r="H24" i="33"/>
  <c r="I24" i="33"/>
  <c r="G20" i="22"/>
  <c r="C21" i="22"/>
  <c r="E20" i="22"/>
  <c r="F20" i="22"/>
  <c r="D20" i="22"/>
  <c r="AI16" i="15"/>
  <c r="AJ16" i="15"/>
  <c r="AK16" i="15"/>
  <c r="AL16" i="15"/>
  <c r="H29" i="15"/>
  <c r="I29" i="15"/>
  <c r="G29" i="15"/>
  <c r="AG16" i="15"/>
  <c r="U89" i="25"/>
  <c r="E45" i="36"/>
  <c r="B25" i="33"/>
  <c r="D25" i="33"/>
  <c r="D6" i="36"/>
  <c r="D7" i="36"/>
  <c r="F36" i="36"/>
  <c r="B26" i="30"/>
  <c r="A27" i="30"/>
  <c r="D30" i="15"/>
  <c r="AF17" i="15"/>
  <c r="AH17" i="15"/>
  <c r="AE17" i="15"/>
  <c r="B30" i="15"/>
  <c r="W89" i="25"/>
  <c r="V89" i="25"/>
  <c r="Z88" i="25"/>
  <c r="AA87" i="25"/>
  <c r="AB87" i="25"/>
  <c r="F24" i="26"/>
  <c r="J24" i="26"/>
  <c r="E24" i="26"/>
  <c r="G24" i="26"/>
  <c r="C25" i="26"/>
  <c r="J25" i="26"/>
  <c r="I21" i="34"/>
  <c r="E21" i="34"/>
  <c r="C22" i="34"/>
  <c r="F22" i="34"/>
  <c r="H21" i="34"/>
  <c r="D21" i="34"/>
  <c r="B24" i="34"/>
  <c r="E23" i="27"/>
  <c r="C24" i="27"/>
  <c r="F23" i="27"/>
  <c r="D23" i="27"/>
  <c r="G23" i="27"/>
  <c r="D24" i="24"/>
  <c r="G24" i="24"/>
  <c r="E24" i="24"/>
  <c r="F24" i="24"/>
  <c r="C25" i="24"/>
  <c r="F25" i="24"/>
  <c r="J24" i="24"/>
  <c r="F37" i="36"/>
  <c r="F39" i="36"/>
  <c r="G39" i="36"/>
  <c r="U90" i="25"/>
  <c r="D21" i="30"/>
  <c r="G21" i="30"/>
  <c r="E21" i="30"/>
  <c r="H21" i="30"/>
  <c r="C22" i="30"/>
  <c r="F22" i="30"/>
  <c r="G30" i="15"/>
  <c r="AG17" i="15"/>
  <c r="AI17" i="15"/>
  <c r="AJ17" i="15"/>
  <c r="AK17" i="15"/>
  <c r="AL17" i="15"/>
  <c r="H30" i="15"/>
  <c r="I30" i="15"/>
  <c r="AE18" i="15"/>
  <c r="D31" i="15"/>
  <c r="AF18" i="15"/>
  <c r="AH18" i="15"/>
  <c r="B31" i="15"/>
  <c r="B26" i="33"/>
  <c r="D26" i="33"/>
  <c r="A28" i="30"/>
  <c r="B27" i="30"/>
  <c r="H25" i="33"/>
  <c r="I25" i="33"/>
  <c r="G25" i="33"/>
  <c r="G21" i="22"/>
  <c r="D21" i="22"/>
  <c r="E21" i="22"/>
  <c r="F21" i="22"/>
  <c r="C22" i="22"/>
  <c r="F25" i="21"/>
  <c r="D25" i="21"/>
  <c r="E25" i="21"/>
  <c r="G25" i="21"/>
  <c r="C26" i="21"/>
  <c r="J25" i="21"/>
  <c r="Z89" i="25"/>
  <c r="AA88" i="25"/>
  <c r="AB88" i="25"/>
  <c r="W90" i="25"/>
  <c r="V90" i="25"/>
  <c r="E25" i="26"/>
  <c r="G25" i="26"/>
  <c r="C26" i="26"/>
  <c r="E26" i="26"/>
  <c r="D25" i="26"/>
  <c r="F25" i="26"/>
  <c r="C23" i="34"/>
  <c r="F23" i="34"/>
  <c r="H22" i="34"/>
  <c r="D22" i="34"/>
  <c r="I22" i="34"/>
  <c r="E22" i="34"/>
  <c r="B25" i="34"/>
  <c r="G25" i="24"/>
  <c r="J25" i="24"/>
  <c r="E25" i="24"/>
  <c r="C26" i="24"/>
  <c r="D25" i="24"/>
  <c r="F24" i="27"/>
  <c r="E24" i="27"/>
  <c r="C25" i="27"/>
  <c r="D24" i="27"/>
  <c r="G24" i="27"/>
  <c r="AE19" i="15"/>
  <c r="D32" i="15"/>
  <c r="AF19" i="15"/>
  <c r="AH19" i="15"/>
  <c r="B32" i="15"/>
  <c r="H22" i="30"/>
  <c r="D22" i="30"/>
  <c r="E22" i="30"/>
  <c r="G22" i="30"/>
  <c r="C23" i="30"/>
  <c r="F23" i="30"/>
  <c r="C23" i="22"/>
  <c r="D22" i="22"/>
  <c r="E22" i="22"/>
  <c r="G22" i="22"/>
  <c r="F22" i="22"/>
  <c r="A29" i="30"/>
  <c r="B28" i="30"/>
  <c r="AI18" i="15"/>
  <c r="AJ18" i="15"/>
  <c r="AK18" i="15"/>
  <c r="AL18" i="15"/>
  <c r="H31" i="15"/>
  <c r="I31" i="15"/>
  <c r="G31" i="15"/>
  <c r="AG18" i="15"/>
  <c r="U91" i="25"/>
  <c r="F26" i="26"/>
  <c r="G26" i="33"/>
  <c r="H26" i="33"/>
  <c r="I26" i="33"/>
  <c r="J26" i="21"/>
  <c r="F26" i="21"/>
  <c r="D26" i="21"/>
  <c r="E26" i="21"/>
  <c r="C27" i="21"/>
  <c r="G26" i="21"/>
  <c r="D27" i="33"/>
  <c r="AF14" i="33"/>
  <c r="AH14" i="33"/>
  <c r="AE14" i="33"/>
  <c r="B27" i="33"/>
  <c r="W91" i="25"/>
  <c r="V91" i="25"/>
  <c r="Z90" i="25"/>
  <c r="AB89" i="25"/>
  <c r="AA89" i="25"/>
  <c r="G26" i="26"/>
  <c r="C27" i="26"/>
  <c r="G27" i="26"/>
  <c r="J26" i="26"/>
  <c r="D26" i="26"/>
  <c r="I23" i="34"/>
  <c r="D23" i="34"/>
  <c r="E23" i="34"/>
  <c r="C24" i="34"/>
  <c r="F24" i="34"/>
  <c r="H23" i="34"/>
  <c r="B26" i="34"/>
  <c r="C26" i="27"/>
  <c r="F25" i="27"/>
  <c r="E25" i="27"/>
  <c r="D25" i="27"/>
  <c r="G25" i="27"/>
  <c r="G26" i="24"/>
  <c r="J26" i="24"/>
  <c r="F26" i="24"/>
  <c r="C27" i="24"/>
  <c r="D26" i="24"/>
  <c r="E26" i="24"/>
  <c r="J27" i="21"/>
  <c r="D27" i="21"/>
  <c r="F27" i="21"/>
  <c r="E27" i="21"/>
  <c r="G27" i="21"/>
  <c r="C28" i="21"/>
  <c r="E23" i="30"/>
  <c r="H23" i="30"/>
  <c r="G23" i="30"/>
  <c r="D23" i="30"/>
  <c r="C24" i="30"/>
  <c r="F24" i="30"/>
  <c r="AI19" i="15"/>
  <c r="AJ19" i="15"/>
  <c r="AK19" i="15"/>
  <c r="AL19" i="15"/>
  <c r="G32" i="15"/>
  <c r="AG19" i="15"/>
  <c r="H32" i="15"/>
  <c r="I32" i="15"/>
  <c r="AE20" i="15"/>
  <c r="D33" i="15"/>
  <c r="AF20" i="15"/>
  <c r="AH20" i="15"/>
  <c r="B33" i="15"/>
  <c r="U92" i="25"/>
  <c r="G23" i="22"/>
  <c r="E23" i="22"/>
  <c r="D23" i="22"/>
  <c r="F23" i="22"/>
  <c r="C24" i="22"/>
  <c r="H27" i="33"/>
  <c r="I27" i="33"/>
  <c r="G27" i="33"/>
  <c r="AG14" i="33"/>
  <c r="AI14" i="33"/>
  <c r="AJ14" i="33"/>
  <c r="AK14" i="33"/>
  <c r="AL14" i="33"/>
  <c r="AE15" i="33"/>
  <c r="D28" i="33"/>
  <c r="AF15" i="33"/>
  <c r="AH15" i="33"/>
  <c r="B28" i="33"/>
  <c r="A30" i="30"/>
  <c r="B29" i="30"/>
  <c r="J27" i="26"/>
  <c r="Z91" i="25"/>
  <c r="AA90" i="25"/>
  <c r="AB90" i="25"/>
  <c r="C28" i="26"/>
  <c r="G28" i="26"/>
  <c r="V92" i="25"/>
  <c r="W92" i="25"/>
  <c r="D27" i="26"/>
  <c r="E27" i="26"/>
  <c r="F27" i="26"/>
  <c r="I24" i="34"/>
  <c r="C25" i="34"/>
  <c r="F25" i="34"/>
  <c r="D24" i="34"/>
  <c r="E24" i="34"/>
  <c r="H24" i="34"/>
  <c r="B27" i="34"/>
  <c r="J27" i="24"/>
  <c r="E27" i="24"/>
  <c r="G27" i="24"/>
  <c r="D27" i="24"/>
  <c r="C28" i="24"/>
  <c r="F27" i="24"/>
  <c r="C27" i="27"/>
  <c r="E26" i="27"/>
  <c r="F26" i="27"/>
  <c r="D26" i="27"/>
  <c r="G26" i="27"/>
  <c r="A31" i="30"/>
  <c r="B30" i="30"/>
  <c r="F24" i="22"/>
  <c r="D24" i="22"/>
  <c r="G24" i="22"/>
  <c r="E24" i="22"/>
  <c r="C25" i="22"/>
  <c r="H33" i="15"/>
  <c r="I33" i="15"/>
  <c r="AI20" i="15"/>
  <c r="AJ20" i="15"/>
  <c r="AK20" i="15"/>
  <c r="AL20" i="15"/>
  <c r="AL22" i="15"/>
  <c r="G33" i="15"/>
  <c r="AG20" i="15"/>
  <c r="D24" i="30"/>
  <c r="G24" i="30"/>
  <c r="E24" i="30"/>
  <c r="H24" i="30"/>
  <c r="C25" i="30"/>
  <c r="F25" i="30"/>
  <c r="AI15" i="33"/>
  <c r="AJ15" i="33"/>
  <c r="AK15" i="33"/>
  <c r="AL15" i="33"/>
  <c r="G28" i="33"/>
  <c r="AG15" i="33"/>
  <c r="H28" i="33"/>
  <c r="I28" i="33"/>
  <c r="B34" i="15"/>
  <c r="D28" i="21"/>
  <c r="J28" i="21"/>
  <c r="F28" i="21"/>
  <c r="G28" i="21"/>
  <c r="E28" i="21"/>
  <c r="C29" i="21"/>
  <c r="AE16" i="33"/>
  <c r="D29" i="33"/>
  <c r="AF16" i="33"/>
  <c r="AH16" i="33"/>
  <c r="B29" i="33"/>
  <c r="U93" i="25"/>
  <c r="J28" i="26"/>
  <c r="C29" i="26"/>
  <c r="J29" i="26"/>
  <c r="E28" i="26"/>
  <c r="F28" i="26"/>
  <c r="D28" i="26"/>
  <c r="Z92" i="25"/>
  <c r="AB91" i="25"/>
  <c r="AA91" i="25"/>
  <c r="W93" i="25"/>
  <c r="V93" i="25"/>
  <c r="I25" i="34"/>
  <c r="C26" i="34"/>
  <c r="F26" i="34"/>
  <c r="E25" i="34"/>
  <c r="H25" i="34"/>
  <c r="D25" i="34"/>
  <c r="B28" i="34"/>
  <c r="D27" i="27"/>
  <c r="G27" i="27"/>
  <c r="F27" i="27"/>
  <c r="C28" i="27"/>
  <c r="E27" i="27"/>
  <c r="D28" i="24"/>
  <c r="C29" i="24"/>
  <c r="J28" i="24"/>
  <c r="E28" i="24"/>
  <c r="G28" i="24"/>
  <c r="F28" i="24"/>
  <c r="E29" i="21"/>
  <c r="J29" i="21"/>
  <c r="D29" i="21"/>
  <c r="G29" i="21"/>
  <c r="C30" i="21"/>
  <c r="F29" i="21"/>
  <c r="G25" i="30"/>
  <c r="E25" i="30"/>
  <c r="D25" i="30"/>
  <c r="H25" i="30"/>
  <c r="C26" i="30"/>
  <c r="F26" i="30"/>
  <c r="A32" i="30"/>
  <c r="B31" i="30"/>
  <c r="B25" i="29"/>
  <c r="D34" i="15"/>
  <c r="C26" i="22"/>
  <c r="E25" i="22"/>
  <c r="G25" i="22"/>
  <c r="F25" i="22"/>
  <c r="D25" i="22"/>
  <c r="AE17" i="33"/>
  <c r="B30" i="33"/>
  <c r="D30" i="33"/>
  <c r="AF17" i="33"/>
  <c r="AH17" i="33"/>
  <c r="U94" i="25"/>
  <c r="F29" i="26"/>
  <c r="G29" i="26"/>
  <c r="H29" i="33"/>
  <c r="I29" i="33"/>
  <c r="AI16" i="33"/>
  <c r="AJ16" i="33"/>
  <c r="AK16" i="33"/>
  <c r="AL16" i="33"/>
  <c r="G29" i="33"/>
  <c r="AG16" i="33"/>
  <c r="D29" i="26"/>
  <c r="E29" i="26"/>
  <c r="C30" i="26"/>
  <c r="E30" i="26"/>
  <c r="V94" i="25"/>
  <c r="W94" i="25"/>
  <c r="Z93" i="25"/>
  <c r="AB92" i="25"/>
  <c r="AA92" i="25"/>
  <c r="D26" i="34"/>
  <c r="I26" i="34"/>
  <c r="C27" i="34"/>
  <c r="F27" i="34"/>
  <c r="E26" i="34"/>
  <c r="H26" i="34"/>
  <c r="B29" i="34"/>
  <c r="D29" i="24"/>
  <c r="J29" i="24"/>
  <c r="G29" i="24"/>
  <c r="C30" i="24"/>
  <c r="E29" i="24"/>
  <c r="F29" i="24"/>
  <c r="D28" i="27"/>
  <c r="F28" i="27"/>
  <c r="G28" i="27"/>
  <c r="E28" i="27"/>
  <c r="C29" i="27"/>
  <c r="L4" i="15"/>
  <c r="B26" i="29"/>
  <c r="L5" i="15"/>
  <c r="A33" i="30"/>
  <c r="B33" i="30"/>
  <c r="B32" i="30"/>
  <c r="D30" i="26"/>
  <c r="C31" i="26"/>
  <c r="U95" i="25"/>
  <c r="AE18" i="33"/>
  <c r="D31" i="33"/>
  <c r="AF18" i="33"/>
  <c r="AH18" i="33"/>
  <c r="B31" i="33"/>
  <c r="D26" i="22"/>
  <c r="E26" i="22"/>
  <c r="C27" i="22"/>
  <c r="G26" i="22"/>
  <c r="F26" i="22"/>
  <c r="G30" i="33"/>
  <c r="AG17" i="33"/>
  <c r="H30" i="33"/>
  <c r="I30" i="33"/>
  <c r="AI17" i="33"/>
  <c r="AJ17" i="33"/>
  <c r="AK17" i="33"/>
  <c r="AL17" i="33"/>
  <c r="J25" i="29"/>
  <c r="J30" i="21"/>
  <c r="D30" i="21"/>
  <c r="E30" i="21"/>
  <c r="G30" i="21"/>
  <c r="F30" i="21"/>
  <c r="C31" i="21"/>
  <c r="D26" i="30"/>
  <c r="G26" i="30"/>
  <c r="E26" i="30"/>
  <c r="H26" i="30"/>
  <c r="C27" i="30"/>
  <c r="F27" i="30"/>
  <c r="F30" i="26"/>
  <c r="G30" i="26"/>
  <c r="J30" i="26"/>
  <c r="Z94" i="25"/>
  <c r="AA93" i="25"/>
  <c r="AB93" i="25"/>
  <c r="W95" i="25"/>
  <c r="V95" i="25"/>
  <c r="I27" i="34"/>
  <c r="B43" i="30"/>
  <c r="B39" i="30"/>
  <c r="C28" i="34"/>
  <c r="F28" i="34"/>
  <c r="H27" i="34"/>
  <c r="E27" i="34"/>
  <c r="D27" i="34"/>
  <c r="B30" i="34"/>
  <c r="J30" i="24"/>
  <c r="F30" i="24"/>
  <c r="C31" i="24"/>
  <c r="G30" i="24"/>
  <c r="D30" i="24"/>
  <c r="E30" i="24"/>
  <c r="D29" i="27"/>
  <c r="C30" i="27"/>
  <c r="G29" i="27"/>
  <c r="F29" i="27"/>
  <c r="E29" i="27"/>
  <c r="J26" i="29"/>
  <c r="J31" i="21"/>
  <c r="E31" i="21"/>
  <c r="D31" i="21"/>
  <c r="G31" i="21"/>
  <c r="F31" i="21"/>
  <c r="C32" i="21"/>
  <c r="D27" i="22"/>
  <c r="F27" i="22"/>
  <c r="G27" i="22"/>
  <c r="E27" i="22"/>
  <c r="C28" i="22"/>
  <c r="D32" i="33"/>
  <c r="AF19" i="33"/>
  <c r="AH19" i="33"/>
  <c r="B32" i="33"/>
  <c r="AE19" i="33"/>
  <c r="U96" i="25"/>
  <c r="B45" i="30"/>
  <c r="B44" i="30"/>
  <c r="B46" i="30"/>
  <c r="B42" i="30"/>
  <c r="D27" i="30"/>
  <c r="G27" i="30"/>
  <c r="E27" i="30"/>
  <c r="H27" i="30"/>
  <c r="C28" i="30"/>
  <c r="F28" i="30"/>
  <c r="G31" i="33"/>
  <c r="AG18" i="33"/>
  <c r="H31" i="33"/>
  <c r="I31" i="33"/>
  <c r="AI18" i="33"/>
  <c r="AJ18" i="33"/>
  <c r="AK18" i="33"/>
  <c r="AL18" i="33"/>
  <c r="E31" i="26"/>
  <c r="C32" i="26"/>
  <c r="D31" i="26"/>
  <c r="J31" i="26"/>
  <c r="F31" i="26"/>
  <c r="G31" i="26"/>
  <c r="W96" i="25"/>
  <c r="V96" i="25"/>
  <c r="Z95" i="25"/>
  <c r="AA94" i="25"/>
  <c r="AB94" i="25"/>
  <c r="I28" i="34"/>
  <c r="C29" i="34"/>
  <c r="F29" i="34"/>
  <c r="H28" i="34"/>
  <c r="E28" i="34"/>
  <c r="D28" i="34"/>
  <c r="B31" i="34"/>
  <c r="F30" i="27"/>
  <c r="D30" i="27"/>
  <c r="G30" i="27"/>
  <c r="C31" i="27"/>
  <c r="E30" i="27"/>
  <c r="G31" i="24"/>
  <c r="J31" i="24"/>
  <c r="E31" i="24"/>
  <c r="D31" i="24"/>
  <c r="F31" i="24"/>
  <c r="C32" i="24"/>
  <c r="U97" i="25"/>
  <c r="J32" i="26"/>
  <c r="D32" i="26"/>
  <c r="F32" i="26"/>
  <c r="G32" i="26"/>
  <c r="E32" i="26"/>
  <c r="C33" i="26"/>
  <c r="F32" i="21"/>
  <c r="D32" i="21"/>
  <c r="G32" i="21"/>
  <c r="E32" i="21"/>
  <c r="J32" i="21"/>
  <c r="C33" i="21"/>
  <c r="AE20" i="33"/>
  <c r="D33" i="33"/>
  <c r="AF20" i="33"/>
  <c r="AH20" i="33"/>
  <c r="B33" i="33"/>
  <c r="G28" i="30"/>
  <c r="E28" i="30"/>
  <c r="H28" i="30"/>
  <c r="D28" i="30"/>
  <c r="C29" i="30"/>
  <c r="F29" i="30"/>
  <c r="E21" i="29"/>
  <c r="M21" i="29"/>
  <c r="H32" i="33"/>
  <c r="I32" i="33"/>
  <c r="G32" i="33"/>
  <c r="AG19" i="33"/>
  <c r="AI19" i="33"/>
  <c r="AJ19" i="33"/>
  <c r="AK19" i="33"/>
  <c r="AL19" i="33"/>
  <c r="E28" i="22"/>
  <c r="F28" i="22"/>
  <c r="G28" i="22"/>
  <c r="D28" i="22"/>
  <c r="C29" i="22"/>
  <c r="Z96" i="25"/>
  <c r="AA95" i="25"/>
  <c r="AB95" i="25"/>
  <c r="V97" i="25"/>
  <c r="W97" i="25"/>
  <c r="H29" i="34"/>
  <c r="E29" i="34"/>
  <c r="C30" i="34"/>
  <c r="F30" i="34"/>
  <c r="I29" i="34"/>
  <c r="D29" i="34"/>
  <c r="B32" i="34"/>
  <c r="D31" i="27"/>
  <c r="G31" i="27"/>
  <c r="F31" i="27"/>
  <c r="E31" i="27"/>
  <c r="C32" i="27"/>
  <c r="J32" i="24"/>
  <c r="F32" i="24"/>
  <c r="D32" i="24"/>
  <c r="G32" i="24"/>
  <c r="E32" i="24"/>
  <c r="C33" i="24"/>
  <c r="J33" i="21"/>
  <c r="G33" i="21"/>
  <c r="E33" i="21"/>
  <c r="D33" i="21"/>
  <c r="F33" i="21"/>
  <c r="C34" i="21"/>
  <c r="U98" i="25"/>
  <c r="D29" i="22"/>
  <c r="C30" i="22"/>
  <c r="G29" i="22"/>
  <c r="E29" i="22"/>
  <c r="F29" i="22"/>
  <c r="B34" i="33"/>
  <c r="AI20" i="33"/>
  <c r="AJ20" i="33"/>
  <c r="AK20" i="33"/>
  <c r="AL20" i="33"/>
  <c r="AL22" i="33"/>
  <c r="G33" i="33"/>
  <c r="AG20" i="33"/>
  <c r="H33" i="33"/>
  <c r="I33" i="33"/>
  <c r="D33" i="26"/>
  <c r="F33" i="26"/>
  <c r="E33" i="26"/>
  <c r="C34" i="26"/>
  <c r="J33" i="26"/>
  <c r="G33" i="26"/>
  <c r="H29" i="30"/>
  <c r="D29" i="30"/>
  <c r="G29" i="30"/>
  <c r="E29" i="30"/>
  <c r="C30" i="30"/>
  <c r="F30" i="30"/>
  <c r="W98" i="25"/>
  <c r="V98" i="25"/>
  <c r="Z97" i="25"/>
  <c r="AB96" i="25"/>
  <c r="AA96" i="25"/>
  <c r="H30" i="34"/>
  <c r="E30" i="34"/>
  <c r="D30" i="34"/>
  <c r="C31" i="34"/>
  <c r="F31" i="34"/>
  <c r="I30" i="34"/>
  <c r="B33" i="34"/>
  <c r="G33" i="24"/>
  <c r="J33" i="24"/>
  <c r="C34" i="24"/>
  <c r="D33" i="24"/>
  <c r="F33" i="24"/>
  <c r="E33" i="24"/>
  <c r="F32" i="27"/>
  <c r="G32" i="27"/>
  <c r="E32" i="27"/>
  <c r="D32" i="27"/>
  <c r="C33" i="27"/>
  <c r="D30" i="30"/>
  <c r="H30" i="30"/>
  <c r="E30" i="30"/>
  <c r="G30" i="30"/>
  <c r="C31" i="30"/>
  <c r="F31" i="30"/>
  <c r="G34" i="33"/>
  <c r="H34" i="33"/>
  <c r="I34" i="33"/>
  <c r="D34" i="21"/>
  <c r="C35" i="21"/>
  <c r="G34" i="21"/>
  <c r="F34" i="21"/>
  <c r="E34" i="21"/>
  <c r="J34" i="21"/>
  <c r="G34" i="26"/>
  <c r="E34" i="26"/>
  <c r="C35" i="26"/>
  <c r="D34" i="26"/>
  <c r="J34" i="26"/>
  <c r="F34" i="26"/>
  <c r="D34" i="33"/>
  <c r="B25" i="35"/>
  <c r="G30" i="22"/>
  <c r="F30" i="22"/>
  <c r="D30" i="22"/>
  <c r="E30" i="22"/>
  <c r="C31" i="22"/>
  <c r="U99" i="25"/>
  <c r="Z98" i="25"/>
  <c r="AB97" i="25"/>
  <c r="AA97" i="25"/>
  <c r="W99" i="25"/>
  <c r="V99" i="25"/>
  <c r="U100" i="25"/>
  <c r="E31" i="34"/>
  <c r="H31" i="34"/>
  <c r="I31" i="34"/>
  <c r="D31" i="34"/>
  <c r="C32" i="34"/>
  <c r="F32" i="34"/>
  <c r="B34" i="34"/>
  <c r="B46" i="34"/>
  <c r="G33" i="27"/>
  <c r="C34" i="27"/>
  <c r="D33" i="27"/>
  <c r="E33" i="27"/>
  <c r="F33" i="27"/>
  <c r="C35" i="24"/>
  <c r="C36" i="24"/>
  <c r="D34" i="24"/>
  <c r="F34" i="24"/>
  <c r="J34" i="24"/>
  <c r="G34" i="24"/>
  <c r="E34" i="24"/>
  <c r="J25" i="35"/>
  <c r="L4" i="33"/>
  <c r="B26" i="35"/>
  <c r="L5" i="33"/>
  <c r="G31" i="30"/>
  <c r="E31" i="30"/>
  <c r="H31" i="30"/>
  <c r="D31" i="30"/>
  <c r="C32" i="30"/>
  <c r="G35" i="21"/>
  <c r="J35" i="21"/>
  <c r="F35" i="21"/>
  <c r="E35" i="21"/>
  <c r="D35" i="21"/>
  <c r="C36" i="21"/>
  <c r="E31" i="22"/>
  <c r="G31" i="22"/>
  <c r="F31" i="22"/>
  <c r="D31" i="22"/>
  <c r="C32" i="22"/>
  <c r="D35" i="26"/>
  <c r="E35" i="26"/>
  <c r="C36" i="26"/>
  <c r="F35" i="26"/>
  <c r="G35" i="26"/>
  <c r="J35" i="26"/>
  <c r="V100" i="25"/>
  <c r="U101" i="25"/>
  <c r="W100" i="25"/>
  <c r="Z99" i="25"/>
  <c r="AA98" i="25"/>
  <c r="AB98" i="25"/>
  <c r="D36" i="26"/>
  <c r="E36" i="26"/>
  <c r="F36" i="26"/>
  <c r="G36" i="26"/>
  <c r="C37" i="26"/>
  <c r="C33" i="34"/>
  <c r="C34" i="34"/>
  <c r="F34" i="34"/>
  <c r="D32" i="34"/>
  <c r="H32" i="34"/>
  <c r="I32" i="34"/>
  <c r="E32" i="34"/>
  <c r="B43" i="34"/>
  <c r="B47" i="34"/>
  <c r="F32" i="30"/>
  <c r="C33" i="30"/>
  <c r="B40" i="34"/>
  <c r="B45" i="34"/>
  <c r="B44" i="34"/>
  <c r="D36" i="24"/>
  <c r="G36" i="24"/>
  <c r="J36" i="24"/>
  <c r="E36" i="24"/>
  <c r="F36" i="24"/>
  <c r="C37" i="24"/>
  <c r="G35" i="24"/>
  <c r="J35" i="24"/>
  <c r="D35" i="24"/>
  <c r="F35" i="24"/>
  <c r="E35" i="24"/>
  <c r="F34" i="27"/>
  <c r="C35" i="27"/>
  <c r="E34" i="27"/>
  <c r="G34" i="27"/>
  <c r="D34" i="27"/>
  <c r="J26" i="35"/>
  <c r="F32" i="22"/>
  <c r="E32" i="22"/>
  <c r="D32" i="22"/>
  <c r="G32" i="22"/>
  <c r="C33" i="22"/>
  <c r="D36" i="21"/>
  <c r="F36" i="21"/>
  <c r="J36" i="21"/>
  <c r="E36" i="21"/>
  <c r="G36" i="21"/>
  <c r="C37" i="21"/>
  <c r="D32" i="30"/>
  <c r="G32" i="30"/>
  <c r="H32" i="30"/>
  <c r="E32" i="30"/>
  <c r="B19" i="29"/>
  <c r="J36" i="26"/>
  <c r="Z100" i="25"/>
  <c r="AA99" i="25"/>
  <c r="AB99" i="25"/>
  <c r="V101" i="25"/>
  <c r="W101" i="25"/>
  <c r="F33" i="34"/>
  <c r="D33" i="34"/>
  <c r="E33" i="34"/>
  <c r="H33" i="34"/>
  <c r="I33" i="34"/>
  <c r="C38" i="26"/>
  <c r="C41" i="26"/>
  <c r="J37" i="26"/>
  <c r="G37" i="26"/>
  <c r="D37" i="26"/>
  <c r="E37" i="26"/>
  <c r="F37" i="26"/>
  <c r="F41" i="26"/>
  <c r="F33" i="30"/>
  <c r="G33" i="30"/>
  <c r="D33" i="30"/>
  <c r="H33" i="30"/>
  <c r="E33" i="30"/>
  <c r="C34" i="30"/>
  <c r="I34" i="34"/>
  <c r="D34" i="34"/>
  <c r="H34" i="34"/>
  <c r="E34" i="34"/>
  <c r="C35" i="34"/>
  <c r="J37" i="24"/>
  <c r="C43" i="24"/>
  <c r="C49" i="24"/>
  <c r="C48" i="24"/>
  <c r="E49" i="24"/>
  <c r="F48" i="24"/>
  <c r="C42" i="24"/>
  <c r="G46" i="24"/>
  <c r="C47" i="24"/>
  <c r="C46" i="24"/>
  <c r="D47" i="24"/>
  <c r="E42" i="24"/>
  <c r="C45" i="24"/>
  <c r="E48" i="24"/>
  <c r="E45" i="24"/>
  <c r="D42" i="24"/>
  <c r="D48" i="24"/>
  <c r="G49" i="24"/>
  <c r="G19" i="35"/>
  <c r="O19" i="35"/>
  <c r="D46" i="24"/>
  <c r="G42" i="24"/>
  <c r="E19" i="35"/>
  <c r="M19" i="35"/>
  <c r="G47" i="24"/>
  <c r="D45" i="24"/>
  <c r="D49" i="24"/>
  <c r="E46" i="24"/>
  <c r="G45" i="24"/>
  <c r="F47" i="24"/>
  <c r="F45" i="24"/>
  <c r="F42" i="24"/>
  <c r="G48" i="24"/>
  <c r="F46" i="24"/>
  <c r="D35" i="27"/>
  <c r="F35" i="27"/>
  <c r="C36" i="27"/>
  <c r="G35" i="27"/>
  <c r="E35" i="27"/>
  <c r="E47" i="24"/>
  <c r="F49" i="24"/>
  <c r="J19" i="29"/>
  <c r="J37" i="21"/>
  <c r="G37" i="21"/>
  <c r="D37" i="21"/>
  <c r="E37" i="21"/>
  <c r="F37" i="21"/>
  <c r="C38" i="21"/>
  <c r="G33" i="22"/>
  <c r="D33" i="22"/>
  <c r="F33" i="22"/>
  <c r="E33" i="22"/>
  <c r="C34" i="22"/>
  <c r="X101" i="25"/>
  <c r="X74" i="25"/>
  <c r="X77" i="25"/>
  <c r="X75" i="25"/>
  <c r="X76" i="25"/>
  <c r="X79" i="25"/>
  <c r="X81" i="25"/>
  <c r="X78" i="25"/>
  <c r="X84" i="25"/>
  <c r="X82" i="25"/>
  <c r="X80" i="25"/>
  <c r="X83" i="25"/>
  <c r="X85" i="25"/>
  <c r="X86" i="25"/>
  <c r="X88" i="25"/>
  <c r="X87" i="25"/>
  <c r="X90" i="25"/>
  <c r="X89" i="25"/>
  <c r="X91" i="25"/>
  <c r="X93" i="25"/>
  <c r="X96" i="25"/>
  <c r="X92" i="25"/>
  <c r="X94" i="25"/>
  <c r="X98" i="25"/>
  <c r="X95" i="25"/>
  <c r="X100" i="25"/>
  <c r="Z101" i="25"/>
  <c r="AB100" i="25"/>
  <c r="AA100" i="25"/>
  <c r="X99" i="25"/>
  <c r="X97" i="25"/>
  <c r="C42" i="34"/>
  <c r="H35" i="34"/>
  <c r="H42" i="34"/>
  <c r="D35" i="34"/>
  <c r="D46" i="34"/>
  <c r="I35" i="34"/>
  <c r="I44" i="34"/>
  <c r="E35" i="34"/>
  <c r="E45" i="34"/>
  <c r="F35" i="34"/>
  <c r="C43" i="26"/>
  <c r="C45" i="26"/>
  <c r="C46" i="26"/>
  <c r="C47" i="26"/>
  <c r="C44" i="26"/>
  <c r="F46" i="26"/>
  <c r="E46" i="26"/>
  <c r="E47" i="26"/>
  <c r="E43" i="26"/>
  <c r="E45" i="26"/>
  <c r="E44" i="26"/>
  <c r="E41" i="26"/>
  <c r="F44" i="26"/>
  <c r="D47" i="26"/>
  <c r="D41" i="26"/>
  <c r="D43" i="26"/>
  <c r="D45" i="26"/>
  <c r="D46" i="26"/>
  <c r="D44" i="26"/>
  <c r="G41" i="26"/>
  <c r="G46" i="26"/>
  <c r="G45" i="26"/>
  <c r="G43" i="26"/>
  <c r="G47" i="26"/>
  <c r="G19" i="29"/>
  <c r="O19" i="29"/>
  <c r="G44" i="26"/>
  <c r="F45" i="26"/>
  <c r="F43" i="26"/>
  <c r="F47" i="26"/>
  <c r="C35" i="30"/>
  <c r="C39" i="30"/>
  <c r="I42" i="34"/>
  <c r="B19" i="35"/>
  <c r="J19" i="35"/>
  <c r="C51" i="28"/>
  <c r="F34" i="30"/>
  <c r="H34" i="30"/>
  <c r="D34" i="30"/>
  <c r="D39" i="30"/>
  <c r="E34" i="30"/>
  <c r="E39" i="30"/>
  <c r="G34" i="30"/>
  <c r="G39" i="30"/>
  <c r="C47" i="34"/>
  <c r="C44" i="34"/>
  <c r="C40" i="34"/>
  <c r="C45" i="34"/>
  <c r="C46" i="34"/>
  <c r="C43" i="34"/>
  <c r="C41" i="34"/>
  <c r="F52" i="34"/>
  <c r="M3" i="24"/>
  <c r="F19" i="35"/>
  <c r="N19" i="35"/>
  <c r="C37" i="27"/>
  <c r="D36" i="27"/>
  <c r="G36" i="27"/>
  <c r="F36" i="27"/>
  <c r="E36" i="27"/>
  <c r="D34" i="22"/>
  <c r="G34" i="22"/>
  <c r="E34" i="22"/>
  <c r="F34" i="22"/>
  <c r="C35" i="22"/>
  <c r="D38" i="21"/>
  <c r="E38" i="21"/>
  <c r="F38" i="21"/>
  <c r="J38" i="21"/>
  <c r="G38" i="21"/>
  <c r="C39" i="21"/>
  <c r="AA101" i="25"/>
  <c r="AB101" i="25"/>
  <c r="Z102" i="25"/>
  <c r="I45" i="34"/>
  <c r="D42" i="34"/>
  <c r="D43" i="34"/>
  <c r="D40" i="34"/>
  <c r="H43" i="34"/>
  <c r="D44" i="34"/>
  <c r="E42" i="34"/>
  <c r="D47" i="34"/>
  <c r="D45" i="34"/>
  <c r="I46" i="34"/>
  <c r="H45" i="34"/>
  <c r="H40" i="34"/>
  <c r="H47" i="34"/>
  <c r="H44" i="34"/>
  <c r="H46" i="34"/>
  <c r="E47" i="34"/>
  <c r="J23" i="34"/>
  <c r="J16" i="34"/>
  <c r="J25" i="34"/>
  <c r="J34" i="34"/>
  <c r="J32" i="34"/>
  <c r="J19" i="34"/>
  <c r="J13" i="34"/>
  <c r="J14" i="34"/>
  <c r="J20" i="34"/>
  <c r="J18" i="34"/>
  <c r="J30" i="34"/>
  <c r="J10" i="34"/>
  <c r="J28" i="34"/>
  <c r="J27" i="34"/>
  <c r="J22" i="34"/>
  <c r="J29" i="34"/>
  <c r="J35" i="34"/>
  <c r="J24" i="34"/>
  <c r="J33" i="34"/>
  <c r="J11" i="34"/>
  <c r="J21" i="34"/>
  <c r="J17" i="34"/>
  <c r="J15" i="34"/>
  <c r="J26" i="34"/>
  <c r="J12" i="34"/>
  <c r="J31" i="34"/>
  <c r="E40" i="34"/>
  <c r="I40" i="34"/>
  <c r="E21" i="35"/>
  <c r="M21" i="35"/>
  <c r="C65" i="28"/>
  <c r="E65" i="28"/>
  <c r="C66" i="28"/>
  <c r="E66" i="28"/>
  <c r="C64" i="28"/>
  <c r="E64" i="28"/>
  <c r="C67" i="28"/>
  <c r="E67" i="28"/>
  <c r="E46" i="34"/>
  <c r="E43" i="34"/>
  <c r="E44" i="34"/>
  <c r="I43" i="34"/>
  <c r="P4" i="34"/>
  <c r="I47" i="34"/>
  <c r="G21" i="35"/>
  <c r="O21" i="35"/>
  <c r="G35" i="34"/>
  <c r="F47" i="34"/>
  <c r="F43" i="34"/>
  <c r="F46" i="34"/>
  <c r="F51" i="34"/>
  <c r="F45" i="34"/>
  <c r="F53" i="34"/>
  <c r="F44" i="34"/>
  <c r="H39" i="30"/>
  <c r="H42" i="30"/>
  <c r="H43" i="30"/>
  <c r="H44" i="30"/>
  <c r="H45" i="30"/>
  <c r="F19" i="29"/>
  <c r="N19" i="29"/>
  <c r="M3" i="26"/>
  <c r="C43" i="30"/>
  <c r="C42" i="30"/>
  <c r="C45" i="30"/>
  <c r="C46" i="30"/>
  <c r="D46" i="30"/>
  <c r="C40" i="30"/>
  <c r="F42" i="30"/>
  <c r="H46" i="30"/>
  <c r="G21" i="29"/>
  <c r="O21" i="29"/>
  <c r="G44" i="30"/>
  <c r="C44" i="30"/>
  <c r="E51" i="28"/>
  <c r="G51" i="28"/>
  <c r="G56" i="28"/>
  <c r="G57" i="28"/>
  <c r="G58" i="28"/>
  <c r="F51" i="28"/>
  <c r="F44" i="30"/>
  <c r="F43" i="30"/>
  <c r="F45" i="30"/>
  <c r="G11" i="34"/>
  <c r="G13" i="34"/>
  <c r="G15" i="34"/>
  <c r="G17" i="34"/>
  <c r="G19" i="34"/>
  <c r="G21" i="34"/>
  <c r="G23" i="34"/>
  <c r="G25" i="34"/>
  <c r="G27" i="34"/>
  <c r="G31" i="34"/>
  <c r="G9" i="34"/>
  <c r="G10" i="34"/>
  <c r="G12" i="34"/>
  <c r="G14" i="34"/>
  <c r="G16" i="34"/>
  <c r="G18" i="34"/>
  <c r="G20" i="34"/>
  <c r="G22" i="34"/>
  <c r="G24" i="34"/>
  <c r="G26" i="34"/>
  <c r="G28" i="34"/>
  <c r="G30" i="34"/>
  <c r="G32" i="34"/>
  <c r="G34" i="34"/>
  <c r="G29" i="34"/>
  <c r="G33" i="34"/>
  <c r="B21" i="35"/>
  <c r="G37" i="27"/>
  <c r="D37" i="27"/>
  <c r="C38" i="27"/>
  <c r="F37" i="27"/>
  <c r="E37" i="27"/>
  <c r="F35" i="22"/>
  <c r="D35" i="22"/>
  <c r="C36" i="22"/>
  <c r="E35" i="22"/>
  <c r="G35" i="22"/>
  <c r="C40" i="21"/>
  <c r="J39" i="21"/>
  <c r="E39" i="21"/>
  <c r="F39" i="21"/>
  <c r="D39" i="21"/>
  <c r="G39" i="21"/>
  <c r="F21" i="35"/>
  <c r="N21" i="35"/>
  <c r="F56" i="28"/>
  <c r="D6" i="28"/>
  <c r="D8" i="28"/>
  <c r="F51" i="30"/>
  <c r="F50" i="30"/>
  <c r="B21" i="29"/>
  <c r="F46" i="30"/>
  <c r="F21" i="29"/>
  <c r="N21" i="29"/>
  <c r="D44" i="30"/>
  <c r="D42" i="30"/>
  <c r="D45" i="30"/>
  <c r="E44" i="30"/>
  <c r="E43" i="30"/>
  <c r="D43" i="30"/>
  <c r="G42" i="30"/>
  <c r="E42" i="30"/>
  <c r="E45" i="30"/>
  <c r="G43" i="30"/>
  <c r="G45" i="30"/>
  <c r="E46" i="30"/>
  <c r="G46" i="30"/>
  <c r="G52" i="34"/>
  <c r="G53" i="34"/>
  <c r="G51" i="34"/>
  <c r="J21" i="35"/>
  <c r="H67" i="28"/>
  <c r="J67" i="28"/>
  <c r="H66" i="28"/>
  <c r="J66" i="28"/>
  <c r="H64" i="28"/>
  <c r="J64" i="28"/>
  <c r="H65" i="28"/>
  <c r="J65" i="28"/>
  <c r="G38" i="27"/>
  <c r="F38" i="27"/>
  <c r="C39" i="27"/>
  <c r="E38" i="27"/>
  <c r="D38" i="27"/>
  <c r="C37" i="22"/>
  <c r="F36" i="22"/>
  <c r="G36" i="22"/>
  <c r="D36" i="22"/>
  <c r="E36" i="22"/>
  <c r="E40" i="21"/>
  <c r="D40" i="21"/>
  <c r="F40" i="21"/>
  <c r="G40" i="21"/>
  <c r="J40" i="21"/>
  <c r="C41" i="21"/>
  <c r="C52" i="28"/>
  <c r="F52" i="30"/>
  <c r="H51" i="30"/>
  <c r="J21" i="29"/>
  <c r="F57" i="28"/>
  <c r="O4" i="30"/>
  <c r="D39" i="27"/>
  <c r="C40" i="27"/>
  <c r="F39" i="27"/>
  <c r="E39" i="27"/>
  <c r="G39" i="27"/>
  <c r="G41" i="21"/>
  <c r="F41" i="21"/>
  <c r="D41" i="21"/>
  <c r="J41" i="21"/>
  <c r="E41" i="21"/>
  <c r="C42" i="21"/>
  <c r="G37" i="22"/>
  <c r="E37" i="22"/>
  <c r="D37" i="22"/>
  <c r="C38" i="22"/>
  <c r="F37" i="22"/>
  <c r="T129" i="25"/>
  <c r="AB102" i="25"/>
  <c r="AC84" i="25"/>
  <c r="I51" i="30"/>
  <c r="F59" i="28"/>
  <c r="C30" i="35"/>
  <c r="C41" i="27"/>
  <c r="E40" i="27"/>
  <c r="G40" i="27"/>
  <c r="D40" i="27"/>
  <c r="F40" i="27"/>
  <c r="E38" i="22"/>
  <c r="D38" i="22"/>
  <c r="G38" i="22"/>
  <c r="F38" i="22"/>
  <c r="C39" i="22"/>
  <c r="D42" i="21"/>
  <c r="J42" i="21"/>
  <c r="E42" i="21"/>
  <c r="G42" i="21"/>
  <c r="F42" i="21"/>
  <c r="C43" i="21"/>
  <c r="AC88" i="25"/>
  <c r="AC75" i="25"/>
  <c r="AC89" i="25"/>
  <c r="AC98" i="25"/>
  <c r="AC100" i="25"/>
  <c r="D30" i="35"/>
  <c r="D30" i="29"/>
  <c r="AC80" i="25"/>
  <c r="AC91" i="25"/>
  <c r="AC87" i="25"/>
  <c r="AC82" i="25"/>
  <c r="AC77" i="25"/>
  <c r="AC96" i="25"/>
  <c r="AC78" i="25"/>
  <c r="AC76" i="25"/>
  <c r="AC86" i="25"/>
  <c r="AC79" i="25"/>
  <c r="AC93" i="25"/>
  <c r="AC95" i="25"/>
  <c r="AC99" i="25"/>
  <c r="AC92" i="25"/>
  <c r="C30" i="29"/>
  <c r="AC83" i="25"/>
  <c r="AC101" i="25"/>
  <c r="AC90" i="25"/>
  <c r="AC81" i="25"/>
  <c r="AC97" i="25"/>
  <c r="AC85" i="25"/>
  <c r="AC94" i="25"/>
  <c r="AD84" i="25"/>
  <c r="AD102" i="25"/>
  <c r="AD97" i="25"/>
  <c r="AD86" i="25"/>
  <c r="AD101" i="25"/>
  <c r="AD99" i="25"/>
  <c r="AD98" i="25"/>
  <c r="AD91" i="25"/>
  <c r="AD85" i="25"/>
  <c r="AD83" i="25"/>
  <c r="AD90" i="25"/>
  <c r="AD82" i="25"/>
  <c r="AD93" i="25"/>
  <c r="AD89" i="25"/>
  <c r="AD95" i="25"/>
  <c r="AD100" i="25"/>
  <c r="AD96" i="25"/>
  <c r="AD87" i="25"/>
  <c r="AD92" i="25"/>
  <c r="AD88" i="25"/>
  <c r="AD94" i="25"/>
  <c r="G52" i="30"/>
  <c r="H52" i="30"/>
  <c r="I52" i="30"/>
  <c r="G50" i="30"/>
  <c r="H50" i="30"/>
  <c r="I50" i="30"/>
  <c r="G59" i="28"/>
  <c r="C21" i="29"/>
  <c r="K21" i="29"/>
  <c r="E41" i="27"/>
  <c r="F41" i="27"/>
  <c r="G41" i="27"/>
  <c r="C42" i="27"/>
  <c r="D41" i="27"/>
  <c r="J43" i="21"/>
  <c r="G43" i="21"/>
  <c r="F43" i="21"/>
  <c r="E43" i="21"/>
  <c r="D43" i="21"/>
  <c r="C44" i="21"/>
  <c r="F39" i="22"/>
  <c r="D39" i="22"/>
  <c r="E39" i="22"/>
  <c r="G39" i="22"/>
  <c r="C40" i="22"/>
  <c r="D12" i="35"/>
  <c r="L12" i="35"/>
  <c r="D21" i="35"/>
  <c r="L21" i="35"/>
  <c r="C14" i="35"/>
  <c r="K14" i="35"/>
  <c r="D13" i="35"/>
  <c r="L13" i="35"/>
  <c r="D11" i="35"/>
  <c r="L11" i="35"/>
  <c r="C12" i="35"/>
  <c r="K12" i="35"/>
  <c r="D12" i="29"/>
  <c r="L12" i="29"/>
  <c r="D26" i="35"/>
  <c r="L26" i="35"/>
  <c r="D10" i="29"/>
  <c r="L10" i="29"/>
  <c r="C26" i="35"/>
  <c r="K26" i="35"/>
  <c r="C21" i="35"/>
  <c r="K21" i="35"/>
  <c r="C19" i="35"/>
  <c r="K19" i="35"/>
  <c r="D25" i="35"/>
  <c r="L25" i="35"/>
  <c r="C19" i="29"/>
  <c r="K19" i="29"/>
  <c r="C26" i="29"/>
  <c r="K26" i="29"/>
  <c r="D25" i="29"/>
  <c r="L25" i="29"/>
  <c r="D15" i="29"/>
  <c r="L15" i="29"/>
  <c r="D19" i="35"/>
  <c r="L19" i="35"/>
  <c r="C12" i="29"/>
  <c r="K12" i="29"/>
  <c r="D13" i="29"/>
  <c r="L13" i="29"/>
  <c r="D14" i="29"/>
  <c r="L14" i="29"/>
  <c r="C13" i="29"/>
  <c r="K13" i="29"/>
  <c r="D15" i="35"/>
  <c r="L15" i="35"/>
  <c r="C11" i="29"/>
  <c r="K11" i="29"/>
  <c r="C11" i="35"/>
  <c r="K11" i="35"/>
  <c r="D14" i="35"/>
  <c r="L14" i="35"/>
  <c r="C10" i="29"/>
  <c r="K10" i="29"/>
  <c r="C13" i="35"/>
  <c r="K13" i="35"/>
  <c r="C25" i="29"/>
  <c r="K25" i="29"/>
  <c r="C10" i="35"/>
  <c r="K10" i="35"/>
  <c r="D19" i="29"/>
  <c r="L19" i="29"/>
  <c r="D10" i="35"/>
  <c r="L10" i="35"/>
  <c r="C15" i="29"/>
  <c r="K15" i="29"/>
  <c r="C14" i="29"/>
  <c r="K14" i="29"/>
  <c r="D26" i="29"/>
  <c r="L26" i="29"/>
  <c r="C25" i="35"/>
  <c r="K25" i="35"/>
  <c r="D21" i="29"/>
  <c r="L21" i="29"/>
  <c r="C15" i="35"/>
  <c r="K15" i="35"/>
  <c r="D11" i="29"/>
  <c r="L11" i="29"/>
  <c r="F42" i="27"/>
  <c r="E42" i="27"/>
  <c r="G42" i="27"/>
  <c r="C43" i="27"/>
  <c r="D42" i="27"/>
  <c r="C45" i="21"/>
  <c r="G44" i="21"/>
  <c r="F44" i="21"/>
  <c r="J44" i="21"/>
  <c r="D44" i="21"/>
  <c r="E44" i="21"/>
  <c r="F40" i="22"/>
  <c r="E40" i="22"/>
  <c r="D40" i="22"/>
  <c r="C41" i="22"/>
  <c r="G40" i="22"/>
  <c r="C44" i="27"/>
  <c r="E43" i="27"/>
  <c r="D43" i="27"/>
  <c r="F43" i="27"/>
  <c r="G43" i="27"/>
  <c r="D41" i="22"/>
  <c r="G41" i="22"/>
  <c r="F41" i="22"/>
  <c r="E41" i="22"/>
  <c r="C42" i="22"/>
  <c r="G45" i="21"/>
  <c r="F45" i="21"/>
  <c r="D45" i="21"/>
  <c r="J45" i="21"/>
  <c r="E45" i="21"/>
  <c r="C46" i="21"/>
  <c r="E44" i="27"/>
  <c r="G44" i="27"/>
  <c r="C45" i="27"/>
  <c r="F44" i="27"/>
  <c r="D44" i="27"/>
  <c r="E42" i="22"/>
  <c r="C43" i="22"/>
  <c r="D42" i="22"/>
  <c r="F42" i="22"/>
  <c r="G42" i="22"/>
  <c r="F46" i="21"/>
  <c r="D46" i="21"/>
  <c r="G46" i="21"/>
  <c r="J46" i="21"/>
  <c r="E46" i="21"/>
  <c r="C47" i="21"/>
  <c r="F45" i="27"/>
  <c r="E45" i="27"/>
  <c r="D45" i="27"/>
  <c r="C46" i="27"/>
  <c r="G45" i="27"/>
  <c r="F43" i="22"/>
  <c r="D43" i="22"/>
  <c r="E43" i="22"/>
  <c r="C44" i="22"/>
  <c r="G43" i="22"/>
  <c r="J47" i="21"/>
  <c r="D47" i="21"/>
  <c r="E47" i="21"/>
  <c r="G47" i="21"/>
  <c r="F47" i="21"/>
  <c r="C48" i="21"/>
  <c r="G46" i="27"/>
  <c r="D46" i="27"/>
  <c r="C47" i="27"/>
  <c r="E46" i="27"/>
  <c r="F46" i="27"/>
  <c r="G44" i="22"/>
  <c r="D44" i="22"/>
  <c r="F44" i="22"/>
  <c r="E44" i="22"/>
  <c r="C45" i="22"/>
  <c r="F48" i="21"/>
  <c r="J48" i="21"/>
  <c r="E48" i="21"/>
  <c r="D48" i="21"/>
  <c r="G48" i="21"/>
  <c r="C49" i="21"/>
  <c r="F47" i="27"/>
  <c r="E47" i="27"/>
  <c r="D47" i="27"/>
  <c r="C48" i="27"/>
  <c r="G47" i="27"/>
  <c r="F49" i="21"/>
  <c r="G49" i="21"/>
  <c r="E49" i="21"/>
  <c r="D49" i="21"/>
  <c r="J49" i="21"/>
  <c r="C50" i="21"/>
  <c r="D45" i="22"/>
  <c r="C46" i="22"/>
  <c r="F45" i="22"/>
  <c r="E45" i="22"/>
  <c r="G45" i="22"/>
  <c r="C49" i="27"/>
  <c r="D48" i="27"/>
  <c r="E48" i="27"/>
  <c r="F48" i="27"/>
  <c r="G48" i="27"/>
  <c r="E50" i="21"/>
  <c r="F50" i="21"/>
  <c r="J50" i="21"/>
  <c r="G50" i="21"/>
  <c r="D50" i="21"/>
  <c r="C51" i="21"/>
  <c r="E46" i="22"/>
  <c r="F46" i="22"/>
  <c r="G46" i="22"/>
  <c r="D46" i="22"/>
  <c r="C47" i="22"/>
  <c r="G49" i="27"/>
  <c r="D49" i="27"/>
  <c r="F49" i="27"/>
  <c r="C50" i="27"/>
  <c r="E49" i="27"/>
  <c r="D47" i="22"/>
  <c r="G47" i="22"/>
  <c r="F47" i="22"/>
  <c r="C48" i="22"/>
  <c r="E47" i="22"/>
  <c r="G51" i="21"/>
  <c r="D51" i="21"/>
  <c r="E51" i="21"/>
  <c r="F51" i="21"/>
  <c r="J51" i="21"/>
  <c r="C52" i="21"/>
  <c r="E50" i="27"/>
  <c r="C51" i="27"/>
  <c r="F50" i="27"/>
  <c r="G50" i="27"/>
  <c r="D50" i="27"/>
  <c r="F52" i="21"/>
  <c r="D52" i="21"/>
  <c r="G52" i="21"/>
  <c r="E52" i="21"/>
  <c r="J52" i="21"/>
  <c r="C53" i="21"/>
  <c r="E48" i="22"/>
  <c r="D48" i="22"/>
  <c r="F48" i="22"/>
  <c r="C49" i="22"/>
  <c r="G48" i="22"/>
  <c r="G51" i="27"/>
  <c r="C52" i="27"/>
  <c r="F51" i="27"/>
  <c r="D51" i="27"/>
  <c r="E51" i="27"/>
  <c r="F49" i="22"/>
  <c r="D49" i="22"/>
  <c r="E49" i="22"/>
  <c r="G49" i="22"/>
  <c r="C50" i="22"/>
  <c r="F53" i="21"/>
  <c r="G53" i="21"/>
  <c r="E53" i="21"/>
  <c r="J53" i="21"/>
  <c r="D53" i="21"/>
  <c r="C54" i="21"/>
  <c r="E52" i="27"/>
  <c r="C53" i="27"/>
  <c r="G52" i="27"/>
  <c r="D52" i="27"/>
  <c r="F52" i="27"/>
  <c r="C55" i="21"/>
  <c r="F54" i="21"/>
  <c r="D54" i="21"/>
  <c r="G54" i="21"/>
  <c r="E54" i="21"/>
  <c r="J54" i="21"/>
  <c r="F50" i="22"/>
  <c r="E50" i="22"/>
  <c r="G50" i="22"/>
  <c r="C51" i="22"/>
  <c r="D50" i="22"/>
  <c r="F53" i="27"/>
  <c r="E53" i="27"/>
  <c r="G53" i="27"/>
  <c r="C54" i="27"/>
  <c r="D53" i="27"/>
  <c r="F51" i="22"/>
  <c r="G51" i="22"/>
  <c r="C52" i="22"/>
  <c r="D51" i="22"/>
  <c r="E51" i="22"/>
  <c r="J55" i="21"/>
  <c r="D55" i="21"/>
  <c r="C56" i="21"/>
  <c r="F55" i="21"/>
  <c r="E55" i="21"/>
  <c r="G55" i="21"/>
  <c r="G54" i="27"/>
  <c r="C55" i="27"/>
  <c r="D54" i="27"/>
  <c r="F54" i="27"/>
  <c r="E54" i="27"/>
  <c r="F52" i="22"/>
  <c r="D52" i="22"/>
  <c r="E52" i="22"/>
  <c r="G52" i="22"/>
  <c r="C53" i="22"/>
  <c r="G56" i="21"/>
  <c r="D56" i="21"/>
  <c r="C57" i="21"/>
  <c r="F56" i="21"/>
  <c r="J56" i="21"/>
  <c r="E56" i="21"/>
  <c r="F55" i="27"/>
  <c r="D55" i="27"/>
  <c r="G55" i="27"/>
  <c r="C56" i="27"/>
  <c r="C57" i="27"/>
  <c r="E55" i="27"/>
  <c r="C54" i="22"/>
  <c r="F53" i="22"/>
  <c r="D53" i="22"/>
  <c r="G53" i="22"/>
  <c r="E53" i="22"/>
  <c r="D57" i="21"/>
  <c r="C58" i="21"/>
  <c r="J57" i="21"/>
  <c r="F57" i="21"/>
  <c r="E57" i="21"/>
  <c r="G57" i="21"/>
  <c r="F57" i="27"/>
  <c r="G57" i="27"/>
  <c r="C58" i="27"/>
  <c r="D57" i="27"/>
  <c r="E57" i="27"/>
  <c r="F56" i="27"/>
  <c r="E56" i="27"/>
  <c r="G56" i="27"/>
  <c r="D56" i="27"/>
  <c r="C55" i="22"/>
  <c r="C56" i="22"/>
  <c r="E54" i="22"/>
  <c r="F54" i="22"/>
  <c r="G54" i="22"/>
  <c r="D54" i="22"/>
  <c r="D58" i="21"/>
  <c r="F58" i="21"/>
  <c r="G58" i="21"/>
  <c r="J58" i="21"/>
  <c r="E58" i="21"/>
  <c r="C59" i="21"/>
  <c r="F56" i="22"/>
  <c r="G56" i="22"/>
  <c r="D56" i="22"/>
  <c r="C57" i="22"/>
  <c r="E56" i="22"/>
  <c r="D58" i="27"/>
  <c r="C59" i="27"/>
  <c r="F58" i="27"/>
  <c r="E58" i="27"/>
  <c r="G58" i="27"/>
  <c r="G59" i="21"/>
  <c r="J59" i="21"/>
  <c r="E59" i="21"/>
  <c r="F59" i="21"/>
  <c r="D59" i="21"/>
  <c r="C60" i="21"/>
  <c r="C61" i="21"/>
  <c r="F55" i="22"/>
  <c r="E55" i="22"/>
  <c r="D55" i="22"/>
  <c r="G55" i="22"/>
  <c r="G57" i="22"/>
  <c r="C58" i="22"/>
  <c r="F57" i="22"/>
  <c r="D57" i="22"/>
  <c r="E57" i="22"/>
  <c r="C60" i="27"/>
  <c r="F59" i="27"/>
  <c r="F64" i="27"/>
  <c r="G59" i="27"/>
  <c r="G65" i="27"/>
  <c r="D59" i="27"/>
  <c r="E59" i="27"/>
  <c r="E69" i="27"/>
  <c r="G61" i="21"/>
  <c r="E61" i="21"/>
  <c r="D61" i="21"/>
  <c r="F61" i="21"/>
  <c r="J61" i="21"/>
  <c r="C62" i="21"/>
  <c r="D60" i="21"/>
  <c r="J60" i="21"/>
  <c r="F60" i="21"/>
  <c r="G60" i="21"/>
  <c r="E60" i="21"/>
  <c r="F63" i="27"/>
  <c r="F66" i="27"/>
  <c r="F65" i="27"/>
  <c r="F58" i="22"/>
  <c r="C59" i="22"/>
  <c r="G58" i="22"/>
  <c r="D58" i="22"/>
  <c r="E58" i="22"/>
  <c r="F67" i="27"/>
  <c r="C68" i="27"/>
  <c r="C63" i="27"/>
  <c r="C69" i="27"/>
  <c r="C67" i="27"/>
  <c r="C65" i="27"/>
  <c r="D64" i="27"/>
  <c r="D66" i="27"/>
  <c r="D63" i="27"/>
  <c r="D69" i="27"/>
  <c r="D65" i="27"/>
  <c r="D68" i="27"/>
  <c r="D67" i="27"/>
  <c r="G63" i="27"/>
  <c r="G66" i="27"/>
  <c r="G68" i="27"/>
  <c r="G69" i="27"/>
  <c r="O4" i="27"/>
  <c r="G67" i="27"/>
  <c r="F69" i="27"/>
  <c r="E68" i="27"/>
  <c r="E67" i="27"/>
  <c r="E66" i="27"/>
  <c r="E63" i="27"/>
  <c r="E65" i="27"/>
  <c r="C66" i="27"/>
  <c r="F68" i="27"/>
  <c r="D62" i="21"/>
  <c r="E62" i="21"/>
  <c r="G62" i="21"/>
  <c r="J62" i="21"/>
  <c r="F62" i="21"/>
  <c r="C63" i="21"/>
  <c r="C64" i="21"/>
  <c r="B18" i="29"/>
  <c r="B20" i="29"/>
  <c r="G64" i="21"/>
  <c r="D64" i="21"/>
  <c r="F64" i="21"/>
  <c r="E64" i="21"/>
  <c r="C65" i="21"/>
  <c r="C69" i="21"/>
  <c r="C60" i="22"/>
  <c r="D59" i="22"/>
  <c r="F59" i="22"/>
  <c r="G59" i="22"/>
  <c r="E59" i="22"/>
  <c r="G63" i="21"/>
  <c r="F63" i="21"/>
  <c r="D63" i="21"/>
  <c r="E63" i="21"/>
  <c r="J63" i="21"/>
  <c r="D20" i="29"/>
  <c r="L20" i="29"/>
  <c r="J20" i="29"/>
  <c r="C20" i="29"/>
  <c r="K20" i="29"/>
  <c r="C18" i="29"/>
  <c r="K18" i="29"/>
  <c r="J18" i="29"/>
  <c r="D18" i="29"/>
  <c r="L18" i="29"/>
  <c r="G74" i="21"/>
  <c r="C70" i="21"/>
  <c r="B18" i="35"/>
  <c r="D18" i="35"/>
  <c r="L18" i="35"/>
  <c r="C67" i="22"/>
  <c r="B20" i="35"/>
  <c r="J20" i="35"/>
  <c r="D60" i="22"/>
  <c r="D70" i="22"/>
  <c r="E60" i="22"/>
  <c r="E71" i="22"/>
  <c r="G60" i="22"/>
  <c r="G70" i="22"/>
  <c r="F60" i="22"/>
  <c r="F68" i="22"/>
  <c r="E75" i="21"/>
  <c r="C71" i="22"/>
  <c r="C69" i="22"/>
  <c r="C70" i="22"/>
  <c r="C66" i="22"/>
  <c r="C73" i="22"/>
  <c r="C72" i="22"/>
  <c r="F72" i="22"/>
  <c r="F71" i="21"/>
  <c r="F74" i="21"/>
  <c r="F75" i="21"/>
  <c r="F73" i="21"/>
  <c r="F69" i="21"/>
  <c r="F76" i="21"/>
  <c r="F72" i="21"/>
  <c r="G69" i="21"/>
  <c r="E18" i="35"/>
  <c r="M18" i="35"/>
  <c r="G73" i="21"/>
  <c r="G75" i="21"/>
  <c r="G76" i="21"/>
  <c r="G72" i="21"/>
  <c r="E72" i="21"/>
  <c r="E76" i="21"/>
  <c r="E74" i="21"/>
  <c r="E69" i="21"/>
  <c r="E73" i="21"/>
  <c r="J64" i="21"/>
  <c r="C75" i="21"/>
  <c r="C72" i="21"/>
  <c r="C73" i="21"/>
  <c r="C74" i="21"/>
  <c r="C76" i="21"/>
  <c r="D76" i="21"/>
  <c r="D73" i="21"/>
  <c r="D71" i="21"/>
  <c r="D69" i="21"/>
  <c r="D72" i="21"/>
  <c r="D75" i="21"/>
  <c r="D74" i="21"/>
  <c r="J18" i="35"/>
  <c r="C18" i="35"/>
  <c r="K18" i="35"/>
  <c r="F66" i="22"/>
  <c r="C20" i="35"/>
  <c r="K20" i="35"/>
  <c r="D20" i="35"/>
  <c r="L20" i="35"/>
  <c r="D72" i="22"/>
  <c r="D69" i="22"/>
  <c r="F69" i="22"/>
  <c r="F73" i="22"/>
  <c r="F70" i="22"/>
  <c r="F71" i="22"/>
  <c r="E72" i="22"/>
  <c r="E66" i="22"/>
  <c r="G66" i="22"/>
  <c r="E20" i="35"/>
  <c r="M20" i="35"/>
  <c r="E69" i="22"/>
  <c r="E70" i="22"/>
  <c r="G73" i="22"/>
  <c r="G20" i="35"/>
  <c r="O20" i="35"/>
  <c r="E73" i="22"/>
  <c r="G72" i="22"/>
  <c r="G69" i="22"/>
  <c r="F20" i="29"/>
  <c r="N20" i="29"/>
  <c r="D73" i="22"/>
  <c r="D68" i="22"/>
  <c r="G71" i="22"/>
  <c r="D71" i="22"/>
  <c r="D66" i="22"/>
  <c r="F18" i="35"/>
  <c r="N18" i="35"/>
  <c r="F18" i="29"/>
  <c r="N18" i="29"/>
  <c r="G18" i="35"/>
  <c r="O18" i="35"/>
  <c r="G18" i="29"/>
  <c r="O18" i="29"/>
  <c r="F20" i="35"/>
  <c r="N20" i="35"/>
  <c r="G20" i="29"/>
  <c r="O20" i="29"/>
  <c r="N4" i="22"/>
</calcChain>
</file>

<file path=xl/comments1.xml><?xml version="1.0" encoding="utf-8"?>
<comments xmlns="http://schemas.openxmlformats.org/spreadsheetml/2006/main">
  <authors>
    <author>rebrenner</author>
  </authors>
  <commentList>
    <comment ref="B18" authorId="0">
      <text>
        <r>
          <rPr>
            <b/>
            <sz val="9"/>
            <color indexed="81"/>
            <rFont val="Tahoma"/>
            <family val="2"/>
          </rPr>
          <t>rebrenner:</t>
        </r>
        <r>
          <rPr>
            <sz val="9"/>
            <color indexed="81"/>
            <rFont val="Tahoma"/>
            <family val="2"/>
          </rPr>
          <t xml:space="preserve">
</t>
        </r>
        <r>
          <rPr>
            <sz val="18"/>
            <color indexed="81"/>
            <rFont val="Tahoma"/>
            <family val="2"/>
          </rPr>
          <t>Significant clean up, standardization and automation of this forecast needs to occur. There are too many sheets and several are in an ambiguous state of use/non-use.  For example, there are currently 4 different 'Performance' sheets and too much data that needs to be updated manually each year within each sheet.  For the 2015 forecast I settled on the sheet: 'Lag1_Exp_Smooth_Total Run Odd', after using Solver to minimize MAPE for this and other forecasts. After selecting the forecast point estimate, I used the historical maximum and minimum proportional forecast error to calculate confidence bounds. In the future, CI bounds should probably be generated using bootstrapping or Monte Carlo sampling. For 2016, take a look at using R/S as the correlation seems to be getting better each year for ODD-year forecasts. Update this summary for the 2016 forecast....</t>
        </r>
      </text>
    </comment>
    <comment ref="D48" authorId="0">
      <text>
        <r>
          <rPr>
            <b/>
            <sz val="9"/>
            <color indexed="81"/>
            <rFont val="Tahoma"/>
            <family val="2"/>
          </rPr>
          <t>rebrenner:</t>
        </r>
        <r>
          <rPr>
            <sz val="9"/>
            <color indexed="81"/>
            <rFont val="Tahoma"/>
            <family val="2"/>
          </rPr>
          <t xml:space="preserve">
</t>
        </r>
        <r>
          <rPr>
            <sz val="20"/>
            <color indexed="81"/>
            <rFont val="Tahoma"/>
            <family val="2"/>
          </rPr>
          <t>THIS FORECAST NEEDS TO HAVE A CLEAR STEP-BY-STEP GUIDE.  ANY SHEETS THAT ADDED NEED TO BE CLEARLY EXPLAINED WITHIN THE READ ME.</t>
        </r>
      </text>
    </comment>
  </commentList>
</comments>
</file>

<file path=xl/comments2.xml><?xml version="1.0" encoding="utf-8"?>
<comments xmlns="http://schemas.openxmlformats.org/spreadsheetml/2006/main">
  <authors>
    <author>Steve Moffitt</author>
    <author>rebrenner</author>
    <author>Brenner, Richard E (DFG)</author>
  </authors>
  <commentList>
    <comment ref="G5" authorId="0">
      <text>
        <r>
          <rPr>
            <b/>
            <sz val="8"/>
            <color indexed="81"/>
            <rFont val="Tahoma"/>
            <family val="2"/>
          </rPr>
          <t>Steve Moffitt:</t>
        </r>
        <r>
          <rPr>
            <sz val="8"/>
            <color indexed="81"/>
            <rFont val="Tahoma"/>
            <family val="2"/>
          </rPr>
          <t xml:space="preserve">
From Fried et al. (1998) EVOS F/S 1 report available on EVOS website.</t>
        </r>
      </text>
    </comment>
    <comment ref="H6" authorId="0">
      <text>
        <r>
          <rPr>
            <b/>
            <sz val="8"/>
            <color indexed="81"/>
            <rFont val="Tahoma"/>
            <family val="2"/>
          </rPr>
          <t>Steve Moffitt:</t>
        </r>
        <r>
          <rPr>
            <sz val="8"/>
            <color indexed="81"/>
            <rFont val="Tahoma"/>
            <family val="2"/>
          </rPr>
          <t xml:space="preserve">
From Fried et al. (1998) EVOS F/S 1 report available on EVOS website.</t>
        </r>
      </text>
    </comment>
    <comment ref="C9" authorId="1">
      <text>
        <r>
          <rPr>
            <b/>
            <sz val="9"/>
            <color indexed="81"/>
            <rFont val="Tahoma"/>
            <family val="2"/>
          </rPr>
          <t>rebrenner:</t>
        </r>
        <r>
          <rPr>
            <sz val="9"/>
            <color indexed="81"/>
            <rFont val="Tahoma"/>
            <family val="2"/>
          </rPr>
          <t xml:space="preserve">
Commercial Common Property Fishery</t>
        </r>
      </text>
    </comment>
    <comment ref="D9" authorId="1">
      <text>
        <r>
          <rPr>
            <b/>
            <sz val="9"/>
            <color indexed="81"/>
            <rFont val="Tahoma"/>
            <family val="2"/>
          </rPr>
          <t>rebrenner:</t>
        </r>
        <r>
          <rPr>
            <sz val="9"/>
            <color indexed="81"/>
            <rFont val="Tahoma"/>
            <family val="2"/>
          </rPr>
          <t xml:space="preserve">
Hatchery Cost Recovery</t>
        </r>
      </text>
    </comment>
    <comment ref="E9" authorId="1">
      <text>
        <r>
          <rPr>
            <b/>
            <sz val="9"/>
            <color indexed="81"/>
            <rFont val="Tahoma"/>
            <family val="2"/>
          </rPr>
          <t>rebrenner:</t>
        </r>
        <r>
          <rPr>
            <sz val="9"/>
            <color indexed="81"/>
            <rFont val="Tahoma"/>
            <family val="2"/>
          </rPr>
          <t xml:space="preserve">
Hatchery Broodstock</t>
        </r>
      </text>
    </comment>
    <comment ref="G9" authorId="0">
      <text>
        <r>
          <rPr>
            <b/>
            <sz val="8"/>
            <color indexed="81"/>
            <rFont val="Tahoma"/>
            <family val="2"/>
          </rPr>
          <t>Steve Moffitt:</t>
        </r>
        <r>
          <rPr>
            <sz val="8"/>
            <color indexed="81"/>
            <rFont val="Tahoma"/>
            <family val="2"/>
          </rPr>
          <t xml:space="preserve">
</t>
        </r>
        <r>
          <rPr>
            <sz val="24"/>
            <color indexed="81"/>
            <rFont val="Tahoma"/>
            <family val="2"/>
          </rPr>
          <t xml:space="preserve">Expanded to account for aerial observer efficiency of 0.436 from Fried et al. 1998. This brings the escapement number closer to a value in number of fish rather than an index. </t>
        </r>
      </text>
    </comment>
    <comment ref="H9" authorId="0">
      <text>
        <r>
          <rPr>
            <b/>
            <sz val="8"/>
            <color indexed="81"/>
            <rFont val="Tahoma"/>
            <family val="2"/>
          </rPr>
          <t>Steve Moffitt:</t>
        </r>
        <r>
          <rPr>
            <sz val="8"/>
            <color indexed="81"/>
            <rFont val="Tahoma"/>
            <family val="2"/>
          </rPr>
          <t xml:space="preserve">
</t>
        </r>
        <r>
          <rPr>
            <sz val="22"/>
            <color indexed="81"/>
            <rFont val="Tahoma"/>
            <family val="2"/>
          </rPr>
          <t xml:space="preserve">Expanded to account for aerial observer efficiency of 0.436 from Fried et al. 1998. Also expanded for an estimate of the total PWS escapement represented by the index systems (0.80). This brings the escapement number closer to a value in number of fish rather than an index. </t>
        </r>
      </text>
    </comment>
    <comment ref="K9" authorId="0">
      <text>
        <r>
          <rPr>
            <b/>
            <sz val="8"/>
            <color indexed="81"/>
            <rFont val="Tahoma"/>
            <family val="2"/>
          </rPr>
          <t>Steve Moffitt:</t>
        </r>
        <r>
          <rPr>
            <sz val="8"/>
            <color indexed="81"/>
            <rFont val="Tahoma"/>
            <family val="2"/>
          </rPr>
          <t xml:space="preserve">
</t>
        </r>
        <r>
          <rPr>
            <sz val="22"/>
            <color indexed="81"/>
            <rFont val="Tahoma"/>
            <family val="2"/>
          </rPr>
          <t xml:space="preserve">Expanded to account for aerial observer efficiency of 0.436 from Fried et al. 1998. This brings the escapement number closer to a value in number of fish rather than an index. </t>
        </r>
      </text>
    </comment>
    <comment ref="L9" authorId="0">
      <text>
        <r>
          <rPr>
            <b/>
            <sz val="22"/>
            <color indexed="81"/>
            <rFont val="Tahoma"/>
            <family val="2"/>
          </rPr>
          <t>Steve Moffitt:</t>
        </r>
        <r>
          <rPr>
            <sz val="22"/>
            <color indexed="81"/>
            <rFont val="Tahoma"/>
            <family val="2"/>
          </rPr>
          <t xml:space="preserve">
Expanded to account for aerial observer efficiency of 0.436 from Fried et al. 1998. Also expanded for an estimate of the total PWS escapement represented by the index systems (0.80). This brings the escapement number closer to a value in number of fish rather than an index. </t>
        </r>
      </text>
    </comment>
    <comment ref="C10" authorId="2">
      <text>
        <r>
          <rPr>
            <b/>
            <sz val="9"/>
            <color indexed="81"/>
            <rFont val="Tahoma"/>
            <family val="2"/>
          </rPr>
          <t>Brenner, Richard E (DFG):</t>
        </r>
        <r>
          <rPr>
            <sz val="9"/>
            <color indexed="81"/>
            <rFont val="Tahoma"/>
            <family val="2"/>
          </rPr>
          <t xml:space="preserve">
</t>
        </r>
        <r>
          <rPr>
            <sz val="14"/>
            <color indexed="81"/>
            <rFont val="Tahoma"/>
            <family val="2"/>
          </rPr>
          <t>Values from 1896-1959 are from Byerly et al. 1999: "Alaska Commercial Salmon Catches, 1878-1997".  Regional Information Report1 No. 5J99-05.  These were taken from various other sources: Edfelt, Larry, Statistical History of Alaska Salmon Catches, 1973, ADF&amp;G, (Through 1968)....which in turn were taken from other sources...</t>
        </r>
      </text>
    </comment>
    <comment ref="C73" authorId="2">
      <text>
        <r>
          <rPr>
            <b/>
            <sz val="9"/>
            <color indexed="81"/>
            <rFont val="Tahoma"/>
            <family val="2"/>
          </rPr>
          <t>Brenner, Richard E (DFG):</t>
        </r>
        <r>
          <rPr>
            <sz val="9"/>
            <color indexed="81"/>
            <rFont val="Tahoma"/>
            <family val="2"/>
          </rPr>
          <t xml:space="preserve">
</t>
        </r>
        <r>
          <rPr>
            <sz val="14"/>
            <color indexed="81"/>
            <rFont val="Tahoma"/>
            <family val="2"/>
          </rPr>
          <t>Values from 1896-1959 are from Byerly et al. 1999: "Alaska Commercial Salmon Catches, 1878-1997".  Regional Information Report1 No. 5J99-05.  These were taken from various other sources: Edfelt, Larry, Statistical History of Alaska Salmon Catches, 1973, ADF&amp;G, (Through 1968)....which in turn were taken from other sources...</t>
        </r>
      </text>
    </comment>
    <comment ref="C74" authorId="0">
      <text>
        <r>
          <rPr>
            <b/>
            <sz val="8"/>
            <color indexed="81"/>
            <rFont val="Tahoma"/>
            <family val="2"/>
          </rPr>
          <t>Steve Moffitt:</t>
        </r>
        <r>
          <rPr>
            <sz val="8"/>
            <color indexed="81"/>
            <rFont val="Tahoma"/>
            <family val="2"/>
          </rPr>
          <t xml:space="preserve">
1986 AMR Table 48</t>
        </r>
      </text>
    </comment>
    <comment ref="F74" authorId="0">
      <text>
        <r>
          <rPr>
            <b/>
            <sz val="8"/>
            <color indexed="81"/>
            <rFont val="Tahoma"/>
            <family val="2"/>
          </rPr>
          <t>Steve Moffitt:</t>
        </r>
        <r>
          <rPr>
            <sz val="8"/>
            <color indexed="81"/>
            <rFont val="Tahoma"/>
            <family val="2"/>
          </rPr>
          <t xml:space="preserve">
</t>
        </r>
        <r>
          <rPr>
            <sz val="24"/>
            <color indexed="81"/>
            <rFont val="Tahoma"/>
            <family val="2"/>
          </rPr>
          <t>2009 AMR Appendix D.5</t>
        </r>
      </text>
    </comment>
    <comment ref="C87" authorId="0">
      <text>
        <r>
          <rPr>
            <b/>
            <sz val="8"/>
            <color indexed="81"/>
            <rFont val="Tahoma"/>
            <family val="2"/>
          </rPr>
          <t>Steve Moffitt:</t>
        </r>
        <r>
          <rPr>
            <sz val="8"/>
            <color indexed="81"/>
            <rFont val="Tahoma"/>
            <family val="2"/>
          </rPr>
          <t xml:space="preserve">
AMR Appendix D.2
2007 version</t>
        </r>
      </text>
    </comment>
    <comment ref="C91" authorId="0">
      <text>
        <r>
          <rPr>
            <b/>
            <sz val="8"/>
            <color indexed="81"/>
            <rFont val="Tahoma"/>
            <family val="2"/>
          </rPr>
          <t>Steve Moffitt:</t>
        </r>
        <r>
          <rPr>
            <sz val="8"/>
            <color indexed="81"/>
            <rFont val="Tahoma"/>
            <family val="2"/>
          </rPr>
          <t xml:space="preserve">
1998 AMR Appendix F.13
Estimated total wild production estimates = (catch+escapement)
CCP = total minus escapement index</t>
        </r>
      </text>
    </comment>
    <comment ref="D91" authorId="0">
      <text>
        <r>
          <rPr>
            <b/>
            <sz val="8"/>
            <color indexed="81"/>
            <rFont val="Tahoma"/>
            <family val="2"/>
          </rPr>
          <t>Steve Moffitt:</t>
        </r>
        <r>
          <rPr>
            <sz val="8"/>
            <color indexed="81"/>
            <rFont val="Tahoma"/>
            <family val="2"/>
          </rPr>
          <t xml:space="preserve">
Assumed zero -- Did sampling occurr? See EVOS CWT reports?</t>
        </r>
      </text>
    </comment>
    <comment ref="E91" authorId="0">
      <text>
        <r>
          <rPr>
            <b/>
            <sz val="8"/>
            <color indexed="81"/>
            <rFont val="Tahoma"/>
            <family val="2"/>
          </rPr>
          <t>Steve Moffitt:</t>
        </r>
        <r>
          <rPr>
            <sz val="8"/>
            <color indexed="81"/>
            <rFont val="Tahoma"/>
            <family val="2"/>
          </rPr>
          <t xml:space="preserve">
Assumed zero -- Did sampling occurr? See EVOS CWT reports?</t>
        </r>
      </text>
    </comment>
    <comment ref="M91" authorId="0">
      <text>
        <r>
          <rPr>
            <b/>
            <sz val="8"/>
            <color indexed="81"/>
            <rFont val="Tahoma"/>
            <family val="2"/>
          </rPr>
          <t>Steve Moffitt:</t>
        </r>
        <r>
          <rPr>
            <sz val="8"/>
            <color indexed="81"/>
            <rFont val="Tahoma"/>
            <family val="2"/>
          </rPr>
          <t xml:space="preserve">
1998 AMR Appendix F.13
Estimated total wild production estimates (catch+escapement)</t>
        </r>
      </text>
    </comment>
    <comment ref="C103" authorId="0">
      <text>
        <r>
          <rPr>
            <b/>
            <sz val="8"/>
            <color indexed="81"/>
            <rFont val="Tahoma"/>
            <family val="2"/>
          </rPr>
          <t>Steve Moffitt:</t>
        </r>
        <r>
          <rPr>
            <sz val="8"/>
            <color indexed="81"/>
            <rFont val="Tahoma"/>
            <family val="2"/>
          </rPr>
          <t xml:space="preserve">
Total revised contibution minus the escapement index - See 2001 AMR Appendix F.9 and values in column J.</t>
        </r>
      </text>
    </comment>
    <comment ref="M103" authorId="0">
      <text>
        <r>
          <rPr>
            <b/>
            <sz val="8"/>
            <color indexed="81"/>
            <rFont val="Tahoma"/>
            <family val="2"/>
          </rPr>
          <t>Steve Moffitt:</t>
        </r>
        <r>
          <rPr>
            <sz val="8"/>
            <color indexed="81"/>
            <rFont val="Tahoma"/>
            <family val="2"/>
          </rPr>
          <t xml:space="preserve">
2001 AMR Appendix F.9 (page 133) - total wld stock return = catch + aerial survey index
Revised CWT estimates based on individual hatchery adjustment factors. 
Is there a report documenting this change??</t>
        </r>
      </text>
    </comment>
    <comment ref="C111" authorId="0">
      <text>
        <r>
          <rPr>
            <b/>
            <sz val="8"/>
            <color indexed="81"/>
            <rFont val="Tahoma"/>
            <family val="2"/>
          </rPr>
          <t>Steve Moffitt:</t>
        </r>
        <r>
          <rPr>
            <sz val="8"/>
            <color indexed="81"/>
            <rFont val="Tahoma"/>
            <family val="2"/>
          </rPr>
          <t xml:space="preserve">
Contribution estimates from thermal marked otolith recoveries beginning in 1997 (100% mark)</t>
        </r>
      </text>
    </comment>
    <comment ref="D111" authorId="0">
      <text>
        <r>
          <rPr>
            <b/>
            <sz val="8"/>
            <color indexed="81"/>
            <rFont val="Tahoma"/>
            <family val="2"/>
          </rPr>
          <t>Steve Moffitt:</t>
        </r>
        <r>
          <rPr>
            <sz val="8"/>
            <color indexed="81"/>
            <rFont val="Tahoma"/>
            <family val="2"/>
          </rPr>
          <t xml:space="preserve">
Contribution estimates from thermal marked otolith recoveries beginning in 1997 (100% mark)</t>
        </r>
      </text>
    </comment>
    <comment ref="E111" authorId="0">
      <text>
        <r>
          <rPr>
            <b/>
            <sz val="8"/>
            <color indexed="81"/>
            <rFont val="Tahoma"/>
            <family val="2"/>
          </rPr>
          <t>Steve Moffitt:</t>
        </r>
        <r>
          <rPr>
            <sz val="8"/>
            <color indexed="81"/>
            <rFont val="Tahoma"/>
            <family val="2"/>
          </rPr>
          <t xml:space="preserve">
Contribution estimates from thermal marked otolith recoveries beginning in 1997 (100% mark)</t>
        </r>
      </text>
    </comment>
    <comment ref="P113" authorId="1">
      <text>
        <r>
          <rPr>
            <b/>
            <sz val="9"/>
            <color indexed="81"/>
            <rFont val="Tahoma"/>
            <family val="2"/>
          </rPr>
          <t>rebrenner:</t>
        </r>
        <r>
          <rPr>
            <sz val="9"/>
            <color indexed="81"/>
            <rFont val="Tahoma"/>
            <family val="2"/>
          </rPr>
          <t xml:space="preserve">
</t>
        </r>
        <r>
          <rPr>
            <b/>
            <sz val="22"/>
            <color indexed="81"/>
            <rFont val="Tahoma"/>
            <family val="2"/>
          </rPr>
          <t>WHAT TYPE OF FORECAST?  What methods? FROM WHERE?  NEEDS AN EXPLANATION OR FORMULAS TO INDICATE ORIGIN.</t>
        </r>
      </text>
    </comment>
    <comment ref="D114" authorId="0">
      <text>
        <r>
          <rPr>
            <b/>
            <sz val="8"/>
            <color indexed="81"/>
            <rFont val="Tahoma"/>
            <family val="2"/>
          </rPr>
          <t>Steve Moffitt:</t>
        </r>
        <r>
          <rPr>
            <sz val="8"/>
            <color indexed="81"/>
            <rFont val="Tahoma"/>
            <family val="2"/>
          </rPr>
          <t xml:space="preserve">
Much lower intensity of sampling after 1999 because of generally small contributions of wild fish to hatchery cost recovery harvests. </t>
        </r>
      </text>
    </comment>
    <comment ref="E114" authorId="0">
      <text>
        <r>
          <rPr>
            <b/>
            <sz val="8"/>
            <color indexed="81"/>
            <rFont val="Tahoma"/>
            <family val="2"/>
          </rPr>
          <t>Steve Moffitt:</t>
        </r>
        <r>
          <rPr>
            <sz val="8"/>
            <color indexed="81"/>
            <rFont val="Tahoma"/>
            <family val="2"/>
          </rPr>
          <t xml:space="preserve">
No sampling by ADF&amp;G after 1999 because of very low wild fish contributions (&lt;1.0%)</t>
        </r>
      </text>
    </comment>
    <comment ref="E122" authorId="0">
      <text>
        <r>
          <rPr>
            <b/>
            <sz val="8"/>
            <color indexed="81"/>
            <rFont val="Tahoma"/>
            <family val="2"/>
          </rPr>
          <t>Steve Moffitt:</t>
        </r>
        <r>
          <rPr>
            <sz val="8"/>
            <color indexed="81"/>
            <rFont val="Tahoma"/>
            <family val="2"/>
          </rPr>
          <t xml:space="preserve">
PWSAC sampled broodstocks in 2008 and also documented very low contributions of wild fish (&lt;1.0%). They may have sampled in 2009 also. </t>
        </r>
      </text>
    </comment>
    <comment ref="C124" authorId="1">
      <text>
        <r>
          <rPr>
            <b/>
            <sz val="9"/>
            <color indexed="81"/>
            <rFont val="Tahoma"/>
            <family val="2"/>
          </rPr>
          <t>rebrenner:</t>
        </r>
        <r>
          <rPr>
            <sz val="9"/>
            <color indexed="81"/>
            <rFont val="Tahoma"/>
            <family val="2"/>
          </rPr>
          <t xml:space="preserve">
</t>
        </r>
        <r>
          <rPr>
            <sz val="14"/>
            <color indexed="81"/>
            <rFont val="Tahoma"/>
            <family val="2"/>
          </rPr>
          <t>From preliminary 2010_contributionEstimateTable_Draft_11-18-2010, sheet:  T6_PINK_Otolith_Summary</t>
        </r>
      </text>
    </comment>
    <comment ref="D124" authorId="1">
      <text>
        <r>
          <rPr>
            <b/>
            <sz val="9"/>
            <color indexed="81"/>
            <rFont val="Tahoma"/>
            <family val="2"/>
          </rPr>
          <t>rebrenner:</t>
        </r>
        <r>
          <rPr>
            <sz val="9"/>
            <color indexed="81"/>
            <rFont val="Tahoma"/>
            <family val="2"/>
          </rPr>
          <t xml:space="preserve">
</t>
        </r>
        <r>
          <rPr>
            <sz val="14"/>
            <color indexed="81"/>
            <rFont val="Tahoma"/>
            <family val="2"/>
          </rPr>
          <t>From preliminary 2010 Contribution Estimate Table, Draft 11-18-2010</t>
        </r>
      </text>
    </comment>
    <comment ref="F124" authorId="1">
      <text>
        <r>
          <rPr>
            <b/>
            <sz val="9"/>
            <color indexed="81"/>
            <rFont val="Tahoma"/>
            <family val="2"/>
          </rPr>
          <t>rebrenner:</t>
        </r>
        <r>
          <rPr>
            <sz val="9"/>
            <color indexed="81"/>
            <rFont val="Tahoma"/>
            <family val="2"/>
          </rPr>
          <t xml:space="preserve">
</t>
        </r>
        <r>
          <rPr>
            <sz val="18"/>
            <color indexed="81"/>
            <rFont val="Tahoma"/>
            <family val="2"/>
          </rPr>
          <t>From: DCF\Salmon\ESCAPEMENT\AERIAL\AdjStrmTotals\2010\[2010_PWS_AUC_11-19-2010.xls]Adjusted AUC_Districts
Includes Unakwik escapement</t>
        </r>
      </text>
    </comment>
    <comment ref="C125" authorId="1">
      <text>
        <r>
          <rPr>
            <b/>
            <sz val="9"/>
            <color indexed="81"/>
            <rFont val="Tahoma"/>
            <family val="2"/>
          </rPr>
          <t>rebrenner:</t>
        </r>
        <r>
          <rPr>
            <sz val="9"/>
            <color indexed="81"/>
            <rFont val="Tahoma"/>
            <family val="2"/>
          </rPr>
          <t xml:space="preserve">
</t>
        </r>
        <r>
          <rPr>
            <sz val="14"/>
            <color indexed="81"/>
            <rFont val="Tahoma"/>
            <family val="2"/>
          </rPr>
          <t>From 2011 Contribution Report
O:\DCF\SALMON\OTOLITH\111_Reports\Annual_CWT-TMID_Otolith\2011\DRAFTS</t>
        </r>
      </text>
    </comment>
    <comment ref="D125" authorId="1">
      <text>
        <r>
          <rPr>
            <b/>
            <sz val="9"/>
            <color indexed="81"/>
            <rFont val="Tahoma"/>
            <family val="2"/>
          </rPr>
          <t>rebrenner:</t>
        </r>
        <r>
          <rPr>
            <sz val="9"/>
            <color indexed="81"/>
            <rFont val="Tahoma"/>
            <family val="2"/>
          </rPr>
          <t xml:space="preserve">
</t>
        </r>
        <r>
          <rPr>
            <sz val="14"/>
            <color indexed="81"/>
            <rFont val="Tahoma"/>
            <family val="2"/>
          </rPr>
          <t xml:space="preserve">From 2011 Contribution report.
O:\DCF\Salmon\OTOLITH\111_Reports\Annual_CWT-TMID_Otolith\2011\DRAFTS
</t>
        </r>
      </text>
    </comment>
    <comment ref="E125" authorId="1">
      <text>
        <r>
          <rPr>
            <b/>
            <sz val="9"/>
            <color indexed="81"/>
            <rFont val="Tahoma"/>
            <family val="2"/>
          </rPr>
          <t>rebrenner:</t>
        </r>
        <r>
          <rPr>
            <sz val="9"/>
            <color indexed="81"/>
            <rFont val="Tahoma"/>
            <family val="2"/>
          </rPr>
          <t xml:space="preserve">
From 2011 Contribution Table.  All brood assumed to be of hatchery origin.</t>
        </r>
      </text>
    </comment>
    <comment ref="F125" authorId="1">
      <text>
        <r>
          <rPr>
            <b/>
            <sz val="9"/>
            <color indexed="81"/>
            <rFont val="Tahoma"/>
            <family val="2"/>
          </rPr>
          <t>rebrenner:</t>
        </r>
        <r>
          <rPr>
            <sz val="9"/>
            <color indexed="81"/>
            <rFont val="Tahoma"/>
            <family val="2"/>
          </rPr>
          <t xml:space="preserve">
From:
</t>
        </r>
        <r>
          <rPr>
            <sz val="14"/>
            <color indexed="81"/>
            <rFont val="Tahoma"/>
            <family val="2"/>
          </rPr>
          <t>O:\DCF\SALMON\ESCAPEMENT\112_AERIAL\112_PWS\AdjStrmTotals\2011</t>
        </r>
      </text>
    </comment>
    <comment ref="O126" authorId="1">
      <text>
        <r>
          <rPr>
            <b/>
            <sz val="9"/>
            <color indexed="81"/>
            <rFont val="Tahoma"/>
            <family val="2"/>
          </rPr>
          <t>rebrenner:</t>
        </r>
        <r>
          <rPr>
            <sz val="9"/>
            <color indexed="81"/>
            <rFont val="Tahoma"/>
            <family val="2"/>
          </rPr>
          <t xml:space="preserve">
</t>
        </r>
        <r>
          <rPr>
            <sz val="12"/>
            <color indexed="81"/>
            <rFont val="Tahoma"/>
            <family val="2"/>
          </rPr>
          <t>Method used was 2010 total run size. SO, previous brood year total run.</t>
        </r>
      </text>
    </comment>
    <comment ref="C127" authorId="1">
      <text>
        <r>
          <rPr>
            <b/>
            <sz val="9"/>
            <color indexed="81"/>
            <rFont val="Tahoma"/>
            <family val="2"/>
          </rPr>
          <t>rebrenner:</t>
        </r>
        <r>
          <rPr>
            <sz val="9"/>
            <color indexed="81"/>
            <rFont val="Tahoma"/>
            <family val="2"/>
          </rPr>
          <t xml:space="preserve">
</t>
        </r>
        <r>
          <rPr>
            <sz val="12"/>
            <color indexed="81"/>
            <rFont val="Tahoma"/>
            <family val="2"/>
          </rPr>
          <t>O:\DCF\Salmon\OTOLITH\CWT-TMID\Reports\Annual_CWT-TMID_Otolith\2010\DRAFTS\[2010_ContributionEstimateTables_MODEL.xls]T6_PINK_Otolith_Summary</t>
        </r>
      </text>
    </comment>
    <comment ref="D127" authorId="1">
      <text>
        <r>
          <rPr>
            <b/>
            <sz val="9"/>
            <color indexed="81"/>
            <rFont val="Tahoma"/>
            <family val="2"/>
          </rPr>
          <t>rebrenner:</t>
        </r>
        <r>
          <rPr>
            <sz val="9"/>
            <color indexed="81"/>
            <rFont val="Tahoma"/>
            <family val="2"/>
          </rPr>
          <t xml:space="preserve">
From:</t>
        </r>
        <r>
          <rPr>
            <sz val="12"/>
            <color indexed="81"/>
            <rFont val="Tahoma"/>
            <family val="2"/>
          </rPr>
          <t xml:space="preserve"> O:\DCF\Salmon\OTOLITH\CWT-TMID\Reports\Annual_CWT-TMID_Otolith\2010\DRAFTS\[2010_ContributionEstimateTables_MODEL.xls]T6_PINK_Otolith_Summary</t>
        </r>
      </text>
    </comment>
    <comment ref="F127" authorId="1">
      <text>
        <r>
          <rPr>
            <b/>
            <sz val="9"/>
            <color indexed="81"/>
            <rFont val="Tahoma"/>
            <family val="2"/>
          </rPr>
          <t xml:space="preserve">rebrenner:
</t>
        </r>
        <r>
          <rPr>
            <b/>
            <sz val="12"/>
            <color indexed="81"/>
            <rFont val="Tahoma"/>
            <family val="2"/>
          </rPr>
          <t>O:\DCF\SALMON\ESCAPEMENT\112_AERIAL\112_PWS\AdjStrmTotals\2013\[2013_Pink_Chum_AUC_District_12-3-2013.xlsx]</t>
        </r>
      </text>
    </comment>
    <comment ref="O127" authorId="1">
      <text>
        <r>
          <rPr>
            <b/>
            <sz val="9"/>
            <color indexed="81"/>
            <rFont val="Tahoma"/>
            <family val="2"/>
          </rPr>
          <t>rebrenner:</t>
        </r>
        <r>
          <rPr>
            <sz val="9"/>
            <color indexed="81"/>
            <rFont val="Tahoma"/>
            <family val="2"/>
          </rPr>
          <t xml:space="preserve">
Forecasted using average of two previous brood years.</t>
        </r>
      </text>
    </comment>
    <comment ref="C128" authorId="1">
      <text>
        <r>
          <rPr>
            <b/>
            <sz val="9"/>
            <color indexed="81"/>
            <rFont val="Tahoma"/>
            <family val="2"/>
          </rPr>
          <t xml:space="preserve">rebrenner:
</t>
        </r>
        <r>
          <rPr>
            <b/>
            <sz val="28"/>
            <color indexed="81"/>
            <rFont val="Tahoma"/>
            <family val="2"/>
          </rPr>
          <t>From Table T6 of the 2014AutofillcontributionTables report. 12/11/2014</t>
        </r>
      </text>
    </comment>
    <comment ref="D128" authorId="1">
      <text>
        <r>
          <rPr>
            <b/>
            <sz val="9"/>
            <color indexed="81"/>
            <rFont val="Tahoma"/>
            <family val="2"/>
          </rPr>
          <t>rebrenner:</t>
        </r>
        <r>
          <rPr>
            <sz val="9"/>
            <color indexed="81"/>
            <rFont val="Tahoma"/>
            <family val="2"/>
          </rPr>
          <t xml:space="preserve">
</t>
        </r>
        <r>
          <rPr>
            <sz val="26"/>
            <color indexed="81"/>
            <rFont val="Tahoma"/>
            <family val="2"/>
          </rPr>
          <t>From: O:\DCF\Salmon\OTOLITH\CWT-TMID\Reports\Annual_CWT-From Table T6 of the 2014AutofillcontributionTables report. 12/11/2014</t>
        </r>
      </text>
    </comment>
    <comment ref="F128" authorId="1">
      <text>
        <r>
          <rPr>
            <b/>
            <sz val="9"/>
            <color indexed="81"/>
            <rFont val="Tahoma"/>
            <family val="2"/>
          </rPr>
          <t>rebrenner:</t>
        </r>
        <r>
          <rPr>
            <sz val="9"/>
            <color indexed="81"/>
            <rFont val="Tahoma"/>
            <family val="2"/>
          </rPr>
          <t xml:space="preserve">
From here:
O:\DCF\SALMON\ESCAPEMENT\112_AERIAL\112_PWS\AdjStrmTotals\2014</t>
        </r>
      </text>
    </comment>
    <comment ref="C176" authorId="1">
      <text>
        <r>
          <rPr>
            <b/>
            <sz val="9"/>
            <color indexed="81"/>
            <rFont val="Tahoma"/>
            <family val="2"/>
          </rPr>
          <t>rebrenner:</t>
        </r>
        <r>
          <rPr>
            <sz val="9"/>
            <color indexed="81"/>
            <rFont val="Tahoma"/>
            <family val="2"/>
          </rPr>
          <t xml:space="preserve">
</t>
        </r>
        <r>
          <rPr>
            <sz val="18"/>
            <color indexed="81"/>
            <rFont val="Tahoma"/>
            <family val="2"/>
          </rPr>
          <t>From: DCF\Salmon\ESCAPEMENT\AERIAL\AdjStrmTotals\2010\[2010_PWS_AUC_11-19-2010.xls]Adjusted AUC_Districts
Includes Unakwik escapement</t>
        </r>
      </text>
    </comment>
  </commentList>
</comments>
</file>

<file path=xl/comments3.xml><?xml version="1.0" encoding="utf-8"?>
<comments xmlns="http://schemas.openxmlformats.org/spreadsheetml/2006/main">
  <authors>
    <author>Moffitt, Steve D (DFG)</author>
    <author>rebrenner</author>
  </authors>
  <commentList>
    <comment ref="C8" authorId="0">
      <text>
        <r>
          <rPr>
            <b/>
            <sz val="8"/>
            <color indexed="81"/>
            <rFont val="Tahoma"/>
            <family val="2"/>
          </rPr>
          <t>Moffitt, Steve D (DFG):</t>
        </r>
        <r>
          <rPr>
            <sz val="8"/>
            <color indexed="81"/>
            <rFont val="Tahoma"/>
            <family val="2"/>
          </rPr>
          <t xml:space="preserve">
</t>
        </r>
        <r>
          <rPr>
            <sz val="22"/>
            <color indexed="81"/>
            <rFont val="Tahoma"/>
            <family val="2"/>
          </rPr>
          <t xml:space="preserve">Prediction bounds calculated using preformance of previous forecasts from last 5 years. </t>
        </r>
      </text>
    </comment>
    <comment ref="K8" authorId="0">
      <text>
        <r>
          <rPr>
            <b/>
            <sz val="8"/>
            <color indexed="81"/>
            <rFont val="Tahoma"/>
            <family val="2"/>
          </rPr>
          <t>Moffitt, Steve D (DFG):</t>
        </r>
        <r>
          <rPr>
            <sz val="8"/>
            <color indexed="81"/>
            <rFont val="Tahoma"/>
            <family val="2"/>
          </rPr>
          <t xml:space="preserve">
Prediction bounds calculated using preformance of previous forecasts from last 5 years. </t>
        </r>
      </text>
    </comment>
    <comment ref="C10" authorId="1">
      <text>
        <r>
          <rPr>
            <b/>
            <sz val="9"/>
            <color indexed="81"/>
            <rFont val="Tahoma"/>
            <family val="2"/>
          </rPr>
          <t>rebrenner:</t>
        </r>
        <r>
          <rPr>
            <sz val="9"/>
            <color indexed="81"/>
            <rFont val="Tahoma"/>
            <family val="2"/>
          </rPr>
          <t xml:space="preserve">
</t>
        </r>
        <r>
          <rPr>
            <sz val="18"/>
            <color indexed="81"/>
            <rFont val="Tahoma"/>
            <family val="2"/>
          </rPr>
          <t>But, it seems that these confidence bounds should be based on the efficacy of individual methods, and they are not. Rather, the formula links to the Performace tab which links to forecasts that use several different methods.</t>
        </r>
      </text>
    </comment>
  </commentList>
</comments>
</file>

<file path=xl/comments4.xml><?xml version="1.0" encoding="utf-8"?>
<comments xmlns="http://schemas.openxmlformats.org/spreadsheetml/2006/main">
  <authors>
    <author>Moffitt, Steve D (DFG)</author>
    <author>rebrenner</author>
  </authors>
  <commentList>
    <comment ref="C8" authorId="0">
      <text>
        <r>
          <rPr>
            <b/>
            <sz val="8"/>
            <color indexed="81"/>
            <rFont val="Tahoma"/>
            <family val="2"/>
          </rPr>
          <t>Moffitt, Steve D (DFG):</t>
        </r>
        <r>
          <rPr>
            <sz val="8"/>
            <color indexed="81"/>
            <rFont val="Tahoma"/>
            <family val="2"/>
          </rPr>
          <t xml:space="preserve">
</t>
        </r>
        <r>
          <rPr>
            <sz val="22"/>
            <color indexed="81"/>
            <rFont val="Tahoma"/>
            <family val="2"/>
          </rPr>
          <t xml:space="preserve">Prediction bounds calculated using preformance of previous forecasts from last 5 years. </t>
        </r>
      </text>
    </comment>
    <comment ref="K8" authorId="0">
      <text>
        <r>
          <rPr>
            <b/>
            <sz val="8"/>
            <color indexed="81"/>
            <rFont val="Tahoma"/>
            <family val="2"/>
          </rPr>
          <t>Moffitt, Steve D (DFG):</t>
        </r>
        <r>
          <rPr>
            <sz val="8"/>
            <color indexed="81"/>
            <rFont val="Tahoma"/>
            <family val="2"/>
          </rPr>
          <t xml:space="preserve">
Prediction bounds calculated using preformance of previous forecasts from last 5 years. </t>
        </r>
      </text>
    </comment>
    <comment ref="F21" authorId="1">
      <text>
        <r>
          <rPr>
            <b/>
            <sz val="9"/>
            <color indexed="81"/>
            <rFont val="Tahoma"/>
            <family val="2"/>
          </rPr>
          <t>rebrenner:</t>
        </r>
        <r>
          <rPr>
            <sz val="9"/>
            <color indexed="81"/>
            <rFont val="Tahoma"/>
            <family val="2"/>
          </rPr>
          <t xml:space="preserve">
</t>
        </r>
        <r>
          <rPr>
            <sz val="26"/>
            <color indexed="81"/>
            <rFont val="Tahoma"/>
            <family val="2"/>
          </rPr>
          <t>USED for 2015
 forecast because of lowest MAPE compared to other methods.</t>
        </r>
      </text>
    </comment>
  </commentList>
</comments>
</file>

<file path=xl/comments5.xml><?xml version="1.0" encoding="utf-8"?>
<comments xmlns="http://schemas.openxmlformats.org/spreadsheetml/2006/main">
  <authors>
    <author>Steve Moffitt</author>
    <author>Moffitt, Steve D (DFG)</author>
  </authors>
  <commentList>
    <comment ref="D7" authorId="0">
      <text>
        <r>
          <rPr>
            <b/>
            <sz val="8"/>
            <color indexed="81"/>
            <rFont val="Tahoma"/>
            <family val="2"/>
          </rPr>
          <t>Steve Moffitt:</t>
        </r>
        <r>
          <rPr>
            <sz val="8"/>
            <color indexed="81"/>
            <rFont val="Tahoma"/>
            <family val="2"/>
          </rPr>
          <t xml:space="preserve">
</t>
        </r>
        <r>
          <rPr>
            <sz val="12"/>
            <color indexed="81"/>
            <rFont val="Tahoma"/>
            <family val="2"/>
          </rPr>
          <t>Confidence Interval = t_n-1,.02 * MSE +/- Forecast</t>
        </r>
      </text>
    </comment>
    <comment ref="G7" authorId="0">
      <text>
        <r>
          <rPr>
            <b/>
            <sz val="8"/>
            <color indexed="81"/>
            <rFont val="Tahoma"/>
            <family val="2"/>
          </rPr>
          <t>Steve Moffitt:</t>
        </r>
        <r>
          <rPr>
            <sz val="8"/>
            <color indexed="81"/>
            <rFont val="Tahoma"/>
            <family val="2"/>
          </rPr>
          <t xml:space="preserve">
</t>
        </r>
        <r>
          <rPr>
            <sz val="12"/>
            <color indexed="81"/>
            <rFont val="Tahoma"/>
            <family val="2"/>
          </rPr>
          <t>Confidence Interval = t_n-1,.02 * MSE +/- Forecast</t>
        </r>
      </text>
    </comment>
    <comment ref="C13" authorId="1">
      <text>
        <r>
          <rPr>
            <b/>
            <sz val="8"/>
            <color indexed="81"/>
            <rFont val="Tahoma"/>
            <family val="2"/>
          </rPr>
          <t>Moffitt, Steve D (DFG):</t>
        </r>
        <r>
          <rPr>
            <sz val="8"/>
            <color indexed="81"/>
            <rFont val="Tahoma"/>
            <family val="2"/>
          </rPr>
          <t xml:space="preserve">
</t>
        </r>
        <r>
          <rPr>
            <sz val="22"/>
            <color indexed="81"/>
            <rFont val="Tahoma"/>
            <family val="2"/>
          </rPr>
          <t xml:space="preserve">Hindcasts using an average of the 2 previous brood years </t>
        </r>
      </text>
    </comment>
    <comment ref="E13" authorId="0">
      <text>
        <r>
          <rPr>
            <b/>
            <sz val="8"/>
            <color indexed="81"/>
            <rFont val="Tahoma"/>
            <family val="2"/>
          </rPr>
          <t>Steve Moffitt:</t>
        </r>
        <r>
          <rPr>
            <sz val="8"/>
            <color indexed="81"/>
            <rFont val="Tahoma"/>
            <family val="2"/>
          </rPr>
          <t xml:space="preserve">
</t>
        </r>
        <r>
          <rPr>
            <sz val="16"/>
            <color indexed="81"/>
            <rFont val="Tahoma"/>
            <family val="2"/>
          </rPr>
          <t xml:space="preserve">Forecast - actual </t>
        </r>
        <r>
          <rPr>
            <sz val="8"/>
            <color indexed="81"/>
            <rFont val="Tahoma"/>
            <family val="2"/>
          </rPr>
          <t xml:space="preserve">
</t>
        </r>
        <r>
          <rPr>
            <sz val="16"/>
            <color indexed="81"/>
            <rFont val="Tahoma"/>
            <family val="2"/>
          </rPr>
          <t>Forecast too high = + values
Forecast too low = - values</t>
        </r>
      </text>
    </comment>
    <comment ref="I13" authorId="0">
      <text>
        <r>
          <rPr>
            <b/>
            <sz val="14"/>
            <color indexed="81"/>
            <rFont val="Tahoma"/>
            <family val="2"/>
          </rPr>
          <t>Steve Moffitt:</t>
        </r>
        <r>
          <rPr>
            <sz val="8"/>
            <color indexed="81"/>
            <rFont val="Tahoma"/>
            <family val="2"/>
          </rPr>
          <t xml:space="preserve">
</t>
        </r>
        <r>
          <rPr>
            <sz val="14"/>
            <color indexed="81"/>
            <rFont val="Tahoma"/>
            <family val="2"/>
          </rPr>
          <t xml:space="preserve">From contribution estimate tables. </t>
        </r>
      </text>
    </comment>
    <comment ref="F55" authorId="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G55" authorId="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 ref="J55" authorId="0">
      <text>
        <r>
          <rPr>
            <b/>
            <sz val="12"/>
            <color indexed="81"/>
            <rFont val="Tahoma"/>
            <family val="2"/>
          </rPr>
          <t>Steve Moffitt:</t>
        </r>
        <r>
          <rPr>
            <sz val="8"/>
            <color indexed="81"/>
            <rFont val="Tahoma"/>
            <family val="2"/>
          </rPr>
          <t xml:space="preserve">
</t>
        </r>
        <r>
          <rPr>
            <sz val="12"/>
            <color indexed="81"/>
            <rFont val="Tahoma"/>
            <family val="2"/>
          </rPr>
          <t>Use this to calcaulate the commerical harvest 80% CI. 
Total commercial harvest estimate plus/minus t(n-1,0.2)*mean harvest forecast error
See Fried and Yuen 1989 for details.</t>
        </r>
      </text>
    </comment>
    <comment ref="K55" authorId="0">
      <text>
        <r>
          <rPr>
            <b/>
            <sz val="12"/>
            <color indexed="81"/>
            <rFont val="Tahoma"/>
            <family val="2"/>
          </rPr>
          <t>Steve Moffitt:</t>
        </r>
        <r>
          <rPr>
            <sz val="12"/>
            <color indexed="81"/>
            <rFont val="Tahoma"/>
            <family val="2"/>
          </rPr>
          <t xml:space="preserve">
80% CI as a percentage of the commercial harvest forecast.  Make sure this formula gets updated to the year you are tying to </t>
        </r>
        <r>
          <rPr>
            <sz val="12"/>
            <color indexed="10"/>
            <rFont val="Tahoma"/>
            <family val="2"/>
          </rPr>
          <t>forecast commerical harvest</t>
        </r>
        <r>
          <rPr>
            <sz val="12"/>
            <color indexed="81"/>
            <rFont val="Tahoma"/>
            <family val="2"/>
          </rPr>
          <t>.</t>
        </r>
      </text>
    </comment>
    <comment ref="B59" authorId="1">
      <text>
        <r>
          <rPr>
            <b/>
            <sz val="8"/>
            <color indexed="81"/>
            <rFont val="Tahoma"/>
            <family val="2"/>
          </rPr>
          <t>Moffitt, Steve D (DFG):</t>
        </r>
        <r>
          <rPr>
            <sz val="8"/>
            <color indexed="81"/>
            <rFont val="Tahoma"/>
            <family val="2"/>
          </rPr>
          <t xml:space="preserve">
</t>
        </r>
        <r>
          <rPr>
            <sz val="16"/>
            <color indexed="81"/>
            <rFont val="Tahoma"/>
            <family val="2"/>
          </rPr>
          <t xml:space="preserve">These formulas will update the average for the last 5, 10, 20, 25 or whatever number of years you enter in the column under Average.  It should also update automatically if you add another year by inserting a row under the last or inserting a range of cells under the last year above. </t>
        </r>
      </text>
    </comment>
  </commentList>
</comments>
</file>

<file path=xl/comments6.xml><?xml version="1.0" encoding="utf-8"?>
<comments xmlns="http://schemas.openxmlformats.org/spreadsheetml/2006/main">
  <authors>
    <author>Steve Moffitt</author>
    <author>Moffitt, Steve D (DFG)</author>
  </authors>
  <commentList>
    <comment ref="D7" authorId="0">
      <text>
        <r>
          <rPr>
            <b/>
            <sz val="8"/>
            <color indexed="81"/>
            <rFont val="Tahoma"/>
            <family val="2"/>
          </rPr>
          <t>Steve Moffitt:</t>
        </r>
        <r>
          <rPr>
            <sz val="8"/>
            <color indexed="81"/>
            <rFont val="Tahoma"/>
            <family val="2"/>
          </rPr>
          <t xml:space="preserve">
</t>
        </r>
        <r>
          <rPr>
            <sz val="12"/>
            <color indexed="81"/>
            <rFont val="Tahoma"/>
            <family val="2"/>
          </rPr>
          <t>Confidence Interval = t_n-1,.02 * MSE +/- Forecast</t>
        </r>
      </text>
    </comment>
    <comment ref="G7" authorId="0">
      <text>
        <r>
          <rPr>
            <b/>
            <sz val="8"/>
            <color indexed="81"/>
            <rFont val="Tahoma"/>
            <family val="2"/>
          </rPr>
          <t>Steve Moffitt:</t>
        </r>
        <r>
          <rPr>
            <sz val="8"/>
            <color indexed="81"/>
            <rFont val="Tahoma"/>
            <family val="2"/>
          </rPr>
          <t xml:space="preserve">
</t>
        </r>
        <r>
          <rPr>
            <sz val="12"/>
            <color indexed="81"/>
            <rFont val="Tahoma"/>
            <family val="2"/>
          </rPr>
          <t>Confidence Interval = t_n-1,.02 * MSE +/- Forecast</t>
        </r>
      </text>
    </comment>
    <comment ref="C12" authorId="1">
      <text>
        <r>
          <rPr>
            <b/>
            <sz val="8"/>
            <color indexed="81"/>
            <rFont val="Tahoma"/>
            <family val="2"/>
          </rPr>
          <t>Moffitt, Steve D (DFG):</t>
        </r>
        <r>
          <rPr>
            <sz val="8"/>
            <color indexed="81"/>
            <rFont val="Tahoma"/>
            <family val="2"/>
          </rPr>
          <t xml:space="preserve">
</t>
        </r>
        <r>
          <rPr>
            <b/>
            <sz val="14"/>
            <color indexed="81"/>
            <rFont val="Tahoma"/>
            <family val="2"/>
          </rPr>
          <t xml:space="preserve">Forecasts created using various methods from fry indices to simple recent return averages. </t>
        </r>
      </text>
    </comment>
    <comment ref="E12" authorId="0">
      <text>
        <r>
          <rPr>
            <b/>
            <sz val="8"/>
            <color indexed="81"/>
            <rFont val="Tahoma"/>
            <family val="2"/>
          </rPr>
          <t>Steve Moffitt:</t>
        </r>
        <r>
          <rPr>
            <sz val="8"/>
            <color indexed="81"/>
            <rFont val="Tahoma"/>
            <family val="2"/>
          </rPr>
          <t xml:space="preserve">
</t>
        </r>
        <r>
          <rPr>
            <sz val="16"/>
            <color indexed="81"/>
            <rFont val="Tahoma"/>
            <family val="2"/>
          </rPr>
          <t xml:space="preserve">Forecast - actual </t>
        </r>
        <r>
          <rPr>
            <sz val="8"/>
            <color indexed="81"/>
            <rFont val="Tahoma"/>
            <family val="2"/>
          </rPr>
          <t xml:space="preserve">
</t>
        </r>
        <r>
          <rPr>
            <sz val="16"/>
            <color indexed="81"/>
            <rFont val="Tahoma"/>
            <family val="2"/>
          </rPr>
          <t>Forecast too high = + values
Forecast too low = - values</t>
        </r>
      </text>
    </comment>
    <comment ref="I12" authorId="0">
      <text>
        <r>
          <rPr>
            <b/>
            <sz val="14"/>
            <color indexed="81"/>
            <rFont val="Tahoma"/>
            <family val="2"/>
          </rPr>
          <t>Steve Moffitt:</t>
        </r>
        <r>
          <rPr>
            <sz val="8"/>
            <color indexed="81"/>
            <rFont val="Tahoma"/>
            <family val="2"/>
          </rPr>
          <t xml:space="preserve">
</t>
        </r>
        <r>
          <rPr>
            <sz val="14"/>
            <color indexed="81"/>
            <rFont val="Tahoma"/>
            <family val="2"/>
          </rPr>
          <t>From contribution estimate tables</t>
        </r>
      </text>
    </comment>
    <comment ref="F39" authorId="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G39" authorId="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 ref="J39" authorId="0">
      <text>
        <r>
          <rPr>
            <b/>
            <sz val="12"/>
            <color indexed="81"/>
            <rFont val="Tahoma"/>
            <family val="2"/>
          </rPr>
          <t>Steve Moffitt:</t>
        </r>
        <r>
          <rPr>
            <sz val="8"/>
            <color indexed="81"/>
            <rFont val="Tahoma"/>
            <family val="2"/>
          </rPr>
          <t xml:space="preserve">
</t>
        </r>
        <r>
          <rPr>
            <sz val="12"/>
            <color indexed="81"/>
            <rFont val="Tahoma"/>
            <family val="2"/>
          </rPr>
          <t>Use this to calcaulate the commerical harvest 80% CI. 
Total commercial harvest estimate plus/minus t(n-1,0.2)*mean harvest forecast error
See Fried and Yuen 1989 for details.</t>
        </r>
      </text>
    </comment>
    <comment ref="K39" authorId="0">
      <text>
        <r>
          <rPr>
            <b/>
            <sz val="12"/>
            <color indexed="81"/>
            <rFont val="Tahoma"/>
            <family val="2"/>
          </rPr>
          <t>Steve Moffitt:</t>
        </r>
        <r>
          <rPr>
            <sz val="12"/>
            <color indexed="81"/>
            <rFont val="Tahoma"/>
            <family val="2"/>
          </rPr>
          <t xml:space="preserve">
80% CI as a percentage of the commercial harvest forecast.  Make sure this formula gets updated to the year you are tying to </t>
        </r>
        <r>
          <rPr>
            <sz val="12"/>
            <color indexed="10"/>
            <rFont val="Tahoma"/>
            <family val="2"/>
          </rPr>
          <t>forecast commerical harvest</t>
        </r>
        <r>
          <rPr>
            <sz val="12"/>
            <color indexed="81"/>
            <rFont val="Tahoma"/>
            <family val="2"/>
          </rPr>
          <t>.</t>
        </r>
      </text>
    </comment>
    <comment ref="B43" authorId="1">
      <text>
        <r>
          <rPr>
            <b/>
            <sz val="8"/>
            <color indexed="81"/>
            <rFont val="Tahoma"/>
            <family val="2"/>
          </rPr>
          <t>Moffitt, Steve D (DFG):</t>
        </r>
        <r>
          <rPr>
            <sz val="8"/>
            <color indexed="81"/>
            <rFont val="Tahoma"/>
            <family val="2"/>
          </rPr>
          <t xml:space="preserve">
</t>
        </r>
        <r>
          <rPr>
            <sz val="16"/>
            <color indexed="81"/>
            <rFont val="Tahoma"/>
            <family val="2"/>
          </rPr>
          <t xml:space="preserve">These formulas will update the average for the last 5, 10, 20, 25 or whatever number of years you enter (if there are that many years) in the column under Average.  It should also update automatically if you add another year by inserting a row under the last or inserting a range of cells under the last year above. </t>
        </r>
      </text>
    </comment>
  </commentList>
</comments>
</file>

<file path=xl/comments7.xml><?xml version="1.0" encoding="utf-8"?>
<comments xmlns="http://schemas.openxmlformats.org/spreadsheetml/2006/main">
  <authors>
    <author>Steve Moffitt</author>
    <author>Moffitt, Steve D (DFG)</author>
  </authors>
  <commentList>
    <comment ref="D7" authorId="0">
      <text>
        <r>
          <rPr>
            <b/>
            <sz val="8"/>
            <color indexed="81"/>
            <rFont val="Tahoma"/>
            <family val="2"/>
          </rPr>
          <t>Steve Moffitt:</t>
        </r>
        <r>
          <rPr>
            <sz val="8"/>
            <color indexed="81"/>
            <rFont val="Tahoma"/>
            <family val="2"/>
          </rPr>
          <t xml:space="preserve">
</t>
        </r>
        <r>
          <rPr>
            <sz val="12"/>
            <color indexed="81"/>
            <rFont val="Tahoma"/>
            <family val="2"/>
          </rPr>
          <t>Confidence Interval = t_n-1,.02 * MSE +/- Forecast</t>
        </r>
      </text>
    </comment>
    <comment ref="G7" authorId="0">
      <text>
        <r>
          <rPr>
            <b/>
            <sz val="8"/>
            <color indexed="81"/>
            <rFont val="Tahoma"/>
            <family val="2"/>
          </rPr>
          <t>Steve Moffitt:</t>
        </r>
        <r>
          <rPr>
            <sz val="8"/>
            <color indexed="81"/>
            <rFont val="Tahoma"/>
            <family val="2"/>
          </rPr>
          <t xml:space="preserve">
</t>
        </r>
        <r>
          <rPr>
            <sz val="12"/>
            <color indexed="81"/>
            <rFont val="Tahoma"/>
            <family val="2"/>
          </rPr>
          <t>Confidence Interval = t_n-1,.02 * MSE +/- Forecast</t>
        </r>
      </text>
    </comment>
    <comment ref="C12" authorId="1">
      <text>
        <r>
          <rPr>
            <b/>
            <sz val="8"/>
            <color indexed="81"/>
            <rFont val="Tahoma"/>
            <family val="2"/>
          </rPr>
          <t>Moffitt, Steve D (DFG):</t>
        </r>
        <r>
          <rPr>
            <sz val="8"/>
            <color indexed="81"/>
            <rFont val="Tahoma"/>
            <family val="2"/>
          </rPr>
          <t xml:space="preserve">
</t>
        </r>
        <r>
          <rPr>
            <b/>
            <sz val="14"/>
            <color indexed="81"/>
            <rFont val="Tahoma"/>
            <family val="2"/>
          </rPr>
          <t xml:space="preserve">Forecasts created using various methods from fry indices to simple recent return averages. </t>
        </r>
      </text>
    </comment>
    <comment ref="E12" authorId="0">
      <text>
        <r>
          <rPr>
            <b/>
            <sz val="8"/>
            <color indexed="81"/>
            <rFont val="Tahoma"/>
            <family val="2"/>
          </rPr>
          <t>Steve Moffitt:</t>
        </r>
        <r>
          <rPr>
            <sz val="8"/>
            <color indexed="81"/>
            <rFont val="Tahoma"/>
            <family val="2"/>
          </rPr>
          <t xml:space="preserve">
</t>
        </r>
        <r>
          <rPr>
            <sz val="16"/>
            <color indexed="81"/>
            <rFont val="Tahoma"/>
            <family val="2"/>
          </rPr>
          <t xml:space="preserve">Forecast - actual </t>
        </r>
        <r>
          <rPr>
            <sz val="8"/>
            <color indexed="81"/>
            <rFont val="Tahoma"/>
            <family val="2"/>
          </rPr>
          <t xml:space="preserve">
</t>
        </r>
        <r>
          <rPr>
            <sz val="16"/>
            <color indexed="81"/>
            <rFont val="Tahoma"/>
            <family val="2"/>
          </rPr>
          <t>Forecast too high = + values
Forecast too low = - values</t>
        </r>
      </text>
    </comment>
    <comment ref="I12" authorId="0">
      <text>
        <r>
          <rPr>
            <b/>
            <sz val="14"/>
            <color indexed="81"/>
            <rFont val="Tahoma"/>
            <family val="2"/>
          </rPr>
          <t>Steve Moffitt:</t>
        </r>
        <r>
          <rPr>
            <sz val="8"/>
            <color indexed="81"/>
            <rFont val="Tahoma"/>
            <family val="2"/>
          </rPr>
          <t xml:space="preserve">
</t>
        </r>
        <r>
          <rPr>
            <sz val="14"/>
            <color indexed="81"/>
            <rFont val="Tahoma"/>
            <family val="2"/>
          </rPr>
          <t>From contribution estimate tables</t>
        </r>
      </text>
    </comment>
    <comment ref="F39" authorId="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G39" authorId="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 ref="J39" authorId="0">
      <text>
        <r>
          <rPr>
            <b/>
            <sz val="12"/>
            <color indexed="81"/>
            <rFont val="Tahoma"/>
            <family val="2"/>
          </rPr>
          <t>Steve Moffitt:</t>
        </r>
        <r>
          <rPr>
            <sz val="8"/>
            <color indexed="81"/>
            <rFont val="Tahoma"/>
            <family val="2"/>
          </rPr>
          <t xml:space="preserve">
</t>
        </r>
        <r>
          <rPr>
            <sz val="12"/>
            <color indexed="81"/>
            <rFont val="Tahoma"/>
            <family val="2"/>
          </rPr>
          <t>Use this to calcaulate the commerical harvest 80% CI. 
Total commercial harvest estimate plus/minus t(n-1,0.2)*mean harvest forecast error
See Fried and Yuen 1989 for details.</t>
        </r>
      </text>
    </comment>
    <comment ref="K39" authorId="0">
      <text>
        <r>
          <rPr>
            <b/>
            <sz val="12"/>
            <color indexed="81"/>
            <rFont val="Tahoma"/>
            <family val="2"/>
          </rPr>
          <t>Steve Moffitt:</t>
        </r>
        <r>
          <rPr>
            <sz val="12"/>
            <color indexed="81"/>
            <rFont val="Tahoma"/>
            <family val="2"/>
          </rPr>
          <t xml:space="preserve">
80% CI as a percentage of the commercial harvest forecast.  Make sure this formula gets updated to the year you are tying to </t>
        </r>
        <r>
          <rPr>
            <sz val="12"/>
            <color indexed="10"/>
            <rFont val="Tahoma"/>
            <family val="2"/>
          </rPr>
          <t>forecast commerical harvest</t>
        </r>
        <r>
          <rPr>
            <sz val="12"/>
            <color indexed="81"/>
            <rFont val="Tahoma"/>
            <family val="2"/>
          </rPr>
          <t>.</t>
        </r>
      </text>
    </comment>
    <comment ref="B43" authorId="1">
      <text>
        <r>
          <rPr>
            <b/>
            <sz val="8"/>
            <color indexed="81"/>
            <rFont val="Tahoma"/>
            <family val="2"/>
          </rPr>
          <t>Moffitt, Steve D (DFG):</t>
        </r>
        <r>
          <rPr>
            <sz val="8"/>
            <color indexed="81"/>
            <rFont val="Tahoma"/>
            <family val="2"/>
          </rPr>
          <t xml:space="preserve">
</t>
        </r>
        <r>
          <rPr>
            <sz val="16"/>
            <color indexed="81"/>
            <rFont val="Tahoma"/>
            <family val="2"/>
          </rPr>
          <t xml:space="preserve">These formulas will update the average for the last 5, 10, 20, 25 or whatever number of years you enter (if there are that many years) in the column under Average.  It should also update automatically if you add another year by inserting a row under the last or inserting a range of cells under the last year above. </t>
        </r>
      </text>
    </comment>
  </commentList>
</comments>
</file>

<file path=xl/comments8.xml><?xml version="1.0" encoding="utf-8"?>
<comments xmlns="http://schemas.openxmlformats.org/spreadsheetml/2006/main">
  <authors>
    <author>Steve Moffitt</author>
    <author>Moffitt, Steve D (DFG)</author>
  </authors>
  <commentList>
    <comment ref="D8" authorId="0">
      <text>
        <r>
          <rPr>
            <b/>
            <sz val="8"/>
            <color indexed="81"/>
            <rFont val="Tahoma"/>
            <family val="2"/>
          </rPr>
          <t>Steve Moffitt:</t>
        </r>
        <r>
          <rPr>
            <sz val="8"/>
            <color indexed="81"/>
            <rFont val="Tahoma"/>
            <family val="2"/>
          </rPr>
          <t xml:space="preserve">
</t>
        </r>
        <r>
          <rPr>
            <sz val="12"/>
            <color indexed="81"/>
            <rFont val="Tahoma"/>
            <family val="2"/>
          </rPr>
          <t>Confidence Interval = t_n-1,.02 * MSE +/- Forecast</t>
        </r>
      </text>
    </comment>
    <comment ref="G8" authorId="0">
      <text>
        <r>
          <rPr>
            <b/>
            <sz val="8"/>
            <color indexed="81"/>
            <rFont val="Tahoma"/>
            <family val="2"/>
          </rPr>
          <t>Steve Moffitt:</t>
        </r>
        <r>
          <rPr>
            <sz val="8"/>
            <color indexed="81"/>
            <rFont val="Tahoma"/>
            <family val="2"/>
          </rPr>
          <t xml:space="preserve">
</t>
        </r>
        <r>
          <rPr>
            <sz val="12"/>
            <color indexed="81"/>
            <rFont val="Tahoma"/>
            <family val="2"/>
          </rPr>
          <t>Confidence Interval = t_n-1,.02 * MSE +/- Forecast</t>
        </r>
      </text>
    </comment>
    <comment ref="C13" authorId="1">
      <text>
        <r>
          <rPr>
            <b/>
            <sz val="8"/>
            <color indexed="81"/>
            <rFont val="Tahoma"/>
            <family val="2"/>
          </rPr>
          <t>Moffitt, Steve D (DFG):</t>
        </r>
        <r>
          <rPr>
            <sz val="8"/>
            <color indexed="81"/>
            <rFont val="Tahoma"/>
            <family val="2"/>
          </rPr>
          <t xml:space="preserve">
</t>
        </r>
        <r>
          <rPr>
            <b/>
            <sz val="14"/>
            <color indexed="81"/>
            <rFont val="Tahoma"/>
            <family val="2"/>
          </rPr>
          <t xml:space="preserve">Forecasts created using various methods from fry indices to simple recent return averages. </t>
        </r>
      </text>
    </comment>
    <comment ref="E13" authorId="0">
      <text>
        <r>
          <rPr>
            <b/>
            <sz val="8"/>
            <color indexed="81"/>
            <rFont val="Tahoma"/>
            <family val="2"/>
          </rPr>
          <t>Steve Moffitt:</t>
        </r>
        <r>
          <rPr>
            <sz val="8"/>
            <color indexed="81"/>
            <rFont val="Tahoma"/>
            <family val="2"/>
          </rPr>
          <t xml:space="preserve">
</t>
        </r>
        <r>
          <rPr>
            <sz val="16"/>
            <color indexed="81"/>
            <rFont val="Tahoma"/>
            <family val="2"/>
          </rPr>
          <t xml:space="preserve">Forecast - actual </t>
        </r>
        <r>
          <rPr>
            <sz val="8"/>
            <color indexed="81"/>
            <rFont val="Tahoma"/>
            <family val="2"/>
          </rPr>
          <t xml:space="preserve">
</t>
        </r>
        <r>
          <rPr>
            <sz val="16"/>
            <color indexed="81"/>
            <rFont val="Tahoma"/>
            <family val="2"/>
          </rPr>
          <t>Forecast too high = + values
Forecast too low = - values</t>
        </r>
      </text>
    </comment>
    <comment ref="I13" authorId="0">
      <text>
        <r>
          <rPr>
            <b/>
            <sz val="14"/>
            <color indexed="81"/>
            <rFont val="Tahoma"/>
            <family val="2"/>
          </rPr>
          <t>Steve Moffitt:</t>
        </r>
        <r>
          <rPr>
            <sz val="8"/>
            <color indexed="81"/>
            <rFont val="Tahoma"/>
            <family val="2"/>
          </rPr>
          <t xml:space="preserve">
</t>
        </r>
        <r>
          <rPr>
            <sz val="14"/>
            <color indexed="81"/>
            <rFont val="Tahoma"/>
            <family val="2"/>
          </rPr>
          <t>From contribution estimate tables</t>
        </r>
      </text>
    </comment>
    <comment ref="A55" authorId="1">
      <text>
        <r>
          <rPr>
            <b/>
            <sz val="8"/>
            <color indexed="81"/>
            <rFont val="Tahoma"/>
            <family val="2"/>
          </rPr>
          <t>Moffitt, Steve D (DFG):</t>
        </r>
        <r>
          <rPr>
            <sz val="8"/>
            <color indexed="81"/>
            <rFont val="Tahoma"/>
            <family val="2"/>
          </rPr>
          <t xml:space="preserve">
</t>
        </r>
        <r>
          <rPr>
            <sz val="16"/>
            <color indexed="81"/>
            <rFont val="Tahoma"/>
            <family val="2"/>
          </rPr>
          <t>Only</t>
        </r>
        <r>
          <rPr>
            <sz val="14"/>
            <color indexed="81"/>
            <rFont val="Tahoma"/>
            <family val="2"/>
          </rPr>
          <t xml:space="preserve"> the last 5 years were used to evaluate the forecast performance for CI calculations in 2010.</t>
        </r>
      </text>
    </comment>
    <comment ref="F59" authorId="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G59" authorId="0">
      <text>
        <r>
          <rPr>
            <b/>
            <sz val="12"/>
            <color indexed="81"/>
            <rFont val="Tahoma"/>
            <family val="2"/>
          </rPr>
          <t>Steve Moffitt:</t>
        </r>
        <r>
          <rPr>
            <sz val="12"/>
            <color indexed="81"/>
            <rFont val="Tahoma"/>
            <family val="2"/>
          </rPr>
          <t xml:space="preserve">
</t>
        </r>
        <r>
          <rPr>
            <sz val="22"/>
            <color indexed="81"/>
            <rFont val="Tahoma"/>
            <family val="2"/>
          </rPr>
          <t>80% CI as a percentage of the Total Run forecast.  Make sure this formula gets updated to the</t>
        </r>
        <r>
          <rPr>
            <sz val="22"/>
            <color indexed="10"/>
            <rFont val="Tahoma"/>
            <family val="2"/>
          </rPr>
          <t xml:space="preserve"> year you are forecastings Total Run.</t>
        </r>
      </text>
    </comment>
    <comment ref="J59" authorId="0">
      <text>
        <r>
          <rPr>
            <b/>
            <sz val="12"/>
            <color indexed="81"/>
            <rFont val="Tahoma"/>
            <family val="2"/>
          </rPr>
          <t>Steve Moffitt:</t>
        </r>
        <r>
          <rPr>
            <sz val="8"/>
            <color indexed="81"/>
            <rFont val="Tahoma"/>
            <family val="2"/>
          </rPr>
          <t xml:space="preserve">
</t>
        </r>
        <r>
          <rPr>
            <sz val="12"/>
            <color indexed="81"/>
            <rFont val="Tahoma"/>
            <family val="2"/>
          </rPr>
          <t>Use this to calcaulate the commerical harvest 80% CI. 
Total commercial harvest estimate plus/minus t(n-1,0.2)*mean harvest forecast error
See Fried and Yuen 1989 for details.</t>
        </r>
      </text>
    </comment>
    <comment ref="K59" authorId="0">
      <text>
        <r>
          <rPr>
            <b/>
            <sz val="12"/>
            <color indexed="81"/>
            <rFont val="Tahoma"/>
            <family val="2"/>
          </rPr>
          <t>Steve Moffitt:</t>
        </r>
        <r>
          <rPr>
            <sz val="12"/>
            <color indexed="81"/>
            <rFont val="Tahoma"/>
            <family val="2"/>
          </rPr>
          <t xml:space="preserve">
80% CI as a percentage of the commercial harvest forecast.  Make sure this formula gets updated to the year you are tying to </t>
        </r>
        <r>
          <rPr>
            <sz val="12"/>
            <color indexed="10"/>
            <rFont val="Tahoma"/>
            <family val="2"/>
          </rPr>
          <t>forecast commerical harvest</t>
        </r>
        <r>
          <rPr>
            <sz val="12"/>
            <color indexed="81"/>
            <rFont val="Tahoma"/>
            <family val="2"/>
          </rPr>
          <t>.</t>
        </r>
      </text>
    </comment>
    <comment ref="B63" authorId="1">
      <text>
        <r>
          <rPr>
            <b/>
            <sz val="8"/>
            <color indexed="81"/>
            <rFont val="Tahoma"/>
            <family val="2"/>
          </rPr>
          <t>Moffitt, Steve D (DFG):</t>
        </r>
        <r>
          <rPr>
            <sz val="8"/>
            <color indexed="81"/>
            <rFont val="Tahoma"/>
            <family val="2"/>
          </rPr>
          <t xml:space="preserve">
</t>
        </r>
        <r>
          <rPr>
            <sz val="16"/>
            <color indexed="81"/>
            <rFont val="Tahoma"/>
            <family val="2"/>
          </rPr>
          <t xml:space="preserve">These formulas will update the average for the last 5, 10, 20, 25 or whatever number of years you enter in the column under Average.  It should also update automatically if you add another year by inserting a row under the last or inserting a range of cells under the last year above. </t>
        </r>
      </text>
    </comment>
  </commentList>
</comments>
</file>

<file path=xl/comments9.xml><?xml version="1.0" encoding="utf-8"?>
<comments xmlns="http://schemas.openxmlformats.org/spreadsheetml/2006/main">
  <authors>
    <author>Moffitt, Steve D (DFG)</author>
    <author>rebrenner</author>
  </authors>
  <commentList>
    <comment ref="O3" authorId="0">
      <text>
        <r>
          <rPr>
            <b/>
            <sz val="8"/>
            <color indexed="81"/>
            <rFont val="Tahoma"/>
            <family val="2"/>
          </rPr>
          <t>Moffitt, Steve D (DFG):</t>
        </r>
        <r>
          <rPr>
            <sz val="8"/>
            <color indexed="81"/>
            <rFont val="Tahoma"/>
            <family val="2"/>
          </rPr>
          <t xml:space="preserve">
</t>
        </r>
        <r>
          <rPr>
            <sz val="12"/>
            <color indexed="81"/>
            <rFont val="Tahoma"/>
            <family val="2"/>
          </rPr>
          <t>To minimize the mean absolute percentage error (MAPE) use solver. 
Or you can just enter values to see how they influence the MAPE and the plot.</t>
        </r>
      </text>
    </comment>
    <comment ref="B7" authorId="0">
      <text>
        <r>
          <rPr>
            <b/>
            <sz val="8"/>
            <color indexed="81"/>
            <rFont val="Tahoma"/>
            <family val="2"/>
          </rPr>
          <t>Moffitt, Steve D (DFG):</t>
        </r>
        <r>
          <rPr>
            <sz val="8"/>
            <color indexed="81"/>
            <rFont val="Tahoma"/>
            <family val="2"/>
          </rPr>
          <t xml:space="preserve">
Harvests + AUC adjusted for stream life only.</t>
        </r>
      </text>
    </comment>
    <comment ref="F50" authorId="1">
      <text>
        <r>
          <rPr>
            <b/>
            <sz val="9"/>
            <color indexed="81"/>
            <rFont val="Tahoma"/>
            <family val="2"/>
          </rPr>
          <t>rebrenner:</t>
        </r>
        <r>
          <rPr>
            <sz val="9"/>
            <color indexed="81"/>
            <rFont val="Tahoma"/>
            <family val="2"/>
          </rPr>
          <t xml:space="preserve">
</t>
        </r>
        <r>
          <rPr>
            <sz val="14"/>
            <color indexed="81"/>
            <rFont val="Tahoma"/>
            <family val="2"/>
          </rPr>
          <t>Lower =  Point estimate/(maximum proportional error + 1).  Try this out using a previous year's forecast and the proportional error for that year, it should = the actual run size.</t>
        </r>
      </text>
    </comment>
    <comment ref="G51" authorId="1">
      <text>
        <r>
          <rPr>
            <b/>
            <sz val="9"/>
            <color indexed="81"/>
            <rFont val="Tahoma"/>
            <family val="2"/>
          </rPr>
          <t>rebrenner:</t>
        </r>
        <r>
          <rPr>
            <sz val="9"/>
            <color indexed="81"/>
            <rFont val="Tahoma"/>
            <family val="2"/>
          </rPr>
          <t xml:space="preserve">
</t>
        </r>
        <r>
          <rPr>
            <sz val="26"/>
            <color indexed="81"/>
            <rFont val="Tahoma"/>
            <family val="2"/>
          </rPr>
          <t>USED THIS FOR 2015 FORECAST BASED ON LOWEST MAPE.</t>
        </r>
      </text>
    </comment>
    <comment ref="F52" authorId="1">
      <text>
        <r>
          <rPr>
            <b/>
            <sz val="9"/>
            <color indexed="81"/>
            <rFont val="Tahoma"/>
            <family val="2"/>
          </rPr>
          <t>rebrenner:</t>
        </r>
        <r>
          <rPr>
            <sz val="9"/>
            <color indexed="81"/>
            <rFont val="Tahoma"/>
            <family val="2"/>
          </rPr>
          <t xml:space="preserve">
</t>
        </r>
        <r>
          <rPr>
            <sz val="14"/>
            <color indexed="81"/>
            <rFont val="Tahoma"/>
            <family val="2"/>
          </rPr>
          <t>Upper Bound = Point estimate/(minimum forecast error +1).  Try this formula out on the forecast for a past year, the answer should = the actual run size for that year.</t>
        </r>
      </text>
    </comment>
  </commentList>
</comments>
</file>

<file path=xl/comments10.xml><?xml version="1.0" encoding="utf-8"?>
<comments xmlns="http://schemas.openxmlformats.org/spreadsheetml/2006/main">
  <authors>
    <author>Steve Moffitt</author>
    <author>ramerizon</author>
    <author>rebrenner</author>
  </authors>
  <commentList>
    <comment ref="E6" authorId="0">
      <text>
        <r>
          <rPr>
            <b/>
            <sz val="8"/>
            <color indexed="81"/>
            <rFont val="Tahoma"/>
            <family val="2"/>
          </rPr>
          <t>Steve Moffitt:</t>
        </r>
        <r>
          <rPr>
            <sz val="8"/>
            <color indexed="81"/>
            <rFont val="Tahoma"/>
            <family val="2"/>
          </rPr>
          <t xml:space="preserve">
</t>
        </r>
        <r>
          <rPr>
            <sz val="12"/>
            <color indexed="81"/>
            <rFont val="Tahoma"/>
            <family val="2"/>
          </rPr>
          <t>In Millions  
From AMR Appendix E.6 or 
Appendix E.5</t>
        </r>
      </text>
    </comment>
    <comment ref="H6" authorId="0">
      <text>
        <r>
          <rPr>
            <b/>
            <sz val="10"/>
            <color indexed="81"/>
            <rFont val="Tahoma"/>
            <family val="2"/>
          </rPr>
          <t xml:space="preserve">Steve Moffitt:
</t>
        </r>
        <r>
          <rPr>
            <b/>
            <sz val="12"/>
            <color indexed="81"/>
            <rFont val="Tahoma"/>
            <family val="2"/>
          </rPr>
          <t>Revised CWT contribution estimates based on individual hatchery adjustment factors. Total return after 1998 based on otolith thermal marks.</t>
        </r>
        <r>
          <rPr>
            <sz val="12"/>
            <color indexed="81"/>
            <rFont val="Tahoma"/>
            <family val="2"/>
          </rPr>
          <t xml:space="preserve">
Latest revision from 2000 AMR added by S. Moffitt 11/19/2001</t>
        </r>
      </text>
    </comment>
    <comment ref="F35" authorId="0">
      <text>
        <r>
          <rPr>
            <b/>
            <sz val="10"/>
            <color indexed="81"/>
            <rFont val="Tahoma"/>
            <family val="2"/>
          </rPr>
          <t xml:space="preserve">Steve Moffitt:
</t>
        </r>
        <r>
          <rPr>
            <b/>
            <sz val="12"/>
            <color indexed="81"/>
            <rFont val="Tahoma"/>
            <family val="2"/>
          </rPr>
          <t>Revised CWT contribution estimates based on individual hatchery adjustment factors. Total return after 1998 based on otolith thermal marks.</t>
        </r>
        <r>
          <rPr>
            <sz val="12"/>
            <color indexed="81"/>
            <rFont val="Tahoma"/>
            <family val="2"/>
          </rPr>
          <t xml:space="preserve">
</t>
        </r>
      </text>
    </comment>
    <comment ref="G35" authorId="0">
      <text>
        <r>
          <rPr>
            <b/>
            <sz val="10"/>
            <color indexed="81"/>
            <rFont val="Tahoma"/>
            <family val="2"/>
          </rPr>
          <t xml:space="preserve">Steve Moffitt:
</t>
        </r>
        <r>
          <rPr>
            <b/>
            <sz val="12"/>
            <color indexed="81"/>
            <rFont val="Tahoma"/>
            <family val="2"/>
          </rPr>
          <t>Revised CWT contribution estimates based on individual hatchery adjustment factors. Total return after 1998 based on otolith thermal marks.</t>
        </r>
        <r>
          <rPr>
            <sz val="12"/>
            <color indexed="81"/>
            <rFont val="Tahoma"/>
            <family val="2"/>
          </rPr>
          <t xml:space="preserve">
</t>
        </r>
      </text>
    </comment>
    <comment ref="H35" authorId="0">
      <text>
        <r>
          <rPr>
            <b/>
            <sz val="10"/>
            <color indexed="81"/>
            <rFont val="Tahoma"/>
            <family val="2"/>
          </rPr>
          <t xml:space="preserve">Steve Moffitt:
</t>
        </r>
        <r>
          <rPr>
            <b/>
            <sz val="12"/>
            <color indexed="81"/>
            <rFont val="Tahoma"/>
            <family val="2"/>
          </rPr>
          <t>Revised CWT contribution estimates based on individual hatchery adjustment factors. Total return after 1998 based on otolith thermal marks.</t>
        </r>
        <r>
          <rPr>
            <sz val="12"/>
            <color indexed="81"/>
            <rFont val="Tahoma"/>
            <family val="2"/>
          </rPr>
          <t xml:space="preserve">
</t>
        </r>
      </text>
    </comment>
    <comment ref="G44" authorId="0">
      <text>
        <r>
          <rPr>
            <b/>
            <sz val="12"/>
            <color indexed="81"/>
            <rFont val="Tahoma"/>
            <family val="2"/>
          </rPr>
          <t>Steve Moffitt:</t>
        </r>
        <r>
          <rPr>
            <sz val="12"/>
            <color indexed="81"/>
            <rFont val="Tahoma"/>
            <family val="2"/>
          </rPr>
          <t xml:space="preserve">
Total return based on otolith thermal marks after 1998.</t>
        </r>
      </text>
    </comment>
    <comment ref="H44" authorId="0">
      <text>
        <r>
          <rPr>
            <b/>
            <sz val="12"/>
            <color indexed="81"/>
            <rFont val="Tahoma"/>
            <family val="2"/>
          </rPr>
          <t>Steve Moffitt:</t>
        </r>
        <r>
          <rPr>
            <sz val="12"/>
            <color indexed="81"/>
            <rFont val="Tahoma"/>
            <family val="2"/>
          </rPr>
          <t xml:space="preserve">
Total return based on otolith thermal marks after 1998.</t>
        </r>
      </text>
    </comment>
    <comment ref="E48" authorId="0">
      <text>
        <r>
          <rPr>
            <b/>
            <sz val="8"/>
            <color indexed="81"/>
            <rFont val="Tahoma"/>
            <family val="2"/>
          </rPr>
          <t>Steve Moffitt:</t>
        </r>
        <r>
          <rPr>
            <sz val="8"/>
            <color indexed="81"/>
            <rFont val="Tahoma"/>
            <family val="2"/>
          </rPr>
          <t xml:space="preserve">
From Adjusted  Stream totals table. 2002 AMR Appendix E.6</t>
        </r>
      </text>
    </comment>
    <comment ref="F49" authorId="1">
      <text>
        <r>
          <rPr>
            <sz val="10"/>
            <color indexed="81"/>
            <rFont val="Tahoma"/>
            <family val="2"/>
          </rPr>
          <t>Based on FINAL contribution estimates, 12/03/2003.</t>
        </r>
        <r>
          <rPr>
            <sz val="8"/>
            <color indexed="81"/>
            <rFont val="Tahoma"/>
            <family val="2"/>
          </rPr>
          <t xml:space="preserve">
</t>
        </r>
      </text>
    </comment>
    <comment ref="G50" authorId="1">
      <text>
        <r>
          <rPr>
            <sz val="8"/>
            <color indexed="81"/>
            <rFont val="Tahoma"/>
            <family val="2"/>
          </rPr>
          <t>Based on PRELIMINARY contribution estimates, 11/29/2004.</t>
        </r>
      </text>
    </comment>
    <comment ref="G52" authorId="0">
      <text>
        <r>
          <rPr>
            <b/>
            <sz val="8"/>
            <color indexed="81"/>
            <rFont val="Tahoma"/>
            <family val="2"/>
          </rPr>
          <t>Steve Moffitt:</t>
        </r>
        <r>
          <rPr>
            <sz val="8"/>
            <color indexed="81"/>
            <rFont val="Tahoma"/>
            <family val="2"/>
          </rPr>
          <t xml:space="preserve">
From contribution estimate report 1/8/2010</t>
        </r>
      </text>
    </comment>
    <comment ref="F53" authorId="0">
      <text>
        <r>
          <rPr>
            <b/>
            <sz val="8"/>
            <color indexed="81"/>
            <rFont val="Tahoma"/>
            <family val="2"/>
          </rPr>
          <t>Steve Moffitt:</t>
        </r>
        <r>
          <rPr>
            <sz val="8"/>
            <color indexed="81"/>
            <rFont val="Tahoma"/>
            <family val="2"/>
          </rPr>
          <t xml:space="preserve">
</t>
        </r>
        <r>
          <rPr>
            <sz val="16"/>
            <color indexed="81"/>
            <rFont val="Tahoma"/>
            <family val="2"/>
          </rPr>
          <t>Final contribution + AUC escapement estimates. 11/6/2008.</t>
        </r>
      </text>
    </comment>
    <comment ref="G54" authorId="0">
      <text>
        <r>
          <rPr>
            <b/>
            <sz val="8"/>
            <color indexed="81"/>
            <rFont val="Tahoma"/>
            <family val="2"/>
          </rPr>
          <t>Steve Moffitt:</t>
        </r>
        <r>
          <rPr>
            <sz val="8"/>
            <color indexed="81"/>
            <rFont val="Tahoma"/>
            <family val="2"/>
          </rPr>
          <t xml:space="preserve">
From contribution estimate report 1/8/2010</t>
        </r>
      </text>
    </comment>
    <comment ref="F55" authorId="2">
      <text>
        <r>
          <rPr>
            <b/>
            <sz val="8"/>
            <color indexed="81"/>
            <rFont val="Tahoma"/>
            <family val="2"/>
          </rPr>
          <t>rebrenner:</t>
        </r>
        <r>
          <rPr>
            <sz val="8"/>
            <color indexed="81"/>
            <rFont val="Tahoma"/>
            <family val="2"/>
          </rPr>
          <t xml:space="preserve">
</t>
        </r>
        <r>
          <rPr>
            <sz val="14"/>
            <color indexed="81"/>
            <rFont val="Tahoma"/>
            <family val="2"/>
          </rPr>
          <t>= 1,829,861 pink salmon (from the adjusted AUC estimate of escapement ) + (1 million) Wild harvested in CPF.</t>
        </r>
      </text>
    </comment>
    <comment ref="D56" authorId="2">
      <text>
        <r>
          <rPr>
            <b/>
            <sz val="8"/>
            <color indexed="81"/>
            <rFont val="Tahoma"/>
            <family val="2"/>
          </rPr>
          <t>rebrenner:</t>
        </r>
        <r>
          <rPr>
            <sz val="8"/>
            <color indexed="81"/>
            <rFont val="Tahoma"/>
            <family val="2"/>
          </rPr>
          <t xml:space="preserve">
</t>
        </r>
        <r>
          <rPr>
            <sz val="16"/>
            <color indexed="81"/>
            <rFont val="Tahoma"/>
            <family val="2"/>
          </rPr>
          <t>2008 Total Stream Escapement from:
DCF\Salmon\ESCAPEMENT\AERIAL\AdjStrmTotals\2008</t>
        </r>
      </text>
    </comment>
    <comment ref="C57" authorId="2">
      <text>
        <r>
          <rPr>
            <b/>
            <sz val="8"/>
            <color indexed="81"/>
            <rFont val="Tahoma"/>
            <family val="2"/>
          </rPr>
          <t>rebrenner:</t>
        </r>
        <r>
          <rPr>
            <sz val="8"/>
            <color indexed="81"/>
            <rFont val="Tahoma"/>
            <family val="2"/>
          </rPr>
          <t xml:space="preserve">
</t>
        </r>
        <r>
          <rPr>
            <b/>
            <sz val="16"/>
            <color indexed="81"/>
            <rFont val="Tahoma"/>
            <family val="2"/>
          </rPr>
          <t>2009</t>
        </r>
        <r>
          <rPr>
            <sz val="16"/>
            <color indexed="81"/>
            <rFont val="Tahoma"/>
            <family val="2"/>
          </rPr>
          <t xml:space="preserve"> Total Stream Escapement. From:
DCF\Salmon\ESCAPEMENT\ARIAL\AdjStrmTotals\2009</t>
        </r>
      </text>
    </comment>
    <comment ref="D58" authorId="2">
      <text>
        <r>
          <rPr>
            <b/>
            <sz val="9"/>
            <color indexed="81"/>
            <rFont val="Tahoma"/>
            <family val="2"/>
          </rPr>
          <t>rebrenner:</t>
        </r>
        <r>
          <rPr>
            <sz val="9"/>
            <color indexed="81"/>
            <rFont val="Tahoma"/>
            <family val="2"/>
          </rPr>
          <t xml:space="preserve">
</t>
        </r>
        <r>
          <rPr>
            <sz val="18"/>
            <color indexed="81"/>
            <rFont val="Tahoma"/>
            <family val="2"/>
          </rPr>
          <t>From: DCF\Salmon\ESCAPEMENT\AERIAL\AdjStrmTotals\2010\[2010_PWS_AUC_11-19-2010.xls]Adjusted AUC_Districts</t>
        </r>
      </text>
    </comment>
    <comment ref="C59" authorId="2">
      <text>
        <r>
          <rPr>
            <b/>
            <sz val="8"/>
            <color indexed="81"/>
            <rFont val="Tahoma"/>
            <family val="2"/>
          </rPr>
          <t>rebrenner:</t>
        </r>
        <r>
          <rPr>
            <sz val="8"/>
            <color indexed="81"/>
            <rFont val="Tahoma"/>
            <family val="2"/>
          </rPr>
          <t xml:space="preserve">
</t>
        </r>
        <r>
          <rPr>
            <b/>
            <sz val="16"/>
            <color indexed="81"/>
            <rFont val="Tahoma"/>
            <family val="2"/>
          </rPr>
          <t>2009</t>
        </r>
        <r>
          <rPr>
            <sz val="16"/>
            <color indexed="81"/>
            <rFont val="Tahoma"/>
            <family val="2"/>
          </rPr>
          <t xml:space="preserve"> Total Stream Escapement. From:
DCF\Salmon\ESCAPEMENT\ARIAL\AdjStrmTotals\2009</t>
        </r>
      </text>
    </comment>
    <comment ref="F70" authorId="2">
      <text>
        <r>
          <rPr>
            <b/>
            <sz val="9"/>
            <color indexed="81"/>
            <rFont val="Tahoma"/>
            <family val="2"/>
          </rPr>
          <t>rebrenner:</t>
        </r>
        <r>
          <rPr>
            <sz val="9"/>
            <color indexed="81"/>
            <rFont val="Tahoma"/>
            <family val="2"/>
          </rPr>
          <t xml:space="preserve">
</t>
        </r>
        <r>
          <rPr>
            <sz val="20"/>
            <color indexed="81"/>
            <rFont val="Tahoma"/>
            <family val="2"/>
          </rPr>
          <t xml:space="preserve">TINV(probability, degrees_freedom)
where probability is the probability associated with the two-tailed Student's t-distribution and degrees of freedom with which to characterize the distribution. E.g., for a probability of 0.05 and degrees of freedom of 10, the two-tailed value is calculated with TINV(0.05, 10), which returns 2.28139.  </t>
        </r>
      </text>
    </comment>
    <comment ref="C71" authorId="2">
      <text>
        <r>
          <rPr>
            <b/>
            <sz val="8"/>
            <color indexed="81"/>
            <rFont val="Tahoma"/>
            <family val="2"/>
          </rPr>
          <t>rebrenner:</t>
        </r>
        <r>
          <rPr>
            <sz val="8"/>
            <color indexed="81"/>
            <rFont val="Tahoma"/>
            <family val="2"/>
          </rPr>
          <t xml:space="preserve">
</t>
        </r>
        <r>
          <rPr>
            <sz val="16"/>
            <color indexed="81"/>
            <rFont val="Tahoma"/>
            <family val="2"/>
          </rPr>
          <t xml:space="preserve">From </t>
        </r>
        <r>
          <rPr>
            <u/>
            <sz val="16"/>
            <color indexed="81"/>
            <rFont val="Tahoma"/>
            <family val="2"/>
          </rPr>
          <t>Probability and Statistics for Engineering and the Sciences</t>
        </r>
        <r>
          <rPr>
            <sz val="16"/>
            <color indexed="81"/>
            <rFont val="Tahoma"/>
            <family val="2"/>
          </rPr>
          <t>, 4th edition. pg.296
A P.I. for a single observation to be selected from a normal population distribution is:
x +/-  t</t>
        </r>
        <r>
          <rPr>
            <vertAlign val="subscript"/>
            <sz val="16"/>
            <color indexed="81"/>
            <rFont val="Tahoma"/>
            <family val="2"/>
          </rPr>
          <t>a/2, n-1</t>
        </r>
        <r>
          <rPr>
            <sz val="16"/>
            <color indexed="81"/>
            <rFont val="Tahoma"/>
            <family val="2"/>
          </rPr>
          <t xml:space="preserve"> * s * sqrt(1 + 1/n)
The prediction level is 100(1 - a)%</t>
        </r>
      </text>
    </comment>
    <comment ref="F71" authorId="2">
      <text>
        <r>
          <rPr>
            <b/>
            <sz val="8"/>
            <color indexed="81"/>
            <rFont val="Tahoma"/>
            <family val="2"/>
          </rPr>
          <t>rebrenner:</t>
        </r>
        <r>
          <rPr>
            <sz val="8"/>
            <color indexed="81"/>
            <rFont val="Tahoma"/>
            <family val="2"/>
          </rPr>
          <t xml:space="preserve">
</t>
        </r>
        <r>
          <rPr>
            <sz val="14"/>
            <color indexed="81"/>
            <rFont val="Tahoma"/>
            <family val="2"/>
          </rPr>
          <t>From Probability and Statistics for Engineering and the Sciences, 4th edition. pg.296
A P.I. for a single observation to be selected from a normal population distribution is:
x +/-  t</t>
        </r>
        <r>
          <rPr>
            <vertAlign val="subscript"/>
            <sz val="14"/>
            <color indexed="81"/>
            <rFont val="Tahoma"/>
            <family val="2"/>
          </rPr>
          <t>a/2, n-1</t>
        </r>
        <r>
          <rPr>
            <sz val="14"/>
            <color indexed="81"/>
            <rFont val="Tahoma"/>
            <family val="2"/>
          </rPr>
          <t xml:space="preserve"> * s * sqrt(1 + 1/n)
The prediction level is 100(1 - a)%
</t>
        </r>
        <r>
          <rPr>
            <sz val="20"/>
            <color indexed="81"/>
            <rFont val="Tahoma"/>
            <family val="2"/>
          </rPr>
          <t>BUT, for 2010 forecast, we NEED to evaluate the method of Fried and Yuen 1987 where they incorporate error from past returns to predict error intervals for a future return.</t>
        </r>
      </text>
    </comment>
  </commentList>
</comments>
</file>

<file path=xl/comments11.xml><?xml version="1.0" encoding="utf-8"?>
<comments xmlns="http://schemas.openxmlformats.org/spreadsheetml/2006/main">
  <authors>
    <author>Moffitt, Steve D (DFG)</author>
    <author>rebrenner</author>
  </authors>
  <commentList>
    <comment ref="P3" authorId="0">
      <text>
        <r>
          <rPr>
            <b/>
            <sz val="8"/>
            <color indexed="81"/>
            <rFont val="Tahoma"/>
            <family val="2"/>
          </rPr>
          <t>Moffitt, Steve D (DFG):</t>
        </r>
        <r>
          <rPr>
            <sz val="8"/>
            <color indexed="81"/>
            <rFont val="Tahoma"/>
            <family val="2"/>
          </rPr>
          <t xml:space="preserve">
</t>
        </r>
        <r>
          <rPr>
            <sz val="12"/>
            <color indexed="81"/>
            <rFont val="Tahoma"/>
            <family val="2"/>
          </rPr>
          <t>To minimize the mean absolute percentage error (MAPE) use solver. 
Or you can just enter values to see how they influence the MAPE and the plot.</t>
        </r>
      </text>
    </comment>
    <comment ref="G6" authorId="1">
      <text>
        <r>
          <rPr>
            <b/>
            <sz val="9"/>
            <color indexed="81"/>
            <rFont val="Tahoma"/>
            <family val="2"/>
          </rPr>
          <t>rebrenner:</t>
        </r>
        <r>
          <rPr>
            <sz val="9"/>
            <color indexed="81"/>
            <rFont val="Tahoma"/>
            <family val="2"/>
          </rPr>
          <t xml:space="preserve">
</t>
        </r>
        <r>
          <rPr>
            <sz val="14"/>
            <color indexed="81"/>
            <rFont val="Tahoma"/>
            <family val="2"/>
          </rPr>
          <t>This column uses the proportional forecast error from previous years to calculate a range of possible outcomes using the current forecast point estimate.  Y' = point estimate/(1+ proportional error).</t>
        </r>
      </text>
    </comment>
    <comment ref="B7" authorId="0">
      <text>
        <r>
          <rPr>
            <b/>
            <sz val="8"/>
            <color indexed="81"/>
            <rFont val="Tahoma"/>
            <family val="2"/>
          </rPr>
          <t>Moffitt, Steve D (DFG):</t>
        </r>
        <r>
          <rPr>
            <sz val="8"/>
            <color indexed="81"/>
            <rFont val="Tahoma"/>
            <family val="2"/>
          </rPr>
          <t xml:space="preserve">
Harvests + AUC adjusted for stream life only.</t>
        </r>
      </text>
    </comment>
    <comment ref="F51" authorId="1">
      <text>
        <r>
          <rPr>
            <b/>
            <sz val="9"/>
            <color indexed="81"/>
            <rFont val="Tahoma"/>
            <family val="2"/>
          </rPr>
          <t>rebrenner:</t>
        </r>
        <r>
          <rPr>
            <sz val="9"/>
            <color indexed="81"/>
            <rFont val="Tahoma"/>
            <family val="2"/>
          </rPr>
          <t xml:space="preserve">
</t>
        </r>
        <r>
          <rPr>
            <sz val="14"/>
            <color indexed="81"/>
            <rFont val="Tahoma"/>
            <family val="2"/>
          </rPr>
          <t>Lower =  Point estimate/(maximum proportional error + 1).  Try this out using a previous year's forecast and the proportional error for that year, it should = the actual run size.</t>
        </r>
      </text>
    </comment>
    <comment ref="H51" authorId="1">
      <text>
        <r>
          <rPr>
            <b/>
            <sz val="9"/>
            <color indexed="81"/>
            <rFont val="Tahoma"/>
            <family val="2"/>
          </rPr>
          <t>rebrenner:</t>
        </r>
        <r>
          <rPr>
            <sz val="9"/>
            <color indexed="81"/>
            <rFont val="Tahoma"/>
            <family val="2"/>
          </rPr>
          <t xml:space="preserve">
</t>
        </r>
        <r>
          <rPr>
            <sz val="16"/>
            <color indexed="81"/>
            <rFont val="Tahoma"/>
            <family val="2"/>
          </rPr>
          <t>Could bootstrap forecast point estimates using proportional errors from past years to produce confidence/prediction intervals for current year.
Also note that a histogram of the distribution shows non-normality.</t>
        </r>
      </text>
    </comment>
    <comment ref="F53" authorId="1">
      <text>
        <r>
          <rPr>
            <b/>
            <sz val="9"/>
            <color indexed="81"/>
            <rFont val="Tahoma"/>
            <family val="2"/>
          </rPr>
          <t>rebrenner:</t>
        </r>
        <r>
          <rPr>
            <sz val="9"/>
            <color indexed="81"/>
            <rFont val="Tahoma"/>
            <family val="2"/>
          </rPr>
          <t xml:space="preserve">
</t>
        </r>
        <r>
          <rPr>
            <sz val="14"/>
            <color indexed="81"/>
            <rFont val="Tahoma"/>
            <family val="2"/>
          </rPr>
          <t>Upper Bound = Point estimate/(minimum forecast error +1).  Try this formula out on the forecast for a past year, the answer should = the actual run size for that year.</t>
        </r>
      </text>
    </comment>
  </commentList>
</comments>
</file>

<file path=xl/comments12.xml><?xml version="1.0" encoding="utf-8"?>
<comments xmlns="http://schemas.openxmlformats.org/spreadsheetml/2006/main">
  <authors>
    <author>rebrenner</author>
  </authors>
  <commentList>
    <comment ref="P5" authorId="0">
      <text>
        <r>
          <rPr>
            <b/>
            <sz val="9"/>
            <color indexed="81"/>
            <rFont val="Tahoma"/>
            <family val="2"/>
          </rPr>
          <t>rebrenner:</t>
        </r>
        <r>
          <rPr>
            <sz val="9"/>
            <color indexed="81"/>
            <rFont val="Tahoma"/>
            <family val="2"/>
          </rPr>
          <t xml:space="preserve">
FORECAST-ACTUAL
</t>
        </r>
      </text>
    </comment>
    <comment ref="C52" authorId="0">
      <text>
        <r>
          <rPr>
            <b/>
            <sz val="9"/>
            <color indexed="81"/>
            <rFont val="Tahoma"/>
            <family val="2"/>
          </rPr>
          <t>rebrenner:</t>
        </r>
        <r>
          <rPr>
            <sz val="9"/>
            <color indexed="81"/>
            <rFont val="Tahoma"/>
            <family val="2"/>
          </rPr>
          <t xml:space="preserve">
</t>
        </r>
        <r>
          <rPr>
            <sz val="12"/>
            <color indexed="81"/>
            <rFont val="Tahoma"/>
            <family val="2"/>
          </rPr>
          <t>From:  O\DCF\EnvironmentalData\PDO_data\[PDO index data_1900-2010.xls]Pivot
This is just an average of all monthly PDO values for a given year. Perhaps values that better reflect the pink salmon early marine life cycle (e.g., April-August) or zooplankton productivity for the juveniles would be better at predicting returns. 
We often have strong hatchery returns but weak wild stock returns. Perhaps this difference reflects hatchery fish being fed during the early spring prior to release. If so, an early spring PDO value might predict wild stocks survival while a more integrated value might predict hatchery survival.
Also need to update this PDO data for the year.</t>
        </r>
      </text>
    </comment>
    <comment ref="C53" authorId="0">
      <text>
        <r>
          <rPr>
            <b/>
            <sz val="9"/>
            <color indexed="81"/>
            <rFont val="Tahoma"/>
            <family val="2"/>
          </rPr>
          <t>rebrenner:</t>
        </r>
        <r>
          <rPr>
            <sz val="9"/>
            <color indexed="81"/>
            <rFont val="Tahoma"/>
            <family val="2"/>
          </rPr>
          <t xml:space="preserve">
</t>
        </r>
        <r>
          <rPr>
            <sz val="14"/>
            <color indexed="81"/>
            <rFont val="Tahoma"/>
            <family val="2"/>
          </rPr>
          <t>From:  O\DCF\EnvironmentalData\PDO_data\[PDO index data_1900-2013.xls]Pivot
This is just an average of all monthly PDO values for a given year. Perhaps values that better reflect the pink salmon early marine life cycle (e.g., April-August) or zooplankton productivity for the juveniles would be better at predicting returns. 
We often have strong hatchery returns but weak wild stock returns. Perhaps this difference reflects hatchery fish being fed during the early spring prior to release. If so, an early spring PDO value might predict wild stocks survival while a more integrated value might predict hatchery survival.
Also need to update this PDO data for the year.</t>
        </r>
      </text>
    </comment>
    <comment ref="H53" authorId="0">
      <text>
        <r>
          <rPr>
            <b/>
            <sz val="8"/>
            <color indexed="81"/>
            <rFont val="Tahoma"/>
            <family val="2"/>
          </rPr>
          <t>rebrenner:</t>
        </r>
        <r>
          <rPr>
            <sz val="8"/>
            <color indexed="81"/>
            <rFont val="Tahoma"/>
            <family val="2"/>
          </rPr>
          <t xml:space="preserve">
</t>
        </r>
        <r>
          <rPr>
            <sz val="16"/>
            <color indexed="81"/>
            <rFont val="Tahoma"/>
            <family val="2"/>
          </rPr>
          <t xml:space="preserve">These are the forecast estimates for </t>
        </r>
        <r>
          <rPr>
            <b/>
            <sz val="16"/>
            <color indexed="81"/>
            <rFont val="Tahoma"/>
            <family val="2"/>
          </rPr>
          <t>2012</t>
        </r>
        <r>
          <rPr>
            <sz val="16"/>
            <color indexed="81"/>
            <rFont val="Tahoma"/>
            <family val="2"/>
          </rPr>
          <t xml:space="preserve"> based on the various naïve methods.</t>
        </r>
      </text>
    </comment>
    <comment ref="H54" authorId="0">
      <text>
        <r>
          <rPr>
            <b/>
            <sz val="9"/>
            <color indexed="81"/>
            <rFont val="Tahoma"/>
            <family val="2"/>
          </rPr>
          <t>rebrenner:</t>
        </r>
        <r>
          <rPr>
            <sz val="9"/>
            <color indexed="81"/>
            <rFont val="Tahoma"/>
            <family val="2"/>
          </rPr>
          <t xml:space="preserve">
</t>
        </r>
        <r>
          <rPr>
            <sz val="12"/>
            <color indexed="81"/>
            <rFont val="Tahoma"/>
            <family val="2"/>
          </rPr>
          <t xml:space="preserve">These are the forecast estimates for </t>
        </r>
        <r>
          <rPr>
            <b/>
            <sz val="12"/>
            <color indexed="81"/>
            <rFont val="Tahoma"/>
            <family val="2"/>
          </rPr>
          <t>2013</t>
        </r>
        <r>
          <rPr>
            <sz val="12"/>
            <color indexed="81"/>
            <rFont val="Tahoma"/>
            <family val="2"/>
          </rPr>
          <t xml:space="preserve"> based on the various naïve methods.</t>
        </r>
      </text>
    </comment>
    <comment ref="AR62" authorId="0">
      <text>
        <r>
          <rPr>
            <b/>
            <sz val="9"/>
            <color indexed="81"/>
            <rFont val="Tahoma"/>
            <family val="2"/>
          </rPr>
          <t>rebrenner:</t>
        </r>
        <r>
          <rPr>
            <sz val="9"/>
            <color indexed="81"/>
            <rFont val="Tahoma"/>
            <family val="2"/>
          </rPr>
          <t xml:space="preserve">
</t>
        </r>
        <r>
          <rPr>
            <sz val="14"/>
            <color indexed="81"/>
            <rFont val="Tahoma"/>
            <family val="2"/>
          </rPr>
          <t xml:space="preserve">Actual could be this much LOWER than the forecast.
</t>
        </r>
      </text>
    </comment>
    <comment ref="BQ62" authorId="0">
      <text>
        <r>
          <rPr>
            <b/>
            <sz val="9"/>
            <color indexed="81"/>
            <rFont val="Tahoma"/>
            <family val="2"/>
          </rPr>
          <t>rebrenner:</t>
        </r>
        <r>
          <rPr>
            <sz val="9"/>
            <color indexed="81"/>
            <rFont val="Tahoma"/>
            <family val="2"/>
          </rPr>
          <t xml:space="preserve">
</t>
        </r>
        <r>
          <rPr>
            <sz val="14"/>
            <color indexed="81"/>
            <rFont val="Tahoma"/>
            <family val="2"/>
          </rPr>
          <t xml:space="preserve">Actual could be this much LOWER than the forecast.
</t>
        </r>
      </text>
    </comment>
    <comment ref="AR63" authorId="0">
      <text>
        <r>
          <rPr>
            <b/>
            <sz val="9"/>
            <color indexed="81"/>
            <rFont val="Tahoma"/>
            <family val="2"/>
          </rPr>
          <t xml:space="preserve">re
</t>
        </r>
        <r>
          <rPr>
            <sz val="14"/>
            <color indexed="81"/>
            <rFont val="Tahoma"/>
            <family val="2"/>
          </rPr>
          <t>Actual could be this much HIGHER than the forecast.</t>
        </r>
      </text>
    </comment>
    <comment ref="BQ63" authorId="0">
      <text>
        <r>
          <rPr>
            <b/>
            <sz val="9"/>
            <color indexed="81"/>
            <rFont val="Tahoma"/>
            <family val="2"/>
          </rPr>
          <t xml:space="preserve">re
</t>
        </r>
        <r>
          <rPr>
            <sz val="14"/>
            <color indexed="81"/>
            <rFont val="Tahoma"/>
            <family val="2"/>
          </rPr>
          <t>Actual could be this much HIGHER than the forecast.</t>
        </r>
      </text>
    </comment>
    <comment ref="O71" authorId="0">
      <text>
        <r>
          <rPr>
            <b/>
            <sz val="8"/>
            <color indexed="81"/>
            <rFont val="Tahoma"/>
            <family val="2"/>
          </rPr>
          <t>rebrenner:</t>
        </r>
        <r>
          <rPr>
            <sz val="8"/>
            <color indexed="81"/>
            <rFont val="Tahoma"/>
            <family val="2"/>
          </rPr>
          <t xml:space="preserve">
</t>
        </r>
        <r>
          <rPr>
            <sz val="12"/>
            <color indexed="81"/>
            <rFont val="Tahoma"/>
            <family val="2"/>
          </rPr>
          <t>Meaning: of the 5 methods examined here, how many years was this method the best predictor of the forecast?</t>
        </r>
      </text>
    </comment>
  </commentList>
</comments>
</file>

<file path=xl/comments13.xml><?xml version="1.0" encoding="utf-8"?>
<comments xmlns="http://schemas.openxmlformats.org/spreadsheetml/2006/main">
  <authors>
    <author>rebrenner</author>
    <author>Moffitt, Steve D (DFG)</author>
  </authors>
  <commentList>
    <comment ref="E72" authorId="0">
      <text>
        <r>
          <rPr>
            <b/>
            <sz val="9"/>
            <color indexed="81"/>
            <rFont val="Tahoma"/>
            <family val="2"/>
          </rPr>
          <t>rebrenner:</t>
        </r>
        <r>
          <rPr>
            <sz val="9"/>
            <color indexed="81"/>
            <rFont val="Tahoma"/>
            <family val="2"/>
          </rPr>
          <t xml:space="preserve">
</t>
        </r>
        <r>
          <rPr>
            <sz val="20"/>
            <color indexed="81"/>
            <rFont val="Tahoma"/>
            <family val="2"/>
          </rPr>
          <t>First, use SOLVER to "set the target cell" to this cell. Run the solver and obtain a forecast estimate.</t>
        </r>
      </text>
    </comment>
    <comment ref="G72" authorId="1">
      <text>
        <r>
          <rPr>
            <b/>
            <sz val="8"/>
            <color indexed="81"/>
            <rFont val="Tahoma"/>
            <family val="2"/>
          </rPr>
          <t>Moffitt, Steve D (DFG):</t>
        </r>
        <r>
          <rPr>
            <sz val="8"/>
            <color indexed="81"/>
            <rFont val="Tahoma"/>
            <family val="2"/>
          </rPr>
          <t xml:space="preserve">
</t>
        </r>
        <r>
          <rPr>
            <sz val="20"/>
            <color indexed="81"/>
            <rFont val="Tahoma"/>
            <family val="2"/>
          </rPr>
          <t xml:space="preserve">Second, use SOLVER to "set the target cell" to this cell:      Mean Absolute Percentage Error (MAPE)
Minimize this cell using solver to estimate the best lag 1 parameter for the exponential smoothing. </t>
        </r>
      </text>
    </comment>
  </commentList>
</comments>
</file>

<file path=xl/comments14.xml><?xml version="1.0" encoding="utf-8"?>
<comments xmlns="http://schemas.openxmlformats.org/spreadsheetml/2006/main">
  <authors>
    <author>Moffitt, Steve D (DFG)</author>
  </authors>
  <commentList>
    <comment ref="G43" authorId="0">
      <text>
        <r>
          <rPr>
            <b/>
            <sz val="8"/>
            <color indexed="81"/>
            <rFont val="Tahoma"/>
            <family val="2"/>
          </rPr>
          <t>Moffitt, Steve D (DFG):</t>
        </r>
        <r>
          <rPr>
            <sz val="8"/>
            <color indexed="81"/>
            <rFont val="Tahoma"/>
            <family val="2"/>
          </rPr>
          <t xml:space="preserve">
</t>
        </r>
        <r>
          <rPr>
            <sz val="12"/>
            <color indexed="81"/>
            <rFont val="Tahoma"/>
            <family val="2"/>
          </rPr>
          <t xml:space="preserve">Mean Absolute Percentage Error (MAPE)
Minimize this cell using solver to estimate the best smoothing parameters for the exponential smoothing. </t>
        </r>
      </text>
    </comment>
  </commentList>
</comments>
</file>

<file path=xl/comments15.xml><?xml version="1.0" encoding="utf-8"?>
<comments xmlns="http://schemas.openxmlformats.org/spreadsheetml/2006/main">
  <authors>
    <author>rebrenner</author>
    <author>Moffitt, Steve D (DFG)</author>
  </authors>
  <commentList>
    <comment ref="E45" authorId="0">
      <text>
        <r>
          <rPr>
            <b/>
            <sz val="9"/>
            <color indexed="81"/>
            <rFont val="Tahoma"/>
            <family val="2"/>
          </rPr>
          <t>rebrenner:</t>
        </r>
        <r>
          <rPr>
            <sz val="9"/>
            <color indexed="81"/>
            <rFont val="Tahoma"/>
            <family val="2"/>
          </rPr>
          <t xml:space="preserve">
</t>
        </r>
        <r>
          <rPr>
            <sz val="18"/>
            <color indexed="81"/>
            <rFont val="Tahoma"/>
            <family val="2"/>
          </rPr>
          <t>First, minimize this in solver. SECOND, minimize MAPE in solver.</t>
        </r>
      </text>
    </comment>
    <comment ref="G45" authorId="1">
      <text>
        <r>
          <rPr>
            <b/>
            <sz val="8"/>
            <color indexed="81"/>
            <rFont val="Tahoma"/>
            <family val="2"/>
          </rPr>
          <t>Moffitt, Steve D (DFG):</t>
        </r>
        <r>
          <rPr>
            <sz val="8"/>
            <color indexed="81"/>
            <rFont val="Tahoma"/>
            <family val="2"/>
          </rPr>
          <t xml:space="preserve">
</t>
        </r>
        <r>
          <rPr>
            <sz val="12"/>
            <color indexed="81"/>
            <rFont val="Tahoma"/>
            <family val="2"/>
          </rPr>
          <t xml:space="preserve">Mean Absolute Percentage Error (MAPE)
Minimize this cell using solver to estimate the best smoothing parameters for the exponential smoothing. </t>
        </r>
      </text>
    </comment>
  </commentList>
</comments>
</file>

<file path=xl/comments16.xml><?xml version="1.0" encoding="utf-8"?>
<comments xmlns="http://schemas.openxmlformats.org/spreadsheetml/2006/main">
  <authors>
    <author>Moffitt, Steve D (DFG)</author>
  </authors>
  <commentList>
    <comment ref="O3" authorId="0">
      <text>
        <r>
          <rPr>
            <b/>
            <sz val="8"/>
            <color indexed="81"/>
            <rFont val="Tahoma"/>
            <family val="2"/>
          </rPr>
          <t>Moffitt, Steve D (DFG):</t>
        </r>
        <r>
          <rPr>
            <sz val="8"/>
            <color indexed="81"/>
            <rFont val="Tahoma"/>
            <family val="2"/>
          </rPr>
          <t xml:space="preserve">
</t>
        </r>
        <r>
          <rPr>
            <sz val="12"/>
            <color indexed="81"/>
            <rFont val="Tahoma"/>
            <family val="2"/>
          </rPr>
          <t>To minimize the mean absolute percentage error (MAPE) use solver. 
Or you can just enter values to see how they influence the MAPE and the plot.</t>
        </r>
      </text>
    </comment>
    <comment ref="B7" authorId="0">
      <text>
        <r>
          <rPr>
            <b/>
            <sz val="8"/>
            <color indexed="81"/>
            <rFont val="Tahoma"/>
            <family val="2"/>
          </rPr>
          <t>Moffitt, Steve D (DFG):</t>
        </r>
        <r>
          <rPr>
            <sz val="8"/>
            <color indexed="81"/>
            <rFont val="Tahoma"/>
            <family val="2"/>
          </rPr>
          <t xml:space="preserve">
Harvests + AUC adjusted for stream life only.</t>
        </r>
      </text>
    </comment>
    <comment ref="G65" authorId="0">
      <text>
        <r>
          <rPr>
            <b/>
            <sz val="8"/>
            <color indexed="81"/>
            <rFont val="Tahoma"/>
            <family val="2"/>
          </rPr>
          <t>Moffitt, Steve D (DFG):</t>
        </r>
        <r>
          <rPr>
            <sz val="8"/>
            <color indexed="81"/>
            <rFont val="Tahoma"/>
            <family val="2"/>
          </rPr>
          <t xml:space="preserve">
</t>
        </r>
        <r>
          <rPr>
            <sz val="12"/>
            <color indexed="81"/>
            <rFont val="Tahoma"/>
            <family val="2"/>
          </rPr>
          <t xml:space="preserve">Mean Absolute Percentage Error (MAPE)
Minimize this cell using solver to estimate the best lag 1 parameter for the exponential smoothing. </t>
        </r>
      </text>
    </comment>
  </commentList>
</comments>
</file>

<file path=xl/comments17.xml><?xml version="1.0" encoding="utf-8"?>
<comments xmlns="http://schemas.openxmlformats.org/spreadsheetml/2006/main">
  <authors>
    <author>Moffitt, Steve D (DFG)</author>
    <author>rebrenner</author>
  </authors>
  <commentList>
    <comment ref="N3" authorId="0">
      <text>
        <r>
          <rPr>
            <b/>
            <sz val="8"/>
            <color indexed="81"/>
            <rFont val="Tahoma"/>
            <family val="2"/>
          </rPr>
          <t>Moffitt, Steve D (DFG):</t>
        </r>
        <r>
          <rPr>
            <sz val="8"/>
            <color indexed="81"/>
            <rFont val="Tahoma"/>
            <family val="2"/>
          </rPr>
          <t xml:space="preserve">
</t>
        </r>
        <r>
          <rPr>
            <sz val="12"/>
            <color indexed="81"/>
            <rFont val="Tahoma"/>
            <family val="2"/>
          </rPr>
          <t>To minimize the mean absolute percentage error (MAPE) use solver. 
Or you can just enter values to see how they influence the MAPE and the plot.</t>
        </r>
      </text>
    </comment>
    <comment ref="B7" authorId="0">
      <text>
        <r>
          <rPr>
            <b/>
            <sz val="8"/>
            <color indexed="81"/>
            <rFont val="Tahoma"/>
            <family val="2"/>
          </rPr>
          <t>Moffitt, Steve D (DFG):</t>
        </r>
        <r>
          <rPr>
            <sz val="8"/>
            <color indexed="81"/>
            <rFont val="Tahoma"/>
            <family val="2"/>
          </rPr>
          <t xml:space="preserve">
Harvests + AUC adjusted for stream life only.</t>
        </r>
      </text>
    </comment>
    <comment ref="E69" authorId="1">
      <text>
        <r>
          <rPr>
            <b/>
            <sz val="9"/>
            <color indexed="81"/>
            <rFont val="Tahoma"/>
            <family val="2"/>
          </rPr>
          <t>rebrenner:</t>
        </r>
        <r>
          <rPr>
            <sz val="9"/>
            <color indexed="81"/>
            <rFont val="Tahoma"/>
            <family val="2"/>
          </rPr>
          <t xml:space="preserve">
</t>
        </r>
        <r>
          <rPr>
            <sz val="20"/>
            <color indexed="81"/>
            <rFont val="Tahoma"/>
            <family val="2"/>
          </rPr>
          <t>Also try using Solver to minimize this, which might be less biased than MAPE</t>
        </r>
      </text>
    </comment>
    <comment ref="G69" authorId="0">
      <text>
        <r>
          <rPr>
            <b/>
            <sz val="8"/>
            <color indexed="81"/>
            <rFont val="Tahoma"/>
            <family val="2"/>
          </rPr>
          <t>Moffitt, Steve D (DFG):</t>
        </r>
        <r>
          <rPr>
            <sz val="8"/>
            <color indexed="81"/>
            <rFont val="Tahoma"/>
            <family val="2"/>
          </rPr>
          <t xml:space="preserve">
</t>
        </r>
        <r>
          <rPr>
            <sz val="12"/>
            <color indexed="81"/>
            <rFont val="Tahoma"/>
            <family val="2"/>
          </rPr>
          <t xml:space="preserve">Mean Absolute Percentage Error (MAPE)
Minimize this cell using solver to estimate the best lag 1 parameter for the exponential smoothing. </t>
        </r>
      </text>
    </comment>
    <comment ref="H69" authorId="1">
      <text>
        <r>
          <rPr>
            <b/>
            <sz val="9"/>
            <color indexed="81"/>
            <rFont val="Tahoma"/>
            <family val="2"/>
          </rPr>
          <t>rebrenner:</t>
        </r>
        <r>
          <rPr>
            <sz val="9"/>
            <color indexed="81"/>
            <rFont val="Tahoma"/>
            <family val="2"/>
          </rPr>
          <t xml:space="preserve">
</t>
        </r>
        <r>
          <rPr>
            <sz val="16"/>
            <color indexed="81"/>
            <rFont val="Tahoma"/>
            <family val="2"/>
          </rPr>
          <t>But remember that this forecast includes even and odd years, which might not be appropriate given the substantially larger odd years.</t>
        </r>
      </text>
    </comment>
  </commentList>
</comments>
</file>

<file path=xl/comments18.xml><?xml version="1.0" encoding="utf-8"?>
<comments xmlns="http://schemas.openxmlformats.org/spreadsheetml/2006/main">
  <authors>
    <author>Steve Moffitt</author>
    <author>ramerizon</author>
  </authors>
  <commentList>
    <comment ref="C6" authorId="0">
      <text>
        <r>
          <rPr>
            <b/>
            <sz val="8"/>
            <color indexed="81"/>
            <rFont val="Tahoma"/>
            <family val="2"/>
          </rPr>
          <t>Steve Moffitt:</t>
        </r>
        <r>
          <rPr>
            <sz val="8"/>
            <color indexed="81"/>
            <rFont val="Tahoma"/>
            <family val="2"/>
          </rPr>
          <t xml:space="preserve">
</t>
        </r>
        <r>
          <rPr>
            <sz val="12"/>
            <color indexed="81"/>
            <rFont val="Tahoma"/>
            <family val="2"/>
          </rPr>
          <t>In Millions  
From AMR Appendix E.6 or 
Appendix E.5</t>
        </r>
      </text>
    </comment>
    <comment ref="D6" authorId="0">
      <text>
        <r>
          <rPr>
            <b/>
            <sz val="8"/>
            <color indexed="81"/>
            <rFont val="Tahoma"/>
            <family val="2"/>
          </rPr>
          <t>Steve Moffitt:</t>
        </r>
        <r>
          <rPr>
            <sz val="8"/>
            <color indexed="81"/>
            <rFont val="Tahoma"/>
            <family val="2"/>
          </rPr>
          <t xml:space="preserve">
</t>
        </r>
        <r>
          <rPr>
            <b/>
            <sz val="14"/>
            <color indexed="81"/>
            <rFont val="Tahoma"/>
            <family val="2"/>
          </rPr>
          <t>What is this ???</t>
        </r>
      </text>
    </comment>
    <comment ref="F6" authorId="0">
      <text>
        <r>
          <rPr>
            <b/>
            <sz val="10"/>
            <color indexed="81"/>
            <rFont val="Tahoma"/>
            <family val="2"/>
          </rPr>
          <t xml:space="preserve">Steve Moffitt:
</t>
        </r>
        <r>
          <rPr>
            <b/>
            <sz val="12"/>
            <color indexed="81"/>
            <rFont val="Tahoma"/>
            <family val="2"/>
          </rPr>
          <t>Revised CWT contribution estimates based on individual hatchery adjustment factors. Total return after 1998 based on otolith thermal marks.</t>
        </r>
        <r>
          <rPr>
            <sz val="12"/>
            <color indexed="81"/>
            <rFont val="Tahoma"/>
            <family val="2"/>
          </rPr>
          <t xml:space="preserve">
</t>
        </r>
      </text>
    </comment>
    <comment ref="C13" authorId="0">
      <text>
        <r>
          <rPr>
            <b/>
            <sz val="8"/>
            <color indexed="81"/>
            <rFont val="Tahoma"/>
            <family val="2"/>
          </rPr>
          <t>Steve Moffitt:</t>
        </r>
        <r>
          <rPr>
            <sz val="8"/>
            <color indexed="81"/>
            <rFont val="Tahoma"/>
            <family val="2"/>
          </rPr>
          <t xml:space="preserve">
</t>
        </r>
        <r>
          <rPr>
            <sz val="10"/>
            <color indexed="81"/>
            <rFont val="Tahoma"/>
            <family val="2"/>
          </rPr>
          <t>Numbers revised in 1989 AMR.</t>
        </r>
      </text>
    </comment>
    <comment ref="F35" authorId="0">
      <text>
        <r>
          <rPr>
            <b/>
            <sz val="10"/>
            <color indexed="81"/>
            <rFont val="Tahoma"/>
            <family val="2"/>
          </rPr>
          <t xml:space="preserve">Steve Moffitt:
</t>
        </r>
        <r>
          <rPr>
            <b/>
            <sz val="12"/>
            <color indexed="81"/>
            <rFont val="Tahoma"/>
            <family val="2"/>
          </rPr>
          <t>Revised CWT contribution estimates based on individual hatchery adjustment factors. Total return after 1998 based on otolith thermal marks.</t>
        </r>
        <r>
          <rPr>
            <sz val="12"/>
            <color indexed="81"/>
            <rFont val="Tahoma"/>
            <family val="2"/>
          </rPr>
          <t xml:space="preserve">
</t>
        </r>
      </text>
    </comment>
    <comment ref="F44" authorId="0">
      <text>
        <r>
          <rPr>
            <b/>
            <sz val="12"/>
            <color indexed="81"/>
            <rFont val="Tahoma"/>
            <family val="2"/>
          </rPr>
          <t>Steve Moffitt:</t>
        </r>
        <r>
          <rPr>
            <sz val="12"/>
            <color indexed="81"/>
            <rFont val="Tahoma"/>
            <family val="2"/>
          </rPr>
          <t xml:space="preserve">
Total return based on otolith thermal marks after 1998.</t>
        </r>
      </text>
    </comment>
    <comment ref="C48" authorId="0">
      <text>
        <r>
          <rPr>
            <b/>
            <sz val="8"/>
            <color indexed="81"/>
            <rFont val="Tahoma"/>
            <family val="2"/>
          </rPr>
          <t>Steve Moffitt:</t>
        </r>
        <r>
          <rPr>
            <sz val="8"/>
            <color indexed="81"/>
            <rFont val="Tahoma"/>
            <family val="2"/>
          </rPr>
          <t xml:space="preserve">
From Adjusted  Stream totals table. AMR Appendix E.6</t>
        </r>
      </text>
    </comment>
    <comment ref="C49" authorId="1">
      <text>
        <r>
          <rPr>
            <sz val="10"/>
            <color indexed="81"/>
            <rFont val="Tahoma"/>
            <family val="2"/>
          </rPr>
          <t>From Adjusted Stream Totals, all PWS District indexed escapement total.</t>
        </r>
        <r>
          <rPr>
            <sz val="8"/>
            <color indexed="81"/>
            <rFont val="Tahoma"/>
            <family val="2"/>
          </rPr>
          <t xml:space="preserve">
</t>
        </r>
      </text>
    </comment>
    <comment ref="E49" authorId="1">
      <text>
        <r>
          <rPr>
            <sz val="10"/>
            <color indexed="81"/>
            <rFont val="Tahoma"/>
            <family val="2"/>
          </rPr>
          <t>Based on PRELIMINARY contribution estimates, 11/19/2003, RM</t>
        </r>
        <r>
          <rPr>
            <sz val="8"/>
            <color indexed="81"/>
            <rFont val="Tahoma"/>
            <family val="2"/>
          </rPr>
          <t xml:space="preserve">
</t>
        </r>
      </text>
    </comment>
    <comment ref="C50" authorId="1">
      <text>
        <r>
          <rPr>
            <sz val="10"/>
            <color indexed="81"/>
            <rFont val="Tahoma"/>
            <family val="2"/>
          </rPr>
          <t>From Adjusted Stream Totals, all PWS District indexed escapement total.</t>
        </r>
        <r>
          <rPr>
            <sz val="8"/>
            <color indexed="81"/>
            <rFont val="Tahoma"/>
            <family val="2"/>
          </rPr>
          <t xml:space="preserve">
</t>
        </r>
      </text>
    </comment>
    <comment ref="E50" authorId="1">
      <text>
        <r>
          <rPr>
            <b/>
            <sz val="10"/>
            <color indexed="81"/>
            <rFont val="Tahoma"/>
            <family val="2"/>
          </rPr>
          <t>ramerizon:</t>
        </r>
        <r>
          <rPr>
            <sz val="10"/>
            <color indexed="81"/>
            <rFont val="Tahoma"/>
            <family val="2"/>
          </rPr>
          <t xml:space="preserve">
Based on PRELIMINARY contribution estimates, 11/29/2004.</t>
        </r>
      </text>
    </comment>
  </commentList>
</comments>
</file>

<file path=xl/sharedStrings.xml><?xml version="1.0" encoding="utf-8"?>
<sst xmlns="http://schemas.openxmlformats.org/spreadsheetml/2006/main" count="1513" uniqueCount="423">
  <si>
    <t>File:</t>
  </si>
  <si>
    <t>Sheet:</t>
  </si>
  <si>
    <t>Date:</t>
  </si>
  <si>
    <t>Data Section</t>
  </si>
  <si>
    <t xml:space="preserve">      Returns per</t>
  </si>
  <si>
    <t>Absolute</t>
  </si>
  <si>
    <t>Brood</t>
  </si>
  <si>
    <t>Return</t>
  </si>
  <si>
    <t>SST</t>
  </si>
  <si>
    <t>Average Fry Index by Tide Zone</t>
  </si>
  <si>
    <t>Total</t>
  </si>
  <si>
    <t xml:space="preserve">      Spawner Index</t>
  </si>
  <si>
    <t xml:space="preserve">      Alevin Index</t>
  </si>
  <si>
    <t>Squared</t>
  </si>
  <si>
    <t xml:space="preserve">       Confidence</t>
  </si>
  <si>
    <t>Percent</t>
  </si>
  <si>
    <t>Year</t>
  </si>
  <si>
    <t>BYE</t>
  </si>
  <si>
    <t>Anom.</t>
  </si>
  <si>
    <t>7</t>
  </si>
  <si>
    <t>9</t>
  </si>
  <si>
    <t>11</t>
  </si>
  <si>
    <t>IT</t>
  </si>
  <si>
    <t>20</t>
  </si>
  <si>
    <t>ALL</t>
  </si>
  <si>
    <t>AVG</t>
  </si>
  <si>
    <t>ln(Trtn)</t>
  </si>
  <si>
    <t>R/Sp</t>
  </si>
  <si>
    <t>Ln(R/Sp)</t>
  </si>
  <si>
    <t>R/AI</t>
  </si>
  <si>
    <t>Ln(R/AI)</t>
  </si>
  <si>
    <t>Error</t>
  </si>
  <si>
    <t>Lower</t>
  </si>
  <si>
    <t>Upper</t>
  </si>
  <si>
    <t>Constant</t>
  </si>
  <si>
    <t>Model = Predict log returns per spawner  (ln(R/S) from brood year escapement (S)</t>
  </si>
  <si>
    <t>X =</t>
  </si>
  <si>
    <t>S</t>
  </si>
  <si>
    <t>Y=</t>
  </si>
  <si>
    <t>ln(R/S)</t>
  </si>
  <si>
    <t>Graphics Section</t>
  </si>
  <si>
    <t xml:space="preserve">        Variables</t>
  </si>
  <si>
    <t xml:space="preserve">          Regression Data</t>
  </si>
  <si>
    <t xml:space="preserve">       Confidence Intervals (transformed if applicable)</t>
  </si>
  <si>
    <t xml:space="preserve">         Confidence Intervals (in numbers of fish)</t>
  </si>
  <si>
    <t>X</t>
  </si>
  <si>
    <t>(A)</t>
  </si>
  <si>
    <t>(B)</t>
  </si>
  <si>
    <t>Labels(B)</t>
  </si>
  <si>
    <t>Confidence Bounds</t>
  </si>
  <si>
    <t>Independent</t>
  </si>
  <si>
    <t>Dependent</t>
  </si>
  <si>
    <t>Std Err</t>
  </si>
  <si>
    <t>Y est</t>
  </si>
  <si>
    <t>Leave 1 out</t>
  </si>
  <si>
    <t>Point</t>
  </si>
  <si>
    <t>Brood Yr.</t>
  </si>
  <si>
    <t>Predicted</t>
  </si>
  <si>
    <t>Actual</t>
  </si>
  <si>
    <t>(C)</t>
  </si>
  <si>
    <t>(D)</t>
  </si>
  <si>
    <t>Y_x001E_do_x001F_</t>
  </si>
  <si>
    <t>N</t>
  </si>
  <si>
    <t>d.f.</t>
  </si>
  <si>
    <t>Coef. X</t>
  </si>
  <si>
    <t>Y_x001E_de_x001F_</t>
  </si>
  <si>
    <t>R_x001E_u2_x001F_</t>
  </si>
  <si>
    <t>MSE</t>
  </si>
  <si>
    <t>Y_x001E_do_x001F_-Y_x001E_de</t>
  </si>
  <si>
    <t>E_x001E_u2_x001F_=(Y_x001E_da_x001F_-Y_x001E_de_x001F_)_x001E_u2_x001F_</t>
  </si>
  <si>
    <t>Y_x001E_de_x001F_-Avg(E_x001E_u2_x001F_)</t>
  </si>
  <si>
    <t>Y_x001E_de_x001F_+Avg(E_x001E_u2_x001F_)</t>
  </si>
  <si>
    <t>(Y_x001E_de_x001F_-Y_x001E_do_x001F_)/Y_x001E_do_x001F_</t>
  </si>
  <si>
    <t>Escapement</t>
  </si>
  <si>
    <t>Y</t>
  </si>
  <si>
    <t>Forecast</t>
  </si>
  <si>
    <t>leave 1 out</t>
  </si>
  <si>
    <t>d.f. =</t>
  </si>
  <si>
    <t>M.S.E. Leave 1 out =</t>
  </si>
  <si>
    <t>t=</t>
  </si>
  <si>
    <t>regression</t>
  </si>
  <si>
    <t>M.S.E. ALL =</t>
  </si>
  <si>
    <t>M.S.E. =</t>
  </si>
  <si>
    <t>Avg Err=</t>
  </si>
  <si>
    <t xml:space="preserve">     </t>
  </si>
  <si>
    <t>Low</t>
  </si>
  <si>
    <t>High</t>
  </si>
  <si>
    <t>1998 Forecast =</t>
  </si>
  <si>
    <t>PWS Historic Fry/_x001E_u2_x001F_ for index streams (include #87, exclude #89)</t>
  </si>
  <si>
    <t xml:space="preserve">( I am not sure what Sharr was trying to accomplish with these two pages for #87 and #89.  It appears that 95 fcst was based on </t>
  </si>
  <si>
    <t xml:space="preserve">87 w/o 89, but 93 fry dig is not clear;  the database contains data only for 89, but calcs are entered here for 87 wo 89, and no entries on </t>
  </si>
  <si>
    <t>next page for 89 w/o 87.  I also could not recreate the calculations this page from the 93 fry dig database.  jw 11/95)</t>
  </si>
  <si>
    <t>EGG</t>
  </si>
  <si>
    <t>FRY</t>
  </si>
  <si>
    <t>NEW CALCULATION (COLUMN)</t>
  </si>
  <si>
    <t xml:space="preserve">  OLD CALCULATION (ROW)</t>
  </si>
  <si>
    <t>YEAR</t>
  </si>
  <si>
    <t>MTH7</t>
  </si>
  <si>
    <t>MTH9</t>
  </si>
  <si>
    <t>MTH11</t>
  </si>
  <si>
    <t>TIDAL</t>
  </si>
  <si>
    <t>UPSTR</t>
  </si>
  <si>
    <t>TOTAL</t>
  </si>
  <si>
    <t>&lt;  These do not include Strm 89 as an index strm.  However no digs were done at 87</t>
  </si>
  <si>
    <t xml:space="preserve">      and the net effect is to exclude data for both streams.  Treatment for previous yrs</t>
  </si>
  <si>
    <t xml:space="preserve">       is not known.    jw 11/95.</t>
  </si>
  <si>
    <t>AVERAGE:</t>
  </si>
  <si>
    <t>ADF&amp;G INDEX STREAMS:</t>
  </si>
  <si>
    <t>11,35,52,80,87,117,123,153,265,322,421,430,455,480,604,632,673,744,749,775,815,828,850,861</t>
  </si>
  <si>
    <t>New Calculation Method (columns)</t>
  </si>
  <si>
    <t>1)</t>
  </si>
  <si>
    <t>The average fry/m_x001E_u2_x001F_ is calculated for each index stream individully</t>
  </si>
  <si>
    <t>2)</t>
  </si>
  <si>
    <t>All individual stream indices are averaged with equal weight to generate a grand</t>
  </si>
  <si>
    <t>mean fry/_x001E_u2_x001F_ for a given year and mean tide height (MTH).</t>
  </si>
  <si>
    <t>Old Calculation Method (Rows)</t>
  </si>
  <si>
    <t>The total live pink fry (F) is divided by the total number of digs (D) is calculated</t>
  </si>
  <si>
    <t>for all streams in the index combined for a given year and mean tide height (MTH).</t>
  </si>
  <si>
    <t>Total live fry per dig (F/D) is multiplied by units of digs/m_x001E_u2_x001F_ for fry/m_x001E_u2_x001F_ by year and</t>
  </si>
  <si>
    <t>mth. This is analogous to a weighted mean. (weighted by fry per dig per stream).</t>
  </si>
  <si>
    <t>&lt;  revisited databases to recalculate including #89 as indx strm 1992-95.  jw 11/95</t>
  </si>
  <si>
    <t xml:space="preserve">     Previous years need to be verified, several inconsistencies noticed in recalc process.</t>
  </si>
  <si>
    <t>Line above is in direct oposition to entry in cell A1.  92-95 calcs include 89 as an indx strm ( see note above jw 11/95)</t>
  </si>
  <si>
    <t>INCLUDES 2ND TRIP (89) DATA IN CALCULATION</t>
  </si>
  <si>
    <t>Table of t values (two tailed)</t>
  </si>
  <si>
    <t>Bloom Duration</t>
  </si>
  <si>
    <t>Food Days</t>
  </si>
  <si>
    <t>Average</t>
  </si>
  <si>
    <t>Avg</t>
  </si>
  <si>
    <t>t</t>
  </si>
  <si>
    <t>C.I.(80%)</t>
  </si>
  <si>
    <t>Run Estimate</t>
  </si>
  <si>
    <t>Esc. Goal</t>
  </si>
  <si>
    <t>Harvest</t>
  </si>
  <si>
    <t>Ln(r/s)</t>
  </si>
  <si>
    <t>Resid df</t>
  </si>
  <si>
    <t>Intercept</t>
  </si>
  <si>
    <t>CoefX</t>
  </si>
  <si>
    <t>CoefXSE</t>
  </si>
  <si>
    <r>
      <t>Y</t>
    </r>
    <r>
      <rPr>
        <vertAlign val="subscript"/>
        <sz val="10"/>
        <rFont val="DUTCH"/>
      </rPr>
      <t>est</t>
    </r>
  </si>
  <si>
    <t>YestSE</t>
  </si>
  <si>
    <r>
      <t>R</t>
    </r>
    <r>
      <rPr>
        <vertAlign val="superscript"/>
        <sz val="10"/>
        <rFont val="DUTCH"/>
      </rPr>
      <t>sq</t>
    </r>
  </si>
  <si>
    <t>SUMMARY OUTPUT</t>
  </si>
  <si>
    <t>Regression Statistics</t>
  </si>
  <si>
    <t>Multiple R</t>
  </si>
  <si>
    <t>R Square</t>
  </si>
  <si>
    <t>Adjusted R Square</t>
  </si>
  <si>
    <t>Standard Error</t>
  </si>
  <si>
    <t>Observations</t>
  </si>
  <si>
    <t>ANOVA</t>
  </si>
  <si>
    <t>df</t>
  </si>
  <si>
    <t>SS</t>
  </si>
  <si>
    <t>MS</t>
  </si>
  <si>
    <t>F</t>
  </si>
  <si>
    <t>Significance F</t>
  </si>
  <si>
    <t>Regression</t>
  </si>
  <si>
    <t>Residual</t>
  </si>
  <si>
    <t>Coefficients</t>
  </si>
  <si>
    <t>t Stat</t>
  </si>
  <si>
    <t>P-value</t>
  </si>
  <si>
    <t>Lower 95%</t>
  </si>
  <si>
    <t>Upper 95%</t>
  </si>
  <si>
    <t>X Variable 1</t>
  </si>
  <si>
    <t xml:space="preserve">PY Total </t>
  </si>
  <si>
    <t>using mean</t>
  </si>
  <si>
    <t>Stdv</t>
  </si>
  <si>
    <t>Revised CWT estimates of wild stock return (Appendix F13, 1998 AMR) are included for BY 1987-1996 (M. Willette, 9/20/99).</t>
  </si>
  <si>
    <t>Odd year returns, 1981-1999</t>
  </si>
  <si>
    <t>n =</t>
  </si>
  <si>
    <t xml:space="preserve">Stdv = </t>
  </si>
  <si>
    <t>t =</t>
  </si>
  <si>
    <t>Pred. Int. (80%)</t>
  </si>
  <si>
    <t>Pred. Int.80%)</t>
  </si>
  <si>
    <r>
      <t>R</t>
    </r>
    <r>
      <rPr>
        <b/>
        <vertAlign val="superscript"/>
        <sz val="12"/>
        <rFont val="Tms Rmn"/>
      </rPr>
      <t>2</t>
    </r>
  </si>
  <si>
    <t xml:space="preserve">Prince William Sound wild pink salmon. </t>
  </si>
  <si>
    <t>BYr  Escapement</t>
  </si>
  <si>
    <t xml:space="preserve">Odd </t>
  </si>
  <si>
    <t>Even</t>
  </si>
  <si>
    <t>All</t>
  </si>
  <si>
    <t>Total wild pink salmon return estimates (catch + escapement) for forecasting.</t>
  </si>
  <si>
    <t>Percentage</t>
  </si>
  <si>
    <t>BYR</t>
  </si>
  <si>
    <t>Ln(S)</t>
  </si>
  <si>
    <t>RtYr</t>
  </si>
  <si>
    <t>R</t>
  </si>
  <si>
    <t>Ln(R)</t>
  </si>
  <si>
    <t>R/S</t>
  </si>
  <si>
    <t>Ln(R/S)</t>
  </si>
  <si>
    <t>10-year Ave.</t>
  </si>
  <si>
    <t>2-yr Avg.</t>
  </si>
  <si>
    <t>CCP</t>
  </si>
  <si>
    <t>HCR</t>
  </si>
  <si>
    <t xml:space="preserve">Confidence bounds = </t>
  </si>
  <si>
    <t>%</t>
  </si>
  <si>
    <t>Enter your desired confidence bounds</t>
  </si>
  <si>
    <t>α/2 =</t>
  </si>
  <si>
    <t>formula calculation</t>
  </si>
  <si>
    <t>(1-α/2) =</t>
  </si>
  <si>
    <t>z value =</t>
  </si>
  <si>
    <t>Secondary questions: what is the basic nature of the model that is used in this forecast? What assumptions are made? What alternative models or parameters have been rejected?</t>
  </si>
  <si>
    <t>Most importantly, what data need to be entered prior to analysis and what macros need to be run?</t>
  </si>
  <si>
    <t>The current forecast is simply based on the average of total odd or even year returns.</t>
  </si>
  <si>
    <t xml:space="preserve">The tabs in GREEN are still being utilized to generate a forecast. </t>
  </si>
  <si>
    <t>Ideally, we should also determine the best model using averages for 2, 3, 4, 5, 10, 20, all years by using the absolute % error.</t>
  </si>
  <si>
    <t>The forecasts for coho, sockeye and Chinook for the Copper and Bering Rivers already utilizes this approach.</t>
  </si>
  <si>
    <t>Brood Year</t>
  </si>
  <si>
    <t>Return Year</t>
  </si>
  <si>
    <t>Forecast percentage error</t>
  </si>
  <si>
    <t>Forecast Year</t>
  </si>
  <si>
    <t>Is the year an even yr?</t>
  </si>
  <si>
    <t>the 2 previous brood year returns, the 4 previous brood year returns or the 5 previous brood year returns have given the best forecast in past years.</t>
  </si>
  <si>
    <t>MAPE=</t>
  </si>
  <si>
    <t>SD=</t>
  </si>
  <si>
    <t>Average=</t>
  </si>
  <si>
    <t>Median=</t>
  </si>
  <si>
    <t>SUM=</t>
  </si>
  <si>
    <t>AVERAGE=</t>
  </si>
  <si>
    <t>Prev. Brood Yr.</t>
  </si>
  <si>
    <t>PDO</t>
  </si>
  <si>
    <t>Prev. 2 brood years</t>
  </si>
  <si>
    <t>Prev. 3 brood years</t>
  </si>
  <si>
    <t>Prev. 4 brood years</t>
  </si>
  <si>
    <t>Prev. 5 brood years</t>
  </si>
  <si>
    <t>MEDIAN=</t>
  </si>
  <si>
    <t>STDEV=</t>
  </si>
  <si>
    <r>
      <t>Odd-year</t>
    </r>
    <r>
      <rPr>
        <sz val="12"/>
        <rFont val="Helv"/>
      </rPr>
      <t xml:space="preserve"> Forecast  </t>
    </r>
    <r>
      <rPr>
        <b/>
        <sz val="12"/>
        <rFont val="Helv"/>
      </rPr>
      <t>ABSOLUTE Error</t>
    </r>
    <r>
      <rPr>
        <sz val="12"/>
        <rFont val="Helv"/>
      </rPr>
      <t xml:space="preserve"> (millions of fish)</t>
    </r>
  </si>
  <si>
    <t># of years this was the best predictor since 1970</t>
  </si>
  <si>
    <t>AVG ABS Error=</t>
  </si>
  <si>
    <t>TO DO:</t>
  </si>
  <si>
    <r>
      <t xml:space="preserve">We also need to see if the </t>
    </r>
    <r>
      <rPr>
        <u/>
        <sz val="12"/>
        <rFont val="Helv"/>
      </rPr>
      <t>commercial harvest</t>
    </r>
    <r>
      <rPr>
        <sz val="12"/>
        <rFont val="Helv"/>
      </rPr>
      <t xml:space="preserve"> from the previous brood year and 2, 3, 4, 5 year averages is a good method to predict future </t>
    </r>
    <r>
      <rPr>
        <u/>
        <sz val="12"/>
        <rFont val="Helv"/>
      </rPr>
      <t>commercial harvests</t>
    </r>
    <r>
      <rPr>
        <sz val="12"/>
        <rFont val="Helv"/>
      </rPr>
      <t>.</t>
    </r>
  </si>
  <si>
    <r>
      <t xml:space="preserve">The </t>
    </r>
    <r>
      <rPr>
        <b/>
        <sz val="12"/>
        <rFont val="Helv"/>
      </rPr>
      <t>Evaluation_Total_Run</t>
    </r>
    <r>
      <rPr>
        <sz val="12"/>
        <rFont val="Helv"/>
      </rPr>
      <t xml:space="preserve"> sheet is used to determine the best average to use as the forecast. In this sheet, we compare whether brood year returns, </t>
    </r>
  </si>
  <si>
    <t>RANK=</t>
  </si>
  <si>
    <t>RANK</t>
  </si>
  <si>
    <t>Run</t>
  </si>
  <si>
    <t>Rank</t>
  </si>
  <si>
    <t>Pred. Int. (80%) with t value</t>
  </si>
  <si>
    <t>n</t>
  </si>
  <si>
    <t>Desired P.I. (%)</t>
  </si>
  <si>
    <t>SD</t>
  </si>
  <si>
    <r>
      <t xml:space="preserve">Prev. </t>
    </r>
    <r>
      <rPr>
        <b/>
        <sz val="12"/>
        <rFont val="Helv"/>
      </rPr>
      <t>Brood</t>
    </r>
    <r>
      <rPr>
        <sz val="12"/>
        <rFont val="Helv"/>
      </rPr>
      <t xml:space="preserve"> Yr.</t>
    </r>
  </si>
  <si>
    <t># of years this forecast method had the lowest absolute % error</t>
  </si>
  <si>
    <t>Test Fish</t>
  </si>
  <si>
    <r>
      <t>Even-year</t>
    </r>
    <r>
      <rPr>
        <sz val="12"/>
        <rFont val="Helv"/>
      </rPr>
      <t xml:space="preserve"> Forecast  </t>
    </r>
    <r>
      <rPr>
        <b/>
        <sz val="12"/>
        <rFont val="Helv"/>
      </rPr>
      <t>ABSOLUTE Error</t>
    </r>
    <r>
      <rPr>
        <sz val="12"/>
        <rFont val="Helv"/>
      </rPr>
      <t xml:space="preserve"> (millions of fish)</t>
    </r>
  </si>
  <si>
    <r>
      <t xml:space="preserve">Even-year Forecast </t>
    </r>
    <r>
      <rPr>
        <b/>
        <sz val="12"/>
        <rFont val="Helv"/>
      </rPr>
      <t>absolute percentage error</t>
    </r>
  </si>
  <si>
    <t>Prev. 10 brood years</t>
  </si>
  <si>
    <t>Count</t>
  </si>
  <si>
    <t xml:space="preserve">Table </t>
  </si>
  <si>
    <t xml:space="preserve">Exponential </t>
  </si>
  <si>
    <t xml:space="preserve">Smoothing </t>
  </si>
  <si>
    <t>Damping factor at lag</t>
  </si>
  <si>
    <t>Lag 1 =</t>
  </si>
  <si>
    <t>Lag 2 =</t>
  </si>
  <si>
    <t>Lag 3 =</t>
  </si>
  <si>
    <t>Lag 4 =</t>
  </si>
  <si>
    <t>Exponential Smoothing forecast</t>
  </si>
  <si>
    <t>Absolute Error</t>
  </si>
  <si>
    <t>Absolute Percentage Error</t>
  </si>
  <si>
    <t>Total run</t>
  </si>
  <si>
    <t>Estimate</t>
  </si>
  <si>
    <t>Total Run</t>
  </si>
  <si>
    <t>Graphing section</t>
  </si>
  <si>
    <t xml:space="preserve">Ex-smoothing </t>
  </si>
  <si>
    <t>NA</t>
  </si>
  <si>
    <t>Odd</t>
  </si>
  <si>
    <t>Grand mean observer efficiency =</t>
  </si>
  <si>
    <t>Median</t>
  </si>
  <si>
    <t>Min</t>
  </si>
  <si>
    <t>Max</t>
  </si>
  <si>
    <t>Run Year</t>
  </si>
  <si>
    <t>Stdev</t>
  </si>
  <si>
    <t>Total (w/ observer eff)</t>
  </si>
  <si>
    <t>Proportion of total esc. Measured by index systems =</t>
  </si>
  <si>
    <t>Total (w/ obs eff and prop unsurveyed)</t>
  </si>
  <si>
    <t>Expanded for total streams</t>
  </si>
  <si>
    <t>BROOD YEAR Wild Escapement</t>
  </si>
  <si>
    <t>Total RETURN year Wild run size</t>
  </si>
  <si>
    <r>
      <rPr>
        <b/>
        <sz val="12"/>
        <rFont val="Helv"/>
      </rPr>
      <t xml:space="preserve">Forecast Error </t>
    </r>
    <r>
      <rPr>
        <sz val="12"/>
        <rFont val="Helv"/>
      </rPr>
      <t>in fish (millions)</t>
    </r>
  </si>
  <si>
    <r>
      <t>Odd-year</t>
    </r>
    <r>
      <rPr>
        <sz val="12"/>
        <rFont val="Helv"/>
      </rPr>
      <t xml:space="preserve"> Forecast  </t>
    </r>
    <r>
      <rPr>
        <b/>
        <sz val="12"/>
        <rFont val="Helv"/>
      </rPr>
      <t>ABSOLUTE Percentage Error</t>
    </r>
  </si>
  <si>
    <t>Total (w/ index): strm life but not Obs. Efficiency or total streams</t>
  </si>
  <si>
    <t>All-Years forecast absolute percentage error</t>
  </si>
  <si>
    <t>ODD</t>
  </si>
  <si>
    <t xml:space="preserve">Percentage </t>
  </si>
  <si>
    <t xml:space="preserve">Forecast of Prince William Sound wild pink salmon total run using a lag 1 exponential smoothing with </t>
  </si>
  <si>
    <t>a solver determined damping factor that minimizes the mean absolute percentage error (MAPE).</t>
  </si>
  <si>
    <t>Numerical Error</t>
  </si>
  <si>
    <t>Percentage Error</t>
  </si>
  <si>
    <t xml:space="preserve">Min </t>
  </si>
  <si>
    <t xml:space="preserve">Max </t>
  </si>
  <si>
    <t>Sum</t>
  </si>
  <si>
    <t>Mean Absolute Percentage error =</t>
  </si>
  <si>
    <t>Parameter "c"</t>
  </si>
  <si>
    <t xml:space="preserve">Forecast of Prince William Sound wild pink salmon CCP harvest using a lag 1 exponential smoothing with </t>
  </si>
  <si>
    <t>MAPE =</t>
  </si>
  <si>
    <t>Minimize this value with solver</t>
  </si>
  <si>
    <t xml:space="preserve">by changing the values of lag 2, 3, and 4 </t>
  </si>
  <si>
    <t>subject to the constraint that neither lags 1, 2,3, or 4 are &lt;0.</t>
  </si>
  <si>
    <t xml:space="preserve">Forecast of PWS wild pink salmon total run using exponential </t>
  </si>
  <si>
    <t>(Even Years ONLY).</t>
  </si>
  <si>
    <t>smoothing with damping factors from 0.1 to 0.5, 1962-2010.</t>
  </si>
  <si>
    <t>(Odd Years ONLY).</t>
  </si>
  <si>
    <t>smoothing with damping factors, 1961-2009.</t>
  </si>
  <si>
    <t xml:space="preserve">Forecast of Prince William Sound wild pink salmon total run using </t>
  </si>
  <si>
    <t>(ALL YEARS TOTAL RUNS).</t>
  </si>
  <si>
    <t>Brood Line</t>
  </si>
  <si>
    <t>Filename:</t>
  </si>
  <si>
    <t>Commercial Harvest</t>
  </si>
  <si>
    <t>Difference</t>
  </si>
  <si>
    <t>Species</t>
  </si>
  <si>
    <t>Positive</t>
  </si>
  <si>
    <t>Total Squared Error</t>
  </si>
  <si>
    <t>Total Error</t>
  </si>
  <si>
    <t>Mean Error</t>
  </si>
  <si>
    <t>80% of Mean Error</t>
  </si>
  <si>
    <t>1/2 Width</t>
  </si>
  <si>
    <t>80% C. I.</t>
  </si>
  <si>
    <t xml:space="preserve">Difference </t>
  </si>
  <si>
    <t>Averages</t>
  </si>
  <si>
    <t xml:space="preserve">Actual  </t>
  </si>
  <si>
    <t>Estimation of 80% Confidence Intervals for PWS wild pink salmon forecasts.</t>
  </si>
  <si>
    <t xml:space="preserve">Pink </t>
  </si>
  <si>
    <t>Method</t>
  </si>
  <si>
    <t xml:space="preserve">Point </t>
  </si>
  <si>
    <t>Run Year Projected =</t>
  </si>
  <si>
    <t>L80%</t>
  </si>
  <si>
    <t>U80%</t>
  </si>
  <si>
    <t>MAPE</t>
  </si>
  <si>
    <t>Count (n) =</t>
  </si>
  <si>
    <t>SD of MAPE</t>
  </si>
  <si>
    <t>Exponential smoothing models</t>
  </si>
  <si>
    <t>All years with damping to lag 4</t>
  </si>
  <si>
    <t>Odd years with damping to lag 4</t>
  </si>
  <si>
    <t xml:space="preserve">R/S indexed esc. </t>
  </si>
  <si>
    <t>Lower 95.0%</t>
  </si>
  <si>
    <t>Upper 95.0%</t>
  </si>
  <si>
    <t>BYR Esc to predict BY Return</t>
  </si>
  <si>
    <t>Model</t>
  </si>
  <si>
    <t xml:space="preserve">BYR return = BYR Esc. </t>
  </si>
  <si>
    <t>Ln(BYR return) = Ln(BYR Esc)</t>
  </si>
  <si>
    <t>BYR escapement</t>
  </si>
  <si>
    <r>
      <t>R</t>
    </r>
    <r>
      <rPr>
        <vertAlign val="superscript"/>
        <sz val="12"/>
        <rFont val="Times New Roman"/>
        <family val="1"/>
      </rPr>
      <t>2</t>
    </r>
  </si>
  <si>
    <t>Ln(BYR Return) = Ln(BYR Esc)</t>
  </si>
  <si>
    <t>BYR Total Return (Esc Year +2)</t>
  </si>
  <si>
    <t>Average return models</t>
  </si>
  <si>
    <t>Escapement-return regression models</t>
  </si>
  <si>
    <t>BYR return = BYR Esc.</t>
  </si>
  <si>
    <t>Ln(BYR return) = Ln(BYR Esc.)</t>
  </si>
  <si>
    <t>Odd years lag 1 exp. Smoothing</t>
  </si>
  <si>
    <t>All years lag 1 exp. Smoothing</t>
  </si>
  <si>
    <t>t value =</t>
  </si>
  <si>
    <t>DOF  (n-1) =</t>
  </si>
  <si>
    <t xml:space="preserve">Total run </t>
  </si>
  <si>
    <t xml:space="preserve">formula </t>
  </si>
  <si>
    <t>one tailed</t>
  </si>
  <si>
    <t>smoothing Parameter "c"</t>
  </si>
  <si>
    <t>Ln(BYR Return) = Ln(BYR Esc) brood years 1995--2007</t>
  </si>
  <si>
    <t>Ln(spawners)</t>
  </si>
  <si>
    <t>Ln(return)</t>
  </si>
  <si>
    <t>difference</t>
  </si>
  <si>
    <t>% error</t>
  </si>
  <si>
    <t xml:space="preserve">slope </t>
  </si>
  <si>
    <t>intercept</t>
  </si>
  <si>
    <t>abs(error)</t>
  </si>
  <si>
    <t>Confidence bounds based on the preformance of forecasts in the previous 5 years.</t>
  </si>
  <si>
    <t>Last 5 years used in estimating forecast error</t>
  </si>
  <si>
    <t>Preseason Forecasts</t>
  </si>
  <si>
    <t>Commercial harvest</t>
  </si>
  <si>
    <t>ERROR CHECK!! MAKE SURE THIS NUMBER MATCHES THE FORECAST YEAR</t>
  </si>
  <si>
    <t xml:space="preserve">2.)  In the 'Database' sheet, update the commercial catch, cost recovery, hatchery rack and escapement estimates </t>
  </si>
  <si>
    <t>One tailed or two?</t>
  </si>
  <si>
    <t>Summary of forecast models examined for wild pink salmon.</t>
  </si>
  <si>
    <t>All years</t>
  </si>
  <si>
    <t>1997-2009 odd</t>
  </si>
  <si>
    <t>FORECAST_YEAR=</t>
  </si>
  <si>
    <t>1.)  CHANGE THE FORECAST_YEAR BELOW OR EVERYTHING WILL BE INCORRECT FOR THIS ENTIRE FORECAST AND YOU COULD BE FIRED,</t>
  </si>
  <si>
    <t>RIDICULED, AND/OR FORCED TO WATCH A FRENCH MIME TROUPE</t>
  </si>
  <si>
    <t>Mean Squared Error</t>
  </si>
  <si>
    <t>#of years best</t>
  </si>
  <si>
    <t>Last 5</t>
  </si>
  <si>
    <t>Last 10</t>
  </si>
  <si>
    <t>Even years with damping to lag 4</t>
  </si>
  <si>
    <t>Even years lag 1 exp. Smoothing</t>
  </si>
  <si>
    <t>Total harvest (CCP + HCR)</t>
  </si>
  <si>
    <r>
      <t xml:space="preserve">Index (by definition, </t>
    </r>
    <r>
      <rPr>
        <b/>
        <u/>
        <sz val="12"/>
        <rFont val="SWISS"/>
      </rPr>
      <t>adjusted for stream life</t>
    </r>
    <r>
      <rPr>
        <sz val="12"/>
        <rFont val="SWISS"/>
      </rPr>
      <t>) but NOT observer efficiency</t>
    </r>
  </si>
  <si>
    <t>Hatchery Rack (Brood) and post-brood sales</t>
  </si>
  <si>
    <r>
      <t>Odd-year</t>
    </r>
    <r>
      <rPr>
        <sz val="12"/>
        <rFont val="Helv"/>
      </rPr>
      <t xml:space="preserve"> Forecast </t>
    </r>
    <r>
      <rPr>
        <b/>
        <sz val="12"/>
        <rFont val="Helv"/>
      </rPr>
      <t>Percentage Error</t>
    </r>
  </si>
  <si>
    <t>LOWER</t>
  </si>
  <si>
    <t>UPPER</t>
  </si>
  <si>
    <t>FORECAST TOO HIGH BY THIS AMOUNT</t>
  </si>
  <si>
    <t>FORECAST TOO LOW BY THIS AMOUNT</t>
  </si>
  <si>
    <t xml:space="preserve"> </t>
  </si>
  <si>
    <t>BROOD</t>
  </si>
  <si>
    <t>This sheet should provide instruction on determining a forecast for wild pink salmon in PWS</t>
  </si>
  <si>
    <r>
      <rPr>
        <b/>
        <sz val="18"/>
        <rFont val="SWISS"/>
      </rPr>
      <t>WILD</t>
    </r>
    <r>
      <rPr>
        <b/>
        <sz val="12"/>
        <rFont val="SWISS"/>
      </rPr>
      <t xml:space="preserve"> pink salmon run</t>
    </r>
  </si>
  <si>
    <t>Run Year ESCAPEMENT estimate</t>
  </si>
  <si>
    <t>Total Escapement for the BROOD year (T0)</t>
  </si>
  <si>
    <t>Total Run Size for this RETURN Year (T2)</t>
  </si>
  <si>
    <r>
      <rPr>
        <b/>
        <sz val="12"/>
        <rFont val="Helv"/>
      </rPr>
      <t>FORECAST</t>
    </r>
    <r>
      <rPr>
        <sz val="12"/>
        <rFont val="Helv"/>
      </rPr>
      <t xml:space="preserve"> using total run size averages</t>
    </r>
  </si>
  <si>
    <r>
      <t>Even-year</t>
    </r>
    <r>
      <rPr>
        <sz val="12"/>
        <rFont val="Helv"/>
      </rPr>
      <t xml:space="preserve"> Forecast </t>
    </r>
    <r>
      <rPr>
        <b/>
        <sz val="12"/>
        <rFont val="Helv"/>
      </rPr>
      <t>Proportional Error</t>
    </r>
  </si>
  <si>
    <t>Point Forecast</t>
  </si>
  <si>
    <r>
      <t>R</t>
    </r>
    <r>
      <rPr>
        <vertAlign val="superscript"/>
        <sz val="12"/>
        <color rgb="FF0000FF"/>
        <rFont val="Times New Roman"/>
        <family val="1"/>
      </rPr>
      <t>2</t>
    </r>
  </si>
  <si>
    <t>Proportional Error</t>
  </si>
  <si>
    <t>Current Year Forecast using historical proportional error</t>
  </si>
  <si>
    <t>Check</t>
  </si>
  <si>
    <t>EVEN TOTAL RUN</t>
  </si>
  <si>
    <t>EVEN BROOD</t>
  </si>
  <si>
    <t>TOTAL WILD RUN estimate</t>
  </si>
  <si>
    <t>Microsoft Excel 14.0 Sensitivity Report</t>
  </si>
  <si>
    <t>Worksheet: [2015_PWS_Pink_Wild_forecast-draft.xlsm]Lag1_Exp_smooth_Total Run Odd</t>
  </si>
  <si>
    <t>Report Created: 12/12/2014 10:25:04</t>
  </si>
  <si>
    <t>Variable Cells</t>
  </si>
  <si>
    <t>Cell</t>
  </si>
  <si>
    <t>Name</t>
  </si>
  <si>
    <t>Final</t>
  </si>
  <si>
    <t>Value</t>
  </si>
  <si>
    <t>Reduced</t>
  </si>
  <si>
    <t>Gradient</t>
  </si>
  <si>
    <t>Constraints</t>
  </si>
  <si>
    <t>NONE</t>
  </si>
  <si>
    <t>$O$3</t>
  </si>
  <si>
    <t>harvest</t>
  </si>
  <si>
    <t>Expanded for Observer Efficiency</t>
  </si>
  <si>
    <t>Even Years</t>
  </si>
  <si>
    <t>Odd Years</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</si>
</sst>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43" formatCode="_(* #,##0.00_);_(* \(#,##0.00\);_(* &quot;-&quot;??_);_(@_)"/>
    <numFmt numFmtId="164" formatCode="mm/dd/yy_)"/>
    <numFmt numFmtId="165" formatCode="0.00_)"/>
    <numFmt numFmtId="166" formatCode="0.000_)"/>
    <numFmt numFmtId="167" formatCode="0.0_)"/>
    <numFmt numFmtId="168" formatCode="0.0000_)"/>
    <numFmt numFmtId="169" formatCode="0.00000_)"/>
    <numFmt numFmtId="170" formatCode="0.0%"/>
    <numFmt numFmtId="171" formatCode="0_)"/>
    <numFmt numFmtId="172" formatCode="0.000"/>
    <numFmt numFmtId="173" formatCode="0.0"/>
    <numFmt numFmtId="174" formatCode="0.00000"/>
    <numFmt numFmtId="175" formatCode="0.0000"/>
    <numFmt numFmtId="176" formatCode="#,##0.000"/>
    <numFmt numFmtId="177" formatCode="#,##0.0"/>
    <numFmt numFmtId="178" formatCode="0.0000000_)"/>
    <numFmt numFmtId="179" formatCode="0.000000"/>
    <numFmt numFmtId="180" formatCode="0.00_);[Red]\(0.00\)"/>
    <numFmt numFmtId="181" formatCode="0.000000_);[Red]\(0.000000\)"/>
    <numFmt numFmtId="182" formatCode="_(* #,##0_);_(* \(#,##0\);_(* &quot;-&quot;??_);_(@_)"/>
    <numFmt numFmtId="183" formatCode="0_);[Red]\(0\)"/>
    <numFmt numFmtId="184" formatCode="0.00;[Red]0.00"/>
    <numFmt numFmtId="185" formatCode="#,##0.0000;[Red]#,##0.0000"/>
    <numFmt numFmtId="186" formatCode="#,##0.0000"/>
    <numFmt numFmtId="187" formatCode="#,##0;[Red]#,##0"/>
  </numFmts>
  <fonts count="123" x14ac:knownFonts="1">
    <font>
      <sz val="12"/>
      <name val="Helv"/>
    </font>
    <font>
      <sz val="10"/>
      <name val="Times New Roman"/>
      <family val="1"/>
    </font>
    <font>
      <sz val="10"/>
      <name val="Times New Roman"/>
      <family val="1"/>
    </font>
    <font>
      <sz val="10"/>
      <name val="Tms Rmn"/>
    </font>
    <font>
      <sz val="12"/>
      <color indexed="12"/>
      <name val="Helv"/>
    </font>
    <font>
      <b/>
      <sz val="12"/>
      <color indexed="12"/>
      <name val="Helv"/>
    </font>
    <font>
      <sz val="12"/>
      <color indexed="10"/>
      <name val="Helv"/>
    </font>
    <font>
      <b/>
      <sz val="12"/>
      <name val="Helv"/>
    </font>
    <font>
      <sz val="10"/>
      <name val="DUTCH"/>
      <family val="1"/>
    </font>
    <font>
      <vertAlign val="subscript"/>
      <sz val="10"/>
      <name val="DUTCH"/>
    </font>
    <font>
      <vertAlign val="superscript"/>
      <sz val="10"/>
      <name val="DUTCH"/>
    </font>
    <font>
      <i/>
      <sz val="12"/>
      <name val="Helv"/>
    </font>
    <font>
      <sz val="8"/>
      <color indexed="81"/>
      <name val="Tahoma"/>
      <family val="2"/>
    </font>
    <font>
      <b/>
      <sz val="8"/>
      <color indexed="81"/>
      <name val="Tahoma"/>
      <family val="2"/>
    </font>
    <font>
      <sz val="12"/>
      <color indexed="81"/>
      <name val="Tahoma"/>
      <family val="2"/>
    </font>
    <font>
      <sz val="12"/>
      <name val="Times New Roman"/>
      <family val="1"/>
    </font>
    <font>
      <b/>
      <vertAlign val="superscript"/>
      <sz val="12"/>
      <name val="Tms Rmn"/>
    </font>
    <font>
      <b/>
      <sz val="12"/>
      <name val="Tms Rmn"/>
    </font>
    <font>
      <b/>
      <sz val="10"/>
      <color indexed="81"/>
      <name val="Tahoma"/>
      <family val="2"/>
    </font>
    <font>
      <b/>
      <sz val="12"/>
      <color indexed="81"/>
      <name val="Tahoma"/>
      <family val="2"/>
    </font>
    <font>
      <b/>
      <sz val="14"/>
      <color indexed="81"/>
      <name val="Tahoma"/>
      <family val="2"/>
    </font>
    <font>
      <sz val="10"/>
      <name val="Times New Roman"/>
      <family val="1"/>
    </font>
    <font>
      <sz val="10"/>
      <color indexed="81"/>
      <name val="Tahoma"/>
      <family val="2"/>
    </font>
    <font>
      <sz val="8"/>
      <name val="Helv"/>
    </font>
    <font>
      <b/>
      <sz val="12"/>
      <name val="Times New Roman"/>
      <family val="1"/>
    </font>
    <font>
      <b/>
      <sz val="10"/>
      <name val="Times New Roman"/>
      <family val="1"/>
    </font>
    <font>
      <b/>
      <sz val="12"/>
      <color indexed="8"/>
      <name val="Times New Roman"/>
      <family val="1"/>
    </font>
    <font>
      <sz val="12"/>
      <color indexed="12"/>
      <name val="Times New Roman"/>
      <family val="1"/>
    </font>
    <font>
      <sz val="12"/>
      <color indexed="8"/>
      <name val="Times New Roman"/>
      <family val="1"/>
    </font>
    <font>
      <sz val="12"/>
      <color indexed="10"/>
      <name val="Times New Roman"/>
      <family val="1"/>
    </font>
    <font>
      <b/>
      <sz val="12"/>
      <color indexed="12"/>
      <name val="Times New Roman"/>
      <family val="1"/>
    </font>
    <font>
      <sz val="10"/>
      <color indexed="10"/>
      <name val="Arial"/>
      <family val="2"/>
    </font>
    <font>
      <sz val="12"/>
      <color indexed="12"/>
      <name val="Arial"/>
      <family val="2"/>
    </font>
    <font>
      <b/>
      <sz val="14"/>
      <color indexed="12"/>
      <name val="Helv"/>
    </font>
    <font>
      <sz val="10"/>
      <color indexed="12"/>
      <name val="Times New Roman"/>
      <family val="1"/>
    </font>
    <font>
      <b/>
      <sz val="10"/>
      <color indexed="12"/>
      <name val="Times New Roman"/>
      <family val="1"/>
    </font>
    <font>
      <sz val="12"/>
      <name val="Helv"/>
    </font>
    <font>
      <u/>
      <sz val="12"/>
      <name val="Helv"/>
    </font>
    <font>
      <sz val="16"/>
      <color indexed="81"/>
      <name val="Tahoma"/>
      <family val="2"/>
    </font>
    <font>
      <sz val="12"/>
      <color indexed="12"/>
      <name val="Times New Roman"/>
      <family val="1"/>
    </font>
    <font>
      <u/>
      <sz val="16"/>
      <color indexed="81"/>
      <name val="Tahoma"/>
      <family val="2"/>
    </font>
    <font>
      <vertAlign val="subscript"/>
      <sz val="16"/>
      <color indexed="81"/>
      <name val="Tahoma"/>
      <family val="2"/>
    </font>
    <font>
      <sz val="14"/>
      <color indexed="81"/>
      <name val="Tahoma"/>
      <family val="2"/>
    </font>
    <font>
      <sz val="20"/>
      <color indexed="81"/>
      <name val="Tahoma"/>
      <family val="2"/>
    </font>
    <font>
      <vertAlign val="subscript"/>
      <sz val="14"/>
      <color indexed="81"/>
      <name val="Tahoma"/>
      <family val="2"/>
    </font>
    <font>
      <b/>
      <sz val="16"/>
      <color indexed="81"/>
      <name val="Tahoma"/>
      <family val="2"/>
    </font>
    <font>
      <b/>
      <sz val="14"/>
      <color indexed="12"/>
      <name val="Times New Roman"/>
      <family val="1"/>
    </font>
    <font>
      <sz val="18"/>
      <color indexed="81"/>
      <name val="Tahoma"/>
      <family val="2"/>
    </font>
    <font>
      <sz val="12"/>
      <name val="Arial MT"/>
    </font>
    <font>
      <sz val="8"/>
      <name val="Arial MT"/>
    </font>
    <font>
      <sz val="12"/>
      <color indexed="12"/>
      <name val="Arial MT"/>
    </font>
    <font>
      <b/>
      <sz val="12"/>
      <name val="Arial MT"/>
    </font>
    <font>
      <sz val="12"/>
      <color indexed="12"/>
      <name val="Arial MT"/>
      <family val="2"/>
    </font>
    <font>
      <b/>
      <sz val="16"/>
      <name val="Arial MT"/>
    </font>
    <font>
      <sz val="12"/>
      <color indexed="8"/>
      <name val="Arial MT"/>
    </font>
    <font>
      <sz val="12"/>
      <name val="SWISS"/>
    </font>
    <font>
      <sz val="8"/>
      <name val="SWISS"/>
    </font>
    <font>
      <sz val="12"/>
      <color indexed="12"/>
      <name val="SWISS"/>
    </font>
    <font>
      <b/>
      <sz val="12"/>
      <name val="SWISS"/>
    </font>
    <font>
      <sz val="12"/>
      <color indexed="10"/>
      <name val="SWISS"/>
    </font>
    <font>
      <sz val="9"/>
      <color indexed="81"/>
      <name val="Tahoma"/>
      <family val="2"/>
    </font>
    <font>
      <b/>
      <sz val="9"/>
      <color indexed="81"/>
      <name val="Tahoma"/>
      <family val="2"/>
    </font>
    <font>
      <b/>
      <u/>
      <sz val="12"/>
      <name val="SWISS"/>
    </font>
    <font>
      <sz val="14"/>
      <name val="CG Times (WN)"/>
      <family val="1"/>
    </font>
    <font>
      <sz val="12"/>
      <color indexed="8"/>
      <name val="SWISS"/>
    </font>
    <font>
      <sz val="12"/>
      <color indexed="8"/>
      <name val="SWISS"/>
      <family val="2"/>
    </font>
    <font>
      <sz val="12"/>
      <color indexed="10"/>
      <name val="Tahoma"/>
      <family val="2"/>
    </font>
    <font>
      <vertAlign val="superscript"/>
      <sz val="12"/>
      <name val="Times New Roman"/>
      <family val="1"/>
    </font>
    <font>
      <b/>
      <u/>
      <sz val="12"/>
      <name val="Times New Roman"/>
      <family val="1"/>
    </font>
    <font>
      <b/>
      <sz val="14"/>
      <name val="Times New Roman"/>
      <family val="1"/>
    </font>
    <font>
      <sz val="8"/>
      <color indexed="12"/>
      <name val="Times New Roman"/>
      <family val="1"/>
    </font>
    <font>
      <sz val="22"/>
      <color indexed="81"/>
      <name val="Tahoma"/>
      <family val="2"/>
    </font>
    <font>
      <b/>
      <sz val="14"/>
      <name val="SWISS"/>
    </font>
    <font>
      <sz val="10"/>
      <color indexed="12"/>
      <name val="SWISS"/>
    </font>
    <font>
      <b/>
      <sz val="18"/>
      <name val="Helv"/>
    </font>
    <font>
      <sz val="26"/>
      <name val="Arial MT"/>
    </font>
    <font>
      <sz val="22"/>
      <name val="SWISS"/>
    </font>
    <font>
      <b/>
      <sz val="22"/>
      <color indexed="81"/>
      <name val="Tahoma"/>
      <family val="2"/>
    </font>
    <font>
      <sz val="24"/>
      <color indexed="81"/>
      <name val="Tahoma"/>
      <family val="2"/>
    </font>
    <font>
      <sz val="22"/>
      <color indexed="10"/>
      <name val="Tahoma"/>
      <family val="2"/>
    </font>
    <font>
      <sz val="18"/>
      <color indexed="12"/>
      <name val="Arial MT"/>
    </font>
    <font>
      <sz val="18"/>
      <name val="Arial MT"/>
    </font>
    <font>
      <b/>
      <sz val="18"/>
      <name val="Arial MT"/>
    </font>
    <font>
      <sz val="26"/>
      <color indexed="81"/>
      <name val="Tahoma"/>
      <family val="2"/>
    </font>
    <font>
      <sz val="11"/>
      <name val="Arial MT"/>
    </font>
    <font>
      <b/>
      <sz val="28"/>
      <color indexed="12"/>
      <name val="SWISS"/>
    </font>
    <font>
      <b/>
      <sz val="16"/>
      <color indexed="12"/>
      <name val="SWISS"/>
    </font>
    <font>
      <sz val="12"/>
      <color rgb="FF0000FF"/>
      <name val="Times New Roman"/>
      <family val="1"/>
    </font>
    <font>
      <sz val="12"/>
      <color theme="1"/>
      <name val="Helv"/>
    </font>
    <font>
      <b/>
      <sz val="12"/>
      <color theme="1"/>
      <name val="Helv"/>
    </font>
    <font>
      <b/>
      <sz val="14"/>
      <color theme="1"/>
      <name val="Helv"/>
    </font>
    <font>
      <sz val="12"/>
      <color theme="1"/>
      <name val="Times New Roman"/>
      <family val="1"/>
    </font>
    <font>
      <b/>
      <sz val="12"/>
      <color theme="1"/>
      <name val="Times New Roman"/>
      <family val="1"/>
    </font>
    <font>
      <sz val="10"/>
      <color theme="1"/>
      <name val="Times New Roman"/>
      <family val="1"/>
    </font>
    <font>
      <b/>
      <sz val="12"/>
      <color rgb="FFFF0000"/>
      <name val="SWISS"/>
    </font>
    <font>
      <sz val="12"/>
      <color rgb="FFFF0000"/>
      <name val="SWISS"/>
    </font>
    <font>
      <b/>
      <sz val="12"/>
      <color rgb="FFFF0000"/>
      <name val="Arial MT"/>
    </font>
    <font>
      <sz val="12"/>
      <color rgb="FFFF0000"/>
      <name val="Helv"/>
    </font>
    <font>
      <sz val="12"/>
      <color theme="1"/>
      <name val="SWISS"/>
    </font>
    <font>
      <b/>
      <sz val="22"/>
      <color rgb="FF0000FF"/>
      <name val="Times New Roman"/>
      <family val="1"/>
    </font>
    <font>
      <b/>
      <sz val="22"/>
      <color rgb="FF0000FF"/>
      <name val="SWISS"/>
    </font>
    <font>
      <sz val="18"/>
      <color rgb="FFFF0000"/>
      <name val="Arial MT"/>
    </font>
    <font>
      <sz val="12"/>
      <color theme="1"/>
      <name val="Arial"/>
      <family val="2"/>
    </font>
    <font>
      <b/>
      <sz val="12"/>
      <name val="Helvetica"/>
    </font>
    <font>
      <sz val="18"/>
      <name val="Helv"/>
    </font>
    <font>
      <b/>
      <sz val="18"/>
      <name val="SWISS"/>
    </font>
    <font>
      <sz val="12"/>
      <color rgb="FF0000FF"/>
      <name val="Helv"/>
    </font>
    <font>
      <b/>
      <sz val="14"/>
      <color rgb="FF0000FF"/>
      <name val="Helv"/>
    </font>
    <font>
      <b/>
      <sz val="12"/>
      <color rgb="FF0000FF"/>
      <name val="Helv"/>
    </font>
    <font>
      <b/>
      <sz val="16"/>
      <color rgb="FF0000FF"/>
      <name val="Helv"/>
    </font>
    <font>
      <b/>
      <sz val="20"/>
      <color indexed="12"/>
      <name val="Arial MT"/>
    </font>
    <font>
      <b/>
      <sz val="18"/>
      <color indexed="12"/>
      <name val="Arial MT"/>
    </font>
    <font>
      <sz val="12"/>
      <color rgb="FFFF0000"/>
      <name val="Times New Roman"/>
      <family val="1"/>
    </font>
    <font>
      <vertAlign val="superscript"/>
      <sz val="12"/>
      <color rgb="FF0000FF"/>
      <name val="Times New Roman"/>
      <family val="1"/>
    </font>
    <font>
      <b/>
      <sz val="12"/>
      <color rgb="FF0000FF"/>
      <name val="Times New Roman"/>
      <family val="1"/>
    </font>
    <font>
      <b/>
      <sz val="28"/>
      <color indexed="81"/>
      <name val="Tahoma"/>
      <family val="2"/>
    </font>
    <font>
      <sz val="12"/>
      <color rgb="FF0000FF"/>
      <name val="Arial MT"/>
    </font>
    <font>
      <b/>
      <sz val="12"/>
      <color indexed="18"/>
      <name val="Helv"/>
    </font>
    <font>
      <sz val="12"/>
      <color rgb="FF0000FF"/>
      <name val="SWISS"/>
    </font>
    <font>
      <sz val="18"/>
      <color theme="1"/>
      <name val="Arial MT"/>
    </font>
    <font>
      <sz val="10"/>
      <color rgb="FF000000"/>
      <name val="Times New Roman"/>
      <family val="1"/>
    </font>
    <font>
      <u/>
      <sz val="12"/>
      <color theme="10"/>
      <name val="Helv"/>
    </font>
    <font>
      <u/>
      <sz val="12"/>
      <color theme="11"/>
      <name val="Helv"/>
    </font>
  </fonts>
  <fills count="16">
    <fill>
      <patternFill patternType="none"/>
    </fill>
    <fill>
      <patternFill patternType="gray125"/>
    </fill>
    <fill>
      <patternFill patternType="solid">
        <fgColor indexed="13"/>
        <bgColor indexed="64"/>
      </patternFill>
    </fill>
    <fill>
      <patternFill patternType="solid">
        <fgColor indexed="15"/>
        <bgColor indexed="15"/>
      </patternFill>
    </fill>
    <fill>
      <patternFill patternType="solid">
        <fgColor indexed="15"/>
        <bgColor indexed="64"/>
      </patternFill>
    </fill>
    <fill>
      <patternFill patternType="gray125">
        <fgColor indexed="8"/>
      </patternFill>
    </fill>
    <fill>
      <patternFill patternType="solid">
        <fgColor indexed="10"/>
        <bgColor indexed="64"/>
      </patternFill>
    </fill>
    <fill>
      <patternFill patternType="solid">
        <fgColor indexed="57"/>
        <bgColor indexed="64"/>
      </patternFill>
    </fill>
    <fill>
      <patternFill patternType="solid">
        <fgColor indexed="51"/>
        <bgColor indexed="64"/>
      </patternFill>
    </fill>
    <fill>
      <patternFill patternType="solid">
        <fgColor indexed="22"/>
        <bgColor indexed="64"/>
      </patternFill>
    </fill>
    <fill>
      <patternFill patternType="solid">
        <fgColor theme="0"/>
        <bgColor indexed="64"/>
      </patternFill>
    </fill>
    <fill>
      <patternFill patternType="solid">
        <fgColor rgb="FFFFFF00"/>
        <bgColor indexed="64"/>
      </patternFill>
    </fill>
    <fill>
      <patternFill patternType="solid">
        <fgColor rgb="FFFFFF00"/>
        <bgColor indexed="15"/>
      </patternFill>
    </fill>
    <fill>
      <patternFill patternType="solid">
        <fgColor theme="0"/>
        <bgColor indexed="15"/>
      </patternFill>
    </fill>
    <fill>
      <patternFill patternType="solid">
        <fgColor rgb="FFFF0000"/>
        <bgColor indexed="64"/>
      </patternFill>
    </fill>
    <fill>
      <patternFill patternType="solid">
        <fgColor rgb="FF92D050"/>
        <bgColor indexed="64"/>
      </patternFill>
    </fill>
  </fills>
  <borders count="78">
    <border>
      <left/>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right/>
      <top style="thin">
        <color indexed="8"/>
      </top>
      <bottom/>
      <diagonal/>
    </border>
    <border>
      <left style="thin">
        <color indexed="8"/>
      </left>
      <right style="thin">
        <color indexed="8"/>
      </right>
      <top/>
      <bottom/>
      <diagonal/>
    </border>
    <border>
      <left style="thin">
        <color indexed="8"/>
      </left>
      <right/>
      <top/>
      <bottom/>
      <diagonal/>
    </border>
    <border>
      <left/>
      <right style="thin">
        <color indexed="8"/>
      </right>
      <top/>
      <bottom/>
      <diagonal/>
    </border>
    <border>
      <left/>
      <right/>
      <top/>
      <bottom style="thin">
        <color indexed="8"/>
      </bottom>
      <diagonal/>
    </border>
    <border>
      <left/>
      <right/>
      <top style="thin">
        <color auto="1"/>
      </top>
      <bottom/>
      <diagonal/>
    </border>
    <border>
      <left/>
      <right/>
      <top/>
      <bottom style="medium">
        <color auto="1"/>
      </bottom>
      <diagonal/>
    </border>
    <border>
      <left/>
      <right/>
      <top style="medium">
        <color auto="1"/>
      </top>
      <bottom style="thin">
        <color auto="1"/>
      </bottom>
      <diagonal/>
    </border>
    <border>
      <left/>
      <right/>
      <top/>
      <bottom style="thin">
        <color auto="1"/>
      </bottom>
      <diagonal/>
    </border>
    <border>
      <left/>
      <right/>
      <top style="thin">
        <color auto="1"/>
      </top>
      <bottom style="thin">
        <color auto="1"/>
      </bottom>
      <diagonal/>
    </border>
    <border>
      <left style="thin">
        <color indexed="8"/>
      </left>
      <right/>
      <top style="thin">
        <color indexed="8"/>
      </top>
      <bottom style="thin">
        <color auto="1"/>
      </bottom>
      <diagonal/>
    </border>
    <border>
      <left/>
      <right/>
      <top style="thin">
        <color indexed="8"/>
      </top>
      <bottom style="thin">
        <color auto="1"/>
      </bottom>
      <diagonal/>
    </border>
    <border>
      <left/>
      <right style="thin">
        <color indexed="8"/>
      </right>
      <top style="thin">
        <color indexed="8"/>
      </top>
      <bottom style="thin">
        <color auto="1"/>
      </bottom>
      <diagonal/>
    </border>
    <border>
      <left style="thin">
        <color indexed="8"/>
      </left>
      <right style="thin">
        <color indexed="8"/>
      </right>
      <top style="thin">
        <color indexed="8"/>
      </top>
      <bottom style="thin">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top/>
      <bottom/>
      <diagonal/>
    </border>
    <border>
      <left style="thin">
        <color auto="1"/>
      </left>
      <right style="thin">
        <color auto="1"/>
      </right>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right style="thin">
        <color auto="1"/>
      </right>
      <top/>
      <bottom/>
      <diagonal/>
    </border>
    <border>
      <left/>
      <right style="thin">
        <color auto="1"/>
      </right>
      <top style="thin">
        <color auto="1"/>
      </top>
      <bottom/>
      <diagonal/>
    </border>
    <border>
      <left/>
      <right style="thin">
        <color auto="1"/>
      </right>
      <top/>
      <bottom style="thin">
        <color indexed="8"/>
      </bottom>
      <diagonal/>
    </border>
    <border>
      <left/>
      <right style="thin">
        <color auto="1"/>
      </right>
      <top style="thin">
        <color indexed="8"/>
      </top>
      <bottom/>
      <diagonal/>
    </border>
    <border>
      <left style="thin">
        <color auto="1"/>
      </left>
      <right style="thin">
        <color auto="1"/>
      </right>
      <top style="thin">
        <color indexed="8"/>
      </top>
      <bottom style="thin">
        <color auto="1"/>
      </bottom>
      <diagonal/>
    </border>
    <border>
      <left style="thin">
        <color auto="1"/>
      </left>
      <right style="thin">
        <color auto="1"/>
      </right>
      <top/>
      <bottom style="thin">
        <color indexed="8"/>
      </bottom>
      <diagonal/>
    </border>
    <border>
      <left style="thin">
        <color auto="1"/>
      </left>
      <right style="thin">
        <color auto="1"/>
      </right>
      <top style="thin">
        <color indexed="8"/>
      </top>
      <bottom style="thin">
        <color indexed="8"/>
      </bottom>
      <diagonal/>
    </border>
    <border>
      <left style="thin">
        <color indexed="8"/>
      </left>
      <right style="thin">
        <color auto="1"/>
      </right>
      <top style="thin">
        <color indexed="8"/>
      </top>
      <bottom/>
      <diagonal/>
    </border>
    <border>
      <left style="thin">
        <color indexed="8"/>
      </left>
      <right style="thin">
        <color auto="1"/>
      </right>
      <top/>
      <bottom/>
      <diagonal/>
    </border>
    <border>
      <left style="thin">
        <color indexed="8"/>
      </left>
      <right style="thin">
        <color auto="1"/>
      </right>
      <top/>
      <bottom style="thin">
        <color auto="1"/>
      </bottom>
      <diagonal/>
    </border>
    <border>
      <left style="medium">
        <color auto="1"/>
      </left>
      <right/>
      <top style="thin">
        <color auto="1"/>
      </top>
      <bottom/>
      <diagonal/>
    </border>
    <border>
      <left/>
      <right style="medium">
        <color auto="1"/>
      </right>
      <top style="thin">
        <color auto="1"/>
      </top>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auto="1"/>
      </left>
      <right style="thin">
        <color auto="1"/>
      </right>
      <top style="medium">
        <color auto="1"/>
      </top>
      <bottom/>
      <diagonal/>
    </border>
    <border>
      <left style="thin">
        <color indexed="8"/>
      </left>
      <right style="thin">
        <color indexed="8"/>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style="thin">
        <color indexed="8"/>
      </right>
      <top style="thin">
        <color indexed="8"/>
      </top>
      <bottom style="thin">
        <color indexed="8"/>
      </bottom>
      <diagonal/>
    </border>
    <border>
      <left style="thin">
        <color auto="1"/>
      </left>
      <right/>
      <top style="thin">
        <color auto="1"/>
      </top>
      <bottom style="thin">
        <color auto="1"/>
      </bottom>
      <diagonal/>
    </border>
    <border>
      <left style="thin">
        <color auto="1"/>
      </left>
      <right/>
      <top/>
      <bottom style="thin">
        <color indexed="8"/>
      </bottom>
      <diagonal/>
    </border>
    <border>
      <left style="thin">
        <color auto="1"/>
      </left>
      <right/>
      <top style="thin">
        <color indexed="8"/>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bottom style="thin">
        <color auto="1"/>
      </bottom>
      <diagonal/>
    </border>
    <border>
      <left style="thin">
        <color indexed="8"/>
      </left>
      <right style="thin">
        <color indexed="8"/>
      </right>
      <top style="thin">
        <color auto="1"/>
      </top>
      <bottom/>
      <diagonal/>
    </border>
    <border>
      <left style="thin">
        <color indexed="8"/>
      </left>
      <right/>
      <top style="thin">
        <color auto="1"/>
      </top>
      <bottom style="thin">
        <color indexed="8"/>
      </bottom>
      <diagonal/>
    </border>
    <border>
      <left/>
      <right/>
      <top style="thin">
        <color auto="1"/>
      </top>
      <bottom style="thin">
        <color indexed="8"/>
      </bottom>
      <diagonal/>
    </border>
    <border>
      <left/>
      <right style="thin">
        <color indexed="8"/>
      </right>
      <top style="thin">
        <color auto="1"/>
      </top>
      <bottom style="thin">
        <color indexed="8"/>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right/>
      <top style="medium">
        <color indexed="23"/>
      </top>
      <bottom/>
      <diagonal/>
    </border>
    <border>
      <left/>
      <right/>
      <top/>
      <bottom style="medium">
        <color indexed="23"/>
      </bottom>
      <diagonal/>
    </border>
    <border>
      <left/>
      <right/>
      <top style="thin">
        <color indexed="23"/>
      </top>
      <bottom style="medium">
        <color indexed="23"/>
      </bottom>
      <diagonal/>
    </border>
  </borders>
  <cellStyleXfs count="7">
    <xf numFmtId="0" fontId="0" fillId="0" borderId="0"/>
    <xf numFmtId="43" fontId="2" fillId="0" borderId="0" applyFont="0" applyFill="0" applyBorder="0" applyAlignment="0" applyProtection="0"/>
    <xf numFmtId="0" fontId="48" fillId="0" borderId="0"/>
    <xf numFmtId="0" fontId="55" fillId="0" borderId="0"/>
    <xf numFmtId="9" fontId="2" fillId="0" borderId="0" applyFont="0" applyFill="0" applyBorder="0" applyAlignment="0" applyProtection="0"/>
    <xf numFmtId="0" fontId="121" fillId="0" borderId="0" applyNumberFormat="0" applyFill="0" applyBorder="0" applyAlignment="0" applyProtection="0"/>
    <xf numFmtId="0" fontId="122" fillId="0" borderId="0" applyNumberFormat="0" applyFill="0" applyBorder="0" applyAlignment="0" applyProtection="0"/>
  </cellStyleXfs>
  <cellXfs count="1163">
    <xf numFmtId="0" fontId="0" fillId="0" borderId="0" xfId="0"/>
    <xf numFmtId="165" fontId="0" fillId="0" borderId="0" xfId="0" applyNumberFormat="1" applyProtection="1"/>
    <xf numFmtId="166" fontId="0" fillId="0" borderId="0" xfId="0" applyNumberFormat="1" applyProtection="1"/>
    <xf numFmtId="167" fontId="0" fillId="0" borderId="0" xfId="0" applyNumberFormat="1" applyProtection="1"/>
    <xf numFmtId="37" fontId="0" fillId="0" borderId="0" xfId="0" applyNumberFormat="1" applyProtection="1"/>
    <xf numFmtId="169" fontId="0" fillId="0" borderId="0" xfId="0" applyNumberFormat="1" applyProtection="1"/>
    <xf numFmtId="0" fontId="0" fillId="0" borderId="0" xfId="0" applyAlignment="1">
      <alignment horizontal="center"/>
    </xf>
    <xf numFmtId="0" fontId="0" fillId="0" borderId="0" xfId="0" applyAlignment="1">
      <alignment horizontal="right"/>
    </xf>
    <xf numFmtId="0" fontId="3" fillId="0" borderId="0" xfId="0" applyFont="1"/>
    <xf numFmtId="164" fontId="3" fillId="0" borderId="0" xfId="0" applyNumberFormat="1" applyFont="1" applyProtection="1"/>
    <xf numFmtId="0" fontId="0" fillId="0" borderId="1" xfId="0" applyBorder="1"/>
    <xf numFmtId="0" fontId="3" fillId="0" borderId="2" xfId="0" applyFont="1" applyBorder="1"/>
    <xf numFmtId="0" fontId="3" fillId="0" borderId="3" xfId="0" applyFont="1" applyBorder="1"/>
    <xf numFmtId="0" fontId="0" fillId="0" borderId="4" xfId="0" applyBorder="1" applyAlignment="1">
      <alignment horizontal="center"/>
    </xf>
    <xf numFmtId="0" fontId="3" fillId="0" borderId="1" xfId="0" applyFont="1" applyBorder="1"/>
    <xf numFmtId="0" fontId="0" fillId="0" borderId="2" xfId="0" applyBorder="1"/>
    <xf numFmtId="0" fontId="3" fillId="0" borderId="5" xfId="0" applyFont="1" applyBorder="1"/>
    <xf numFmtId="0" fontId="3" fillId="0" borderId="6" xfId="0" applyFont="1" applyBorder="1"/>
    <xf numFmtId="0" fontId="0" fillId="0" borderId="7" xfId="0" applyBorder="1"/>
    <xf numFmtId="0" fontId="3" fillId="0" borderId="6" xfId="0" applyFont="1" applyBorder="1" applyAlignment="1">
      <alignment horizontal="center"/>
    </xf>
    <xf numFmtId="0" fontId="3" fillId="0" borderId="7" xfId="0" applyFont="1" applyBorder="1" applyAlignment="1">
      <alignment horizontal="center"/>
    </xf>
    <xf numFmtId="0" fontId="0" fillId="0" borderId="8" xfId="0" applyBorder="1"/>
    <xf numFmtId="0" fontId="0" fillId="0" borderId="9" xfId="0" applyBorder="1"/>
    <xf numFmtId="0" fontId="3" fillId="0" borderId="10" xfId="0" applyFont="1" applyBorder="1" applyAlignment="1">
      <alignment horizontal="center"/>
    </xf>
    <xf numFmtId="0" fontId="3" fillId="0" borderId="4" xfId="0" applyFont="1" applyBorder="1" applyAlignment="1">
      <alignment horizontal="center"/>
    </xf>
    <xf numFmtId="0" fontId="4" fillId="0" borderId="6" xfId="0" applyFont="1" applyBorder="1"/>
    <xf numFmtId="0" fontId="0" fillId="0" borderId="5" xfId="0" applyBorder="1"/>
    <xf numFmtId="0" fontId="0" fillId="0" borderId="11" xfId="0" applyBorder="1"/>
    <xf numFmtId="0" fontId="0" fillId="0" borderId="6" xfId="0" applyBorder="1"/>
    <xf numFmtId="0" fontId="5" fillId="0" borderId="12" xfId="0" applyFont="1" applyBorder="1"/>
    <xf numFmtId="0" fontId="0" fillId="0" borderId="12" xfId="0" applyBorder="1"/>
    <xf numFmtId="0" fontId="0" fillId="0" borderId="13" xfId="0" applyBorder="1"/>
    <xf numFmtId="167" fontId="0" fillId="0" borderId="13" xfId="0" applyNumberFormat="1" applyBorder="1" applyProtection="1"/>
    <xf numFmtId="167" fontId="0" fillId="0" borderId="14" xfId="0" applyNumberFormat="1" applyBorder="1" applyProtection="1"/>
    <xf numFmtId="0" fontId="0" fillId="0" borderId="14" xfId="0" applyBorder="1"/>
    <xf numFmtId="165" fontId="4" fillId="0" borderId="0" xfId="0" applyNumberFormat="1" applyFont="1" applyProtection="1"/>
    <xf numFmtId="165" fontId="4" fillId="0" borderId="12" xfId="0" applyNumberFormat="1" applyFont="1" applyBorder="1" applyProtection="1"/>
    <xf numFmtId="0" fontId="4" fillId="0" borderId="0" xfId="0" applyFont="1"/>
    <xf numFmtId="0" fontId="0" fillId="0" borderId="10" xfId="0" applyBorder="1"/>
    <xf numFmtId="0" fontId="4" fillId="0" borderId="13" xfId="0" applyFont="1" applyBorder="1"/>
    <xf numFmtId="167" fontId="4" fillId="0" borderId="13" xfId="0" applyNumberFormat="1" applyFont="1" applyBorder="1" applyProtection="1"/>
    <xf numFmtId="167" fontId="4" fillId="0" borderId="0" xfId="0" applyNumberFormat="1" applyFont="1" applyProtection="1"/>
    <xf numFmtId="165" fontId="6" fillId="0" borderId="12" xfId="0" applyNumberFormat="1" applyFont="1" applyBorder="1" applyProtection="1"/>
    <xf numFmtId="0" fontId="6" fillId="0" borderId="13" xfId="0" applyFont="1" applyBorder="1"/>
    <xf numFmtId="165" fontId="0" fillId="0" borderId="10" xfId="0" applyNumberFormat="1" applyBorder="1" applyProtection="1"/>
    <xf numFmtId="0" fontId="0" fillId="0" borderId="15" xfId="0" applyBorder="1"/>
    <xf numFmtId="0" fontId="7" fillId="0" borderId="0" xfId="0" applyFont="1"/>
    <xf numFmtId="0" fontId="0" fillId="0" borderId="3" xfId="0" applyBorder="1"/>
    <xf numFmtId="168" fontId="4" fillId="0" borderId="0" xfId="0" applyNumberFormat="1" applyFont="1" applyProtection="1"/>
    <xf numFmtId="165" fontId="3" fillId="0" borderId="0" xfId="0" applyNumberFormat="1" applyFont="1" applyProtection="1"/>
    <xf numFmtId="37" fontId="0" fillId="0" borderId="1" xfId="0" applyNumberFormat="1" applyBorder="1" applyProtection="1"/>
    <xf numFmtId="165" fontId="0" fillId="0" borderId="3" xfId="0" applyNumberFormat="1" applyBorder="1" applyProtection="1"/>
    <xf numFmtId="165" fontId="0" fillId="0" borderId="2" xfId="0" applyNumberFormat="1" applyBorder="1" applyProtection="1"/>
    <xf numFmtId="169" fontId="0" fillId="0" borderId="2" xfId="0" applyNumberFormat="1" applyBorder="1" applyProtection="1"/>
    <xf numFmtId="167" fontId="0" fillId="0" borderId="3" xfId="0" applyNumberFormat="1" applyBorder="1" applyProtection="1"/>
    <xf numFmtId="167" fontId="0" fillId="0" borderId="2" xfId="0" applyNumberFormat="1" applyBorder="1" applyProtection="1"/>
    <xf numFmtId="37" fontId="0" fillId="0" borderId="2" xfId="0" applyNumberFormat="1" applyBorder="1" applyProtection="1"/>
    <xf numFmtId="0" fontId="0" fillId="0" borderId="6" xfId="0" applyBorder="1" applyAlignment="1">
      <alignment horizontal="center"/>
    </xf>
    <xf numFmtId="37" fontId="0" fillId="0" borderId="4" xfId="0" applyNumberFormat="1" applyBorder="1" applyAlignment="1" applyProtection="1">
      <alignment horizontal="center"/>
    </xf>
    <xf numFmtId="0" fontId="0" fillId="0" borderId="1" xfId="0" applyBorder="1" applyAlignment="1">
      <alignment horizontal="centerContinuous"/>
    </xf>
    <xf numFmtId="0" fontId="0" fillId="0" borderId="3" xfId="0" applyBorder="1" applyAlignment="1">
      <alignment horizontal="centerContinuous"/>
    </xf>
    <xf numFmtId="0" fontId="0" fillId="0" borderId="12" xfId="0" applyBorder="1" applyAlignment="1">
      <alignment horizontal="center"/>
    </xf>
    <xf numFmtId="37" fontId="3" fillId="0" borderId="6" xfId="0" applyNumberFormat="1" applyFont="1" applyBorder="1" applyAlignment="1" applyProtection="1">
      <alignment horizontal="center"/>
    </xf>
    <xf numFmtId="165" fontId="3" fillId="0" borderId="6" xfId="0" applyNumberFormat="1" applyFont="1" applyBorder="1" applyAlignment="1" applyProtection="1">
      <alignment horizontal="center"/>
    </xf>
    <xf numFmtId="165" fontId="0" fillId="0" borderId="6" xfId="0" applyNumberFormat="1" applyBorder="1" applyProtection="1"/>
    <xf numFmtId="169" fontId="3" fillId="0" borderId="6" xfId="0" applyNumberFormat="1" applyFont="1" applyBorder="1" applyAlignment="1" applyProtection="1">
      <alignment horizontal="center"/>
    </xf>
    <xf numFmtId="167" fontId="3" fillId="0" borderId="6" xfId="0" applyNumberFormat="1" applyFont="1" applyBorder="1" applyAlignment="1" applyProtection="1">
      <alignment horizontal="center"/>
    </xf>
    <xf numFmtId="167" fontId="0" fillId="0" borderId="6" xfId="0" applyNumberFormat="1" applyBorder="1" applyProtection="1"/>
    <xf numFmtId="165" fontId="0" fillId="0" borderId="6" xfId="0" applyNumberFormat="1" applyBorder="1" applyAlignment="1" applyProtection="1">
      <alignment horizontal="center"/>
    </xf>
    <xf numFmtId="37" fontId="0" fillId="0" borderId="6" xfId="0" applyNumberFormat="1" applyBorder="1" applyAlignment="1" applyProtection="1">
      <alignment horizontal="center"/>
    </xf>
    <xf numFmtId="37" fontId="0" fillId="0" borderId="12" xfId="0" applyNumberFormat="1" applyBorder="1" applyProtection="1"/>
    <xf numFmtId="0" fontId="0" fillId="0" borderId="10" xfId="0" applyBorder="1" applyAlignment="1">
      <alignment horizontal="center"/>
    </xf>
    <xf numFmtId="37" fontId="3" fillId="0" borderId="10" xfId="0" applyNumberFormat="1" applyFont="1" applyBorder="1" applyAlignment="1" applyProtection="1">
      <alignment horizontal="center"/>
    </xf>
    <xf numFmtId="165" fontId="3" fillId="0" borderId="10" xfId="0" applyNumberFormat="1" applyFont="1" applyBorder="1" applyAlignment="1" applyProtection="1">
      <alignment horizontal="center"/>
    </xf>
    <xf numFmtId="169" fontId="3" fillId="0" borderId="10" xfId="0" applyNumberFormat="1" applyFont="1" applyBorder="1" applyAlignment="1" applyProtection="1">
      <alignment horizontal="center"/>
    </xf>
    <xf numFmtId="167" fontId="3" fillId="0" borderId="10" xfId="0" applyNumberFormat="1" applyFont="1" applyBorder="1" applyAlignment="1" applyProtection="1">
      <alignment horizontal="center"/>
    </xf>
    <xf numFmtId="37" fontId="3" fillId="0" borderId="10" xfId="0" applyNumberFormat="1" applyFont="1" applyBorder="1" applyProtection="1"/>
    <xf numFmtId="37" fontId="0" fillId="0" borderId="11" xfId="0" applyNumberFormat="1" applyBorder="1" applyProtection="1"/>
    <xf numFmtId="165" fontId="0" fillId="0" borderId="11" xfId="0" applyNumberFormat="1" applyBorder="1" applyProtection="1"/>
    <xf numFmtId="169" fontId="0" fillId="0" borderId="11" xfId="0" applyNumberFormat="1" applyBorder="1" applyProtection="1"/>
    <xf numFmtId="167" fontId="0" fillId="0" borderId="11" xfId="0" applyNumberFormat="1" applyBorder="1" applyProtection="1"/>
    <xf numFmtId="37" fontId="0" fillId="0" borderId="6" xfId="0" applyNumberFormat="1" applyBorder="1" applyProtection="1"/>
    <xf numFmtId="166" fontId="0" fillId="0" borderId="15" xfId="0" applyNumberFormat="1" applyBorder="1" applyProtection="1"/>
    <xf numFmtId="0" fontId="7" fillId="0" borderId="0" xfId="0" applyFont="1" applyAlignment="1">
      <alignment horizontal="right"/>
    </xf>
    <xf numFmtId="0" fontId="6" fillId="0" borderId="0" xfId="0" applyFont="1"/>
    <xf numFmtId="0" fontId="3" fillId="0" borderId="5" xfId="0" applyFont="1" applyBorder="1" applyAlignment="1">
      <alignment horizontal="center"/>
    </xf>
    <xf numFmtId="0" fontId="3" fillId="0" borderId="11" xfId="0" applyFont="1" applyBorder="1" applyAlignment="1">
      <alignment horizontal="center"/>
    </xf>
    <xf numFmtId="0" fontId="3" fillId="0" borderId="11" xfId="0" applyFont="1" applyBorder="1"/>
    <xf numFmtId="0" fontId="3" fillId="0" borderId="8" xfId="0" applyFont="1" applyBorder="1" applyAlignment="1">
      <alignment horizontal="center"/>
    </xf>
    <xf numFmtId="0" fontId="3" fillId="0" borderId="9" xfId="0" applyFont="1" applyBorder="1" applyAlignment="1">
      <alignment horizontal="right"/>
    </xf>
    <xf numFmtId="0" fontId="3" fillId="0" borderId="8" xfId="0" applyFont="1" applyBorder="1" applyAlignment="1">
      <alignment horizontal="right"/>
    </xf>
    <xf numFmtId="0" fontId="3" fillId="0" borderId="15" xfId="0" applyFont="1" applyBorder="1" applyAlignment="1">
      <alignment horizontal="right"/>
    </xf>
    <xf numFmtId="0" fontId="4" fillId="0" borderId="5" xfId="0" applyFont="1" applyBorder="1"/>
    <xf numFmtId="171" fontId="4" fillId="0" borderId="0" xfId="0" applyNumberFormat="1" applyFont="1" applyProtection="1"/>
    <xf numFmtId="0" fontId="4" fillId="0" borderId="14" xfId="0" applyFont="1" applyBorder="1"/>
    <xf numFmtId="0" fontId="0" fillId="0" borderId="1" xfId="0" applyBorder="1" applyAlignment="1">
      <alignment horizontal="center"/>
    </xf>
    <xf numFmtId="166" fontId="0" fillId="0" borderId="11" xfId="0" applyNumberFormat="1" applyBorder="1" applyProtection="1"/>
    <xf numFmtId="0" fontId="0" fillId="0" borderId="0" xfId="0" applyBorder="1"/>
    <xf numFmtId="0" fontId="0" fillId="0" borderId="16" xfId="0" applyBorder="1"/>
    <xf numFmtId="0" fontId="8" fillId="0" borderId="10" xfId="0" applyFont="1" applyBorder="1" applyAlignment="1">
      <alignment horizontal="center"/>
    </xf>
    <xf numFmtId="165" fontId="8" fillId="0" borderId="10" xfId="0" applyNumberFormat="1" applyFont="1" applyBorder="1" applyAlignment="1" applyProtection="1">
      <alignment horizontal="center"/>
    </xf>
    <xf numFmtId="178" fontId="8" fillId="0" borderId="10" xfId="0" applyNumberFormat="1" applyFont="1" applyBorder="1" applyAlignment="1" applyProtection="1">
      <alignment horizontal="center"/>
    </xf>
    <xf numFmtId="169" fontId="8" fillId="0" borderId="10" xfId="0" applyNumberFormat="1" applyFont="1" applyBorder="1" applyAlignment="1" applyProtection="1">
      <alignment horizontal="center"/>
    </xf>
    <xf numFmtId="0" fontId="0" fillId="0" borderId="0" xfId="0" applyFill="1" applyBorder="1" applyAlignment="1"/>
    <xf numFmtId="0" fontId="0" fillId="0" borderId="17" xfId="0" applyFill="1" applyBorder="1" applyAlignment="1"/>
    <xf numFmtId="0" fontId="11" fillId="0" borderId="18" xfId="0" applyFont="1" applyFill="1" applyBorder="1" applyAlignment="1">
      <alignment horizontal="center"/>
    </xf>
    <xf numFmtId="0" fontId="11" fillId="0" borderId="18" xfId="0" applyFont="1" applyFill="1" applyBorder="1" applyAlignment="1">
      <alignment horizontal="centerContinuous"/>
    </xf>
    <xf numFmtId="0" fontId="17" fillId="0" borderId="10" xfId="0" applyFont="1" applyBorder="1" applyAlignment="1">
      <alignment horizontal="center"/>
    </xf>
    <xf numFmtId="0" fontId="0" fillId="0" borderId="19" xfId="0" applyBorder="1" applyAlignment="1">
      <alignment horizontal="center"/>
    </xf>
    <xf numFmtId="0" fontId="15" fillId="0" borderId="0" xfId="0" applyFont="1"/>
    <xf numFmtId="0" fontId="15" fillId="0" borderId="0" xfId="0" applyFont="1" applyBorder="1"/>
    <xf numFmtId="166" fontId="4" fillId="0" borderId="0" xfId="0" applyNumberFormat="1" applyFont="1" applyProtection="1"/>
    <xf numFmtId="0" fontId="4" fillId="0" borderId="0" xfId="0" applyFont="1" applyAlignment="1">
      <alignment horizontal="center"/>
    </xf>
    <xf numFmtId="2" fontId="4" fillId="0" borderId="0" xfId="0" applyNumberFormat="1" applyFont="1"/>
    <xf numFmtId="175" fontId="4" fillId="0" borderId="0" xfId="0" applyNumberFormat="1" applyFont="1"/>
    <xf numFmtId="0" fontId="0" fillId="0" borderId="19" xfId="0" applyBorder="1" applyAlignment="1">
      <alignment horizontal="right"/>
    </xf>
    <xf numFmtId="0" fontId="0" fillId="0" borderId="20" xfId="0" applyBorder="1" applyAlignment="1">
      <alignment horizontal="centerContinuous"/>
    </xf>
    <xf numFmtId="0" fontId="0" fillId="0" borderId="16" xfId="0" applyBorder="1" applyAlignment="1">
      <alignment horizontal="left"/>
    </xf>
    <xf numFmtId="0" fontId="24" fillId="0" borderId="0" xfId="0" applyFont="1"/>
    <xf numFmtId="0" fontId="21" fillId="0" borderId="1" xfId="0" applyFont="1" applyBorder="1"/>
    <xf numFmtId="0" fontId="21" fillId="0" borderId="2" xfId="0" applyFont="1" applyBorder="1"/>
    <xf numFmtId="0" fontId="25" fillId="0" borderId="6" xfId="0" applyFont="1" applyBorder="1" applyAlignment="1">
      <alignment horizontal="center"/>
    </xf>
    <xf numFmtId="0" fontId="25" fillId="0" borderId="21" xfId="0" applyFont="1" applyBorder="1" applyAlignment="1">
      <alignment horizontal="centerContinuous"/>
    </xf>
    <xf numFmtId="0" fontId="25" fillId="0" borderId="22" xfId="0" applyFont="1" applyBorder="1" applyAlignment="1">
      <alignment horizontal="centerContinuous"/>
    </xf>
    <xf numFmtId="0" fontId="25" fillId="0" borderId="23" xfId="0" applyFont="1" applyBorder="1" applyAlignment="1">
      <alignment horizontal="centerContinuous"/>
    </xf>
    <xf numFmtId="0" fontId="25" fillId="0" borderId="24" xfId="0" applyFont="1" applyBorder="1" applyAlignment="1">
      <alignment horizontal="centerContinuous"/>
    </xf>
    <xf numFmtId="0" fontId="25" fillId="0" borderId="10" xfId="0" applyFont="1" applyBorder="1" applyAlignment="1">
      <alignment horizontal="center"/>
    </xf>
    <xf numFmtId="0" fontId="26" fillId="0" borderId="12" xfId="0" applyFont="1" applyBorder="1" applyAlignment="1">
      <alignment horizontal="center"/>
    </xf>
    <xf numFmtId="0" fontId="26" fillId="0" borderId="12" xfId="0" applyFont="1" applyFill="1" applyBorder="1" applyAlignment="1">
      <alignment horizontal="center"/>
    </xf>
    <xf numFmtId="0" fontId="26" fillId="0" borderId="0" xfId="0" applyFont="1" applyBorder="1" applyAlignment="1">
      <alignment horizontal="center"/>
    </xf>
    <xf numFmtId="0" fontId="30" fillId="0" borderId="19" xfId="0" applyFont="1" applyBorder="1" applyAlignment="1">
      <alignment horizontal="center"/>
    </xf>
    <xf numFmtId="0" fontId="15" fillId="0" borderId="19" xfId="0" applyFont="1" applyBorder="1" applyAlignment="1">
      <alignment horizontal="center"/>
    </xf>
    <xf numFmtId="166" fontId="27" fillId="0" borderId="19" xfId="0" applyNumberFormat="1" applyFont="1" applyBorder="1" applyProtection="1"/>
    <xf numFmtId="165" fontId="27" fillId="0" borderId="19" xfId="0" applyNumberFormat="1" applyFont="1" applyBorder="1" applyAlignment="1" applyProtection="1">
      <alignment horizontal="right"/>
    </xf>
    <xf numFmtId="0" fontId="15" fillId="0" borderId="0" xfId="0" applyFont="1" applyBorder="1" applyAlignment="1">
      <alignment horizontal="center"/>
    </xf>
    <xf numFmtId="3" fontId="27" fillId="0" borderId="0" xfId="1" applyNumberFormat="1" applyFont="1" applyBorder="1" applyAlignment="1" applyProtection="1">
      <alignment horizontal="right"/>
    </xf>
    <xf numFmtId="0" fontId="29" fillId="0" borderId="0" xfId="0" applyFont="1" applyBorder="1" applyAlignment="1">
      <alignment horizontal="center"/>
    </xf>
    <xf numFmtId="0" fontId="15" fillId="0" borderId="25" xfId="0" applyFont="1" applyBorder="1"/>
    <xf numFmtId="0" fontId="24" fillId="2" borderId="26" xfId="0" applyFont="1" applyFill="1" applyBorder="1"/>
    <xf numFmtId="0" fontId="15" fillId="0" borderId="27" xfId="0" applyFont="1" applyBorder="1"/>
    <xf numFmtId="165" fontId="28" fillId="0" borderId="0" xfId="0" applyNumberFormat="1" applyFont="1" applyBorder="1" applyProtection="1"/>
    <xf numFmtId="165" fontId="28" fillId="0" borderId="0" xfId="0" applyNumberFormat="1" applyFont="1" applyBorder="1" applyAlignment="1" applyProtection="1">
      <alignment horizontal="right"/>
    </xf>
    <xf numFmtId="165" fontId="29" fillId="0" borderId="0" xfId="0" applyNumberFormat="1" applyFont="1" applyBorder="1" applyProtection="1"/>
    <xf numFmtId="165" fontId="28" fillId="0" borderId="0" xfId="0" applyNumberFormat="1" applyFont="1" applyFill="1" applyBorder="1" applyAlignment="1" applyProtection="1">
      <alignment horizontal="right"/>
    </xf>
    <xf numFmtId="0" fontId="21" fillId="0" borderId="0" xfId="0" applyFont="1"/>
    <xf numFmtId="164" fontId="21" fillId="0" borderId="0" xfId="0" applyNumberFormat="1" applyFont="1" applyProtection="1"/>
    <xf numFmtId="0" fontId="15" fillId="0" borderId="1" xfId="0" applyFont="1" applyBorder="1"/>
    <xf numFmtId="0" fontId="21" fillId="0" borderId="11" xfId="0" applyFont="1" applyBorder="1"/>
    <xf numFmtId="0" fontId="21" fillId="0" borderId="28" xfId="0" applyFont="1" applyBorder="1"/>
    <xf numFmtId="0" fontId="21" fillId="0" borderId="0" xfId="0" applyFont="1" applyBorder="1"/>
    <xf numFmtId="0" fontId="21" fillId="0" borderId="4" xfId="0" applyFont="1" applyBorder="1"/>
    <xf numFmtId="0" fontId="21" fillId="0" borderId="7" xfId="0" applyFont="1" applyBorder="1"/>
    <xf numFmtId="0" fontId="21" fillId="0" borderId="5" xfId="0" applyFont="1" applyBorder="1"/>
    <xf numFmtId="0" fontId="21" fillId="0" borderId="6" xfId="0" applyFont="1" applyBorder="1"/>
    <xf numFmtId="0" fontId="15" fillId="0" borderId="7" xfId="0" applyFont="1" applyBorder="1"/>
    <xf numFmtId="0" fontId="21" fillId="0" borderId="29" xfId="0" applyFont="1" applyBorder="1" applyAlignment="1">
      <alignment horizontal="center"/>
    </xf>
    <xf numFmtId="0" fontId="21" fillId="0" borderId="30" xfId="0" applyFont="1" applyBorder="1" applyAlignment="1">
      <alignment horizontal="center"/>
    </xf>
    <xf numFmtId="0" fontId="21" fillId="0" borderId="0" xfId="0" applyFont="1" applyBorder="1" applyAlignment="1">
      <alignment horizontal="center"/>
    </xf>
    <xf numFmtId="0" fontId="21" fillId="0" borderId="6" xfId="0" applyFont="1" applyBorder="1" applyAlignment="1">
      <alignment horizontal="center"/>
    </xf>
    <xf numFmtId="0" fontId="21" fillId="0" borderId="8" xfId="0" applyFont="1" applyBorder="1"/>
    <xf numFmtId="0" fontId="21" fillId="0" borderId="9" xfId="0" applyFont="1" applyBorder="1"/>
    <xf numFmtId="0" fontId="21" fillId="0" borderId="12" xfId="0" applyFont="1" applyBorder="1"/>
    <xf numFmtId="0" fontId="21" fillId="0" borderId="12" xfId="0" applyFont="1" applyBorder="1" applyAlignment="1">
      <alignment horizontal="center"/>
    </xf>
    <xf numFmtId="0" fontId="15" fillId="0" borderId="8" xfId="0" applyFont="1" applyBorder="1"/>
    <xf numFmtId="0" fontId="15" fillId="0" borderId="9" xfId="0" applyFont="1" applyBorder="1"/>
    <xf numFmtId="0" fontId="21" fillId="0" borderId="13" xfId="0" applyFont="1" applyBorder="1" applyAlignment="1">
      <alignment horizontal="center"/>
    </xf>
    <xf numFmtId="0" fontId="21" fillId="0" borderId="31" xfId="0" applyFont="1" applyBorder="1" applyAlignment="1">
      <alignment horizontal="center"/>
    </xf>
    <xf numFmtId="0" fontId="21" fillId="0" borderId="32" xfId="0" applyFont="1" applyBorder="1" applyAlignment="1">
      <alignment horizontal="center"/>
    </xf>
    <xf numFmtId="0" fontId="21" fillId="0" borderId="10" xfId="0" applyFont="1" applyBorder="1" applyAlignment="1">
      <alignment horizontal="center"/>
    </xf>
    <xf numFmtId="0" fontId="21" fillId="0" borderId="10" xfId="0" applyFont="1" applyBorder="1"/>
    <xf numFmtId="165" fontId="27" fillId="0" borderId="0" xfId="0" applyNumberFormat="1" applyFont="1" applyProtection="1"/>
    <xf numFmtId="165" fontId="27" fillId="0" borderId="14" xfId="0" applyNumberFormat="1" applyFont="1" applyBorder="1" applyProtection="1"/>
    <xf numFmtId="0" fontId="27" fillId="0" borderId="0" xfId="0" applyFont="1" applyFill="1" applyBorder="1"/>
    <xf numFmtId="0" fontId="15" fillId="0" borderId="0" xfId="0" applyFont="1" applyFill="1" applyBorder="1"/>
    <xf numFmtId="0" fontId="15" fillId="0" borderId="16" xfId="0" applyFont="1" applyBorder="1" applyAlignment="1">
      <alignment horizontal="center"/>
    </xf>
    <xf numFmtId="0" fontId="15" fillId="0" borderId="20" xfId="0" applyFont="1" applyBorder="1"/>
    <xf numFmtId="0" fontId="15" fillId="0" borderId="0" xfId="0" applyFont="1" applyAlignment="1">
      <alignment horizontal="right"/>
    </xf>
    <xf numFmtId="166" fontId="28" fillId="0" borderId="0" xfId="0" applyNumberFormat="1" applyFont="1" applyFill="1" applyBorder="1" applyProtection="1"/>
    <xf numFmtId="166" fontId="28" fillId="0" borderId="0" xfId="0" applyNumberFormat="1" applyFont="1" applyBorder="1" applyProtection="1"/>
    <xf numFmtId="0" fontId="27" fillId="0" borderId="0" xfId="0" applyFont="1"/>
    <xf numFmtId="166" fontId="27" fillId="0" borderId="0" xfId="0" applyNumberFormat="1" applyFont="1" applyBorder="1" applyProtection="1"/>
    <xf numFmtId="4" fontId="15" fillId="0" borderId="0" xfId="0" applyNumberFormat="1" applyFont="1"/>
    <xf numFmtId="0" fontId="27" fillId="0" borderId="0" xfId="0" applyFont="1" applyBorder="1" applyAlignment="1">
      <alignment horizontal="center"/>
    </xf>
    <xf numFmtId="3" fontId="15" fillId="0" borderId="0" xfId="0" applyNumberFormat="1" applyFont="1"/>
    <xf numFmtId="0" fontId="21" fillId="0" borderId="19" xfId="0" applyFont="1" applyFill="1" applyBorder="1"/>
    <xf numFmtId="0" fontId="29" fillId="0" borderId="0" xfId="0" applyFont="1" applyFill="1" applyBorder="1" applyAlignment="1">
      <alignment horizontal="right"/>
    </xf>
    <xf numFmtId="0" fontId="24" fillId="0" borderId="16" xfId="0" applyFont="1" applyBorder="1" applyAlignment="1">
      <alignment horizontal="center"/>
    </xf>
    <xf numFmtId="0" fontId="0" fillId="2" borderId="33" xfId="0" applyFill="1" applyBorder="1"/>
    <xf numFmtId="0" fontId="31" fillId="0" borderId="33" xfId="0" applyFont="1" applyBorder="1"/>
    <xf numFmtId="0" fontId="0" fillId="0" borderId="33" xfId="0" applyBorder="1"/>
    <xf numFmtId="0" fontId="0" fillId="0" borderId="34" xfId="0" applyBorder="1"/>
    <xf numFmtId="0" fontId="0" fillId="0" borderId="35" xfId="0" applyBorder="1"/>
    <xf numFmtId="0" fontId="0" fillId="0" borderId="17" xfId="0" applyBorder="1"/>
    <xf numFmtId="0" fontId="0" fillId="0" borderId="36" xfId="0" applyBorder="1"/>
    <xf numFmtId="0" fontId="0" fillId="0" borderId="25" xfId="0" applyBorder="1" applyAlignment="1">
      <alignment horizontal="right"/>
    </xf>
    <xf numFmtId="0" fontId="0" fillId="0" borderId="26" xfId="0" applyBorder="1" applyAlignment="1">
      <alignment horizontal="right"/>
    </xf>
    <xf numFmtId="0" fontId="0" fillId="0" borderId="27" xfId="0" applyBorder="1" applyAlignment="1">
      <alignment horizontal="right"/>
    </xf>
    <xf numFmtId="0" fontId="0" fillId="0" borderId="33" xfId="0" applyFill="1" applyBorder="1"/>
    <xf numFmtId="172" fontId="32" fillId="0" borderId="0" xfId="0" applyNumberFormat="1" applyFont="1" applyBorder="1"/>
    <xf numFmtId="172" fontId="32" fillId="0" borderId="17" xfId="0" applyNumberFormat="1" applyFont="1" applyBorder="1"/>
    <xf numFmtId="3" fontId="27" fillId="0" borderId="0" xfId="0" applyNumberFormat="1" applyFont="1"/>
    <xf numFmtId="2" fontId="27" fillId="0" borderId="14" xfId="0" applyNumberFormat="1" applyFont="1" applyBorder="1"/>
    <xf numFmtId="2" fontId="27" fillId="0" borderId="0" xfId="0" applyNumberFormat="1" applyFont="1" applyProtection="1"/>
    <xf numFmtId="172" fontId="27" fillId="0" borderId="31" xfId="0" applyNumberFormat="1" applyFont="1" applyBorder="1"/>
    <xf numFmtId="0" fontId="27" fillId="0" borderId="0" xfId="0" applyFont="1" applyBorder="1"/>
    <xf numFmtId="0" fontId="27" fillId="0" borderId="31" xfId="0" applyFont="1" applyBorder="1"/>
    <xf numFmtId="172" fontId="27" fillId="0" borderId="0" xfId="0" applyNumberFormat="1" applyFont="1" applyBorder="1"/>
    <xf numFmtId="0" fontId="27" fillId="0" borderId="12" xfId="0" applyFont="1" applyBorder="1"/>
    <xf numFmtId="0" fontId="27" fillId="0" borderId="13" xfId="0" applyFont="1" applyBorder="1"/>
    <xf numFmtId="0" fontId="27" fillId="0" borderId="37" xfId="0" applyFont="1" applyBorder="1"/>
    <xf numFmtId="4" fontId="27" fillId="0" borderId="37" xfId="0" applyNumberFormat="1" applyFont="1" applyBorder="1"/>
    <xf numFmtId="4" fontId="27" fillId="0" borderId="38" xfId="1" applyNumberFormat="1" applyFont="1" applyBorder="1" applyAlignment="1" applyProtection="1">
      <alignment horizontal="right"/>
    </xf>
    <xf numFmtId="3" fontId="27" fillId="0" borderId="37" xfId="1" applyNumberFormat="1" applyFont="1" applyBorder="1" applyAlignment="1" applyProtection="1">
      <alignment horizontal="right"/>
    </xf>
    <xf numFmtId="4" fontId="27" fillId="0" borderId="37" xfId="1" applyNumberFormat="1" applyFont="1" applyBorder="1" applyAlignment="1" applyProtection="1">
      <alignment horizontal="right"/>
    </xf>
    <xf numFmtId="176" fontId="27" fillId="0" borderId="39" xfId="1" applyNumberFormat="1" applyFont="1" applyBorder="1" applyAlignment="1" applyProtection="1">
      <alignment horizontal="right"/>
    </xf>
    <xf numFmtId="4" fontId="27" fillId="0" borderId="40" xfId="1" applyNumberFormat="1" applyFont="1" applyBorder="1" applyAlignment="1" applyProtection="1">
      <alignment horizontal="right"/>
    </xf>
    <xf numFmtId="4" fontId="27" fillId="0" borderId="41" xfId="1" applyNumberFormat="1" applyFont="1" applyBorder="1" applyAlignment="1" applyProtection="1">
      <alignment horizontal="right"/>
    </xf>
    <xf numFmtId="0" fontId="27" fillId="0" borderId="15" xfId="0" applyFont="1" applyBorder="1"/>
    <xf numFmtId="4" fontId="27" fillId="0" borderId="30" xfId="1" applyNumberFormat="1" applyFont="1" applyBorder="1" applyAlignment="1" applyProtection="1">
      <alignment horizontal="right"/>
    </xf>
    <xf numFmtId="3" fontId="27" fillId="0" borderId="32" xfId="1" applyNumberFormat="1" applyFont="1" applyBorder="1" applyAlignment="1" applyProtection="1">
      <alignment horizontal="right"/>
    </xf>
    <xf numFmtId="4" fontId="27" fillId="0" borderId="32" xfId="1" applyNumberFormat="1" applyFont="1" applyBorder="1" applyAlignment="1" applyProtection="1">
      <alignment horizontal="right"/>
    </xf>
    <xf numFmtId="176" fontId="27" fillId="0" borderId="42" xfId="1" applyNumberFormat="1" applyFont="1" applyBorder="1" applyAlignment="1" applyProtection="1">
      <alignment horizontal="right"/>
    </xf>
    <xf numFmtId="4" fontId="27" fillId="0" borderId="43" xfId="1" applyNumberFormat="1" applyFont="1" applyBorder="1" applyAlignment="1" applyProtection="1">
      <alignment horizontal="right"/>
    </xf>
    <xf numFmtId="4" fontId="27" fillId="3" borderId="44" xfId="1" applyNumberFormat="1" applyFont="1" applyFill="1" applyBorder="1" applyAlignment="1" applyProtection="1">
      <alignment horizontal="right"/>
    </xf>
    <xf numFmtId="4" fontId="27" fillId="3" borderId="45" xfId="1" applyNumberFormat="1" applyFont="1" applyFill="1" applyBorder="1" applyAlignment="1" applyProtection="1">
      <alignment horizontal="right"/>
    </xf>
    <xf numFmtId="4" fontId="27" fillId="3" borderId="46" xfId="1" applyNumberFormat="1" applyFont="1" applyFill="1" applyBorder="1" applyAlignment="1" applyProtection="1">
      <alignment horizontal="right"/>
    </xf>
    <xf numFmtId="177" fontId="30" fillId="3" borderId="47" xfId="1" applyNumberFormat="1" applyFont="1" applyFill="1" applyBorder="1" applyAlignment="1" applyProtection="1">
      <alignment horizontal="right"/>
    </xf>
    <xf numFmtId="177" fontId="30" fillId="3" borderId="16" xfId="1" applyNumberFormat="1" applyFont="1" applyFill="1" applyBorder="1" applyAlignment="1" applyProtection="1">
      <alignment horizontal="right"/>
    </xf>
    <xf numFmtId="177" fontId="30" fillId="3" borderId="48" xfId="1" applyNumberFormat="1" applyFont="1" applyFill="1" applyBorder="1" applyAlignment="1" applyProtection="1">
      <alignment horizontal="right"/>
    </xf>
    <xf numFmtId="177" fontId="27" fillId="4" borderId="27" xfId="0" applyNumberFormat="1" applyFont="1" applyFill="1" applyBorder="1"/>
    <xf numFmtId="177" fontId="27" fillId="4" borderId="17" xfId="0" applyNumberFormat="1" applyFont="1" applyFill="1" applyBorder="1"/>
    <xf numFmtId="177" fontId="27" fillId="4" borderId="36" xfId="0" applyNumberFormat="1" applyFont="1" applyFill="1" applyBorder="1"/>
    <xf numFmtId="4" fontId="27" fillId="0" borderId="49" xfId="0" applyNumberFormat="1" applyFont="1" applyBorder="1"/>
    <xf numFmtId="4" fontId="27" fillId="0" borderId="50" xfId="0" applyNumberFormat="1" applyFont="1" applyBorder="1"/>
    <xf numFmtId="165" fontId="27" fillId="0" borderId="51" xfId="0" applyNumberFormat="1" applyFont="1" applyBorder="1"/>
    <xf numFmtId="2" fontId="27" fillId="0" borderId="0" xfId="0" applyNumberFormat="1" applyFont="1" applyBorder="1"/>
    <xf numFmtId="176" fontId="27" fillId="0" borderId="0" xfId="1" applyNumberFormat="1" applyFont="1" applyBorder="1" applyAlignment="1" applyProtection="1">
      <alignment horizontal="right"/>
    </xf>
    <xf numFmtId="4" fontId="27" fillId="0" borderId="17" xfId="1" applyNumberFormat="1" applyFont="1" applyBorder="1" applyAlignment="1" applyProtection="1">
      <alignment horizontal="right"/>
    </xf>
    <xf numFmtId="9" fontId="4" fillId="0" borderId="14" xfId="0" applyNumberFormat="1" applyFont="1" applyBorder="1" applyProtection="1"/>
    <xf numFmtId="166" fontId="4" fillId="0" borderId="12" xfId="0" applyNumberFormat="1" applyFont="1" applyBorder="1" applyProtection="1"/>
    <xf numFmtId="168" fontId="4" fillId="0" borderId="12" xfId="0" applyNumberFormat="1" applyFont="1" applyBorder="1" applyProtection="1"/>
    <xf numFmtId="0" fontId="4" fillId="0" borderId="12" xfId="0" applyFont="1" applyBorder="1"/>
    <xf numFmtId="165" fontId="4" fillId="0" borderId="0" xfId="0" applyNumberFormat="1" applyFont="1"/>
    <xf numFmtId="171" fontId="4" fillId="0" borderId="12" xfId="0" applyNumberFormat="1" applyFont="1" applyBorder="1" applyProtection="1"/>
    <xf numFmtId="167" fontId="33" fillId="2" borderId="52" xfId="0" applyNumberFormat="1" applyFont="1" applyFill="1" applyBorder="1" applyProtection="1"/>
    <xf numFmtId="166" fontId="4" fillId="0" borderId="2" xfId="0" applyNumberFormat="1" applyFont="1" applyBorder="1" applyProtection="1"/>
    <xf numFmtId="171" fontId="4" fillId="0" borderId="3" xfId="0" applyNumberFormat="1" applyFont="1" applyBorder="1" applyProtection="1"/>
    <xf numFmtId="168" fontId="4" fillId="0" borderId="0" xfId="0" applyNumberFormat="1" applyFont="1"/>
    <xf numFmtId="170" fontId="33" fillId="2" borderId="14" xfId="0" applyNumberFormat="1" applyFont="1" applyFill="1" applyBorder="1" applyProtection="1"/>
    <xf numFmtId="170" fontId="4" fillId="0" borderId="14" xfId="0" applyNumberFormat="1" applyFont="1" applyBorder="1" applyProtection="1"/>
    <xf numFmtId="166" fontId="4" fillId="0" borderId="1" xfId="0" applyNumberFormat="1" applyFont="1" applyBorder="1" applyProtection="1"/>
    <xf numFmtId="166" fontId="4" fillId="0" borderId="3" xfId="0" applyNumberFormat="1" applyFont="1" applyBorder="1" applyProtection="1"/>
    <xf numFmtId="166" fontId="5" fillId="0" borderId="0" xfId="0" applyNumberFormat="1" applyFont="1" applyProtection="1"/>
    <xf numFmtId="165" fontId="4" fillId="5" borderId="12" xfId="0" applyNumberFormat="1" applyFont="1" applyFill="1" applyBorder="1" applyProtection="1"/>
    <xf numFmtId="39" fontId="4" fillId="5" borderId="13" xfId="0" applyNumberFormat="1" applyFont="1" applyFill="1" applyBorder="1" applyProtection="1"/>
    <xf numFmtId="167" fontId="4" fillId="0" borderId="14" xfId="0" applyNumberFormat="1" applyFont="1" applyBorder="1" applyProtection="1"/>
    <xf numFmtId="0" fontId="0" fillId="6" borderId="0" xfId="0" applyFill="1"/>
    <xf numFmtId="0" fontId="0" fillId="7" borderId="0" xfId="0" applyFill="1"/>
    <xf numFmtId="0" fontId="0" fillId="0" borderId="0" xfId="0" applyAlignment="1">
      <alignment wrapText="1"/>
    </xf>
    <xf numFmtId="0" fontId="4" fillId="0" borderId="0" xfId="0" applyFont="1" applyAlignment="1">
      <alignment wrapText="1"/>
    </xf>
    <xf numFmtId="0" fontId="7" fillId="0" borderId="0" xfId="0" applyFont="1" applyAlignment="1">
      <alignment wrapText="1"/>
    </xf>
    <xf numFmtId="180" fontId="34" fillId="0" borderId="0" xfId="0" applyNumberFormat="1" applyFont="1"/>
    <xf numFmtId="179" fontId="34" fillId="0" borderId="0" xfId="0" applyNumberFormat="1" applyFont="1"/>
    <xf numFmtId="179" fontId="0" fillId="0" borderId="0" xfId="0" applyNumberFormat="1"/>
    <xf numFmtId="181" fontId="34" fillId="0" borderId="0" xfId="0" applyNumberFormat="1" applyFont="1"/>
    <xf numFmtId="179" fontId="0" fillId="0" borderId="0" xfId="0" applyNumberFormat="1" applyFill="1" applyBorder="1"/>
    <xf numFmtId="179" fontId="34" fillId="0" borderId="0" xfId="0" applyNumberFormat="1" applyFont="1" applyFill="1" applyBorder="1"/>
    <xf numFmtId="0" fontId="0" fillId="0" borderId="0" xfId="0" applyFill="1" applyBorder="1" applyAlignment="1">
      <alignment wrapText="1"/>
    </xf>
    <xf numFmtId="0" fontId="7" fillId="0" borderId="0" xfId="0" applyFont="1" applyAlignment="1">
      <alignment horizontal="left" wrapText="1"/>
    </xf>
    <xf numFmtId="0" fontId="0" fillId="0" borderId="0" xfId="0" applyAlignment="1">
      <alignment horizontal="left" wrapText="1"/>
    </xf>
    <xf numFmtId="0" fontId="0" fillId="0" borderId="25" xfId="0" applyBorder="1" applyAlignment="1">
      <alignment horizontal="right" wrapText="1"/>
    </xf>
    <xf numFmtId="0" fontId="0" fillId="0" borderId="27" xfId="0" applyBorder="1" applyAlignment="1">
      <alignment horizontal="right" wrapText="1"/>
    </xf>
    <xf numFmtId="0" fontId="0" fillId="0" borderId="27" xfId="0" applyBorder="1" applyAlignment="1">
      <alignment wrapText="1"/>
    </xf>
    <xf numFmtId="0" fontId="0" fillId="0" borderId="33" xfId="0" applyBorder="1" applyAlignment="1">
      <alignment horizontal="right" wrapText="1"/>
    </xf>
    <xf numFmtId="0" fontId="0" fillId="0" borderId="17" xfId="0" applyBorder="1" applyAlignment="1">
      <alignment horizontal="right" wrapText="1"/>
    </xf>
    <xf numFmtId="0" fontId="0" fillId="0" borderId="26" xfId="0" applyBorder="1" applyAlignment="1">
      <alignment horizontal="right" wrapText="1"/>
    </xf>
    <xf numFmtId="1" fontId="34" fillId="0" borderId="0" xfId="0" applyNumberFormat="1" applyFont="1"/>
    <xf numFmtId="0" fontId="0" fillId="0" borderId="19" xfId="0" applyBorder="1" applyAlignment="1">
      <alignment horizontal="right" wrapText="1"/>
    </xf>
    <xf numFmtId="0" fontId="36" fillId="0" borderId="16" xfId="0" applyFont="1" applyBorder="1" applyAlignment="1">
      <alignment horizontal="centerContinuous"/>
    </xf>
    <xf numFmtId="0" fontId="36" fillId="0" borderId="19" xfId="0" applyFont="1" applyBorder="1" applyAlignment="1">
      <alignment horizontal="right"/>
    </xf>
    <xf numFmtId="1" fontId="1" fillId="0" borderId="0" xfId="0" applyNumberFormat="1" applyFont="1"/>
    <xf numFmtId="1" fontId="1" fillId="0" borderId="0" xfId="0" applyNumberFormat="1" applyFont="1" applyFill="1"/>
    <xf numFmtId="0" fontId="36" fillId="0" borderId="0" xfId="0" applyFont="1" applyAlignment="1">
      <alignment wrapText="1"/>
    </xf>
    <xf numFmtId="0" fontId="7" fillId="0" borderId="20" xfId="0" applyFont="1" applyBorder="1" applyAlignment="1">
      <alignment horizontal="centerContinuous"/>
    </xf>
    <xf numFmtId="180" fontId="4" fillId="0" borderId="17" xfId="0" applyNumberFormat="1" applyFont="1" applyBorder="1" applyAlignment="1">
      <alignment wrapText="1"/>
    </xf>
    <xf numFmtId="0" fontId="4" fillId="0" borderId="0" xfId="0" applyFont="1" applyBorder="1" applyAlignment="1">
      <alignment wrapText="1"/>
    </xf>
    <xf numFmtId="0" fontId="5" fillId="0" borderId="0" xfId="0" applyFont="1" applyAlignment="1">
      <alignment wrapText="1"/>
    </xf>
    <xf numFmtId="0" fontId="15" fillId="0" borderId="0" xfId="0" applyFont="1" applyAlignment="1">
      <alignment horizontal="center"/>
    </xf>
    <xf numFmtId="0" fontId="0" fillId="0" borderId="0" xfId="0" applyBorder="1" applyAlignment="1">
      <alignment horizontal="center"/>
    </xf>
    <xf numFmtId="0" fontId="25" fillId="0" borderId="26" xfId="0" applyFont="1" applyBorder="1" applyAlignment="1">
      <alignment horizontal="center"/>
    </xf>
    <xf numFmtId="4" fontId="27" fillId="0" borderId="0" xfId="1" applyNumberFormat="1" applyFont="1" applyBorder="1" applyAlignment="1" applyProtection="1">
      <alignment horizontal="right"/>
    </xf>
    <xf numFmtId="166" fontId="39" fillId="0" borderId="35" xfId="0" applyNumberFormat="1" applyFont="1" applyBorder="1" applyAlignment="1" applyProtection="1">
      <alignment horizontal="right"/>
    </xf>
    <xf numFmtId="0" fontId="26" fillId="0" borderId="0" xfId="0" applyFont="1" applyFill="1" applyBorder="1" applyAlignment="1">
      <alignment horizontal="center"/>
    </xf>
    <xf numFmtId="0" fontId="46" fillId="0" borderId="12" xfId="0" applyFont="1" applyBorder="1" applyAlignment="1">
      <alignment horizontal="center"/>
    </xf>
    <xf numFmtId="0" fontId="46" fillId="0" borderId="0" xfId="0" applyFont="1" applyBorder="1" applyAlignment="1">
      <alignment horizontal="center"/>
    </xf>
    <xf numFmtId="180" fontId="5" fillId="0" borderId="17" xfId="0" applyNumberFormat="1" applyFont="1" applyBorder="1" applyAlignment="1">
      <alignment wrapText="1"/>
    </xf>
    <xf numFmtId="180" fontId="5" fillId="0" borderId="33" xfId="0" applyNumberFormat="1" applyFont="1" applyBorder="1" applyAlignment="1">
      <alignment wrapText="1"/>
    </xf>
    <xf numFmtId="0" fontId="15" fillId="2" borderId="20" xfId="0" applyFont="1" applyFill="1" applyBorder="1"/>
    <xf numFmtId="169" fontId="15" fillId="0" borderId="0" xfId="0" applyNumberFormat="1" applyFont="1"/>
    <xf numFmtId="175" fontId="15" fillId="0" borderId="0" xfId="0" applyNumberFormat="1" applyFont="1"/>
    <xf numFmtId="2" fontId="0" fillId="0" borderId="0" xfId="0" applyNumberFormat="1"/>
    <xf numFmtId="2" fontId="34" fillId="0" borderId="0" xfId="0" applyNumberFormat="1" applyFont="1"/>
    <xf numFmtId="10" fontId="34" fillId="0" borderId="0" xfId="0" applyNumberFormat="1" applyFont="1"/>
    <xf numFmtId="10" fontId="34" fillId="0" borderId="33" xfId="0" applyNumberFormat="1" applyFont="1" applyBorder="1"/>
    <xf numFmtId="10" fontId="34" fillId="0" borderId="34" xfId="0" applyNumberFormat="1" applyFont="1" applyBorder="1"/>
    <xf numFmtId="10" fontId="4" fillId="0" borderId="0" xfId="0" applyNumberFormat="1" applyFont="1" applyBorder="1" applyAlignment="1">
      <alignment wrapText="1"/>
    </xf>
    <xf numFmtId="10" fontId="5" fillId="0" borderId="0" xfId="0" applyNumberFormat="1" applyFont="1" applyBorder="1" applyAlignment="1">
      <alignment wrapText="1"/>
    </xf>
    <xf numFmtId="10" fontId="4" fillId="0" borderId="35" xfId="0" applyNumberFormat="1" applyFont="1" applyBorder="1" applyAlignment="1">
      <alignment wrapText="1"/>
    </xf>
    <xf numFmtId="10" fontId="4" fillId="0" borderId="17" xfId="0" applyNumberFormat="1" applyFont="1" applyBorder="1" applyAlignment="1">
      <alignment wrapText="1"/>
    </xf>
    <xf numFmtId="10" fontId="5" fillId="0" borderId="17" xfId="0" applyNumberFormat="1" applyFont="1" applyBorder="1" applyAlignment="1">
      <alignment wrapText="1"/>
    </xf>
    <xf numFmtId="10" fontId="4" fillId="0" borderId="36" xfId="0" applyNumberFormat="1" applyFont="1" applyBorder="1" applyAlignment="1">
      <alignment wrapText="1"/>
    </xf>
    <xf numFmtId="10" fontId="4" fillId="0" borderId="33" xfId="0" applyNumberFormat="1" applyFont="1" applyBorder="1" applyAlignment="1">
      <alignment wrapText="1"/>
    </xf>
    <xf numFmtId="10" fontId="5" fillId="0" borderId="33" xfId="0" applyNumberFormat="1" applyFont="1" applyBorder="1" applyAlignment="1">
      <alignment wrapText="1"/>
    </xf>
    <xf numFmtId="10" fontId="34" fillId="0" borderId="0" xfId="0" applyNumberFormat="1" applyFont="1" applyFill="1" applyBorder="1"/>
    <xf numFmtId="10" fontId="35" fillId="0" borderId="0" xfId="0" applyNumberFormat="1" applyFont="1"/>
    <xf numFmtId="10" fontId="35" fillId="0" borderId="0" xfId="0" applyNumberFormat="1" applyFont="1" applyFill="1" applyBorder="1"/>
    <xf numFmtId="10" fontId="0" fillId="0" borderId="0" xfId="0" applyNumberFormat="1" applyAlignment="1">
      <alignment wrapText="1"/>
    </xf>
    <xf numFmtId="0" fontId="0" fillId="0" borderId="16" xfId="0" applyBorder="1" applyAlignment="1">
      <alignment horizontal="centerContinuous"/>
    </xf>
    <xf numFmtId="0" fontId="0" fillId="0" borderId="0" xfId="0" applyBorder="1" applyAlignment="1">
      <alignment horizontal="centerContinuous"/>
    </xf>
    <xf numFmtId="0" fontId="0" fillId="0" borderId="20" xfId="0" applyBorder="1" applyAlignment="1">
      <alignment horizontal="right" wrapText="1"/>
    </xf>
    <xf numFmtId="0" fontId="50" fillId="0" borderId="0" xfId="2" applyFont="1"/>
    <xf numFmtId="0" fontId="48" fillId="0" borderId="0" xfId="2"/>
    <xf numFmtId="0" fontId="51" fillId="0" borderId="0" xfId="2" applyFont="1"/>
    <xf numFmtId="0" fontId="48" fillId="0" borderId="16" xfId="2" applyBorder="1"/>
    <xf numFmtId="0" fontId="48" fillId="2" borderId="16" xfId="2" applyFill="1" applyBorder="1" applyAlignment="1">
      <alignment horizontal="center"/>
    </xf>
    <xf numFmtId="0" fontId="48" fillId="0" borderId="16" xfId="2" applyBorder="1" applyAlignment="1">
      <alignment horizontal="center"/>
    </xf>
    <xf numFmtId="0" fontId="48" fillId="0" borderId="0" xfId="2" applyBorder="1" applyAlignment="1">
      <alignment horizontal="center"/>
    </xf>
    <xf numFmtId="182" fontId="48" fillId="0" borderId="0" xfId="1" applyNumberFormat="1" applyFont="1" applyBorder="1" applyAlignment="1">
      <alignment horizontal="center"/>
    </xf>
    <xf numFmtId="0" fontId="48" fillId="0" borderId="0" xfId="2" applyBorder="1"/>
    <xf numFmtId="0" fontId="48" fillId="2" borderId="0" xfId="2" applyFill="1" applyBorder="1" applyAlignment="1">
      <alignment horizontal="center"/>
    </xf>
    <xf numFmtId="0" fontId="48" fillId="0" borderId="19" xfId="2" applyBorder="1" applyAlignment="1">
      <alignment horizontal="center"/>
    </xf>
    <xf numFmtId="182" fontId="48" fillId="0" borderId="19" xfId="1" applyNumberFormat="1" applyFont="1" applyBorder="1" applyAlignment="1">
      <alignment horizontal="center"/>
    </xf>
    <xf numFmtId="0" fontId="48" fillId="0" borderId="19" xfId="2" applyBorder="1"/>
    <xf numFmtId="0" fontId="48" fillId="2" borderId="19" xfId="2" applyFill="1" applyBorder="1" applyAlignment="1">
      <alignment horizontal="center"/>
    </xf>
    <xf numFmtId="3" fontId="48" fillId="0" borderId="0" xfId="2" applyNumberFormat="1"/>
    <xf numFmtId="0" fontId="48" fillId="0" borderId="25" xfId="2" applyBorder="1"/>
    <xf numFmtId="0" fontId="48" fillId="0" borderId="34" xfId="2" applyBorder="1"/>
    <xf numFmtId="0" fontId="48" fillId="0" borderId="26" xfId="2" applyBorder="1" applyAlignment="1">
      <alignment horizontal="right"/>
    </xf>
    <xf numFmtId="2" fontId="50" fillId="0" borderId="35" xfId="2" applyNumberFormat="1" applyFont="1" applyBorder="1" applyAlignment="1">
      <alignment horizontal="right"/>
    </xf>
    <xf numFmtId="3" fontId="50" fillId="0" borderId="0" xfId="2" applyNumberFormat="1" applyFont="1"/>
    <xf numFmtId="2" fontId="48" fillId="0" borderId="35" xfId="2" applyNumberFormat="1" applyBorder="1"/>
    <xf numFmtId="38" fontId="50" fillId="0" borderId="0" xfId="2" applyNumberFormat="1" applyFont="1"/>
    <xf numFmtId="9" fontId="50" fillId="0" borderId="0" xfId="4" applyFont="1"/>
    <xf numFmtId="0" fontId="48" fillId="0" borderId="27" xfId="2" applyBorder="1" applyAlignment="1">
      <alignment horizontal="right"/>
    </xf>
    <xf numFmtId="2" fontId="48" fillId="0" borderId="36" xfId="2" applyNumberFormat="1" applyBorder="1"/>
    <xf numFmtId="0" fontId="48" fillId="0" borderId="0" xfId="2" applyAlignment="1">
      <alignment vertical="top"/>
    </xf>
    <xf numFmtId="0" fontId="48" fillId="0" borderId="19" xfId="2" applyBorder="1" applyAlignment="1">
      <alignment horizontal="right"/>
    </xf>
    <xf numFmtId="0" fontId="48" fillId="0" borderId="0" xfId="2" applyFill="1" applyBorder="1" applyAlignment="1">
      <alignment horizontal="center"/>
    </xf>
    <xf numFmtId="0" fontId="48" fillId="0" borderId="0" xfId="2" applyFill="1"/>
    <xf numFmtId="3" fontId="50" fillId="0" borderId="0" xfId="2" applyNumberFormat="1" applyFont="1" applyFill="1"/>
    <xf numFmtId="4" fontId="48" fillId="0" borderId="0" xfId="2" applyNumberFormat="1"/>
    <xf numFmtId="4" fontId="50" fillId="0" borderId="0" xfId="2" applyNumberFormat="1" applyFont="1"/>
    <xf numFmtId="0" fontId="48" fillId="0" borderId="0" xfId="2" applyFont="1"/>
    <xf numFmtId="0" fontId="48" fillId="0" borderId="0" xfId="2" applyFont="1" applyBorder="1" applyAlignment="1">
      <alignment horizontal="centerContinuous"/>
    </xf>
    <xf numFmtId="0" fontId="48" fillId="0" borderId="0" xfId="2" applyFont="1" applyBorder="1" applyAlignment="1">
      <alignment horizontal="center"/>
    </xf>
    <xf numFmtId="0" fontId="57" fillId="0" borderId="0" xfId="3" applyFont="1"/>
    <xf numFmtId="0" fontId="55" fillId="0" borderId="0" xfId="3"/>
    <xf numFmtId="0" fontId="58" fillId="0" borderId="20" xfId="3" applyFont="1" applyBorder="1" applyAlignment="1">
      <alignment horizontal="centerContinuous"/>
    </xf>
    <xf numFmtId="0" fontId="55" fillId="0" borderId="0" xfId="3" applyBorder="1" applyAlignment="1">
      <alignment horizontal="center"/>
    </xf>
    <xf numFmtId="0" fontId="55" fillId="0" borderId="19" xfId="3" applyBorder="1" applyAlignment="1">
      <alignment horizontal="centerContinuous"/>
    </xf>
    <xf numFmtId="0" fontId="55" fillId="0" borderId="0" xfId="3" applyBorder="1"/>
    <xf numFmtId="0" fontId="55" fillId="0" borderId="19" xfId="3" applyBorder="1" applyAlignment="1">
      <alignment horizontal="center"/>
    </xf>
    <xf numFmtId="0" fontId="55" fillId="0" borderId="19" xfId="3" applyBorder="1" applyAlignment="1">
      <alignment horizontal="right"/>
    </xf>
    <xf numFmtId="0" fontId="55" fillId="0" borderId="0" xfId="3" applyAlignment="1">
      <alignment horizontal="center"/>
    </xf>
    <xf numFmtId="0" fontId="55" fillId="0" borderId="0" xfId="3" applyFont="1" applyBorder="1" applyAlignment="1">
      <alignment horizontal="center"/>
    </xf>
    <xf numFmtId="0" fontId="55" fillId="0" borderId="0" xfId="3" applyFont="1" applyAlignment="1">
      <alignment horizontal="center"/>
    </xf>
    <xf numFmtId="3" fontId="55" fillId="0" borderId="0" xfId="3" applyNumberFormat="1"/>
    <xf numFmtId="3" fontId="55" fillId="0" borderId="0" xfId="3" applyNumberFormat="1" applyAlignment="1">
      <alignment horizontal="right"/>
    </xf>
    <xf numFmtId="3" fontId="55" fillId="0" borderId="53" xfId="3" applyNumberFormat="1" applyBorder="1"/>
    <xf numFmtId="3" fontId="55" fillId="0" borderId="54" xfId="3" applyNumberFormat="1" applyBorder="1"/>
    <xf numFmtId="3" fontId="55" fillId="0" borderId="55" xfId="3" applyNumberFormat="1" applyBorder="1"/>
    <xf numFmtId="3" fontId="57" fillId="0" borderId="0" xfId="3" applyNumberFormat="1" applyFont="1"/>
    <xf numFmtId="0" fontId="55" fillId="0" borderId="0" xfId="3" applyBorder="1" applyAlignment="1">
      <alignment horizontal="right"/>
    </xf>
    <xf numFmtId="3" fontId="55" fillId="0" borderId="53" xfId="3" applyNumberFormat="1" applyBorder="1" applyAlignment="1">
      <alignment horizontal="right"/>
    </xf>
    <xf numFmtId="3" fontId="55" fillId="0" borderId="54" xfId="3" applyNumberFormat="1" applyBorder="1" applyAlignment="1">
      <alignment horizontal="right"/>
    </xf>
    <xf numFmtId="3" fontId="55" fillId="2" borderId="54" xfId="3" applyNumberFormat="1" applyFill="1" applyBorder="1"/>
    <xf numFmtId="3" fontId="55" fillId="0" borderId="54" xfId="3" applyNumberFormat="1" applyFill="1" applyBorder="1" applyAlignment="1">
      <alignment horizontal="right"/>
    </xf>
    <xf numFmtId="3" fontId="55" fillId="0" borderId="54" xfId="3" applyNumberFormat="1" applyFill="1" applyBorder="1"/>
    <xf numFmtId="3" fontId="55" fillId="2" borderId="53" xfId="3" applyNumberFormat="1" applyFill="1" applyBorder="1"/>
    <xf numFmtId="3" fontId="55" fillId="2" borderId="55" xfId="3" applyNumberFormat="1" applyFill="1" applyBorder="1"/>
    <xf numFmtId="3" fontId="55" fillId="0" borderId="55" xfId="3" applyNumberFormat="1" applyFont="1" applyBorder="1"/>
    <xf numFmtId="0" fontId="55" fillId="0" borderId="0" xfId="3" applyFont="1" applyBorder="1" applyAlignment="1">
      <alignment horizontal="right"/>
    </xf>
    <xf numFmtId="0" fontId="55" fillId="0" borderId="0" xfId="3" applyBorder="1" applyAlignment="1">
      <alignment horizontal="left"/>
    </xf>
    <xf numFmtId="0" fontId="55" fillId="0" borderId="19" xfId="3" applyFont="1" applyBorder="1" applyAlignment="1">
      <alignment horizontal="right"/>
    </xf>
    <xf numFmtId="3" fontId="55" fillId="0" borderId="34" xfId="3" applyNumberFormat="1" applyBorder="1"/>
    <xf numFmtId="3" fontId="55" fillId="0" borderId="35" xfId="3" applyNumberFormat="1" applyBorder="1"/>
    <xf numFmtId="3" fontId="55" fillId="0" borderId="36" xfId="3" applyNumberFormat="1" applyBorder="1"/>
    <xf numFmtId="3" fontId="55" fillId="0" borderId="26" xfId="3" applyNumberFormat="1" applyBorder="1"/>
    <xf numFmtId="3" fontId="55" fillId="0" borderId="27" xfId="3" applyNumberFormat="1" applyBorder="1"/>
    <xf numFmtId="0" fontId="58" fillId="0" borderId="19" xfId="3" applyFont="1" applyBorder="1" applyAlignment="1">
      <alignment horizontal="centerContinuous"/>
    </xf>
    <xf numFmtId="0" fontId="55" fillId="0" borderId="51" xfId="3" applyBorder="1"/>
    <xf numFmtId="0" fontId="55" fillId="0" borderId="49" xfId="3" applyFont="1" applyBorder="1" applyAlignment="1">
      <alignment horizontal="right"/>
    </xf>
    <xf numFmtId="0" fontId="55" fillId="2" borderId="50" xfId="3" applyFill="1" applyBorder="1" applyAlignment="1">
      <alignment horizontal="center"/>
    </xf>
    <xf numFmtId="0" fontId="55" fillId="0" borderId="0" xfId="3" applyFill="1" applyBorder="1" applyAlignment="1">
      <alignment horizontal="center"/>
    </xf>
    <xf numFmtId="0" fontId="55" fillId="0" borderId="20" xfId="3" applyBorder="1" applyAlignment="1">
      <alignment horizontal="centerContinuous"/>
    </xf>
    <xf numFmtId="3" fontId="57" fillId="0" borderId="25" xfId="3" applyNumberFormat="1" applyFont="1" applyBorder="1"/>
    <xf numFmtId="3" fontId="57" fillId="0" borderId="26" xfId="3" applyNumberFormat="1" applyFont="1" applyBorder="1"/>
    <xf numFmtId="3" fontId="57" fillId="0" borderId="27" xfId="3" applyNumberFormat="1" applyFont="1" applyBorder="1"/>
    <xf numFmtId="3" fontId="59" fillId="0" borderId="25" xfId="3" applyNumberFormat="1" applyFont="1" applyBorder="1" applyAlignment="1">
      <alignment horizontal="right"/>
    </xf>
    <xf numFmtId="3" fontId="59" fillId="0" borderId="34" xfId="3" applyNumberFormat="1" applyFont="1" applyBorder="1" applyAlignment="1">
      <alignment horizontal="right"/>
    </xf>
    <xf numFmtId="3" fontId="59" fillId="0" borderId="26" xfId="3" applyNumberFormat="1" applyFont="1" applyBorder="1"/>
    <xf numFmtId="3" fontId="59" fillId="0" borderId="35" xfId="3" applyNumberFormat="1" applyFont="1" applyBorder="1"/>
    <xf numFmtId="3" fontId="59" fillId="0" borderId="27" xfId="3" applyNumberFormat="1" applyFont="1" applyBorder="1"/>
    <xf numFmtId="3" fontId="59" fillId="0" borderId="36" xfId="3" applyNumberFormat="1" applyFont="1" applyBorder="1"/>
    <xf numFmtId="0" fontId="55" fillId="0" borderId="33" xfId="3" applyBorder="1"/>
    <xf numFmtId="0" fontId="58" fillId="0" borderId="0" xfId="3" applyFont="1" applyBorder="1"/>
    <xf numFmtId="0" fontId="55" fillId="0" borderId="26" xfId="3" applyBorder="1"/>
    <xf numFmtId="0" fontId="55" fillId="0" borderId="27" xfId="3" applyBorder="1"/>
    <xf numFmtId="0" fontId="55" fillId="0" borderId="17" xfId="3" applyBorder="1"/>
    <xf numFmtId="0" fontId="55" fillId="0" borderId="17" xfId="3" applyFont="1" applyBorder="1" applyAlignment="1">
      <alignment horizontal="right"/>
    </xf>
    <xf numFmtId="3" fontId="57" fillId="0" borderId="0" xfId="3" applyNumberFormat="1" applyFont="1" applyBorder="1"/>
    <xf numFmtId="3" fontId="57" fillId="0" borderId="17" xfId="3" applyNumberFormat="1" applyFont="1" applyBorder="1"/>
    <xf numFmtId="3" fontId="57" fillId="0" borderId="36" xfId="3" applyNumberFormat="1" applyFont="1" applyBorder="1"/>
    <xf numFmtId="0" fontId="55" fillId="0" borderId="16" xfId="3" applyFont="1" applyBorder="1" applyAlignment="1">
      <alignment horizontal="center"/>
    </xf>
    <xf numFmtId="0" fontId="55" fillId="0" borderId="25" xfId="3" applyFont="1" applyBorder="1"/>
    <xf numFmtId="0" fontId="55" fillId="0" borderId="34" xfId="3" applyBorder="1"/>
    <xf numFmtId="0" fontId="55" fillId="0" borderId="26" xfId="3" applyFont="1" applyBorder="1"/>
    <xf numFmtId="3" fontId="55" fillId="0" borderId="0" xfId="3" applyNumberFormat="1" applyBorder="1"/>
    <xf numFmtId="0" fontId="55" fillId="0" borderId="35" xfId="3" applyBorder="1"/>
    <xf numFmtId="0" fontId="55" fillId="0" borderId="0" xfId="3" applyFont="1" applyBorder="1"/>
    <xf numFmtId="0" fontId="55" fillId="0" borderId="35" xfId="3" applyFont="1" applyBorder="1"/>
    <xf numFmtId="3" fontId="55" fillId="0" borderId="17" xfId="3" applyNumberFormat="1" applyBorder="1"/>
    <xf numFmtId="0" fontId="55" fillId="0" borderId="0" xfId="3" applyBorder="1" applyAlignment="1">
      <alignment horizontal="centerContinuous"/>
    </xf>
    <xf numFmtId="0" fontId="55" fillId="0" borderId="33" xfId="3" applyFont="1" applyBorder="1"/>
    <xf numFmtId="0" fontId="55" fillId="0" borderId="20" xfId="3" applyBorder="1"/>
    <xf numFmtId="0" fontId="55" fillId="2" borderId="56" xfId="3" applyFill="1" applyBorder="1" applyAlignment="1">
      <alignment horizontal="center"/>
    </xf>
    <xf numFmtId="0" fontId="55" fillId="0" borderId="25" xfId="3" applyBorder="1"/>
    <xf numFmtId="0" fontId="55" fillId="0" borderId="17" xfId="3" applyFont="1" applyFill="1" applyBorder="1" applyAlignment="1">
      <alignment horizontal="right"/>
    </xf>
    <xf numFmtId="0" fontId="55" fillId="0" borderId="19" xfId="3" applyBorder="1" applyAlignment="1">
      <alignment horizontal="right" wrapText="1"/>
    </xf>
    <xf numFmtId="0" fontId="55" fillId="0" borderId="20" xfId="3" applyFont="1" applyBorder="1" applyAlignment="1">
      <alignment horizontal="right" wrapText="1"/>
    </xf>
    <xf numFmtId="1" fontId="28" fillId="0" borderId="0" xfId="0" applyNumberFormat="1" applyFont="1" applyFill="1" applyBorder="1" applyAlignment="1" applyProtection="1">
      <alignment horizontal="right"/>
    </xf>
    <xf numFmtId="1" fontId="27" fillId="0" borderId="19" xfId="0" applyNumberFormat="1" applyFont="1" applyBorder="1" applyAlignment="1" applyProtection="1">
      <alignment horizontal="right"/>
    </xf>
    <xf numFmtId="3" fontId="28" fillId="0" borderId="0" xfId="0" applyNumberFormat="1" applyFont="1" applyBorder="1" applyProtection="1"/>
    <xf numFmtId="3" fontId="27" fillId="0" borderId="12" xfId="0" applyNumberFormat="1" applyFont="1" applyBorder="1" applyProtection="1"/>
    <xf numFmtId="0" fontId="87" fillId="0" borderId="12" xfId="0" applyFont="1" applyBorder="1" applyAlignment="1">
      <alignment horizontal="center"/>
    </xf>
    <xf numFmtId="3" fontId="87" fillId="0" borderId="0" xfId="0" applyNumberFormat="1" applyFont="1" applyBorder="1" applyProtection="1"/>
    <xf numFmtId="3" fontId="87" fillId="0" borderId="0" xfId="0" applyNumberFormat="1" applyFont="1" applyFill="1" applyBorder="1" applyProtection="1"/>
    <xf numFmtId="166" fontId="87" fillId="0" borderId="0" xfId="0" applyNumberFormat="1" applyFont="1" applyFill="1" applyBorder="1" applyProtection="1"/>
    <xf numFmtId="2" fontId="87" fillId="0" borderId="0" xfId="0" applyNumberFormat="1" applyFont="1" applyFill="1" applyBorder="1" applyAlignment="1" applyProtection="1">
      <alignment horizontal="right"/>
    </xf>
    <xf numFmtId="165" fontId="87" fillId="0" borderId="0" xfId="0" applyNumberFormat="1" applyFont="1" applyFill="1" applyBorder="1" applyAlignment="1" applyProtection="1">
      <alignment horizontal="right"/>
    </xf>
    <xf numFmtId="3" fontId="27" fillId="0" borderId="0" xfId="0" applyNumberFormat="1" applyFont="1" applyBorder="1" applyProtection="1"/>
    <xf numFmtId="1" fontId="87" fillId="0" borderId="0" xfId="0" applyNumberFormat="1" applyFont="1" applyBorder="1" applyProtection="1"/>
    <xf numFmtId="3" fontId="27" fillId="0" borderId="13" xfId="0" applyNumberFormat="1" applyFont="1" applyBorder="1" applyProtection="1"/>
    <xf numFmtId="3" fontId="87" fillId="0" borderId="32" xfId="0" applyNumberFormat="1" applyFont="1" applyBorder="1" applyProtection="1"/>
    <xf numFmtId="3" fontId="87" fillId="10" borderId="56" xfId="0" applyNumberFormat="1" applyFont="1" applyFill="1" applyBorder="1" applyAlignment="1" applyProtection="1">
      <alignment horizontal="right"/>
    </xf>
    <xf numFmtId="3" fontId="87" fillId="0" borderId="31" xfId="0" applyNumberFormat="1" applyFont="1" applyFill="1" applyBorder="1" applyAlignment="1" applyProtection="1">
      <alignment horizontal="right"/>
    </xf>
    <xf numFmtId="3" fontId="87" fillId="0" borderId="0" xfId="0" applyNumberFormat="1" applyFont="1" applyFill="1" applyBorder="1" applyAlignment="1" applyProtection="1">
      <alignment horizontal="right"/>
    </xf>
    <xf numFmtId="1" fontId="27" fillId="8" borderId="33" xfId="0" applyNumberFormat="1" applyFont="1" applyFill="1" applyBorder="1"/>
    <xf numFmtId="1" fontId="27" fillId="0" borderId="33" xfId="0" applyNumberFormat="1" applyFont="1" applyBorder="1"/>
    <xf numFmtId="1" fontId="27" fillId="0" borderId="34" xfId="0" applyNumberFormat="1" applyFont="1" applyBorder="1"/>
    <xf numFmtId="1" fontId="30" fillId="8" borderId="0" xfId="0" applyNumberFormat="1" applyFont="1" applyFill="1" applyBorder="1"/>
    <xf numFmtId="1" fontId="30" fillId="2" borderId="0" xfId="0" applyNumberFormat="1" applyFont="1" applyFill="1" applyBorder="1"/>
    <xf numFmtId="1" fontId="27" fillId="2" borderId="35" xfId="0" applyNumberFormat="1" applyFont="1" applyFill="1" applyBorder="1"/>
    <xf numFmtId="1" fontId="27" fillId="8" borderId="17" xfId="0" applyNumberFormat="1" applyFont="1" applyFill="1" applyBorder="1"/>
    <xf numFmtId="1" fontId="27" fillId="0" borderId="17" xfId="0" applyNumberFormat="1" applyFont="1" applyBorder="1"/>
    <xf numFmtId="1" fontId="27" fillId="0" borderId="36" xfId="0" applyNumberFormat="1" applyFont="1" applyBorder="1"/>
    <xf numFmtId="3" fontId="27" fillId="0" borderId="35" xfId="0" applyNumberFormat="1" applyFont="1" applyBorder="1" applyAlignment="1">
      <alignment horizontal="right"/>
    </xf>
    <xf numFmtId="3" fontId="27" fillId="0" borderId="0" xfId="1" applyNumberFormat="1" applyFont="1" applyFill="1" applyBorder="1" applyAlignment="1" applyProtection="1">
      <alignment horizontal="right"/>
    </xf>
    <xf numFmtId="3" fontId="27" fillId="0" borderId="16" xfId="1" applyNumberFormat="1" applyFont="1" applyBorder="1" applyAlignment="1" applyProtection="1">
      <alignment horizontal="right"/>
    </xf>
    <xf numFmtId="183" fontId="34" fillId="0" borderId="0" xfId="0" applyNumberFormat="1" applyFont="1"/>
    <xf numFmtId="183" fontId="4" fillId="0" borderId="33" xfId="0" applyNumberFormat="1" applyFont="1" applyBorder="1" applyAlignment="1">
      <alignment wrapText="1"/>
    </xf>
    <xf numFmtId="183" fontId="4" fillId="0" borderId="0" xfId="0" applyNumberFormat="1" applyFont="1" applyBorder="1" applyAlignment="1">
      <alignment wrapText="1"/>
    </xf>
    <xf numFmtId="183" fontId="5" fillId="0" borderId="0" xfId="0" applyNumberFormat="1" applyFont="1" applyBorder="1" applyAlignment="1">
      <alignment wrapText="1"/>
    </xf>
    <xf numFmtId="183" fontId="4" fillId="0" borderId="17" xfId="0" applyNumberFormat="1" applyFont="1" applyBorder="1" applyAlignment="1">
      <alignment wrapText="1"/>
    </xf>
    <xf numFmtId="183" fontId="5" fillId="0" borderId="17" xfId="0" applyNumberFormat="1" applyFont="1" applyBorder="1" applyAlignment="1">
      <alignment wrapText="1"/>
    </xf>
    <xf numFmtId="3" fontId="34" fillId="0" borderId="0" xfId="0" applyNumberFormat="1" applyFont="1"/>
    <xf numFmtId="3" fontId="34" fillId="0" borderId="0" xfId="0" applyNumberFormat="1" applyFont="1" applyFill="1"/>
    <xf numFmtId="1" fontId="4" fillId="0" borderId="0" xfId="0" applyNumberFormat="1" applyFont="1" applyAlignment="1">
      <alignment wrapText="1"/>
    </xf>
    <xf numFmtId="1" fontId="0" fillId="0" borderId="0" xfId="0" applyNumberFormat="1" applyAlignment="1">
      <alignment wrapText="1"/>
    </xf>
    <xf numFmtId="3" fontId="50" fillId="2" borderId="0" xfId="2" applyNumberFormat="1" applyFont="1" applyFill="1"/>
    <xf numFmtId="0" fontId="0" fillId="0" borderId="0" xfId="0" applyBorder="1" applyAlignment="1">
      <alignment horizontal="right" wrapText="1"/>
    </xf>
    <xf numFmtId="0" fontId="7" fillId="0" borderId="20" xfId="0" applyFont="1" applyBorder="1" applyAlignment="1">
      <alignment horizontal="left"/>
    </xf>
    <xf numFmtId="0" fontId="7" fillId="0" borderId="0" xfId="0" applyFont="1" applyBorder="1" applyAlignment="1">
      <alignment horizontal="center" wrapText="1"/>
    </xf>
    <xf numFmtId="0" fontId="7" fillId="0" borderId="0" xfId="0" applyFont="1" applyBorder="1" applyAlignment="1">
      <alignment horizontal="right" wrapText="1"/>
    </xf>
    <xf numFmtId="0" fontId="0" fillId="0" borderId="0" xfId="0" applyBorder="1" applyAlignment="1">
      <alignment wrapText="1"/>
    </xf>
    <xf numFmtId="179" fontId="1" fillId="0" borderId="0" xfId="0" applyNumberFormat="1" applyFont="1" applyBorder="1"/>
    <xf numFmtId="1" fontId="4" fillId="0" borderId="0" xfId="0" applyNumberFormat="1" applyFont="1" applyBorder="1" applyAlignment="1">
      <alignment wrapText="1"/>
    </xf>
    <xf numFmtId="179" fontId="1" fillId="0" borderId="0" xfId="0" applyNumberFormat="1" applyFont="1" applyFill="1" applyBorder="1"/>
    <xf numFmtId="179" fontId="0" fillId="0" borderId="0" xfId="0" applyNumberFormat="1" applyBorder="1" applyAlignment="1">
      <alignment horizontal="center"/>
    </xf>
    <xf numFmtId="0" fontId="55" fillId="0" borderId="19" xfId="3" applyFont="1" applyBorder="1" applyAlignment="1">
      <alignment horizontal="right" wrapText="1"/>
    </xf>
    <xf numFmtId="0" fontId="88" fillId="0" borderId="7" xfId="0" applyFont="1" applyBorder="1"/>
    <xf numFmtId="0" fontId="88" fillId="0" borderId="5" xfId="0" applyFont="1" applyBorder="1"/>
    <xf numFmtId="165" fontId="88" fillId="0" borderId="7" xfId="0" applyNumberFormat="1" applyFont="1" applyBorder="1" applyProtection="1"/>
    <xf numFmtId="165" fontId="88" fillId="0" borderId="11" xfId="0" applyNumberFormat="1" applyFont="1" applyBorder="1" applyProtection="1"/>
    <xf numFmtId="165" fontId="88" fillId="0" borderId="5" xfId="0" applyNumberFormat="1" applyFont="1" applyBorder="1" applyProtection="1"/>
    <xf numFmtId="0" fontId="88" fillId="0" borderId="13" xfId="0" applyFont="1" applyBorder="1"/>
    <xf numFmtId="165" fontId="88" fillId="0" borderId="13" xfId="0" applyNumberFormat="1" applyFont="1" applyBorder="1" applyProtection="1"/>
    <xf numFmtId="165" fontId="88" fillId="0" borderId="0" xfId="0" applyNumberFormat="1" applyFont="1" applyProtection="1"/>
    <xf numFmtId="165" fontId="88" fillId="0" borderId="14" xfId="0" applyNumberFormat="1" applyFont="1" applyBorder="1" applyProtection="1"/>
    <xf numFmtId="171" fontId="88" fillId="0" borderId="7" xfId="0" applyNumberFormat="1" applyFont="1" applyBorder="1" applyProtection="1"/>
    <xf numFmtId="171" fontId="88" fillId="0" borderId="11" xfId="0" applyNumberFormat="1" applyFont="1" applyBorder="1" applyProtection="1"/>
    <xf numFmtId="171" fontId="88" fillId="0" borderId="5" xfId="0" applyNumberFormat="1" applyFont="1" applyBorder="1" applyProtection="1"/>
    <xf numFmtId="0" fontId="88" fillId="0" borderId="11" xfId="0" applyFont="1" applyBorder="1"/>
    <xf numFmtId="171" fontId="88" fillId="0" borderId="13" xfId="0" applyNumberFormat="1" applyFont="1" applyBorder="1" applyProtection="1"/>
    <xf numFmtId="171" fontId="88" fillId="0" borderId="0" xfId="0" applyNumberFormat="1" applyFont="1" applyProtection="1"/>
    <xf numFmtId="171" fontId="88" fillId="0" borderId="14" xfId="0" applyNumberFormat="1" applyFont="1" applyBorder="1" applyProtection="1"/>
    <xf numFmtId="0" fontId="88" fillId="0" borderId="0" xfId="0" applyFont="1"/>
    <xf numFmtId="0" fontId="88" fillId="0" borderId="14" xfId="0" applyFont="1" applyBorder="1"/>
    <xf numFmtId="0" fontId="88" fillId="0" borderId="8" xfId="0" applyFont="1" applyBorder="1"/>
    <xf numFmtId="0" fontId="88" fillId="0" borderId="15" xfId="0" applyFont="1" applyBorder="1"/>
    <xf numFmtId="165" fontId="88" fillId="0" borderId="15" xfId="0" applyNumberFormat="1" applyFont="1" applyBorder="1" applyProtection="1"/>
    <xf numFmtId="165" fontId="88" fillId="0" borderId="9" xfId="0" applyNumberFormat="1" applyFont="1" applyBorder="1" applyProtection="1"/>
    <xf numFmtId="0" fontId="88" fillId="0" borderId="9" xfId="0" applyFont="1" applyBorder="1"/>
    <xf numFmtId="0" fontId="88" fillId="0" borderId="1" xfId="0" applyFont="1" applyBorder="1" applyAlignment="1">
      <alignment horizontal="center"/>
    </xf>
    <xf numFmtId="0" fontId="88" fillId="0" borderId="3" xfId="0" applyFont="1" applyBorder="1"/>
    <xf numFmtId="165" fontId="88" fillId="0" borderId="1" xfId="0" applyNumberFormat="1" applyFont="1" applyBorder="1" applyProtection="1"/>
    <xf numFmtId="165" fontId="88" fillId="0" borderId="2" xfId="0" applyNumberFormat="1" applyFont="1" applyBorder="1" applyProtection="1"/>
    <xf numFmtId="165" fontId="88" fillId="0" borderId="3" xfId="0" applyNumberFormat="1" applyFont="1" applyBorder="1" applyProtection="1"/>
    <xf numFmtId="168" fontId="88" fillId="0" borderId="0" xfId="0" applyNumberFormat="1" applyFont="1" applyProtection="1"/>
    <xf numFmtId="165" fontId="88" fillId="0" borderId="0" xfId="0" applyNumberFormat="1" applyFont="1"/>
    <xf numFmtId="167" fontId="88" fillId="0" borderId="0" xfId="0" applyNumberFormat="1" applyFont="1" applyProtection="1"/>
    <xf numFmtId="0" fontId="89" fillId="2" borderId="0" xfId="0" applyFont="1" applyFill="1"/>
    <xf numFmtId="166" fontId="88" fillId="0" borderId="0" xfId="0" applyNumberFormat="1" applyFont="1" applyProtection="1"/>
    <xf numFmtId="170" fontId="88" fillId="0" borderId="14" xfId="0" applyNumberFormat="1" applyFont="1" applyBorder="1" applyProtection="1"/>
    <xf numFmtId="166" fontId="88" fillId="0" borderId="12" xfId="0" applyNumberFormat="1" applyFont="1" applyBorder="1" applyProtection="1"/>
    <xf numFmtId="168" fontId="88" fillId="0" borderId="12" xfId="0" applyNumberFormat="1" applyFont="1" applyBorder="1" applyProtection="1"/>
    <xf numFmtId="0" fontId="88" fillId="0" borderId="12" xfId="0" applyFont="1" applyBorder="1"/>
    <xf numFmtId="171" fontId="88" fillId="0" borderId="12" xfId="0" applyNumberFormat="1" applyFont="1" applyBorder="1" applyProtection="1"/>
    <xf numFmtId="166" fontId="88" fillId="0" borderId="15" xfId="0" applyNumberFormat="1" applyFont="1" applyBorder="1" applyProtection="1"/>
    <xf numFmtId="169" fontId="88" fillId="0" borderId="15" xfId="0" applyNumberFormat="1" applyFont="1" applyBorder="1" applyProtection="1"/>
    <xf numFmtId="167" fontId="88" fillId="0" borderId="15" xfId="0" applyNumberFormat="1" applyFont="1" applyBorder="1" applyProtection="1"/>
    <xf numFmtId="37" fontId="88" fillId="0" borderId="15" xfId="0" applyNumberFormat="1" applyFont="1" applyBorder="1" applyProtection="1"/>
    <xf numFmtId="37" fontId="88" fillId="0" borderId="10" xfId="0" applyNumberFormat="1" applyFont="1" applyBorder="1" applyProtection="1"/>
    <xf numFmtId="0" fontId="88" fillId="0" borderId="10" xfId="0" applyFont="1" applyBorder="1"/>
    <xf numFmtId="37" fontId="88" fillId="0" borderId="0" xfId="0" applyNumberFormat="1" applyFont="1" applyProtection="1"/>
    <xf numFmtId="165" fontId="88" fillId="0" borderId="0" xfId="0" applyNumberFormat="1" applyFont="1" applyAlignment="1" applyProtection="1">
      <alignment horizontal="right"/>
    </xf>
    <xf numFmtId="0" fontId="88" fillId="0" borderId="0" xfId="0" applyFont="1" applyAlignment="1">
      <alignment horizontal="right"/>
    </xf>
    <xf numFmtId="169" fontId="88" fillId="0" borderId="0" xfId="0" applyNumberFormat="1" applyFont="1" applyProtection="1"/>
    <xf numFmtId="167" fontId="88" fillId="0" borderId="0" xfId="0" applyNumberFormat="1" applyFont="1" applyAlignment="1" applyProtection="1">
      <alignment horizontal="right"/>
    </xf>
    <xf numFmtId="37" fontId="88" fillId="0" borderId="13" xfId="0" applyNumberFormat="1" applyFont="1" applyBorder="1" applyProtection="1"/>
    <xf numFmtId="37" fontId="88" fillId="0" borderId="11" xfId="0" applyNumberFormat="1" applyFont="1" applyBorder="1" applyProtection="1"/>
    <xf numFmtId="169" fontId="88" fillId="0" borderId="11" xfId="0" applyNumberFormat="1" applyFont="1" applyBorder="1" applyProtection="1"/>
    <xf numFmtId="167" fontId="88" fillId="0" borderId="11" xfId="0" applyNumberFormat="1" applyFont="1" applyBorder="1" applyProtection="1"/>
    <xf numFmtId="37" fontId="88" fillId="0" borderId="6" xfId="0" applyNumberFormat="1" applyFont="1" applyBorder="1" applyProtection="1"/>
    <xf numFmtId="0" fontId="88" fillId="0" borderId="6" xfId="0" applyFont="1" applyBorder="1"/>
    <xf numFmtId="9" fontId="88" fillId="0" borderId="14" xfId="0" applyNumberFormat="1" applyFont="1" applyBorder="1" applyProtection="1"/>
    <xf numFmtId="0" fontId="90" fillId="2" borderId="0" xfId="0" applyFont="1" applyFill="1"/>
    <xf numFmtId="168" fontId="88" fillId="0" borderId="0" xfId="0" applyNumberFormat="1" applyFont="1"/>
    <xf numFmtId="167" fontId="90" fillId="2" borderId="0" xfId="0" applyNumberFormat="1" applyFont="1" applyFill="1" applyBorder="1" applyProtection="1"/>
    <xf numFmtId="171" fontId="88" fillId="0" borderId="15" xfId="0" applyNumberFormat="1" applyFont="1" applyBorder="1" applyProtection="1"/>
    <xf numFmtId="0" fontId="88" fillId="0" borderId="0" xfId="0" applyFont="1" applyBorder="1"/>
    <xf numFmtId="0" fontId="91" fillId="0" borderId="6" xfId="0" applyFont="1" applyBorder="1"/>
    <xf numFmtId="0" fontId="91" fillId="0" borderId="16" xfId="0" applyFont="1" applyBorder="1"/>
    <xf numFmtId="0" fontId="91" fillId="0" borderId="52" xfId="0" applyFont="1" applyBorder="1"/>
    <xf numFmtId="0" fontId="91" fillId="0" borderId="0" xfId="0" applyFont="1" applyBorder="1"/>
    <xf numFmtId="0" fontId="91" fillId="0" borderId="0" xfId="0" applyFont="1"/>
    <xf numFmtId="0" fontId="92" fillId="0" borderId="12" xfId="0" applyFont="1" applyBorder="1"/>
    <xf numFmtId="0" fontId="91" fillId="0" borderId="12" xfId="0" applyFont="1" applyBorder="1"/>
    <xf numFmtId="166" fontId="91" fillId="0" borderId="12" xfId="0" applyNumberFormat="1" applyFont="1" applyBorder="1" applyProtection="1"/>
    <xf numFmtId="165" fontId="91" fillId="0" borderId="12" xfId="0" applyNumberFormat="1" applyFont="1" applyBorder="1" applyProtection="1"/>
    <xf numFmtId="165" fontId="91" fillId="0" borderId="0" xfId="0" applyNumberFormat="1" applyFont="1" applyBorder="1" applyProtection="1"/>
    <xf numFmtId="165" fontId="91" fillId="0" borderId="32" xfId="0" applyNumberFormat="1" applyFont="1" applyBorder="1" applyProtection="1"/>
    <xf numFmtId="165" fontId="91" fillId="0" borderId="14" xfId="0" applyNumberFormat="1" applyFont="1" applyBorder="1" applyProtection="1"/>
    <xf numFmtId="165" fontId="91" fillId="0" borderId="0" xfId="0" applyNumberFormat="1" applyFont="1" applyProtection="1"/>
    <xf numFmtId="166" fontId="91" fillId="0" borderId="13" xfId="0" applyNumberFormat="1" applyFont="1" applyBorder="1" applyProtection="1"/>
    <xf numFmtId="0" fontId="91" fillId="0" borderId="37" xfId="0" applyFont="1" applyBorder="1"/>
    <xf numFmtId="0" fontId="91" fillId="0" borderId="13" xfId="0" applyFont="1" applyBorder="1"/>
    <xf numFmtId="165" fontId="91" fillId="0" borderId="53" xfId="0" applyNumberFormat="1" applyFont="1" applyBorder="1" applyProtection="1"/>
    <xf numFmtId="3" fontId="93" fillId="0" borderId="0" xfId="0" applyNumberFormat="1" applyFont="1"/>
    <xf numFmtId="165" fontId="91" fillId="0" borderId="54" xfId="0" applyNumberFormat="1" applyFont="1" applyBorder="1" applyProtection="1"/>
    <xf numFmtId="165" fontId="91" fillId="0" borderId="55" xfId="0" applyNumberFormat="1" applyFont="1" applyBorder="1" applyProtection="1"/>
    <xf numFmtId="165" fontId="91" fillId="0" borderId="0" xfId="0" applyNumberFormat="1" applyFont="1" applyBorder="1"/>
    <xf numFmtId="165" fontId="91" fillId="0" borderId="0" xfId="0" applyNumberFormat="1" applyFont="1" applyBorder="1" applyAlignment="1">
      <alignment horizontal="right"/>
    </xf>
    <xf numFmtId="165" fontId="91" fillId="0" borderId="57" xfId="0" applyNumberFormat="1" applyFont="1" applyBorder="1" applyAlignment="1" applyProtection="1">
      <alignment horizontal="right"/>
    </xf>
    <xf numFmtId="165" fontId="91" fillId="0" borderId="32" xfId="0" applyNumberFormat="1" applyFont="1" applyBorder="1" applyAlignment="1" applyProtection="1">
      <alignment horizontal="right"/>
    </xf>
    <xf numFmtId="0" fontId="91" fillId="2" borderId="32" xfId="0" applyFont="1" applyFill="1" applyBorder="1" applyAlignment="1">
      <alignment horizontal="right"/>
    </xf>
    <xf numFmtId="165" fontId="91" fillId="0" borderId="32" xfId="0" applyNumberFormat="1" applyFont="1" applyBorder="1" applyAlignment="1">
      <alignment horizontal="right"/>
    </xf>
    <xf numFmtId="166" fontId="91" fillId="0" borderId="12" xfId="0" applyNumberFormat="1" applyFont="1" applyFill="1" applyBorder="1" applyProtection="1"/>
    <xf numFmtId="0" fontId="91" fillId="0" borderId="0" xfId="0" applyFont="1" applyFill="1" applyBorder="1"/>
    <xf numFmtId="0" fontId="91" fillId="0" borderId="32" xfId="0" applyFont="1" applyFill="1" applyBorder="1"/>
    <xf numFmtId="2" fontId="91" fillId="0" borderId="14" xfId="0" applyNumberFormat="1" applyFont="1" applyBorder="1"/>
    <xf numFmtId="165" fontId="91" fillId="0" borderId="0" xfId="0" applyNumberFormat="1" applyFont="1" applyFill="1" applyBorder="1" applyAlignment="1">
      <alignment horizontal="right"/>
    </xf>
    <xf numFmtId="0" fontId="91" fillId="0" borderId="31" xfId="0" applyFont="1" applyBorder="1"/>
    <xf numFmtId="166" fontId="91" fillId="2" borderId="12" xfId="0" applyNumberFormat="1" applyFont="1" applyFill="1" applyBorder="1" applyProtection="1"/>
    <xf numFmtId="165" fontId="91" fillId="2" borderId="0" xfId="0" applyNumberFormat="1" applyFont="1" applyFill="1" applyBorder="1" applyAlignment="1">
      <alignment horizontal="right"/>
    </xf>
    <xf numFmtId="0" fontId="91" fillId="2" borderId="32" xfId="0" applyFont="1" applyFill="1" applyBorder="1"/>
    <xf numFmtId="0" fontId="91" fillId="0" borderId="10" xfId="0" applyFont="1" applyBorder="1"/>
    <xf numFmtId="0" fontId="91" fillId="0" borderId="58" xfId="0" applyFont="1" applyBorder="1"/>
    <xf numFmtId="0" fontId="91" fillId="0" borderId="15" xfId="0" applyFont="1" applyBorder="1"/>
    <xf numFmtId="0" fontId="91" fillId="0" borderId="59" xfId="0" applyFont="1" applyBorder="1"/>
    <xf numFmtId="0" fontId="91" fillId="0" borderId="9" xfId="0" applyFont="1" applyBorder="1"/>
    <xf numFmtId="0" fontId="91" fillId="0" borderId="19" xfId="0" applyFont="1" applyBorder="1"/>
    <xf numFmtId="0" fontId="91" fillId="0" borderId="60" xfId="0" applyFont="1" applyBorder="1"/>
    <xf numFmtId="0" fontId="91" fillId="0" borderId="29" xfId="0" quotePrefix="1" applyFont="1" applyBorder="1" applyAlignment="1">
      <alignment horizontal="center"/>
    </xf>
    <xf numFmtId="0" fontId="91" fillId="0" borderId="16" xfId="0" applyFont="1" applyBorder="1" applyAlignment="1">
      <alignment horizontal="center"/>
    </xf>
    <xf numFmtId="0" fontId="91" fillId="0" borderId="61" xfId="0" applyFont="1" applyBorder="1"/>
    <xf numFmtId="0" fontId="91" fillId="0" borderId="62" xfId="0" applyFont="1" applyBorder="1"/>
    <xf numFmtId="0" fontId="91" fillId="0" borderId="29" xfId="0" applyFont="1" applyBorder="1" applyAlignment="1">
      <alignment horizontal="center"/>
    </xf>
    <xf numFmtId="0" fontId="91" fillId="0" borderId="20" xfId="0" applyFont="1" applyBorder="1"/>
    <xf numFmtId="0" fontId="91" fillId="0" borderId="28" xfId="0" applyFont="1" applyBorder="1"/>
    <xf numFmtId="0" fontId="91" fillId="0" borderId="31" xfId="0" applyFont="1" applyBorder="1" applyAlignment="1">
      <alignment horizontal="center"/>
    </xf>
    <xf numFmtId="0" fontId="91" fillId="0" borderId="0" xfId="0" applyFont="1" applyBorder="1" applyAlignment="1">
      <alignment horizontal="center"/>
    </xf>
    <xf numFmtId="0" fontId="91" fillId="0" borderId="32" xfId="0" applyFont="1" applyBorder="1" applyAlignment="1">
      <alignment horizontal="center"/>
    </xf>
    <xf numFmtId="0" fontId="93" fillId="0" borderId="0" xfId="0" applyFont="1"/>
    <xf numFmtId="0" fontId="91" fillId="0" borderId="63" xfId="0" applyFont="1" applyBorder="1" applyAlignment="1">
      <alignment horizontal="center"/>
    </xf>
    <xf numFmtId="0" fontId="91" fillId="0" borderId="15" xfId="0" applyFont="1" applyBorder="1" applyAlignment="1">
      <alignment horizontal="center"/>
    </xf>
    <xf numFmtId="0" fontId="91" fillId="0" borderId="64" xfId="0" applyFont="1" applyBorder="1" applyAlignment="1">
      <alignment horizontal="center"/>
    </xf>
    <xf numFmtId="0" fontId="91" fillId="0" borderId="11" xfId="0" applyFont="1" applyBorder="1" applyAlignment="1">
      <alignment horizontal="center"/>
    </xf>
    <xf numFmtId="0" fontId="91" fillId="0" borderId="65" xfId="0" applyFont="1" applyBorder="1" applyAlignment="1">
      <alignment horizontal="right"/>
    </xf>
    <xf numFmtId="0" fontId="91" fillId="0" borderId="66" xfId="0" applyFont="1" applyBorder="1" applyAlignment="1">
      <alignment horizontal="center"/>
    </xf>
    <xf numFmtId="0" fontId="91" fillId="0" borderId="67" xfId="0" applyFont="1" applyBorder="1" applyAlignment="1">
      <alignment horizontal="center"/>
    </xf>
    <xf numFmtId="0" fontId="91" fillId="0" borderId="0" xfId="0" applyFont="1" applyAlignment="1">
      <alignment horizontal="right"/>
    </xf>
    <xf numFmtId="177" fontId="91" fillId="4" borderId="26" xfId="0" applyNumberFormat="1" applyFont="1" applyFill="1" applyBorder="1"/>
    <xf numFmtId="177" fontId="91" fillId="4" borderId="0" xfId="0" applyNumberFormat="1" applyFont="1" applyFill="1" applyBorder="1"/>
    <xf numFmtId="177" fontId="91" fillId="4" borderId="35" xfId="0" applyNumberFormat="1" applyFont="1" applyFill="1" applyBorder="1"/>
    <xf numFmtId="0" fontId="91" fillId="0" borderId="68" xfId="0" applyFont="1" applyBorder="1" applyAlignment="1">
      <alignment horizontal="center"/>
    </xf>
    <xf numFmtId="0" fontId="91" fillId="0" borderId="25" xfId="0" applyFont="1" applyBorder="1"/>
    <xf numFmtId="0" fontId="91" fillId="0" borderId="33" xfId="0" applyFont="1" applyBorder="1"/>
    <xf numFmtId="0" fontId="91" fillId="0" borderId="33" xfId="0" applyFont="1" applyBorder="1" applyAlignment="1">
      <alignment horizontal="center"/>
    </xf>
    <xf numFmtId="0" fontId="91" fillId="0" borderId="34" xfId="0" applyFont="1" applyBorder="1" applyAlignment="1">
      <alignment horizontal="center"/>
    </xf>
    <xf numFmtId="0" fontId="91" fillId="0" borderId="26" xfId="0" applyFont="1" applyBorder="1"/>
    <xf numFmtId="4" fontId="91" fillId="0" borderId="0" xfId="1" applyNumberFormat="1" applyFont="1" applyFill="1" applyBorder="1" applyAlignment="1" applyProtection="1">
      <alignment horizontal="right"/>
    </xf>
    <xf numFmtId="0" fontId="91" fillId="0" borderId="35" xfId="0" applyFont="1" applyBorder="1"/>
    <xf numFmtId="0" fontId="91" fillId="0" borderId="0" xfId="0" applyFont="1" applyBorder="1" applyAlignment="1">
      <alignment horizontal="left"/>
    </xf>
    <xf numFmtId="0" fontId="91" fillId="0" borderId="27" xfId="0" applyFont="1" applyBorder="1"/>
    <xf numFmtId="0" fontId="91" fillId="0" borderId="17" xfId="0" applyFont="1" applyBorder="1"/>
    <xf numFmtId="0" fontId="91" fillId="0" borderId="17" xfId="0" applyFont="1" applyBorder="1" applyAlignment="1">
      <alignment horizontal="left"/>
    </xf>
    <xf numFmtId="0" fontId="91" fillId="0" borderId="36" xfId="0" applyFont="1" applyBorder="1"/>
    <xf numFmtId="1" fontId="91" fillId="0" borderId="0" xfId="0" applyNumberFormat="1" applyFont="1"/>
    <xf numFmtId="3" fontId="50" fillId="0" borderId="0" xfId="1" applyNumberFormat="1" applyFont="1" applyBorder="1" applyAlignment="1">
      <alignment horizontal="right"/>
    </xf>
    <xf numFmtId="3" fontId="48" fillId="0" borderId="0" xfId="2" applyNumberFormat="1" applyBorder="1"/>
    <xf numFmtId="3" fontId="52" fillId="0" borderId="0" xfId="1" applyNumberFormat="1" applyFont="1" applyProtection="1"/>
    <xf numFmtId="3" fontId="50" fillId="0" borderId="0" xfId="2" applyNumberFormat="1" applyFont="1" applyBorder="1" applyAlignment="1">
      <alignment horizontal="center"/>
    </xf>
    <xf numFmtId="3" fontId="4" fillId="0" borderId="0" xfId="0" applyNumberFormat="1" applyFont="1" applyBorder="1" applyAlignment="1">
      <alignment wrapText="1"/>
    </xf>
    <xf numFmtId="3" fontId="4" fillId="0" borderId="0" xfId="0" applyNumberFormat="1" applyFont="1" applyAlignment="1">
      <alignment wrapText="1"/>
    </xf>
    <xf numFmtId="182" fontId="48" fillId="0" borderId="0" xfId="1" applyNumberFormat="1" applyFont="1" applyBorder="1" applyAlignment="1">
      <alignment horizontal="right"/>
    </xf>
    <xf numFmtId="182" fontId="48" fillId="0" borderId="19" xfId="1" applyNumberFormat="1" applyFont="1" applyBorder="1" applyAlignment="1">
      <alignment horizontal="right"/>
    </xf>
    <xf numFmtId="3" fontId="48" fillId="0" borderId="0" xfId="2" applyNumberFormat="1" applyAlignment="1">
      <alignment horizontal="right"/>
    </xf>
    <xf numFmtId="3" fontId="50" fillId="0" borderId="0" xfId="2" applyNumberFormat="1" applyFont="1" applyBorder="1" applyAlignment="1">
      <alignment horizontal="right"/>
    </xf>
    <xf numFmtId="3" fontId="50" fillId="0" borderId="0" xfId="2" applyNumberFormat="1" applyFont="1" applyAlignment="1">
      <alignment horizontal="right"/>
    </xf>
    <xf numFmtId="0" fontId="48" fillId="0" borderId="0" xfId="2" applyBorder="1" applyAlignment="1">
      <alignment horizontal="right"/>
    </xf>
    <xf numFmtId="0" fontId="48" fillId="0" borderId="16" xfId="2" applyBorder="1" applyAlignment="1">
      <alignment horizontal="right"/>
    </xf>
    <xf numFmtId="3" fontId="48" fillId="0" borderId="0" xfId="2" applyNumberFormat="1" applyFill="1" applyBorder="1" applyAlignment="1">
      <alignment horizontal="right"/>
    </xf>
    <xf numFmtId="9" fontId="50" fillId="11" borderId="0" xfId="4" applyFont="1" applyFill="1" applyBorder="1"/>
    <xf numFmtId="3" fontId="50" fillId="0" borderId="0" xfId="1" applyNumberFormat="1" applyFont="1" applyBorder="1" applyAlignment="1">
      <alignment horizontal="center"/>
    </xf>
    <xf numFmtId="173" fontId="48" fillId="0" borderId="19" xfId="2" applyNumberFormat="1" applyBorder="1"/>
    <xf numFmtId="0" fontId="48" fillId="0" borderId="20" xfId="2" applyFill="1" applyBorder="1" applyAlignment="1">
      <alignment horizontal="centerContinuous" wrapText="1"/>
    </xf>
    <xf numFmtId="0" fontId="48" fillId="0" borderId="20" xfId="2" applyFill="1" applyBorder="1" applyAlignment="1">
      <alignment horizontal="center" wrapText="1"/>
    </xf>
    <xf numFmtId="0" fontId="48" fillId="0" borderId="20" xfId="2" applyFill="1" applyBorder="1" applyAlignment="1">
      <alignment horizontal="right" wrapText="1"/>
    </xf>
    <xf numFmtId="0" fontId="94" fillId="0" borderId="20" xfId="3" applyFont="1" applyBorder="1" applyAlignment="1">
      <alignment horizontal="centerContinuous"/>
    </xf>
    <xf numFmtId="0" fontId="95" fillId="0" borderId="20" xfId="3" applyFont="1" applyBorder="1" applyAlignment="1">
      <alignment horizontal="centerContinuous"/>
    </xf>
    <xf numFmtId="173" fontId="48" fillId="0" borderId="20" xfId="2" applyNumberFormat="1" applyBorder="1"/>
    <xf numFmtId="3" fontId="52" fillId="0" borderId="0" xfId="1" applyNumberFormat="1" applyFont="1" applyBorder="1" applyProtection="1"/>
    <xf numFmtId="3" fontId="50" fillId="0" borderId="0" xfId="2" applyNumberFormat="1" applyFont="1" applyFill="1" applyBorder="1"/>
    <xf numFmtId="3" fontId="50" fillId="0" borderId="0" xfId="2" applyNumberFormat="1" applyFont="1" applyBorder="1"/>
    <xf numFmtId="9" fontId="50" fillId="0" borderId="0" xfId="4" applyFont="1" applyBorder="1"/>
    <xf numFmtId="3" fontId="50" fillId="0" borderId="16" xfId="2" applyNumberFormat="1" applyFont="1" applyBorder="1"/>
    <xf numFmtId="3" fontId="50" fillId="0" borderId="19" xfId="2" applyNumberFormat="1" applyFont="1" applyBorder="1"/>
    <xf numFmtId="9" fontId="50" fillId="0" borderId="19" xfId="4" applyFont="1" applyBorder="1"/>
    <xf numFmtId="0" fontId="48" fillId="0" borderId="33" xfId="2" applyBorder="1"/>
    <xf numFmtId="0" fontId="48" fillId="0" borderId="33" xfId="2" applyBorder="1" applyAlignment="1">
      <alignment horizontal="right"/>
    </xf>
    <xf numFmtId="0" fontId="48" fillId="11" borderId="34" xfId="2" applyFill="1" applyBorder="1"/>
    <xf numFmtId="0" fontId="48" fillId="0" borderId="27" xfId="2" applyBorder="1"/>
    <xf numFmtId="0" fontId="48" fillId="0" borderId="17" xfId="2" applyBorder="1"/>
    <xf numFmtId="0" fontId="48" fillId="0" borderId="17" xfId="2" applyBorder="1" applyAlignment="1">
      <alignment horizontal="right"/>
    </xf>
    <xf numFmtId="9" fontId="48" fillId="11" borderId="36" xfId="2" applyNumberFormat="1" applyFill="1" applyBorder="1"/>
    <xf numFmtId="182" fontId="48" fillId="0" borderId="16" xfId="1" applyNumberFormat="1" applyFont="1" applyBorder="1" applyAlignment="1">
      <alignment horizontal="center"/>
    </xf>
    <xf numFmtId="3" fontId="50" fillId="11" borderId="0" xfId="2" applyNumberFormat="1" applyFont="1" applyFill="1" applyBorder="1"/>
    <xf numFmtId="38" fontId="50" fillId="0" borderId="16" xfId="2" applyNumberFormat="1" applyFont="1" applyBorder="1"/>
    <xf numFmtId="38" fontId="48" fillId="0" borderId="0" xfId="2" applyNumberFormat="1" applyBorder="1"/>
    <xf numFmtId="38" fontId="50" fillId="0" borderId="0" xfId="2" applyNumberFormat="1" applyFont="1" applyBorder="1"/>
    <xf numFmtId="38" fontId="50" fillId="0" borderId="19" xfId="2" applyNumberFormat="1" applyFont="1" applyBorder="1"/>
    <xf numFmtId="0" fontId="48" fillId="0" borderId="0" xfId="2" applyFill="1" applyBorder="1"/>
    <xf numFmtId="3" fontId="53" fillId="0" borderId="0" xfId="2" applyNumberFormat="1" applyFont="1" applyFill="1" applyBorder="1" applyAlignment="1">
      <alignment horizontal="right"/>
    </xf>
    <xf numFmtId="3" fontId="54" fillId="0" borderId="0" xfId="2" applyNumberFormat="1" applyFont="1" applyFill="1" applyBorder="1"/>
    <xf numFmtId="9" fontId="48" fillId="11" borderId="0" xfId="2" applyNumberFormat="1" applyFill="1"/>
    <xf numFmtId="0" fontId="0" fillId="0" borderId="19" xfId="0" applyBorder="1" applyAlignment="1">
      <alignment wrapText="1"/>
    </xf>
    <xf numFmtId="0" fontId="96" fillId="0" borderId="0" xfId="2" applyFont="1"/>
    <xf numFmtId="0" fontId="55" fillId="0" borderId="19" xfId="3" applyBorder="1" applyAlignment="1">
      <alignment horizontal="center" wrapText="1"/>
    </xf>
    <xf numFmtId="0" fontId="55" fillId="0" borderId="19" xfId="3" applyFont="1" applyBorder="1" applyAlignment="1">
      <alignment horizontal="center" wrapText="1"/>
    </xf>
    <xf numFmtId="0" fontId="63" fillId="0" borderId="13" xfId="0" applyFont="1" applyBorder="1" applyAlignment="1" applyProtection="1">
      <alignment horizontal="left"/>
    </xf>
    <xf numFmtId="0" fontId="57" fillId="0" borderId="0" xfId="0" applyFont="1" applyAlignment="1" applyProtection="1">
      <alignment horizontal="left"/>
    </xf>
    <xf numFmtId="0" fontId="0" fillId="0" borderId="0" xfId="0" applyAlignment="1" applyProtection="1">
      <alignment horizontal="right"/>
    </xf>
    <xf numFmtId="0" fontId="0" fillId="0" borderId="0" xfId="0" applyProtection="1"/>
    <xf numFmtId="0" fontId="0" fillId="0" borderId="0" xfId="0" applyFill="1" applyProtection="1"/>
    <xf numFmtId="0" fontId="0" fillId="0" borderId="0" xfId="0" applyFill="1" applyAlignment="1" applyProtection="1">
      <alignment horizontal="right"/>
    </xf>
    <xf numFmtId="0" fontId="0" fillId="9" borderId="0" xfId="0" applyFill="1" applyBorder="1" applyAlignment="1" applyProtection="1">
      <alignment horizontal="centerContinuous"/>
    </xf>
    <xf numFmtId="0" fontId="0" fillId="0" borderId="0" xfId="0" applyFill="1" applyBorder="1" applyAlignment="1" applyProtection="1">
      <alignment horizontal="centerContinuous"/>
    </xf>
    <xf numFmtId="0" fontId="0" fillId="0" borderId="13" xfId="0" applyBorder="1" applyAlignment="1" applyProtection="1">
      <alignment horizontal="center"/>
    </xf>
    <xf numFmtId="0" fontId="0" fillId="0" borderId="12" xfId="0" applyBorder="1" applyAlignment="1" applyProtection="1">
      <alignment horizontal="center"/>
    </xf>
    <xf numFmtId="0" fontId="0" fillId="0" borderId="6" xfId="0" applyBorder="1" applyAlignment="1" applyProtection="1">
      <alignment horizontal="right"/>
    </xf>
    <xf numFmtId="0" fontId="0" fillId="0" borderId="10" xfId="0" applyBorder="1" applyAlignment="1" applyProtection="1">
      <alignment horizontal="center"/>
    </xf>
    <xf numFmtId="0" fontId="0" fillId="0" borderId="7" xfId="0" applyBorder="1" applyAlignment="1" applyProtection="1">
      <alignment horizontal="centerContinuous"/>
    </xf>
    <xf numFmtId="0" fontId="0" fillId="0" borderId="6" xfId="0" applyBorder="1" applyAlignment="1" applyProtection="1">
      <alignment horizontal="center"/>
    </xf>
    <xf numFmtId="0" fontId="0" fillId="0" borderId="0" xfId="0" applyBorder="1" applyAlignment="1" applyProtection="1">
      <alignment horizontal="center"/>
    </xf>
    <xf numFmtId="0" fontId="0" fillId="0" borderId="0" xfId="0" applyFill="1" applyBorder="1" applyAlignment="1" applyProtection="1">
      <alignment horizontal="center"/>
    </xf>
    <xf numFmtId="0" fontId="0" fillId="0" borderId="0" xfId="0" applyAlignment="1" applyProtection="1">
      <alignment horizontal="center"/>
    </xf>
    <xf numFmtId="170" fontId="57" fillId="0" borderId="0" xfId="0" applyNumberFormat="1" applyFont="1" applyBorder="1" applyAlignment="1" applyProtection="1">
      <alignment horizontal="center"/>
    </xf>
    <xf numFmtId="170" fontId="57" fillId="0" borderId="0" xfId="0" applyNumberFormat="1" applyFont="1" applyFill="1" applyBorder="1" applyAlignment="1" applyProtection="1">
      <alignment horizontal="center"/>
    </xf>
    <xf numFmtId="170" fontId="0" fillId="0" borderId="0" xfId="0" applyNumberFormat="1" applyFill="1" applyBorder="1" applyProtection="1"/>
    <xf numFmtId="37" fontId="57" fillId="11" borderId="0" xfId="0" applyNumberFormat="1" applyFont="1" applyFill="1" applyBorder="1" applyAlignment="1" applyProtection="1">
      <alignment horizontal="right"/>
    </xf>
    <xf numFmtId="37" fontId="57" fillId="0" borderId="0" xfId="0" applyNumberFormat="1" applyFont="1" applyFill="1" applyBorder="1" applyAlignment="1" applyProtection="1">
      <alignment horizontal="right"/>
    </xf>
    <xf numFmtId="170" fontId="0" fillId="0" borderId="0" xfId="0" applyNumberFormat="1" applyBorder="1" applyProtection="1"/>
    <xf numFmtId="0" fontId="0" fillId="0" borderId="0" xfId="0" applyBorder="1" applyAlignment="1" applyProtection="1">
      <alignment horizontal="right"/>
    </xf>
    <xf numFmtId="10" fontId="0" fillId="0" borderId="0" xfId="0" applyNumberFormat="1" applyBorder="1" applyProtection="1"/>
    <xf numFmtId="10" fontId="0" fillId="0" borderId="0" xfId="0" applyNumberFormat="1" applyFill="1" applyBorder="1" applyProtection="1"/>
    <xf numFmtId="10" fontId="57" fillId="0" borderId="0" xfId="0" applyNumberFormat="1" applyFont="1" applyBorder="1" applyProtection="1"/>
    <xf numFmtId="10" fontId="57" fillId="0" borderId="0" xfId="0" applyNumberFormat="1" applyFont="1" applyFill="1" applyBorder="1" applyProtection="1"/>
    <xf numFmtId="0" fontId="0" fillId="0" borderId="13" xfId="0" applyBorder="1" applyProtection="1"/>
    <xf numFmtId="3" fontId="57" fillId="0" borderId="0" xfId="0" applyNumberFormat="1" applyFont="1" applyBorder="1" applyAlignment="1" applyProtection="1">
      <alignment horizontal="right"/>
    </xf>
    <xf numFmtId="170" fontId="57" fillId="0" borderId="0" xfId="0" applyNumberFormat="1" applyFont="1" applyBorder="1" applyProtection="1"/>
    <xf numFmtId="170" fontId="57" fillId="0" borderId="0" xfId="0" applyNumberFormat="1" applyFont="1" applyFill="1" applyBorder="1" applyProtection="1"/>
    <xf numFmtId="175" fontId="59" fillId="0" borderId="0" xfId="4" applyNumberFormat="1" applyFont="1" applyBorder="1" applyProtection="1"/>
    <xf numFmtId="175" fontId="59" fillId="0" borderId="0" xfId="4" applyNumberFormat="1" applyFont="1" applyFill="1" applyBorder="1" applyProtection="1"/>
    <xf numFmtId="0" fontId="0" fillId="0" borderId="20" xfId="0" applyBorder="1" applyAlignment="1" applyProtection="1">
      <alignment horizontal="right"/>
    </xf>
    <xf numFmtId="9" fontId="0" fillId="0" borderId="20" xfId="4" applyFont="1" applyBorder="1" applyAlignment="1" applyProtection="1">
      <alignment horizontal="right"/>
    </xf>
    <xf numFmtId="0" fontId="0" fillId="0" borderId="0" xfId="0" applyBorder="1" applyProtection="1"/>
    <xf numFmtId="0" fontId="0" fillId="0" borderId="0" xfId="0" applyFill="1" applyBorder="1" applyProtection="1"/>
    <xf numFmtId="0" fontId="58" fillId="0" borderId="13" xfId="0" applyFont="1" applyBorder="1" applyAlignment="1" applyProtection="1">
      <alignment horizontal="center"/>
    </xf>
    <xf numFmtId="11" fontId="57" fillId="0" borderId="0" xfId="0" applyNumberFormat="1" applyFont="1" applyBorder="1" applyAlignment="1" applyProtection="1">
      <alignment horizontal="right"/>
    </xf>
    <xf numFmtId="3" fontId="0" fillId="3" borderId="0" xfId="0" applyNumberFormat="1" applyFill="1" applyBorder="1" applyAlignment="1" applyProtection="1">
      <alignment horizontal="right"/>
    </xf>
    <xf numFmtId="38" fontId="57" fillId="0" borderId="0" xfId="0" applyNumberFormat="1" applyFont="1" applyBorder="1" applyAlignment="1" applyProtection="1">
      <alignment horizontal="right"/>
    </xf>
    <xf numFmtId="37" fontId="64" fillId="3" borderId="0" xfId="0" applyNumberFormat="1" applyFont="1" applyFill="1" applyBorder="1" applyAlignment="1" applyProtection="1">
      <alignment horizontal="right"/>
    </xf>
    <xf numFmtId="37" fontId="54" fillId="0" borderId="0" xfId="0" applyNumberFormat="1" applyFont="1" applyBorder="1" applyAlignment="1" applyProtection="1">
      <alignment horizontal="right"/>
    </xf>
    <xf numFmtId="3" fontId="64" fillId="3" borderId="0" xfId="0" applyNumberFormat="1" applyFont="1" applyFill="1" applyBorder="1" applyAlignment="1" applyProtection="1">
      <alignment horizontal="right"/>
    </xf>
    <xf numFmtId="3" fontId="65" fillId="3" borderId="0" xfId="0" applyNumberFormat="1" applyFont="1" applyFill="1" applyBorder="1" applyAlignment="1" applyProtection="1">
      <alignment horizontal="right"/>
    </xf>
    <xf numFmtId="11" fontId="57" fillId="0" borderId="0" xfId="0" applyNumberFormat="1" applyFont="1" applyFill="1" applyBorder="1" applyAlignment="1" applyProtection="1">
      <alignment horizontal="right"/>
    </xf>
    <xf numFmtId="37" fontId="54" fillId="0" borderId="0" xfId="0" applyNumberFormat="1" applyFont="1" applyFill="1" applyBorder="1" applyProtection="1"/>
    <xf numFmtId="171" fontId="0" fillId="0" borderId="0" xfId="0" applyNumberFormat="1" applyFill="1" applyBorder="1" applyAlignment="1" applyProtection="1">
      <alignment horizontal="right"/>
    </xf>
    <xf numFmtId="0" fontId="0" fillId="0" borderId="69" xfId="0" applyBorder="1" applyProtection="1"/>
    <xf numFmtId="0" fontId="58" fillId="2" borderId="70" xfId="0" applyFont="1" applyFill="1" applyBorder="1" applyAlignment="1" applyProtection="1">
      <alignment horizontal="centerContinuous"/>
    </xf>
    <xf numFmtId="0" fontId="0" fillId="2" borderId="71" xfId="0" applyFill="1" applyBorder="1" applyAlignment="1" applyProtection="1">
      <alignment horizontal="centerContinuous"/>
    </xf>
    <xf numFmtId="0" fontId="0" fillId="2" borderId="72" xfId="0" applyFill="1" applyBorder="1" applyAlignment="1" applyProtection="1">
      <alignment horizontal="centerContinuous"/>
    </xf>
    <xf numFmtId="0" fontId="58" fillId="9" borderId="70" xfId="0" applyFont="1" applyFill="1" applyBorder="1" applyAlignment="1" applyProtection="1">
      <alignment horizontal="centerContinuous"/>
    </xf>
    <xf numFmtId="0" fontId="0" fillId="9" borderId="71" xfId="0" applyFill="1" applyBorder="1" applyAlignment="1" applyProtection="1">
      <alignment horizontal="centerContinuous"/>
    </xf>
    <xf numFmtId="0" fontId="0" fillId="9" borderId="72" xfId="0" applyFill="1" applyBorder="1" applyAlignment="1" applyProtection="1">
      <alignment horizontal="centerContinuous"/>
    </xf>
    <xf numFmtId="0" fontId="0" fillId="0" borderId="58" xfId="0" applyBorder="1" applyAlignment="1" applyProtection="1">
      <alignment horizontal="center"/>
    </xf>
    <xf numFmtId="0" fontId="0" fillId="0" borderId="24" xfId="0" applyBorder="1" applyAlignment="1" applyProtection="1">
      <alignment horizontal="center"/>
    </xf>
    <xf numFmtId="37" fontId="54" fillId="0" borderId="0" xfId="0" applyNumberFormat="1" applyFont="1" applyFill="1" applyBorder="1" applyAlignment="1" applyProtection="1">
      <alignment horizontal="right"/>
    </xf>
    <xf numFmtId="3" fontId="7" fillId="0" borderId="0" xfId="0" applyNumberFormat="1" applyFont="1" applyBorder="1" applyAlignment="1">
      <alignment horizontal="center" wrapText="1"/>
    </xf>
    <xf numFmtId="0" fontId="0" fillId="11" borderId="0" xfId="0" applyFill="1" applyBorder="1" applyAlignment="1">
      <alignment horizontal="center"/>
    </xf>
    <xf numFmtId="0" fontId="0" fillId="11" borderId="0" xfId="0" applyFill="1" applyBorder="1" applyProtection="1"/>
    <xf numFmtId="171" fontId="0" fillId="11" borderId="0" xfId="0" applyNumberFormat="1" applyFill="1" applyBorder="1" applyAlignment="1" applyProtection="1">
      <alignment horizontal="right"/>
    </xf>
    <xf numFmtId="170" fontId="0" fillId="11" borderId="0" xfId="0" applyNumberFormat="1" applyFill="1" applyBorder="1" applyProtection="1"/>
    <xf numFmtId="37" fontId="54" fillId="11" borderId="0" xfId="0" applyNumberFormat="1" applyFont="1" applyFill="1" applyBorder="1" applyProtection="1"/>
    <xf numFmtId="11" fontId="57" fillId="11" borderId="0" xfId="0" applyNumberFormat="1" applyFont="1" applyFill="1" applyBorder="1" applyAlignment="1" applyProtection="1">
      <alignment horizontal="right"/>
    </xf>
    <xf numFmtId="170" fontId="57" fillId="11" borderId="0" xfId="0" applyNumberFormat="1" applyFont="1" applyFill="1" applyBorder="1" applyAlignment="1" applyProtection="1">
      <alignment horizontal="center"/>
    </xf>
    <xf numFmtId="0" fontId="15" fillId="0" borderId="0" xfId="0" applyFont="1" applyBorder="1" applyAlignment="1">
      <alignment horizontal="right" wrapText="1"/>
    </xf>
    <xf numFmtId="180" fontId="5" fillId="0" borderId="0" xfId="0" applyNumberFormat="1" applyFont="1" applyBorder="1" applyAlignment="1">
      <alignment wrapText="1"/>
    </xf>
    <xf numFmtId="180" fontId="4" fillId="0" borderId="0" xfId="0" applyNumberFormat="1" applyFont="1" applyBorder="1" applyAlignment="1">
      <alignment wrapText="1"/>
    </xf>
    <xf numFmtId="9" fontId="27" fillId="0" borderId="0" xfId="4" applyFont="1"/>
    <xf numFmtId="0" fontId="15" fillId="11" borderId="0" xfId="0" applyFont="1" applyFill="1" applyAlignment="1">
      <alignment horizontal="center"/>
    </xf>
    <xf numFmtId="0" fontId="55" fillId="0" borderId="0" xfId="3" applyAlignment="1">
      <alignment horizontal="center" wrapText="1"/>
    </xf>
    <xf numFmtId="3" fontId="4" fillId="0" borderId="0" xfId="0" applyNumberFormat="1" applyFont="1"/>
    <xf numFmtId="0" fontId="4" fillId="11" borderId="0" xfId="0" applyFont="1" applyFill="1" applyAlignment="1">
      <alignment horizontal="left"/>
    </xf>
    <xf numFmtId="0" fontId="4" fillId="11" borderId="0" xfId="0" applyFont="1" applyFill="1" applyAlignment="1">
      <alignment horizontal="center"/>
    </xf>
    <xf numFmtId="0" fontId="0" fillId="11" borderId="0" xfId="0" applyFill="1"/>
    <xf numFmtId="0" fontId="0" fillId="0" borderId="25" xfId="0" applyBorder="1"/>
    <xf numFmtId="0" fontId="15" fillId="0" borderId="33" xfId="0" applyFont="1" applyBorder="1"/>
    <xf numFmtId="0" fontId="0" fillId="0" borderId="26" xfId="0" applyBorder="1"/>
    <xf numFmtId="0" fontId="15" fillId="0" borderId="0" xfId="0" applyFont="1" applyBorder="1" applyAlignment="1">
      <alignment horizontal="right"/>
    </xf>
    <xf numFmtId="0" fontId="0" fillId="0" borderId="27" xfId="0" applyBorder="1"/>
    <xf numFmtId="0" fontId="15" fillId="0" borderId="17" xfId="0" applyFont="1" applyBorder="1"/>
    <xf numFmtId="0" fontId="15" fillId="0" borderId="17" xfId="0" applyFont="1" applyBorder="1" applyAlignment="1">
      <alignment horizontal="right"/>
    </xf>
    <xf numFmtId="0" fontId="15" fillId="0" borderId="16" xfId="0" applyFont="1" applyBorder="1"/>
    <xf numFmtId="0" fontId="15" fillId="0" borderId="19" xfId="0" applyFont="1" applyBorder="1" applyAlignment="1">
      <alignment horizontal="right"/>
    </xf>
    <xf numFmtId="0" fontId="68" fillId="0" borderId="0" xfId="0" applyFont="1"/>
    <xf numFmtId="0" fontId="68" fillId="0" borderId="0" xfId="0" applyFont="1" applyAlignment="1">
      <alignment horizontal="right"/>
    </xf>
    <xf numFmtId="3" fontId="27" fillId="0" borderId="0" xfId="0" applyNumberFormat="1" applyFont="1" applyBorder="1"/>
    <xf numFmtId="0" fontId="15" fillId="0" borderId="19" xfId="0" applyFont="1" applyBorder="1"/>
    <xf numFmtId="3" fontId="27" fillId="0" borderId="19" xfId="0" applyNumberFormat="1" applyFont="1" applyBorder="1"/>
    <xf numFmtId="0" fontId="27" fillId="0" borderId="19" xfId="0" applyFont="1" applyBorder="1"/>
    <xf numFmtId="0" fontId="68" fillId="0" borderId="0" xfId="0" applyFont="1" applyBorder="1"/>
    <xf numFmtId="0" fontId="15" fillId="0" borderId="20" xfId="0" applyFont="1" applyBorder="1" applyAlignment="1">
      <alignment horizontal="right"/>
    </xf>
    <xf numFmtId="2" fontId="27" fillId="0" borderId="19" xfId="0" applyNumberFormat="1" applyFont="1" applyBorder="1"/>
    <xf numFmtId="174" fontId="27" fillId="0" borderId="19" xfId="0" applyNumberFormat="1" applyFont="1" applyBorder="1"/>
    <xf numFmtId="9" fontId="27" fillId="11" borderId="0" xfId="4" applyFont="1" applyFill="1"/>
    <xf numFmtId="0" fontId="69" fillId="0" borderId="0" xfId="0" applyFont="1"/>
    <xf numFmtId="0" fontId="70" fillId="0" borderId="0" xfId="0" applyFont="1"/>
    <xf numFmtId="9" fontId="50" fillId="11" borderId="36" xfId="2" applyNumberFormat="1" applyFont="1" applyFill="1" applyBorder="1"/>
    <xf numFmtId="0" fontId="50" fillId="0" borderId="0" xfId="2" applyFont="1" applyBorder="1" applyAlignment="1">
      <alignment horizontal="center"/>
    </xf>
    <xf numFmtId="37" fontId="57" fillId="3" borderId="0" xfId="0" applyNumberFormat="1" applyFont="1" applyFill="1" applyBorder="1" applyAlignment="1" applyProtection="1">
      <alignment horizontal="right"/>
    </xf>
    <xf numFmtId="3" fontId="4" fillId="0" borderId="0" xfId="0" applyNumberFormat="1" applyFont="1" applyBorder="1" applyAlignment="1" applyProtection="1">
      <alignment horizontal="right"/>
    </xf>
    <xf numFmtId="37" fontId="50" fillId="0" borderId="0" xfId="0" applyNumberFormat="1" applyFont="1" applyFill="1" applyBorder="1" applyProtection="1"/>
    <xf numFmtId="3" fontId="4" fillId="3" borderId="0" xfId="0" applyNumberFormat="1" applyFont="1" applyFill="1" applyBorder="1" applyAlignment="1" applyProtection="1">
      <alignment horizontal="right"/>
    </xf>
    <xf numFmtId="3" fontId="4" fillId="12" borderId="0" xfId="0" applyNumberFormat="1" applyFont="1" applyFill="1" applyBorder="1" applyAlignment="1" applyProtection="1">
      <alignment horizontal="right"/>
    </xf>
    <xf numFmtId="171" fontId="0" fillId="0" borderId="0" xfId="0" applyNumberFormat="1" applyBorder="1" applyAlignment="1" applyProtection="1">
      <alignment horizontal="right"/>
    </xf>
    <xf numFmtId="11" fontId="0" fillId="0" borderId="0" xfId="0" applyNumberFormat="1" applyBorder="1" applyAlignment="1" applyProtection="1">
      <alignment horizontal="right"/>
    </xf>
    <xf numFmtId="3" fontId="59" fillId="0" borderId="0" xfId="0" applyNumberFormat="1" applyFont="1" applyBorder="1" applyProtection="1"/>
    <xf numFmtId="37" fontId="0" fillId="0" borderId="0" xfId="0" applyNumberFormat="1" applyBorder="1" applyProtection="1"/>
    <xf numFmtId="168" fontId="0" fillId="0" borderId="0" xfId="0" applyNumberFormat="1" applyBorder="1" applyProtection="1"/>
    <xf numFmtId="0" fontId="0" fillId="0" borderId="16" xfId="0" applyBorder="1" applyProtection="1"/>
    <xf numFmtId="0" fontId="0" fillId="0" borderId="16" xfId="0" applyBorder="1" applyAlignment="1">
      <alignment horizontal="center"/>
    </xf>
    <xf numFmtId="0" fontId="0" fillId="0" borderId="16" xfId="0" applyBorder="1" applyAlignment="1" applyProtection="1">
      <alignment horizontal="right"/>
    </xf>
    <xf numFmtId="3" fontId="4" fillId="0" borderId="16" xfId="0" applyNumberFormat="1" applyFont="1" applyBorder="1" applyProtection="1"/>
    <xf numFmtId="171" fontId="0" fillId="0" borderId="16" xfId="0" applyNumberFormat="1" applyBorder="1" applyAlignment="1" applyProtection="1">
      <alignment horizontal="right"/>
    </xf>
    <xf numFmtId="170" fontId="0" fillId="0" borderId="16" xfId="0" applyNumberFormat="1" applyBorder="1" applyProtection="1"/>
    <xf numFmtId="11" fontId="0" fillId="0" borderId="16" xfId="0" applyNumberFormat="1" applyBorder="1" applyAlignment="1" applyProtection="1">
      <alignment horizontal="right"/>
    </xf>
    <xf numFmtId="10" fontId="0" fillId="0" borderId="16" xfId="0" applyNumberFormat="1" applyBorder="1" applyProtection="1"/>
    <xf numFmtId="0" fontId="0" fillId="0" borderId="19" xfId="0" applyBorder="1" applyProtection="1"/>
    <xf numFmtId="0" fontId="0" fillId="0" borderId="19" xfId="0" applyBorder="1" applyAlignment="1" applyProtection="1">
      <alignment horizontal="center"/>
    </xf>
    <xf numFmtId="0" fontId="0" fillId="0" borderId="19" xfId="0" applyBorder="1" applyAlignment="1" applyProtection="1">
      <alignment horizontal="left"/>
    </xf>
    <xf numFmtId="3" fontId="57" fillId="2" borderId="19" xfId="0" applyNumberFormat="1" applyFont="1" applyFill="1" applyBorder="1" applyProtection="1"/>
    <xf numFmtId="170" fontId="57" fillId="2" borderId="19" xfId="0" applyNumberFormat="1" applyFont="1" applyFill="1" applyBorder="1" applyProtection="1"/>
    <xf numFmtId="0" fontId="0" fillId="0" borderId="19" xfId="0" applyBorder="1" applyAlignment="1" applyProtection="1">
      <alignment horizontal="right"/>
    </xf>
    <xf numFmtId="37" fontId="57" fillId="2" borderId="19" xfId="0" applyNumberFormat="1" applyFont="1" applyFill="1" applyBorder="1" applyProtection="1"/>
    <xf numFmtId="10" fontId="57" fillId="2" borderId="19" xfId="0" applyNumberFormat="1" applyFont="1" applyFill="1" applyBorder="1" applyProtection="1"/>
    <xf numFmtId="0" fontId="72" fillId="0" borderId="0" xfId="0" applyFont="1" applyProtection="1"/>
    <xf numFmtId="172" fontId="0" fillId="0" borderId="20" xfId="0" applyNumberFormat="1" applyBorder="1" applyAlignment="1" applyProtection="1">
      <alignment horizontal="right"/>
    </xf>
    <xf numFmtId="0" fontId="0" fillId="0" borderId="0" xfId="0" applyFill="1" applyBorder="1" applyAlignment="1">
      <alignment horizontal="center"/>
    </xf>
    <xf numFmtId="3" fontId="4" fillId="0" borderId="0" xfId="0" applyNumberFormat="1" applyFont="1" applyFill="1" applyBorder="1" applyAlignment="1" applyProtection="1">
      <alignment horizontal="right"/>
    </xf>
    <xf numFmtId="0" fontId="63" fillId="0" borderId="0" xfId="0" applyFont="1" applyBorder="1" applyAlignment="1" applyProtection="1">
      <alignment horizontal="left"/>
    </xf>
    <xf numFmtId="171" fontId="57" fillId="0" borderId="0" xfId="0" applyNumberFormat="1" applyFont="1" applyBorder="1" applyProtection="1"/>
    <xf numFmtId="1" fontId="32" fillId="0" borderId="0" xfId="0" applyNumberFormat="1" applyFont="1" applyBorder="1"/>
    <xf numFmtId="0" fontId="97" fillId="11" borderId="0" xfId="0" applyFont="1" applyFill="1" applyBorder="1"/>
    <xf numFmtId="0" fontId="97" fillId="11" borderId="35" xfId="0" applyFont="1" applyFill="1" applyBorder="1"/>
    <xf numFmtId="172" fontId="50" fillId="0" borderId="0" xfId="0" applyNumberFormat="1" applyFont="1" applyBorder="1" applyProtection="1"/>
    <xf numFmtId="0" fontId="0" fillId="0" borderId="0" xfId="0" applyBorder="1" applyAlignment="1">
      <alignment horizontal="right"/>
    </xf>
    <xf numFmtId="0" fontId="50" fillId="0" borderId="0" xfId="0" applyFont="1" applyBorder="1" applyProtection="1"/>
    <xf numFmtId="0" fontId="73" fillId="0" borderId="0" xfId="0" applyFont="1" applyAlignment="1" applyProtection="1">
      <alignment horizontal="left"/>
    </xf>
    <xf numFmtId="3" fontId="57" fillId="0" borderId="0" xfId="0" quotePrefix="1" applyNumberFormat="1" applyFont="1" applyBorder="1" applyAlignment="1" applyProtection="1">
      <alignment horizontal="right"/>
    </xf>
    <xf numFmtId="3" fontId="0" fillId="0" borderId="0" xfId="0" applyNumberFormat="1"/>
    <xf numFmtId="3" fontId="57" fillId="0" borderId="17" xfId="0" applyNumberFormat="1" applyFont="1" applyBorder="1" applyAlignment="1" applyProtection="1">
      <alignment horizontal="right"/>
    </xf>
    <xf numFmtId="0" fontId="0" fillId="0" borderId="25" xfId="0" applyBorder="1" applyProtection="1"/>
    <xf numFmtId="0" fontId="0" fillId="0" borderId="33" xfId="0" applyBorder="1" applyProtection="1"/>
    <xf numFmtId="0" fontId="0" fillId="0" borderId="33" xfId="0" applyBorder="1" applyAlignment="1" applyProtection="1">
      <alignment horizontal="right"/>
    </xf>
    <xf numFmtId="37" fontId="0" fillId="0" borderId="33" xfId="0" applyNumberFormat="1" applyBorder="1" applyProtection="1"/>
    <xf numFmtId="172" fontId="0" fillId="0" borderId="33" xfId="0" applyNumberFormat="1" applyBorder="1" applyAlignment="1" applyProtection="1">
      <alignment horizontal="right"/>
    </xf>
    <xf numFmtId="175" fontId="59" fillId="0" borderId="34" xfId="4" applyNumberFormat="1" applyFont="1" applyBorder="1" applyProtection="1"/>
    <xf numFmtId="0" fontId="0" fillId="0" borderId="26" xfId="0" applyBorder="1" applyProtection="1"/>
    <xf numFmtId="9" fontId="0" fillId="0" borderId="0" xfId="4" applyFont="1" applyBorder="1" applyProtection="1"/>
    <xf numFmtId="0" fontId="0" fillId="0" borderId="35" xfId="0" applyBorder="1" applyProtection="1"/>
    <xf numFmtId="3" fontId="0" fillId="0" borderId="0" xfId="0" applyNumberFormat="1" applyBorder="1" applyProtection="1"/>
    <xf numFmtId="0" fontId="0" fillId="0" borderId="16" xfId="0" applyBorder="1" applyAlignment="1" applyProtection="1">
      <alignment horizontal="center"/>
    </xf>
    <xf numFmtId="11" fontId="57" fillId="0" borderId="16" xfId="0" applyNumberFormat="1" applyFont="1" applyBorder="1" applyAlignment="1" applyProtection="1">
      <alignment horizontal="right"/>
    </xf>
    <xf numFmtId="170" fontId="57" fillId="0" borderId="16" xfId="0" applyNumberFormat="1" applyFont="1" applyBorder="1" applyProtection="1"/>
    <xf numFmtId="10" fontId="57" fillId="0" borderId="16" xfId="0" applyNumberFormat="1" applyFont="1" applyBorder="1" applyProtection="1"/>
    <xf numFmtId="0" fontId="3" fillId="11" borderId="6" xfId="0" applyFont="1" applyFill="1" applyBorder="1"/>
    <xf numFmtId="0" fontId="3" fillId="11" borderId="7" xfId="0" applyFont="1" applyFill="1" applyBorder="1" applyAlignment="1">
      <alignment horizontal="center"/>
    </xf>
    <xf numFmtId="0" fontId="3" fillId="11" borderId="7" xfId="0" applyFont="1" applyFill="1" applyBorder="1"/>
    <xf numFmtId="0" fontId="3" fillId="11" borderId="10" xfId="0" applyFont="1" applyFill="1" applyBorder="1" applyAlignment="1">
      <alignment horizontal="center"/>
    </xf>
    <xf numFmtId="0" fontId="15" fillId="11" borderId="19" xfId="0" applyFont="1" applyFill="1" applyBorder="1" applyAlignment="1">
      <alignment horizontal="right"/>
    </xf>
    <xf numFmtId="174" fontId="27" fillId="0" borderId="0" xfId="0" applyNumberFormat="1" applyFont="1" applyBorder="1"/>
    <xf numFmtId="0" fontId="24" fillId="0" borderId="20" xfId="0" applyFont="1" applyBorder="1"/>
    <xf numFmtId="0" fontId="0" fillId="0" borderId="20" xfId="0" applyFont="1" applyBorder="1"/>
    <xf numFmtId="0" fontId="15" fillId="11" borderId="0" xfId="0" applyFont="1" applyFill="1"/>
    <xf numFmtId="3" fontId="27" fillId="11" borderId="0" xfId="0" applyNumberFormat="1" applyFont="1" applyFill="1"/>
    <xf numFmtId="9" fontId="27" fillId="0" borderId="0" xfId="4" applyFont="1" applyFill="1"/>
    <xf numFmtId="38" fontId="57" fillId="0" borderId="17" xfId="0" applyNumberFormat="1" applyFont="1" applyBorder="1" applyAlignment="1" applyProtection="1">
      <alignment horizontal="right"/>
    </xf>
    <xf numFmtId="0" fontId="0" fillId="0" borderId="0" xfId="0" applyFill="1"/>
    <xf numFmtId="3" fontId="0" fillId="0" borderId="0" xfId="0" applyNumberFormat="1" applyFill="1"/>
    <xf numFmtId="0" fontId="0" fillId="0" borderId="25" xfId="0" applyFill="1" applyBorder="1" applyProtection="1"/>
    <xf numFmtId="0" fontId="0" fillId="0" borderId="33" xfId="0" applyFill="1" applyBorder="1" applyProtection="1"/>
    <xf numFmtId="0" fontId="0" fillId="0" borderId="33" xfId="0" applyFill="1" applyBorder="1" applyAlignment="1" applyProtection="1">
      <alignment horizontal="right"/>
    </xf>
    <xf numFmtId="37" fontId="0" fillId="0" borderId="33" xfId="0" applyNumberFormat="1" applyFill="1" applyBorder="1" applyProtection="1"/>
    <xf numFmtId="172" fontId="0" fillId="0" borderId="33" xfId="0" applyNumberFormat="1" applyFill="1" applyBorder="1" applyAlignment="1" applyProtection="1">
      <alignment horizontal="right"/>
    </xf>
    <xf numFmtId="175" fontId="59" fillId="0" borderId="34" xfId="4" applyNumberFormat="1" applyFont="1" applyFill="1" applyBorder="1" applyProtection="1"/>
    <xf numFmtId="0" fontId="0" fillId="0" borderId="26" xfId="0" applyFill="1" applyBorder="1" applyProtection="1"/>
    <xf numFmtId="0" fontId="0" fillId="0" borderId="20" xfId="0" applyFill="1" applyBorder="1" applyAlignment="1" applyProtection="1">
      <alignment horizontal="right"/>
    </xf>
    <xf numFmtId="9" fontId="36" fillId="0" borderId="20" xfId="4" applyFont="1" applyFill="1" applyBorder="1" applyAlignment="1" applyProtection="1">
      <alignment horizontal="right"/>
    </xf>
    <xf numFmtId="172" fontId="0" fillId="0" borderId="20" xfId="0" applyNumberFormat="1" applyFill="1" applyBorder="1" applyAlignment="1" applyProtection="1">
      <alignment horizontal="right"/>
    </xf>
    <xf numFmtId="9" fontId="36" fillId="0" borderId="0" xfId="4" applyFont="1" applyFill="1" applyBorder="1" applyProtection="1"/>
    <xf numFmtId="0" fontId="0" fillId="0" borderId="35" xfId="0" applyFill="1" applyBorder="1" applyProtection="1"/>
    <xf numFmtId="0" fontId="0" fillId="0" borderId="26" xfId="0" applyFill="1" applyBorder="1"/>
    <xf numFmtId="0" fontId="0" fillId="0" borderId="0" xfId="0" applyFill="1" applyBorder="1"/>
    <xf numFmtId="3" fontId="57" fillId="0" borderId="0" xfId="0" applyNumberFormat="1" applyFont="1" applyFill="1" applyBorder="1" applyAlignment="1" applyProtection="1">
      <alignment horizontal="right"/>
    </xf>
    <xf numFmtId="0" fontId="0" fillId="0" borderId="35" xfId="0" applyFill="1" applyBorder="1"/>
    <xf numFmtId="0" fontId="0" fillId="0" borderId="27" xfId="0" applyFill="1" applyBorder="1"/>
    <xf numFmtId="0" fontId="0" fillId="0" borderId="17" xfId="0" applyFill="1" applyBorder="1"/>
    <xf numFmtId="3" fontId="57" fillId="0" borderId="17" xfId="0" applyNumberFormat="1" applyFont="1" applyFill="1" applyBorder="1" applyAlignment="1" applyProtection="1">
      <alignment horizontal="right"/>
    </xf>
    <xf numFmtId="0" fontId="0" fillId="0" borderId="36" xfId="0" applyFill="1" applyBorder="1"/>
    <xf numFmtId="0" fontId="15" fillId="0" borderId="33" xfId="0" applyFont="1" applyBorder="1" applyAlignment="1">
      <alignment horizontal="right"/>
    </xf>
    <xf numFmtId="0" fontId="15" fillId="0" borderId="34" xfId="0" applyFont="1" applyBorder="1" applyAlignment="1">
      <alignment horizontal="right"/>
    </xf>
    <xf numFmtId="175" fontId="27" fillId="0" borderId="35" xfId="0" applyNumberFormat="1" applyFont="1" applyBorder="1"/>
    <xf numFmtId="3" fontId="27" fillId="0" borderId="17" xfId="0" applyNumberFormat="1" applyFont="1" applyBorder="1"/>
    <xf numFmtId="0" fontId="27" fillId="0" borderId="17" xfId="0" applyFont="1" applyBorder="1"/>
    <xf numFmtId="2" fontId="27" fillId="0" borderId="17" xfId="0" applyNumberFormat="1" applyFont="1" applyBorder="1"/>
    <xf numFmtId="175" fontId="27" fillId="0" borderId="36" xfId="0" applyNumberFormat="1" applyFont="1" applyBorder="1"/>
    <xf numFmtId="0" fontId="0" fillId="11" borderId="0" xfId="0" applyFill="1" applyBorder="1" applyAlignment="1"/>
    <xf numFmtId="0" fontId="0" fillId="11" borderId="17" xfId="0" applyFill="1" applyBorder="1" applyAlignment="1"/>
    <xf numFmtId="175" fontId="27" fillId="0" borderId="0" xfId="0" applyNumberFormat="1" applyFont="1" applyBorder="1"/>
    <xf numFmtId="9" fontId="0" fillId="0" borderId="0" xfId="4" applyFont="1"/>
    <xf numFmtId="172" fontId="0" fillId="0" borderId="0" xfId="0" applyNumberFormat="1"/>
    <xf numFmtId="0" fontId="68" fillId="0" borderId="16" xfId="0" applyFont="1" applyBorder="1"/>
    <xf numFmtId="9" fontId="27" fillId="0" borderId="0" xfId="0" applyNumberFormat="1" applyFont="1"/>
    <xf numFmtId="9" fontId="15" fillId="0" borderId="0" xfId="0" applyNumberFormat="1" applyFont="1"/>
    <xf numFmtId="9" fontId="27" fillId="0" borderId="0" xfId="0" applyNumberFormat="1" applyFont="1" applyFill="1"/>
    <xf numFmtId="9" fontId="27" fillId="11" borderId="0" xfId="0" applyNumberFormat="1" applyFont="1" applyFill="1"/>
    <xf numFmtId="3" fontId="27" fillId="0" borderId="16" xfId="0" applyNumberFormat="1" applyFont="1" applyBorder="1"/>
    <xf numFmtId="0" fontId="27" fillId="0" borderId="16" xfId="0" applyFont="1" applyBorder="1"/>
    <xf numFmtId="2" fontId="27" fillId="0" borderId="16" xfId="0" applyNumberFormat="1" applyFont="1" applyBorder="1"/>
    <xf numFmtId="11" fontId="57" fillId="0" borderId="25" xfId="0" applyNumberFormat="1" applyFont="1" applyBorder="1" applyAlignment="1" applyProtection="1">
      <alignment horizontal="right"/>
    </xf>
    <xf numFmtId="170" fontId="57" fillId="0" borderId="34" xfId="0" applyNumberFormat="1" applyFont="1" applyBorder="1" applyAlignment="1" applyProtection="1">
      <alignment horizontal="center"/>
    </xf>
    <xf numFmtId="11" fontId="57" fillId="0" borderId="26" xfId="0" applyNumberFormat="1" applyFont="1" applyBorder="1" applyAlignment="1" applyProtection="1">
      <alignment horizontal="right"/>
    </xf>
    <xf numFmtId="170" fontId="57" fillId="0" borderId="35" xfId="0" applyNumberFormat="1" applyFont="1" applyBorder="1" applyAlignment="1" applyProtection="1">
      <alignment horizontal="center"/>
    </xf>
    <xf numFmtId="11" fontId="57" fillId="0" borderId="26" xfId="0" applyNumberFormat="1" applyFont="1" applyFill="1" applyBorder="1" applyAlignment="1" applyProtection="1">
      <alignment horizontal="right"/>
    </xf>
    <xf numFmtId="171" fontId="0" fillId="0" borderId="26" xfId="0" applyNumberFormat="1" applyFill="1" applyBorder="1" applyAlignment="1" applyProtection="1">
      <alignment horizontal="right"/>
    </xf>
    <xf numFmtId="170" fontId="0" fillId="0" borderId="35" xfId="0" applyNumberFormat="1" applyFill="1" applyBorder="1" applyProtection="1"/>
    <xf numFmtId="171" fontId="0" fillId="0" borderId="27" xfId="0" applyNumberFormat="1" applyBorder="1" applyAlignment="1" applyProtection="1">
      <alignment horizontal="right"/>
    </xf>
    <xf numFmtId="170" fontId="0" fillId="0" borderId="36" xfId="0" applyNumberFormat="1" applyBorder="1" applyProtection="1"/>
    <xf numFmtId="11" fontId="0" fillId="0" borderId="27" xfId="0" applyNumberFormat="1" applyBorder="1" applyAlignment="1" applyProtection="1">
      <alignment horizontal="right"/>
    </xf>
    <xf numFmtId="10" fontId="0" fillId="0" borderId="36" xfId="0" applyNumberFormat="1" applyBorder="1" applyProtection="1"/>
    <xf numFmtId="0" fontId="55" fillId="2" borderId="19" xfId="3" applyFont="1" applyFill="1" applyBorder="1" applyAlignment="1">
      <alignment horizontal="right" wrapText="1"/>
    </xf>
    <xf numFmtId="0" fontId="98" fillId="0" borderId="0" xfId="3" applyFont="1"/>
    <xf numFmtId="3" fontId="64" fillId="0" borderId="0" xfId="0" applyNumberFormat="1" applyFont="1" applyFill="1" applyBorder="1" applyAlignment="1" applyProtection="1">
      <alignment horizontal="right"/>
    </xf>
    <xf numFmtId="3" fontId="65" fillId="0" borderId="0" xfId="0" applyNumberFormat="1" applyFont="1" applyFill="1" applyBorder="1" applyAlignment="1" applyProtection="1">
      <alignment horizontal="right"/>
    </xf>
    <xf numFmtId="3" fontId="57" fillId="0" borderId="33" xfId="3" applyNumberFormat="1" applyFont="1" applyBorder="1"/>
    <xf numFmtId="0" fontId="55" fillId="11" borderId="0" xfId="3" applyFill="1"/>
    <xf numFmtId="0" fontId="94" fillId="0" borderId="25" xfId="3" applyFont="1" applyBorder="1"/>
    <xf numFmtId="0" fontId="55" fillId="0" borderId="27" xfId="3" applyBorder="1" applyAlignment="1">
      <alignment horizontal="right" wrapText="1"/>
    </xf>
    <xf numFmtId="0" fontId="55" fillId="0" borderId="36" xfId="3" applyBorder="1" applyAlignment="1">
      <alignment horizontal="right" wrapText="1"/>
    </xf>
    <xf numFmtId="0" fontId="57" fillId="0" borderId="16" xfId="3" applyFont="1" applyBorder="1"/>
    <xf numFmtId="0" fontId="58" fillId="0" borderId="16" xfId="3" applyFont="1" applyBorder="1"/>
    <xf numFmtId="0" fontId="55" fillId="0" borderId="16" xfId="3" applyFont="1" applyBorder="1" applyAlignment="1">
      <alignment horizontal="right"/>
    </xf>
    <xf numFmtId="0" fontId="55" fillId="0" borderId="16" xfId="3" applyBorder="1"/>
    <xf numFmtId="0" fontId="55" fillId="0" borderId="19" xfId="3" applyBorder="1"/>
    <xf numFmtId="3" fontId="57" fillId="0" borderId="19" xfId="3" applyNumberFormat="1" applyFont="1" applyBorder="1"/>
    <xf numFmtId="0" fontId="4" fillId="0" borderId="34" xfId="0" applyFont="1" applyBorder="1"/>
    <xf numFmtId="0" fontId="4" fillId="0" borderId="35" xfId="0" applyFont="1" applyBorder="1"/>
    <xf numFmtId="0" fontId="4" fillId="0" borderId="36" xfId="0" applyFont="1" applyBorder="1"/>
    <xf numFmtId="0" fontId="0" fillId="11" borderId="0" xfId="0" applyFill="1" applyBorder="1" applyAlignment="1" applyProtection="1">
      <alignment horizontal="center"/>
    </xf>
    <xf numFmtId="172" fontId="50" fillId="11" borderId="0" xfId="0" applyNumberFormat="1" applyFont="1" applyFill="1" applyBorder="1" applyProtection="1"/>
    <xf numFmtId="37" fontId="54" fillId="11" borderId="0" xfId="0" applyNumberFormat="1" applyFont="1" applyFill="1" applyBorder="1" applyAlignment="1" applyProtection="1">
      <alignment horizontal="right"/>
    </xf>
    <xf numFmtId="0" fontId="7" fillId="0" borderId="0" xfId="0" applyFont="1" applyAlignment="1"/>
    <xf numFmtId="0" fontId="0" fillId="0" borderId="16" xfId="0" applyBorder="1" applyAlignment="1">
      <alignment horizontal="right" wrapText="1"/>
    </xf>
    <xf numFmtId="0" fontId="74" fillId="0" borderId="0" xfId="0" applyFont="1" applyAlignment="1">
      <alignment horizontal="center" wrapText="1"/>
    </xf>
    <xf numFmtId="0" fontId="75" fillId="0" borderId="56" xfId="2" applyFont="1" applyBorder="1"/>
    <xf numFmtId="0" fontId="76" fillId="0" borderId="0" xfId="3" quotePrefix="1" applyFont="1"/>
    <xf numFmtId="0" fontId="99" fillId="11" borderId="56" xfId="0" applyFont="1" applyFill="1" applyBorder="1" applyAlignment="1">
      <alignment horizontal="center"/>
    </xf>
    <xf numFmtId="0" fontId="100" fillId="0" borderId="0" xfId="3" applyFont="1" applyAlignment="1">
      <alignment horizontal="left"/>
    </xf>
    <xf numFmtId="3" fontId="7" fillId="11" borderId="51" xfId="0" applyNumberFormat="1" applyFont="1" applyFill="1" applyBorder="1" applyAlignment="1">
      <alignment vertical="center"/>
    </xf>
    <xf numFmtId="3" fontId="7" fillId="11" borderId="56" xfId="0" applyNumberFormat="1" applyFont="1" applyFill="1" applyBorder="1" applyAlignment="1">
      <alignment vertical="center"/>
    </xf>
    <xf numFmtId="0" fontId="97" fillId="0" borderId="0" xfId="0" applyFont="1" applyFill="1" applyBorder="1"/>
    <xf numFmtId="0" fontId="97" fillId="0" borderId="35" xfId="0" applyFont="1" applyFill="1" applyBorder="1"/>
    <xf numFmtId="0" fontId="15" fillId="0" borderId="0" xfId="0" applyFont="1" applyFill="1" applyAlignment="1">
      <alignment horizontal="right"/>
    </xf>
    <xf numFmtId="3" fontId="27" fillId="0" borderId="0" xfId="0" applyNumberFormat="1" applyFont="1" applyFill="1"/>
    <xf numFmtId="0" fontId="27" fillId="0" borderId="33" xfId="0" applyFont="1" applyBorder="1" applyAlignment="1">
      <alignment horizontal="right"/>
    </xf>
    <xf numFmtId="38" fontId="4" fillId="0" borderId="0" xfId="0" applyNumberFormat="1" applyFont="1"/>
    <xf numFmtId="9" fontId="4" fillId="0" borderId="0" xfId="4" applyFont="1"/>
    <xf numFmtId="9" fontId="4" fillId="0" borderId="0" xfId="0" applyNumberFormat="1" applyFont="1"/>
    <xf numFmtId="0" fontId="97" fillId="0" borderId="0" xfId="0" applyFont="1"/>
    <xf numFmtId="0" fontId="0" fillId="10" borderId="0" xfId="0" applyFill="1" applyBorder="1" applyAlignment="1">
      <alignment horizontal="center"/>
    </xf>
    <xf numFmtId="3" fontId="4" fillId="13" borderId="0" xfId="0" applyNumberFormat="1" applyFont="1" applyFill="1" applyBorder="1" applyAlignment="1" applyProtection="1">
      <alignment horizontal="right"/>
    </xf>
    <xf numFmtId="0" fontId="0" fillId="10" borderId="0" xfId="0" applyFill="1" applyBorder="1" applyProtection="1"/>
    <xf numFmtId="171" fontId="0" fillId="10" borderId="26" xfId="0" applyNumberFormat="1" applyFill="1" applyBorder="1" applyAlignment="1" applyProtection="1">
      <alignment horizontal="right"/>
    </xf>
    <xf numFmtId="170" fontId="0" fillId="10" borderId="35" xfId="0" applyNumberFormat="1" applyFill="1" applyBorder="1" applyProtection="1"/>
    <xf numFmtId="37" fontId="54" fillId="10" borderId="0" xfId="0" applyNumberFormat="1" applyFont="1" applyFill="1" applyBorder="1" applyProtection="1"/>
    <xf numFmtId="11" fontId="57" fillId="10" borderId="26" xfId="0" applyNumberFormat="1" applyFont="1" applyFill="1" applyBorder="1" applyAlignment="1" applyProtection="1">
      <alignment horizontal="right"/>
    </xf>
    <xf numFmtId="170" fontId="57" fillId="10" borderId="35" xfId="0" applyNumberFormat="1" applyFont="1" applyFill="1" applyBorder="1" applyAlignment="1" applyProtection="1">
      <alignment horizontal="center"/>
    </xf>
    <xf numFmtId="0" fontId="0" fillId="10" borderId="0" xfId="0" applyFont="1" applyFill="1"/>
    <xf numFmtId="0" fontId="74" fillId="0" borderId="0" xfId="0" applyFont="1"/>
    <xf numFmtId="0" fontId="24" fillId="11" borderId="0" xfId="0" applyFont="1" applyFill="1" applyAlignment="1">
      <alignment horizontal="center"/>
    </xf>
    <xf numFmtId="3" fontId="15" fillId="11" borderId="0" xfId="0" applyNumberFormat="1" applyFont="1" applyFill="1"/>
    <xf numFmtId="0" fontId="0" fillId="0" borderId="25" xfId="0" applyBorder="1" applyAlignment="1">
      <alignment wrapText="1"/>
    </xf>
    <xf numFmtId="0" fontId="0" fillId="0" borderId="33" xfId="0" applyBorder="1" applyAlignment="1">
      <alignment wrapText="1"/>
    </xf>
    <xf numFmtId="10" fontId="0" fillId="0" borderId="33" xfId="0" applyNumberFormat="1" applyBorder="1" applyAlignment="1">
      <alignment wrapText="1"/>
    </xf>
    <xf numFmtId="0" fontId="0" fillId="0" borderId="26" xfId="0" applyBorder="1" applyAlignment="1">
      <alignment wrapText="1"/>
    </xf>
    <xf numFmtId="10" fontId="0" fillId="0" borderId="0" xfId="0" applyNumberFormat="1" applyBorder="1" applyAlignment="1">
      <alignment wrapText="1"/>
    </xf>
    <xf numFmtId="10" fontId="0" fillId="0" borderId="35" xfId="0" applyNumberFormat="1" applyBorder="1" applyAlignment="1">
      <alignment wrapText="1"/>
    </xf>
    <xf numFmtId="0" fontId="0" fillId="0" borderId="35" xfId="0" applyBorder="1" applyAlignment="1">
      <alignment wrapText="1"/>
    </xf>
    <xf numFmtId="0" fontId="0" fillId="0" borderId="17" xfId="0" applyBorder="1" applyAlignment="1">
      <alignment wrapText="1"/>
    </xf>
    <xf numFmtId="10" fontId="0" fillId="0" borderId="17" xfId="0" applyNumberFormat="1" applyBorder="1" applyAlignment="1">
      <alignment wrapText="1"/>
    </xf>
    <xf numFmtId="10" fontId="0" fillId="0" borderId="36" xfId="0" applyNumberFormat="1" applyBorder="1" applyAlignment="1">
      <alignment wrapText="1"/>
    </xf>
    <xf numFmtId="0" fontId="80" fillId="0" borderId="0" xfId="2" applyFont="1"/>
    <xf numFmtId="0" fontId="81" fillId="0" borderId="0" xfId="2" applyFont="1"/>
    <xf numFmtId="0" fontId="81" fillId="0" borderId="25" xfId="2" applyFont="1" applyBorder="1"/>
    <xf numFmtId="0" fontId="81" fillId="0" borderId="34" xfId="2" applyFont="1" applyBorder="1"/>
    <xf numFmtId="0" fontId="81" fillId="0" borderId="26" xfId="2" applyFont="1" applyBorder="1" applyAlignment="1">
      <alignment horizontal="right"/>
    </xf>
    <xf numFmtId="2" fontId="80" fillId="0" borderId="35" xfId="2" applyNumberFormat="1" applyFont="1" applyBorder="1" applyAlignment="1">
      <alignment horizontal="right"/>
    </xf>
    <xf numFmtId="2" fontId="81" fillId="0" borderId="35" xfId="2" applyNumberFormat="1" applyFont="1" applyBorder="1"/>
    <xf numFmtId="0" fontId="82" fillId="0" borderId="0" xfId="2" applyFont="1"/>
    <xf numFmtId="0" fontId="81" fillId="0" borderId="27" xfId="2" applyFont="1" applyBorder="1" applyAlignment="1">
      <alignment horizontal="right"/>
    </xf>
    <xf numFmtId="2" fontId="81" fillId="0" borderId="36" xfId="2" applyNumberFormat="1" applyFont="1" applyBorder="1"/>
    <xf numFmtId="2" fontId="80" fillId="0" borderId="0" xfId="2" applyNumberFormat="1" applyFont="1"/>
    <xf numFmtId="0" fontId="101" fillId="0" borderId="0" xfId="2" applyFont="1"/>
    <xf numFmtId="0" fontId="81" fillId="0" borderId="16" xfId="2" applyFont="1" applyBorder="1"/>
    <xf numFmtId="0" fontId="81" fillId="2" borderId="16" xfId="2" applyFont="1" applyFill="1" applyBorder="1" applyAlignment="1">
      <alignment horizontal="center"/>
    </xf>
    <xf numFmtId="0" fontId="81" fillId="0" borderId="16" xfId="2" applyFont="1" applyBorder="1" applyAlignment="1">
      <alignment horizontal="center"/>
    </xf>
    <xf numFmtId="0" fontId="81" fillId="0" borderId="0" xfId="2" applyFont="1" applyBorder="1" applyAlignment="1">
      <alignment horizontal="center"/>
    </xf>
    <xf numFmtId="182" fontId="81" fillId="0" borderId="0" xfId="1" applyNumberFormat="1" applyFont="1" applyBorder="1" applyAlignment="1">
      <alignment horizontal="center"/>
    </xf>
    <xf numFmtId="0" fontId="81" fillId="2" borderId="0" xfId="2" applyFont="1" applyFill="1" applyBorder="1" applyAlignment="1">
      <alignment horizontal="center"/>
    </xf>
    <xf numFmtId="0" fontId="81" fillId="0" borderId="0" xfId="2" applyFont="1" applyBorder="1"/>
    <xf numFmtId="0" fontId="81" fillId="0" borderId="0" xfId="2" applyFont="1" applyBorder="1" applyAlignment="1">
      <alignment horizontal="centerContinuous"/>
    </xf>
    <xf numFmtId="0" fontId="81" fillId="0" borderId="0" xfId="2" applyFont="1" applyAlignment="1">
      <alignment horizontal="right"/>
    </xf>
    <xf numFmtId="0" fontId="81" fillId="0" borderId="19" xfId="2" applyFont="1" applyBorder="1" applyAlignment="1">
      <alignment horizontal="center"/>
    </xf>
    <xf numFmtId="182" fontId="81" fillId="0" borderId="19" xfId="1" applyNumberFormat="1" applyFont="1" applyBorder="1" applyAlignment="1">
      <alignment horizontal="center"/>
    </xf>
    <xf numFmtId="0" fontId="81" fillId="2" borderId="19" xfId="2" applyFont="1" applyFill="1" applyBorder="1" applyAlignment="1">
      <alignment horizontal="center"/>
    </xf>
    <xf numFmtId="3" fontId="80" fillId="0" borderId="0" xfId="1" applyNumberFormat="1" applyFont="1" applyBorder="1" applyAlignment="1">
      <alignment horizontal="right"/>
    </xf>
    <xf numFmtId="3" fontId="81" fillId="0" borderId="0" xfId="2" applyNumberFormat="1" applyFont="1" applyFill="1" applyBorder="1" applyAlignment="1">
      <alignment horizontal="center"/>
    </xf>
    <xf numFmtId="3" fontId="81" fillId="0" borderId="0" xfId="2" applyNumberFormat="1" applyFont="1" applyBorder="1" applyAlignment="1">
      <alignment horizontal="center"/>
    </xf>
    <xf numFmtId="3" fontId="80" fillId="0" borderId="0" xfId="2" applyNumberFormat="1" applyFont="1" applyBorder="1" applyAlignment="1">
      <alignment horizontal="center"/>
    </xf>
    <xf numFmtId="3" fontId="80" fillId="0" borderId="0" xfId="2" applyNumberFormat="1" applyFont="1" applyAlignment="1">
      <alignment horizontal="right"/>
    </xf>
    <xf numFmtId="3" fontId="80" fillId="0" borderId="0" xfId="2" applyNumberFormat="1" applyFont="1" applyFill="1"/>
    <xf numFmtId="38" fontId="80" fillId="0" borderId="0" xfId="2" applyNumberFormat="1" applyFont="1"/>
    <xf numFmtId="3" fontId="80" fillId="0" borderId="0" xfId="2" applyNumberFormat="1" applyFont="1"/>
    <xf numFmtId="9" fontId="80" fillId="0" borderId="0" xfId="4" applyFont="1"/>
    <xf numFmtId="0" fontId="82" fillId="0" borderId="0" xfId="2" applyFont="1" applyBorder="1" applyAlignment="1">
      <alignment horizontal="center"/>
    </xf>
    <xf numFmtId="2" fontId="80" fillId="0" borderId="0" xfId="2" applyNumberFormat="1" applyFont="1" applyBorder="1" applyAlignment="1">
      <alignment horizontal="center"/>
    </xf>
    <xf numFmtId="182" fontId="80" fillId="0" borderId="0" xfId="1" applyNumberFormat="1" applyFont="1" applyProtection="1"/>
    <xf numFmtId="4" fontId="80" fillId="0" borderId="0" xfId="2" applyNumberFormat="1" applyFont="1" applyFill="1"/>
    <xf numFmtId="180" fontId="80" fillId="0" borderId="0" xfId="2" applyNumberFormat="1" applyFont="1"/>
    <xf numFmtId="4" fontId="80" fillId="0" borderId="0" xfId="2" applyNumberFormat="1" applyFont="1"/>
    <xf numFmtId="3" fontId="80" fillId="0" borderId="16" xfId="2" applyNumberFormat="1" applyFont="1" applyBorder="1"/>
    <xf numFmtId="3" fontId="80" fillId="0" borderId="0" xfId="2" applyNumberFormat="1" applyFont="1" applyFill="1" applyBorder="1"/>
    <xf numFmtId="3" fontId="81" fillId="0" borderId="0" xfId="2" applyNumberFormat="1" applyFont="1" applyBorder="1"/>
    <xf numFmtId="3" fontId="80" fillId="11" borderId="0" xfId="2" applyNumberFormat="1" applyFont="1" applyFill="1" applyBorder="1"/>
    <xf numFmtId="9" fontId="80" fillId="11" borderId="0" xfId="4" applyFont="1" applyFill="1" applyBorder="1"/>
    <xf numFmtId="3" fontId="81" fillId="0" borderId="0" xfId="2" applyNumberFormat="1" applyFont="1" applyFill="1" applyBorder="1"/>
    <xf numFmtId="3" fontId="80" fillId="0" borderId="0" xfId="2" applyNumberFormat="1" applyFont="1" applyBorder="1"/>
    <xf numFmtId="9" fontId="80" fillId="0" borderId="0" xfId="4" applyFont="1" applyBorder="1"/>
    <xf numFmtId="9" fontId="80" fillId="0" borderId="0" xfId="4" applyFont="1" applyFill="1" applyBorder="1"/>
    <xf numFmtId="0" fontId="81" fillId="0" borderId="19" xfId="2" applyFont="1" applyBorder="1"/>
    <xf numFmtId="3" fontId="80" fillId="0" borderId="19" xfId="2" applyNumberFormat="1" applyFont="1" applyBorder="1"/>
    <xf numFmtId="9" fontId="80" fillId="0" borderId="19" xfId="4" applyFont="1" applyBorder="1"/>
    <xf numFmtId="170" fontId="50" fillId="0" borderId="0" xfId="4" applyNumberFormat="1" applyFont="1" applyBorder="1"/>
    <xf numFmtId="170" fontId="50" fillId="11" borderId="0" xfId="4" applyNumberFormat="1" applyFont="1" applyFill="1" applyBorder="1"/>
    <xf numFmtId="170" fontId="50" fillId="0" borderId="19" xfId="4" applyNumberFormat="1" applyFont="1" applyBorder="1"/>
    <xf numFmtId="1" fontId="102" fillId="14" borderId="0" xfId="0" applyNumberFormat="1" applyFont="1" applyFill="1" applyBorder="1"/>
    <xf numFmtId="0" fontId="97" fillId="0" borderId="0" xfId="0" applyFont="1" applyAlignment="1">
      <alignment horizontal="right"/>
    </xf>
    <xf numFmtId="2" fontId="97" fillId="0" borderId="0" xfId="0" applyNumberFormat="1" applyFont="1"/>
    <xf numFmtId="3" fontId="97" fillId="0" borderId="0" xfId="0" applyNumberFormat="1" applyFont="1"/>
    <xf numFmtId="38" fontId="97" fillId="0" borderId="0" xfId="0" applyNumberFormat="1" applyFont="1"/>
    <xf numFmtId="9" fontId="97" fillId="0" borderId="0" xfId="4" applyFont="1"/>
    <xf numFmtId="9" fontId="97" fillId="0" borderId="0" xfId="0" applyNumberFormat="1" applyFont="1"/>
    <xf numFmtId="3" fontId="50" fillId="0" borderId="0" xfId="1" applyNumberFormat="1" applyFont="1" applyFill="1" applyBorder="1" applyAlignment="1">
      <alignment horizontal="center"/>
    </xf>
    <xf numFmtId="38" fontId="50" fillId="0" borderId="0" xfId="2" applyNumberFormat="1" applyFont="1" applyFill="1"/>
    <xf numFmtId="9" fontId="50" fillId="0" borderId="0" xfId="4" applyFont="1" applyFill="1"/>
    <xf numFmtId="3" fontId="52" fillId="0" borderId="0" xfId="1" applyNumberFormat="1" applyFont="1" applyFill="1" applyProtection="1"/>
    <xf numFmtId="3" fontId="52" fillId="0" borderId="0" xfId="1" applyNumberFormat="1" applyFont="1" applyFill="1" applyBorder="1" applyProtection="1"/>
    <xf numFmtId="9" fontId="50" fillId="0" borderId="0" xfId="4" applyFont="1" applyFill="1" applyBorder="1"/>
    <xf numFmtId="0" fontId="84" fillId="0" borderId="17" xfId="2" applyFont="1" applyBorder="1" applyAlignment="1">
      <alignment horizontal="right"/>
    </xf>
    <xf numFmtId="3" fontId="87" fillId="0" borderId="0" xfId="0" applyNumberFormat="1" applyFont="1" applyBorder="1"/>
    <xf numFmtId="0" fontId="87" fillId="0" borderId="0" xfId="0" applyFont="1" applyBorder="1"/>
    <xf numFmtId="2" fontId="87" fillId="0" borderId="0" xfId="0" applyNumberFormat="1" applyFont="1" applyBorder="1"/>
    <xf numFmtId="175" fontId="87" fillId="0" borderId="35" xfId="0" applyNumberFormat="1" applyFont="1" applyBorder="1"/>
    <xf numFmtId="3" fontId="87" fillId="0" borderId="17" xfId="0" applyNumberFormat="1" applyFont="1" applyBorder="1"/>
    <xf numFmtId="0" fontId="87" fillId="0" borderId="17" xfId="0" applyFont="1" applyBorder="1"/>
    <xf numFmtId="2" fontId="87" fillId="0" borderId="17" xfId="0" applyNumberFormat="1" applyFont="1" applyBorder="1"/>
    <xf numFmtId="175" fontId="87" fillId="0" borderId="36" xfId="0" applyNumberFormat="1" applyFont="1" applyBorder="1"/>
    <xf numFmtId="0" fontId="0" fillId="0" borderId="73" xfId="0" applyBorder="1"/>
    <xf numFmtId="0" fontId="15" fillId="0" borderId="18" xfId="0" applyFont="1" applyBorder="1"/>
    <xf numFmtId="0" fontId="27" fillId="0" borderId="18" xfId="0" applyFont="1" applyBorder="1" applyAlignment="1">
      <alignment horizontal="right"/>
    </xf>
    <xf numFmtId="0" fontId="15" fillId="0" borderId="18" xfId="0" applyFont="1" applyBorder="1" applyAlignment="1">
      <alignment horizontal="right"/>
    </xf>
    <xf numFmtId="0" fontId="15" fillId="0" borderId="74" xfId="0" applyFont="1" applyBorder="1" applyAlignment="1">
      <alignment horizontal="right"/>
    </xf>
    <xf numFmtId="0" fontId="55" fillId="0" borderId="0" xfId="3" applyAlignment="1">
      <alignment wrapText="1"/>
    </xf>
    <xf numFmtId="0" fontId="85" fillId="0" borderId="0" xfId="3" applyFont="1"/>
    <xf numFmtId="0" fontId="86" fillId="0" borderId="0" xfId="3" applyFont="1"/>
    <xf numFmtId="0" fontId="57" fillId="0" borderId="0" xfId="3" applyFont="1" applyAlignment="1">
      <alignment horizontal="center"/>
    </xf>
    <xf numFmtId="3" fontId="0" fillId="0" borderId="0" xfId="0" applyNumberFormat="1" applyAlignment="1">
      <alignment wrapText="1"/>
    </xf>
    <xf numFmtId="3" fontId="4" fillId="0" borderId="33" xfId="0" applyNumberFormat="1" applyFont="1" applyBorder="1" applyAlignment="1">
      <alignment wrapText="1"/>
    </xf>
    <xf numFmtId="3" fontId="5" fillId="0" borderId="33" xfId="0" applyNumberFormat="1" applyFont="1" applyBorder="1" applyAlignment="1">
      <alignment wrapText="1"/>
    </xf>
    <xf numFmtId="3" fontId="4" fillId="0" borderId="34" xfId="0" applyNumberFormat="1" applyFont="1" applyBorder="1" applyAlignment="1">
      <alignment wrapText="1"/>
    </xf>
    <xf numFmtId="3" fontId="5" fillId="0" borderId="0" xfId="0" applyNumberFormat="1" applyFont="1" applyBorder="1" applyAlignment="1">
      <alignment wrapText="1"/>
    </xf>
    <xf numFmtId="3" fontId="4" fillId="0" borderId="35" xfId="0" applyNumberFormat="1" applyFont="1" applyBorder="1" applyAlignment="1">
      <alignment wrapText="1"/>
    </xf>
    <xf numFmtId="3" fontId="5" fillId="0" borderId="17" xfId="0" applyNumberFormat="1" applyFont="1" applyBorder="1" applyAlignment="1">
      <alignment wrapText="1"/>
    </xf>
    <xf numFmtId="3" fontId="4" fillId="0" borderId="17" xfId="0" applyNumberFormat="1" applyFont="1" applyBorder="1" applyAlignment="1">
      <alignment wrapText="1"/>
    </xf>
    <xf numFmtId="3" fontId="4" fillId="0" borderId="36" xfId="0" applyNumberFormat="1" applyFont="1" applyBorder="1" applyAlignment="1">
      <alignment wrapText="1"/>
    </xf>
    <xf numFmtId="3" fontId="5" fillId="0" borderId="0" xfId="0" applyNumberFormat="1" applyFont="1" applyAlignment="1">
      <alignment wrapText="1"/>
    </xf>
    <xf numFmtId="172" fontId="0" fillId="0" borderId="0" xfId="0" applyNumberFormat="1" applyFont="1" applyAlignment="1">
      <alignment wrapText="1"/>
    </xf>
    <xf numFmtId="0" fontId="7" fillId="0" borderId="0" xfId="0" applyFont="1" applyAlignment="1">
      <alignment horizontal="center" wrapText="1"/>
    </xf>
    <xf numFmtId="2" fontId="0" fillId="0" borderId="0" xfId="0" applyNumberFormat="1" applyAlignment="1">
      <alignment wrapText="1"/>
    </xf>
    <xf numFmtId="0" fontId="55" fillId="0" borderId="0" xfId="3" applyFont="1" applyBorder="1" applyAlignment="1">
      <alignment horizontal="right" wrapText="1"/>
    </xf>
    <xf numFmtId="3" fontId="55" fillId="0" borderId="0" xfId="3" applyNumberFormat="1" applyFill="1" applyBorder="1"/>
    <xf numFmtId="3" fontId="57" fillId="0" borderId="0" xfId="3" applyNumberFormat="1" applyFont="1" applyFill="1"/>
    <xf numFmtId="3" fontId="55" fillId="0" borderId="0" xfId="0" applyNumberFormat="1" applyFont="1" applyAlignment="1">
      <alignment horizontal="right"/>
    </xf>
    <xf numFmtId="0" fontId="4" fillId="0" borderId="0" xfId="0" applyFont="1" applyFill="1" applyAlignment="1">
      <alignment wrapText="1"/>
    </xf>
    <xf numFmtId="0" fontId="4" fillId="0" borderId="0" xfId="0" applyFont="1" applyFill="1" applyBorder="1" applyAlignment="1">
      <alignment wrapText="1"/>
    </xf>
    <xf numFmtId="3" fontId="34" fillId="0" borderId="0" xfId="0" applyNumberFormat="1" applyFont="1" applyFill="1" applyBorder="1"/>
    <xf numFmtId="0" fontId="0" fillId="0" borderId="0" xfId="0" applyFill="1" applyAlignment="1">
      <alignment wrapText="1"/>
    </xf>
    <xf numFmtId="179" fontId="34" fillId="0" borderId="0" xfId="0" applyNumberFormat="1" applyFont="1" applyFill="1"/>
    <xf numFmtId="0" fontId="58" fillId="0" borderId="0" xfId="2" applyFont="1"/>
    <xf numFmtId="0" fontId="103" fillId="0" borderId="0" xfId="2" applyFont="1"/>
    <xf numFmtId="175" fontId="0" fillId="0" borderId="0" xfId="0" applyNumberFormat="1" applyAlignment="1">
      <alignment horizontal="center"/>
    </xf>
    <xf numFmtId="10" fontId="34" fillId="0" borderId="33" xfId="0" applyNumberFormat="1" applyFont="1" applyFill="1" applyBorder="1"/>
    <xf numFmtId="1" fontId="4" fillId="0" borderId="0" xfId="0" applyNumberFormat="1" applyFont="1" applyFill="1" applyBorder="1" applyAlignment="1">
      <alignment wrapText="1"/>
    </xf>
    <xf numFmtId="0" fontId="0" fillId="0" borderId="0" xfId="0" applyAlignment="1"/>
    <xf numFmtId="10" fontId="4" fillId="0" borderId="34" xfId="0" applyNumberFormat="1" applyFont="1" applyBorder="1" applyAlignment="1">
      <alignment wrapText="1"/>
    </xf>
    <xf numFmtId="10" fontId="0" fillId="0" borderId="34" xfId="0" applyNumberFormat="1" applyBorder="1" applyAlignment="1">
      <alignment wrapText="1"/>
    </xf>
    <xf numFmtId="3" fontId="4" fillId="0" borderId="0" xfId="0" applyNumberFormat="1" applyFont="1" applyFill="1" applyAlignment="1">
      <alignment wrapText="1"/>
    </xf>
    <xf numFmtId="184" fontId="34" fillId="0" borderId="0" xfId="0" applyNumberFormat="1" applyFont="1"/>
    <xf numFmtId="185" fontId="4" fillId="0" borderId="0" xfId="0" applyNumberFormat="1" applyFont="1" applyBorder="1" applyAlignment="1">
      <alignment wrapText="1"/>
    </xf>
    <xf numFmtId="3" fontId="4" fillId="0" borderId="25" xfId="0" applyNumberFormat="1" applyFont="1" applyBorder="1" applyAlignment="1">
      <alignment wrapText="1"/>
    </xf>
    <xf numFmtId="3" fontId="4" fillId="0" borderId="26" xfId="0" applyNumberFormat="1" applyFont="1" applyBorder="1" applyAlignment="1">
      <alignment wrapText="1"/>
    </xf>
    <xf numFmtId="185" fontId="4" fillId="0" borderId="35" xfId="0" applyNumberFormat="1" applyFont="1" applyBorder="1" applyAlignment="1">
      <alignment wrapText="1"/>
    </xf>
    <xf numFmtId="3" fontId="4" fillId="0" borderId="27" xfId="0" applyNumberFormat="1" applyFont="1" applyBorder="1" applyAlignment="1">
      <alignment wrapText="1"/>
    </xf>
    <xf numFmtId="0" fontId="104" fillId="0" borderId="0" xfId="0" applyFont="1" applyAlignment="1">
      <alignment wrapText="1"/>
    </xf>
    <xf numFmtId="3" fontId="0" fillId="0" borderId="0" xfId="0" applyNumberFormat="1" applyFill="1" applyAlignment="1">
      <alignment wrapText="1"/>
    </xf>
    <xf numFmtId="3" fontId="104" fillId="11" borderId="0" xfId="0" applyNumberFormat="1" applyFont="1" applyFill="1" applyAlignment="1">
      <alignment wrapText="1"/>
    </xf>
    <xf numFmtId="3" fontId="104" fillId="11" borderId="0" xfId="0" applyNumberFormat="1" applyFont="1" applyFill="1" applyAlignment="1">
      <alignment vertical="center" wrapText="1"/>
    </xf>
    <xf numFmtId="0" fontId="55" fillId="0" borderId="0" xfId="3" applyBorder="1" applyAlignment="1">
      <alignment horizontal="right" vertical="top" wrapText="1"/>
    </xf>
    <xf numFmtId="172" fontId="0" fillId="0" borderId="0" xfId="0" applyNumberFormat="1" applyBorder="1" applyAlignment="1">
      <alignment wrapText="1"/>
    </xf>
    <xf numFmtId="0" fontId="0" fillId="0" borderId="0" xfId="0" applyBorder="1" applyAlignment="1"/>
    <xf numFmtId="3" fontId="0" fillId="0" borderId="0" xfId="0" applyNumberFormat="1" applyBorder="1" applyAlignment="1">
      <alignment wrapText="1"/>
    </xf>
    <xf numFmtId="0" fontId="106" fillId="0" borderId="0" xfId="0" applyNumberFormat="1" applyFont="1" applyAlignment="1">
      <alignment horizontal="left" wrapText="1"/>
    </xf>
    <xf numFmtId="0" fontId="107" fillId="0" borderId="0" xfId="0" applyFont="1" applyAlignment="1">
      <alignment vertical="top" wrapText="1"/>
    </xf>
    <xf numFmtId="0" fontId="108" fillId="0" borderId="0" xfId="0" applyFont="1" applyAlignment="1">
      <alignment vertical="top" wrapText="1"/>
    </xf>
    <xf numFmtId="10" fontId="4" fillId="0" borderId="0" xfId="0" applyNumberFormat="1" applyFont="1" applyFill="1" applyBorder="1" applyAlignment="1">
      <alignment wrapText="1"/>
    </xf>
    <xf numFmtId="10" fontId="4" fillId="0" borderId="17" xfId="0" applyNumberFormat="1" applyFont="1" applyFill="1" applyBorder="1" applyAlignment="1">
      <alignment wrapText="1"/>
    </xf>
    <xf numFmtId="0" fontId="109" fillId="0" borderId="0" xfId="0" applyFont="1" applyAlignment="1">
      <alignment vertical="top" wrapText="1"/>
    </xf>
    <xf numFmtId="9" fontId="110" fillId="11" borderId="0" xfId="4" applyFont="1" applyFill="1" applyBorder="1"/>
    <xf numFmtId="3" fontId="110" fillId="0" borderId="0" xfId="2" applyNumberFormat="1" applyFont="1" applyBorder="1"/>
    <xf numFmtId="3" fontId="50" fillId="0" borderId="0" xfId="2" applyNumberFormat="1" applyFont="1" applyFill="1" applyAlignment="1">
      <alignment horizontal="right"/>
    </xf>
    <xf numFmtId="3" fontId="111" fillId="0" borderId="0" xfId="2" applyNumberFormat="1" applyFont="1" applyBorder="1"/>
    <xf numFmtId="3" fontId="112" fillId="0" borderId="0" xfId="0" applyNumberFormat="1" applyFont="1" applyBorder="1"/>
    <xf numFmtId="0" fontId="112" fillId="0" borderId="0" xfId="0" applyFont="1" applyBorder="1"/>
    <xf numFmtId="2" fontId="112" fillId="0" borderId="0" xfId="0" applyNumberFormat="1" applyFont="1" applyBorder="1"/>
    <xf numFmtId="174" fontId="112" fillId="0" borderId="0" xfId="0" applyNumberFormat="1" applyFont="1" applyBorder="1"/>
    <xf numFmtId="3" fontId="112" fillId="0" borderId="19" xfId="0" applyNumberFormat="1" applyFont="1" applyBorder="1"/>
    <xf numFmtId="0" fontId="112" fillId="0" borderId="19" xfId="0" applyFont="1" applyBorder="1"/>
    <xf numFmtId="2" fontId="112" fillId="0" borderId="19" xfId="0" applyNumberFormat="1" applyFont="1" applyBorder="1"/>
    <xf numFmtId="174" fontId="112" fillId="0" borderId="19" xfId="0" applyNumberFormat="1" applyFont="1" applyBorder="1"/>
    <xf numFmtId="0" fontId="0" fillId="0" borderId="13" xfId="0" applyFill="1" applyBorder="1" applyProtection="1"/>
    <xf numFmtId="38" fontId="57" fillId="0" borderId="0" xfId="0" applyNumberFormat="1" applyFont="1" applyFill="1" applyBorder="1" applyAlignment="1" applyProtection="1">
      <alignment horizontal="right"/>
    </xf>
    <xf numFmtId="3" fontId="87" fillId="0" borderId="0" xfId="0" applyNumberFormat="1" applyFont="1"/>
    <xf numFmtId="9" fontId="87" fillId="0" borderId="0" xfId="4" applyFont="1"/>
    <xf numFmtId="9" fontId="87" fillId="0" borderId="0" xfId="0" applyNumberFormat="1" applyFont="1"/>
    <xf numFmtId="0" fontId="15" fillId="0" borderId="0" xfId="0" applyFont="1" applyFill="1"/>
    <xf numFmtId="3" fontId="87" fillId="0" borderId="0" xfId="0" applyNumberFormat="1" applyFont="1" applyFill="1"/>
    <xf numFmtId="0" fontId="87" fillId="0" borderId="0" xfId="0" applyFont="1"/>
    <xf numFmtId="0" fontId="106" fillId="0" borderId="20" xfId="0" applyFont="1" applyBorder="1"/>
    <xf numFmtId="0" fontId="87" fillId="0" borderId="16" xfId="0" applyFont="1" applyBorder="1"/>
    <xf numFmtId="0" fontId="87" fillId="0" borderId="20" xfId="0" applyFont="1" applyBorder="1" applyAlignment="1">
      <alignment horizontal="right"/>
    </xf>
    <xf numFmtId="3" fontId="87" fillId="0" borderId="16" xfId="0" applyNumberFormat="1" applyFont="1" applyBorder="1"/>
    <xf numFmtId="2" fontId="87" fillId="0" borderId="16" xfId="0" applyNumberFormat="1" applyFont="1" applyBorder="1"/>
    <xf numFmtId="3" fontId="87" fillId="0" borderId="19" xfId="0" applyNumberFormat="1" applyFont="1" applyBorder="1"/>
    <xf numFmtId="0" fontId="87" fillId="0" borderId="19" xfId="0" applyFont="1" applyBorder="1"/>
    <xf numFmtId="2" fontId="87" fillId="0" borderId="19" xfId="0" applyNumberFormat="1" applyFont="1" applyBorder="1"/>
    <xf numFmtId="184" fontId="50" fillId="0" borderId="0" xfId="2" applyNumberFormat="1" applyFont="1"/>
    <xf numFmtId="185" fontId="50" fillId="0" borderId="0" xfId="2" applyNumberFormat="1" applyFont="1" applyBorder="1"/>
    <xf numFmtId="186" fontId="50" fillId="0" borderId="19" xfId="2" applyNumberFormat="1" applyFont="1" applyBorder="1"/>
    <xf numFmtId="186" fontId="50" fillId="0" borderId="0" xfId="2" applyNumberFormat="1" applyFont="1" applyBorder="1"/>
    <xf numFmtId="170" fontId="50" fillId="0" borderId="0" xfId="4" applyNumberFormat="1" applyFont="1" applyFill="1" applyBorder="1"/>
    <xf numFmtId="186" fontId="50" fillId="0" borderId="0" xfId="2" applyNumberFormat="1" applyFont="1" applyFill="1" applyBorder="1"/>
    <xf numFmtId="187" fontId="50" fillId="0" borderId="0" xfId="2" applyNumberFormat="1" applyFont="1"/>
    <xf numFmtId="187" fontId="48" fillId="0" borderId="0" xfId="2" applyNumberFormat="1"/>
    <xf numFmtId="0" fontId="114" fillId="0" borderId="0" xfId="0" applyFont="1"/>
    <xf numFmtId="9" fontId="87" fillId="15" borderId="0" xfId="0" applyNumberFormat="1" applyFont="1" applyFill="1"/>
    <xf numFmtId="9" fontId="87" fillId="15" borderId="0" xfId="4" applyFont="1" applyFill="1"/>
    <xf numFmtId="3" fontId="87" fillId="15" borderId="0" xfId="0" applyNumberFormat="1" applyFont="1" applyFill="1"/>
    <xf numFmtId="3" fontId="55" fillId="0" borderId="0" xfId="3" applyNumberFormat="1" applyBorder="1" applyAlignment="1">
      <alignment horizontal="right"/>
    </xf>
    <xf numFmtId="0" fontId="55" fillId="0" borderId="0" xfId="3" applyFont="1" applyBorder="1" applyAlignment="1">
      <alignment horizontal="center" wrapText="1"/>
    </xf>
    <xf numFmtId="0" fontId="55" fillId="0" borderId="0" xfId="3" applyBorder="1" applyAlignment="1">
      <alignment horizontal="right" wrapText="1"/>
    </xf>
    <xf numFmtId="0" fontId="55" fillId="2" borderId="0" xfId="3" applyFont="1" applyFill="1" applyBorder="1" applyAlignment="1">
      <alignment horizontal="right" wrapText="1"/>
    </xf>
    <xf numFmtId="0" fontId="116" fillId="0" borderId="0" xfId="2" applyNumberFormat="1" applyFont="1" applyAlignment="1">
      <alignment horizontal="left"/>
    </xf>
    <xf numFmtId="0" fontId="0" fillId="0" borderId="77" xfId="0" applyFill="1" applyBorder="1" applyAlignment="1"/>
    <xf numFmtId="0" fontId="117" fillId="0" borderId="75" xfId="0" applyFont="1" applyFill="1" applyBorder="1" applyAlignment="1">
      <alignment horizontal="center"/>
    </xf>
    <xf numFmtId="0" fontId="117" fillId="0" borderId="76" xfId="0" applyFont="1" applyFill="1" applyBorder="1" applyAlignment="1">
      <alignment horizontal="center"/>
    </xf>
    <xf numFmtId="0" fontId="106" fillId="0" borderId="0" xfId="0" applyFont="1" applyAlignment="1">
      <alignment horizontal="left" wrapText="1"/>
    </xf>
    <xf numFmtId="3" fontId="50" fillId="0" borderId="0" xfId="1" applyNumberFormat="1" applyFont="1" applyFill="1" applyBorder="1" applyAlignment="1">
      <alignment horizontal="right"/>
    </xf>
    <xf numFmtId="3" fontId="50" fillId="0" borderId="0" xfId="2" applyNumberFormat="1" applyFont="1" applyFill="1" applyBorder="1" applyAlignment="1">
      <alignment horizontal="center"/>
    </xf>
    <xf numFmtId="0" fontId="48" fillId="0" borderId="0" xfId="2" applyFont="1" applyFill="1" applyBorder="1" applyAlignment="1">
      <alignment horizontal="center"/>
    </xf>
    <xf numFmtId="3" fontId="112" fillId="0" borderId="0" xfId="0" applyNumberFormat="1" applyFont="1"/>
    <xf numFmtId="0" fontId="112" fillId="0" borderId="0" xfId="0" applyFont="1"/>
    <xf numFmtId="3" fontId="112" fillId="11" borderId="0" xfId="0" applyNumberFormat="1" applyFont="1" applyFill="1"/>
    <xf numFmtId="182" fontId="50" fillId="15" borderId="0" xfId="1" applyNumberFormat="1" applyFont="1" applyFill="1"/>
    <xf numFmtId="3" fontId="104" fillId="15" borderId="0" xfId="0" applyNumberFormat="1" applyFont="1" applyFill="1" applyAlignment="1">
      <alignment vertical="center" wrapText="1"/>
    </xf>
    <xf numFmtId="182" fontId="50" fillId="15" borderId="0" xfId="1" applyNumberFormat="1" applyFont="1" applyFill="1" applyAlignment="1">
      <alignment vertical="center"/>
    </xf>
    <xf numFmtId="182" fontId="116" fillId="15" borderId="0" xfId="2" applyNumberFormat="1" applyFont="1" applyFill="1"/>
    <xf numFmtId="0" fontId="118" fillId="0" borderId="0" xfId="3" applyFont="1"/>
    <xf numFmtId="0" fontId="118" fillId="0" borderId="0" xfId="3" applyFont="1" applyAlignment="1">
      <alignment horizontal="center"/>
    </xf>
    <xf numFmtId="0" fontId="98" fillId="15" borderId="0" xfId="3" applyFont="1" applyFill="1"/>
    <xf numFmtId="182" fontId="116" fillId="15" borderId="0" xfId="2" applyNumberFormat="1" applyFont="1" applyFill="1" applyAlignment="1">
      <alignment vertical="center"/>
    </xf>
    <xf numFmtId="9" fontId="119" fillId="15" borderId="0" xfId="4" applyFont="1" applyFill="1" applyAlignment="1">
      <alignment horizontal="center"/>
    </xf>
    <xf numFmtId="0" fontId="81" fillId="15" borderId="0" xfId="2" applyFont="1" applyFill="1" applyAlignment="1">
      <alignment horizontal="center"/>
    </xf>
    <xf numFmtId="0" fontId="120" fillId="0" borderId="49" xfId="0" applyFont="1" applyBorder="1" applyAlignment="1">
      <alignment horizontal="right" vertical="center" wrapText="1"/>
    </xf>
    <xf numFmtId="3" fontId="120" fillId="0" borderId="49" xfId="0" applyNumberFormat="1" applyFont="1" applyBorder="1" applyAlignment="1">
      <alignment horizontal="right" vertical="center" wrapText="1"/>
    </xf>
    <xf numFmtId="0" fontId="120" fillId="0" borderId="0" xfId="0" applyFont="1" applyBorder="1" applyAlignment="1">
      <alignment horizontal="right" vertical="center" wrapText="1"/>
    </xf>
    <xf numFmtId="3" fontId="120" fillId="0" borderId="0" xfId="0" applyNumberFormat="1" applyFont="1" applyBorder="1" applyAlignment="1">
      <alignment horizontal="right" vertical="center" wrapText="1"/>
    </xf>
    <xf numFmtId="0" fontId="55" fillId="15" borderId="0" xfId="3" applyFill="1" applyAlignment="1">
      <alignment horizontal="center"/>
    </xf>
    <xf numFmtId="0" fontId="15" fillId="0" borderId="20" xfId="0" applyFont="1" applyBorder="1" applyAlignment="1">
      <alignment horizontal="center"/>
    </xf>
    <xf numFmtId="0" fontId="97" fillId="11" borderId="19" xfId="0" applyFont="1" applyFill="1" applyBorder="1" applyAlignment="1" applyProtection="1">
      <alignment horizontal="center"/>
    </xf>
    <xf numFmtId="0" fontId="7" fillId="0" borderId="20" xfId="0" applyFont="1" applyBorder="1" applyAlignment="1">
      <alignment horizontal="left"/>
    </xf>
    <xf numFmtId="0" fontId="0" fillId="0" borderId="20" xfId="0" applyBorder="1" applyAlignment="1"/>
  </cellXfs>
  <cellStyles count="7">
    <cellStyle name="Comma" xfId="1" builtinId="3"/>
    <cellStyle name="Followed Hyperlink" xfId="6" builtinId="9" hidden="1"/>
    <cellStyle name="Hyperlink" xfId="5" builtinId="8" hidden="1"/>
    <cellStyle name="Normal" xfId="0" builtinId="0"/>
    <cellStyle name="Normal_FINAL_2010 Copper and Bering River Wild Coho" xfId="2"/>
    <cellStyle name="Normal_Pink_hat" xfId="3"/>
    <cellStyle name="Percent" xfId="4" builtinId="5"/>
  </cellStyles>
  <dxfs count="0"/>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worksheet" Target="worksheets/sheet2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theme" Target="theme/theme1.xml"/><Relationship Id="rId31" Type="http://schemas.openxmlformats.org/officeDocument/2006/relationships/styles" Target="styles.xml"/><Relationship Id="rId32" Type="http://schemas.openxmlformats.org/officeDocument/2006/relationships/sharedStrings" Target="sharedStrings.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calcChain" Target="calcChain.xml"/><Relationship Id="rId3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Wild PWS Pink salmon</a:t>
            </a:r>
          </a:p>
        </c:rich>
      </c:tx>
      <c:overlay val="1"/>
    </c:title>
    <c:autoTitleDeleted val="0"/>
    <c:plotArea>
      <c:layout>
        <c:manualLayout>
          <c:layoutTarget val="inner"/>
          <c:xMode val="edge"/>
          <c:yMode val="edge"/>
          <c:x val="0.124883005853893"/>
          <c:y val="0.0386681765113809"/>
          <c:w val="0.905988874463131"/>
          <c:h val="0.783176981166593"/>
        </c:manualLayout>
      </c:layout>
      <c:barChart>
        <c:barDir val="col"/>
        <c:grouping val="clustered"/>
        <c:varyColors val="0"/>
        <c:ser>
          <c:idx val="1"/>
          <c:order val="0"/>
          <c:spPr>
            <a:solidFill>
              <a:srgbClr val="FFFFFF"/>
            </a:solidFill>
            <a:ln w="12700">
              <a:solidFill>
                <a:srgbClr val="000000"/>
              </a:solidFill>
              <a:prstDash val="solid"/>
            </a:ln>
          </c:spPr>
          <c:invertIfNegative val="0"/>
          <c:cat>
            <c:numRef>
              <c:f>'Lag1_Exp_smooth_Total Run Odd'!$A$10:$A$35</c:f>
              <c:numCache>
                <c:formatCode>General</c:formatCode>
                <c:ptCount val="26"/>
                <c:pt idx="0">
                  <c:v>1965.0</c:v>
                </c:pt>
                <c:pt idx="1">
                  <c:v>1967.0</c:v>
                </c:pt>
                <c:pt idx="2">
                  <c:v>1969.0</c:v>
                </c:pt>
                <c:pt idx="3">
                  <c:v>1971.0</c:v>
                </c:pt>
                <c:pt idx="4">
                  <c:v>1973.0</c:v>
                </c:pt>
                <c:pt idx="5">
                  <c:v>1975.0</c:v>
                </c:pt>
                <c:pt idx="6">
                  <c:v>1977.0</c:v>
                </c:pt>
                <c:pt idx="7">
                  <c:v>1979.0</c:v>
                </c:pt>
                <c:pt idx="8">
                  <c:v>1981.0</c:v>
                </c:pt>
                <c:pt idx="9">
                  <c:v>1983.0</c:v>
                </c:pt>
                <c:pt idx="10">
                  <c:v>1985.0</c:v>
                </c:pt>
                <c:pt idx="11">
                  <c:v>1987.0</c:v>
                </c:pt>
                <c:pt idx="12">
                  <c:v>1989.0</c:v>
                </c:pt>
                <c:pt idx="13">
                  <c:v>1991.0</c:v>
                </c:pt>
                <c:pt idx="14">
                  <c:v>1993.0</c:v>
                </c:pt>
                <c:pt idx="15">
                  <c:v>1995.0</c:v>
                </c:pt>
                <c:pt idx="16">
                  <c:v>1997.0</c:v>
                </c:pt>
                <c:pt idx="17">
                  <c:v>1999.0</c:v>
                </c:pt>
                <c:pt idx="18">
                  <c:v>2001.0</c:v>
                </c:pt>
                <c:pt idx="19">
                  <c:v>2003.0</c:v>
                </c:pt>
                <c:pt idx="20">
                  <c:v>2005.0</c:v>
                </c:pt>
                <c:pt idx="21">
                  <c:v>2007.0</c:v>
                </c:pt>
                <c:pt idx="22">
                  <c:v>2009.0</c:v>
                </c:pt>
                <c:pt idx="23">
                  <c:v>2011.0</c:v>
                </c:pt>
                <c:pt idx="24">
                  <c:v>2013.0</c:v>
                </c:pt>
                <c:pt idx="25">
                  <c:v>2015.0</c:v>
                </c:pt>
              </c:numCache>
            </c:numRef>
          </c:cat>
          <c:val>
            <c:numRef>
              <c:f>'Lag1_Exp_smooth_Total Run Odd'!$B$10:$B$35</c:f>
              <c:numCache>
                <c:formatCode>#,##0</c:formatCode>
                <c:ptCount val="26"/>
                <c:pt idx="0">
                  <c:v>3.436427E6</c:v>
                </c:pt>
                <c:pt idx="1">
                  <c:v>3.4686E6</c:v>
                </c:pt>
                <c:pt idx="2">
                  <c:v>5.233149E6</c:v>
                </c:pt>
                <c:pt idx="3">
                  <c:v>8.423514E6</c:v>
                </c:pt>
                <c:pt idx="4">
                  <c:v>8.535974E6</c:v>
                </c:pt>
                <c:pt idx="5">
                  <c:v>3.322438E6</c:v>
                </c:pt>
                <c:pt idx="6">
                  <c:v>5.816401E6</c:v>
                </c:pt>
                <c:pt idx="7">
                  <c:v>1.7335503E7</c:v>
                </c:pt>
                <c:pt idx="8">
                  <c:v>1.9568866E7</c:v>
                </c:pt>
                <c:pt idx="9">
                  <c:v>1.1567348E7</c:v>
                </c:pt>
                <c:pt idx="10">
                  <c:v>1.9938105E7</c:v>
                </c:pt>
                <c:pt idx="11">
                  <c:v>1.3066944E7</c:v>
                </c:pt>
                <c:pt idx="12">
                  <c:v>4.74375E6</c:v>
                </c:pt>
                <c:pt idx="13">
                  <c:v>7.544776E6</c:v>
                </c:pt>
                <c:pt idx="14">
                  <c:v>1.542942E6</c:v>
                </c:pt>
                <c:pt idx="15">
                  <c:v>3.934208E6</c:v>
                </c:pt>
                <c:pt idx="16">
                  <c:v>2.588682E6</c:v>
                </c:pt>
                <c:pt idx="17">
                  <c:v>9.405198E6</c:v>
                </c:pt>
                <c:pt idx="18">
                  <c:v>8.85467698080419E6</c:v>
                </c:pt>
                <c:pt idx="19">
                  <c:v>7.34451193981931E6</c:v>
                </c:pt>
                <c:pt idx="20">
                  <c:v>1.70324876853211E7</c:v>
                </c:pt>
                <c:pt idx="21">
                  <c:v>1.15269877950034E7</c:v>
                </c:pt>
                <c:pt idx="22">
                  <c:v>2.82433060706674E6</c:v>
                </c:pt>
                <c:pt idx="23">
                  <c:v>9.643099E6</c:v>
                </c:pt>
                <c:pt idx="24">
                  <c:v>2.1965453E7</c:v>
                </c:pt>
              </c:numCache>
            </c:numRef>
          </c:val>
        </c:ser>
        <c:dLbls>
          <c:showLegendKey val="0"/>
          <c:showVal val="0"/>
          <c:showCatName val="0"/>
          <c:showSerName val="0"/>
          <c:showPercent val="0"/>
          <c:showBubbleSize val="0"/>
        </c:dLbls>
        <c:gapWidth val="150"/>
        <c:axId val="-2089793720"/>
        <c:axId val="-2089788712"/>
      </c:barChart>
      <c:lineChart>
        <c:grouping val="standard"/>
        <c:varyColors val="0"/>
        <c:ser>
          <c:idx val="0"/>
          <c:order val="1"/>
          <c:spPr>
            <a:ln w="25400">
              <a:solidFill>
                <a:srgbClr val="000080"/>
              </a:solidFill>
              <a:prstDash val="solid"/>
            </a:ln>
          </c:spPr>
          <c:marker>
            <c:symbol val="diamond"/>
            <c:size val="7"/>
            <c:spPr>
              <a:solidFill>
                <a:srgbClr val="000080"/>
              </a:solidFill>
              <a:ln>
                <a:solidFill>
                  <a:srgbClr val="000080"/>
                </a:solidFill>
                <a:prstDash val="solid"/>
              </a:ln>
            </c:spPr>
          </c:marker>
          <c:val>
            <c:numRef>
              <c:f>'Lag1_Exp_smooth_Total Run Odd'!$C$10:$C$35</c:f>
              <c:numCache>
                <c:formatCode>#,##0</c:formatCode>
                <c:ptCount val="26"/>
                <c:pt idx="0">
                  <c:v>5.84171717130721E6</c:v>
                </c:pt>
                <c:pt idx="1">
                  <c:v>4.3402878016559E6</c:v>
                </c:pt>
                <c:pt idx="2">
                  <c:v>3.79616315416621E6</c:v>
                </c:pt>
                <c:pt idx="3">
                  <c:v>4.6931579444187E6</c:v>
                </c:pt>
                <c:pt idx="4">
                  <c:v>7.0217194659845E6</c:v>
                </c:pt>
                <c:pt idx="5">
                  <c:v>7.96694688911196E6</c:v>
                </c:pt>
                <c:pt idx="6">
                  <c:v>5.06775321306188E6</c:v>
                </c:pt>
                <c:pt idx="7">
                  <c:v>5.53507386661216E6</c:v>
                </c:pt>
                <c:pt idx="8">
                  <c:v>1.29011335157598E7</c:v>
                </c:pt>
                <c:pt idx="9">
                  <c:v>1.70632631000567E7</c:v>
                </c:pt>
                <c:pt idx="10">
                  <c:v>1.36326049438099E7</c:v>
                </c:pt>
                <c:pt idx="11">
                  <c:v>1.75686219315468E7</c:v>
                </c:pt>
                <c:pt idx="12">
                  <c:v>1.47585861446953E7</c:v>
                </c:pt>
                <c:pt idx="13">
                  <c:v>8.50712871171578E6</c:v>
                </c:pt>
                <c:pt idx="14">
                  <c:v>7.90640924652611E6</c:v>
                </c:pt>
                <c:pt idx="15">
                  <c:v>3.93420799998963E6</c:v>
                </c:pt>
                <c:pt idx="16">
                  <c:v>3.9342079999961E6</c:v>
                </c:pt>
                <c:pt idx="17">
                  <c:v>3.09430424197024E6</c:v>
                </c:pt>
                <c:pt idx="18">
                  <c:v>7.03368808433858E6</c:v>
                </c:pt>
                <c:pt idx="19">
                  <c:v>8.17038512138526E6</c:v>
                </c:pt>
                <c:pt idx="20">
                  <c:v>7.65485885964671E6</c:v>
                </c:pt>
                <c:pt idx="21">
                  <c:v>1.3508558968064E7</c:v>
                </c:pt>
                <c:pt idx="22">
                  <c:v>1.22716233198089E7</c:v>
                </c:pt>
                <c:pt idx="23">
                  <c:v>6.37443764474542E6</c:v>
                </c:pt>
                <c:pt idx="24">
                  <c:v>8.41480026575771E6</c:v>
                </c:pt>
                <c:pt idx="25">
                  <c:v>1.68733838644592E7</c:v>
                </c:pt>
              </c:numCache>
            </c:numRef>
          </c:val>
          <c:smooth val="0"/>
        </c:ser>
        <c:dLbls>
          <c:showLegendKey val="0"/>
          <c:showVal val="0"/>
          <c:showCatName val="0"/>
          <c:showSerName val="0"/>
          <c:showPercent val="0"/>
          <c:showBubbleSize val="0"/>
        </c:dLbls>
        <c:marker val="1"/>
        <c:smooth val="0"/>
        <c:axId val="-2089785432"/>
        <c:axId val="-2089782232"/>
      </c:lineChart>
      <c:catAx>
        <c:axId val="-208979372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089788712"/>
        <c:crosses val="autoZero"/>
        <c:auto val="0"/>
        <c:lblAlgn val="ctr"/>
        <c:lblOffset val="100"/>
        <c:tickLblSkip val="5"/>
        <c:tickMarkSkip val="1"/>
        <c:noMultiLvlLbl val="0"/>
      </c:catAx>
      <c:valAx>
        <c:axId val="-2089788712"/>
        <c:scaling>
          <c:orientation val="minMax"/>
        </c:scaling>
        <c:delete val="0"/>
        <c:axPos val="l"/>
        <c:numFmt formatCode="#,##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2089793720"/>
        <c:crosses val="autoZero"/>
        <c:crossBetween val="between"/>
      </c:valAx>
      <c:catAx>
        <c:axId val="-2089785432"/>
        <c:scaling>
          <c:orientation val="minMax"/>
        </c:scaling>
        <c:delete val="1"/>
        <c:axPos val="b"/>
        <c:majorTickMark val="out"/>
        <c:minorTickMark val="none"/>
        <c:tickLblPos val="nextTo"/>
        <c:crossAx val="-2089782232"/>
        <c:crosses val="autoZero"/>
        <c:auto val="0"/>
        <c:lblAlgn val="ctr"/>
        <c:lblOffset val="100"/>
        <c:noMultiLvlLbl val="0"/>
      </c:catAx>
      <c:valAx>
        <c:axId val="-2089782232"/>
        <c:scaling>
          <c:orientation val="minMax"/>
        </c:scaling>
        <c:delete val="1"/>
        <c:axPos val="l"/>
        <c:numFmt formatCode="#,##0" sourceLinked="1"/>
        <c:majorTickMark val="out"/>
        <c:minorTickMark val="none"/>
        <c:tickLblPos val="nextTo"/>
        <c:crossAx val="-2089785432"/>
        <c:crosses val="autoZero"/>
        <c:crossBetween val="between"/>
      </c:valAx>
      <c:spPr>
        <a:solidFill>
          <a:srgbClr val="FFFFFF"/>
        </a:solidFill>
        <a:ln w="25400">
          <a:noFill/>
        </a:ln>
      </c:spPr>
    </c:plotArea>
    <c:legend>
      <c:legendPos val="r"/>
      <c:layout>
        <c:manualLayout>
          <c:xMode val="edge"/>
          <c:yMode val="edge"/>
          <c:x val="0.659738136181253"/>
          <c:y val="0.047061670482679"/>
          <c:w val="0.258606088032099"/>
          <c:h val="0.232372194610425"/>
        </c:manualLayout>
      </c:layout>
      <c:overlay val="0"/>
      <c:spPr>
        <a:solidFill>
          <a:srgbClr val="FFFFFF"/>
        </a:solidFill>
        <a:ln w="25400">
          <a:noFill/>
        </a:ln>
      </c:spPr>
      <c:txPr>
        <a:bodyPr/>
        <a:lstStyle/>
        <a:p>
          <a:pPr>
            <a:defRPr sz="1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0" l="0.75" r="0.75"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036544128303"/>
          <c:y val="0.042701998788613"/>
          <c:w val="0.847092290227525"/>
          <c:h val="0.914596002422774"/>
        </c:manualLayout>
      </c:layout>
      <c:barChart>
        <c:barDir val="col"/>
        <c:grouping val="clustered"/>
        <c:varyColors val="0"/>
        <c:ser>
          <c:idx val="0"/>
          <c:order val="0"/>
          <c:invertIfNegative val="0"/>
          <c:dLbls>
            <c:dLbl>
              <c:idx val="2"/>
              <c:delete val="1"/>
            </c:dLbl>
            <c:dLbl>
              <c:idx val="3"/>
              <c:delete val="1"/>
            </c:dLbl>
            <c:dLbl>
              <c:idx val="17"/>
              <c:delete val="1"/>
            </c:dLbl>
            <c:dLbl>
              <c:idx val="21"/>
              <c:delete val="1"/>
            </c:dLbl>
            <c:dLbl>
              <c:idx val="34"/>
              <c:delete val="1"/>
            </c:dLbl>
            <c:dLbl>
              <c:idx val="36"/>
              <c:delete val="1"/>
            </c:dLbl>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'Lag1_Exp_smooth_Total Run Odd'!$A$10:$A$34</c:f>
              <c:numCache>
                <c:formatCode>General</c:formatCode>
                <c:ptCount val="25"/>
                <c:pt idx="0">
                  <c:v>1965.0</c:v>
                </c:pt>
                <c:pt idx="1">
                  <c:v>1967.0</c:v>
                </c:pt>
                <c:pt idx="2">
                  <c:v>1969.0</c:v>
                </c:pt>
                <c:pt idx="3">
                  <c:v>1971.0</c:v>
                </c:pt>
                <c:pt idx="4">
                  <c:v>1973.0</c:v>
                </c:pt>
                <c:pt idx="5">
                  <c:v>1975.0</c:v>
                </c:pt>
                <c:pt idx="6">
                  <c:v>1977.0</c:v>
                </c:pt>
                <c:pt idx="7">
                  <c:v>1979.0</c:v>
                </c:pt>
                <c:pt idx="8">
                  <c:v>1981.0</c:v>
                </c:pt>
                <c:pt idx="9">
                  <c:v>1983.0</c:v>
                </c:pt>
                <c:pt idx="10">
                  <c:v>1985.0</c:v>
                </c:pt>
                <c:pt idx="11">
                  <c:v>1987.0</c:v>
                </c:pt>
                <c:pt idx="12">
                  <c:v>1989.0</c:v>
                </c:pt>
                <c:pt idx="13">
                  <c:v>1991.0</c:v>
                </c:pt>
                <c:pt idx="14">
                  <c:v>1993.0</c:v>
                </c:pt>
                <c:pt idx="15">
                  <c:v>1995.0</c:v>
                </c:pt>
                <c:pt idx="16">
                  <c:v>1997.0</c:v>
                </c:pt>
                <c:pt idx="17">
                  <c:v>1999.0</c:v>
                </c:pt>
                <c:pt idx="18">
                  <c:v>2001.0</c:v>
                </c:pt>
                <c:pt idx="19">
                  <c:v>2003.0</c:v>
                </c:pt>
                <c:pt idx="20">
                  <c:v>2005.0</c:v>
                </c:pt>
                <c:pt idx="21">
                  <c:v>2007.0</c:v>
                </c:pt>
                <c:pt idx="22">
                  <c:v>2009.0</c:v>
                </c:pt>
                <c:pt idx="23">
                  <c:v>2011.0</c:v>
                </c:pt>
                <c:pt idx="24">
                  <c:v>2013.0</c:v>
                </c:pt>
              </c:numCache>
            </c:numRef>
          </c:cat>
          <c:val>
            <c:numRef>
              <c:f>'Lag1_Exp_smooth_Total Run Odd'!$G$10:$G$34</c:f>
              <c:numCache>
                <c:formatCode>0%</c:formatCode>
                <c:ptCount val="25"/>
                <c:pt idx="0">
                  <c:v>0.699939259966008</c:v>
                </c:pt>
                <c:pt idx="1">
                  <c:v>0.251308251645016</c:v>
                </c:pt>
                <c:pt idx="2">
                  <c:v>-0.274592954611801</c:v>
                </c:pt>
                <c:pt idx="3">
                  <c:v>-0.442850341980948</c:v>
                </c:pt>
                <c:pt idx="4">
                  <c:v>-0.177396807208586</c:v>
                </c:pt>
                <c:pt idx="5">
                  <c:v>1.397921914302678</c:v>
                </c:pt>
                <c:pt idx="6">
                  <c:v>-0.128713234685524</c:v>
                </c:pt>
                <c:pt idx="7">
                  <c:v>-0.680708782051945</c:v>
                </c:pt>
                <c:pt idx="8">
                  <c:v>-0.340731674704104</c:v>
                </c:pt>
                <c:pt idx="9">
                  <c:v>0.475123174305529</c:v>
                </c:pt>
                <c:pt idx="10">
                  <c:v>-0.316253729037441</c:v>
                </c:pt>
                <c:pt idx="11">
                  <c:v>0.344508856205921</c:v>
                </c:pt>
                <c:pt idx="12">
                  <c:v>2.111164404678846</c:v>
                </c:pt>
                <c:pt idx="13">
                  <c:v>0.12755219130638</c:v>
                </c:pt>
                <c:pt idx="14">
                  <c:v>4.124242678289985</c:v>
                </c:pt>
                <c:pt idx="15">
                  <c:v>-2.63663508285968E-12</c:v>
                </c:pt>
                <c:pt idx="16">
                  <c:v>0.519772610153005</c:v>
                </c:pt>
                <c:pt idx="17">
                  <c:v>-0.671000627315848</c:v>
                </c:pt>
                <c:pt idx="18">
                  <c:v>-0.205652775410473</c:v>
                </c:pt>
                <c:pt idx="19">
                  <c:v>0.112447660012419</c:v>
                </c:pt>
                <c:pt idx="20">
                  <c:v>-0.55057305773109</c:v>
                </c:pt>
                <c:pt idx="21">
                  <c:v>0.171907111233305</c:v>
                </c:pt>
                <c:pt idx="22">
                  <c:v>3.344967012397263</c:v>
                </c:pt>
                <c:pt idx="23">
                  <c:v>-0.338963786979121</c:v>
                </c:pt>
                <c:pt idx="24">
                  <c:v>-0.616907501713818</c:v>
                </c:pt>
              </c:numCache>
            </c:numRef>
          </c:val>
        </c:ser>
        <c:dLbls>
          <c:showLegendKey val="0"/>
          <c:showVal val="0"/>
          <c:showCatName val="0"/>
          <c:showSerName val="0"/>
          <c:showPercent val="0"/>
          <c:showBubbleSize val="0"/>
        </c:dLbls>
        <c:gapWidth val="150"/>
        <c:axId val="-2088883976"/>
        <c:axId val="-2088881048"/>
      </c:barChart>
      <c:catAx>
        <c:axId val="-2088883976"/>
        <c:scaling>
          <c:orientation val="minMax"/>
        </c:scaling>
        <c:delete val="0"/>
        <c:axPos val="b"/>
        <c:numFmt formatCode="General" sourceLinked="1"/>
        <c:majorTickMark val="out"/>
        <c:minorTickMark val="none"/>
        <c:tickLblPos val="low"/>
        <c:txPr>
          <a:bodyPr rot="0" vert="horz"/>
          <a:lstStyle/>
          <a:p>
            <a:pPr>
              <a:defRPr sz="1100" b="0" i="0" u="none" strike="noStrike" baseline="0">
                <a:solidFill>
                  <a:srgbClr val="000000"/>
                </a:solidFill>
                <a:latin typeface="Arial"/>
                <a:ea typeface="Arial"/>
                <a:cs typeface="Arial"/>
              </a:defRPr>
            </a:pPr>
            <a:endParaRPr lang="en-US"/>
          </a:p>
        </c:txPr>
        <c:crossAx val="-2088881048"/>
        <c:crosses val="autoZero"/>
        <c:auto val="1"/>
        <c:lblAlgn val="ctr"/>
        <c:lblOffset val="100"/>
        <c:tickLblSkip val="5"/>
        <c:noMultiLvlLbl val="0"/>
      </c:catAx>
      <c:valAx>
        <c:axId val="-2088881048"/>
        <c:scaling>
          <c:orientation val="minMax"/>
        </c:scaling>
        <c:delete val="0"/>
        <c:axPos val="l"/>
        <c:title>
          <c:tx>
            <c:rich>
              <a:bodyPr/>
              <a:lstStyle/>
              <a:p>
                <a:pPr>
                  <a:defRPr sz="1200" b="1" i="0" u="none" strike="noStrike" baseline="0">
                    <a:solidFill>
                      <a:srgbClr val="000000"/>
                    </a:solidFill>
                    <a:latin typeface="Arial"/>
                    <a:ea typeface="Arial"/>
                    <a:cs typeface="Arial"/>
                  </a:defRPr>
                </a:pPr>
                <a:r>
                  <a:rPr lang="en-US"/>
                  <a:t>% Forecast Error</a:t>
                </a:r>
              </a:p>
            </c:rich>
          </c:tx>
          <c:overlay val="0"/>
        </c:title>
        <c:numFmt formatCode="0%" sourceLinked="1"/>
        <c:majorTickMark val="out"/>
        <c:minorTickMark val="none"/>
        <c:tickLblPos val="nextTo"/>
        <c:txPr>
          <a:bodyPr rot="0" vert="horz"/>
          <a:lstStyle/>
          <a:p>
            <a:pPr>
              <a:defRPr sz="1100" b="0" i="0" u="none" strike="noStrike" baseline="0">
                <a:solidFill>
                  <a:srgbClr val="000000"/>
                </a:solidFill>
                <a:latin typeface="Arial"/>
                <a:ea typeface="Arial"/>
                <a:cs typeface="Arial"/>
              </a:defRPr>
            </a:pPr>
            <a:endParaRPr lang="en-US"/>
          </a:p>
        </c:txPr>
        <c:crossAx val="-2088883976"/>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Times New Roman"/>
                <a:ea typeface="Times New Roman"/>
                <a:cs typeface="Times New Roman"/>
              </a:defRPr>
            </a:pPr>
            <a:r>
              <a:rPr lang="en-US" sz="1200"/>
              <a:t>Even year Pink Salmon,  BYR 1994-2010</a:t>
            </a:r>
          </a:p>
        </c:rich>
      </c:tx>
      <c:layout>
        <c:manualLayout>
          <c:xMode val="edge"/>
          <c:yMode val="edge"/>
          <c:x val="0.383137342874876"/>
          <c:y val="0.0358210101786057"/>
        </c:manualLayout>
      </c:layout>
      <c:overlay val="0"/>
      <c:spPr>
        <a:noFill/>
        <a:ln w="25400">
          <a:noFill/>
        </a:ln>
      </c:spPr>
    </c:title>
    <c:autoTitleDeleted val="0"/>
    <c:plotArea>
      <c:layout>
        <c:manualLayout>
          <c:layoutTarget val="inner"/>
          <c:xMode val="edge"/>
          <c:yMode val="edge"/>
          <c:x val="0.187571479895811"/>
          <c:y val="0.129258019394282"/>
          <c:w val="0.747872219394629"/>
          <c:h val="0.673691357442596"/>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0.313885811802042"/>
                  <c:y val="-0.28195155785707"/>
                </c:manualLayout>
              </c:layout>
              <c:numFmt formatCode="General" sourceLinked="0"/>
              <c:spPr>
                <a:noFill/>
                <a:ln w="25400">
                  <a:noFill/>
                </a:ln>
              </c:spPr>
              <c:txPr>
                <a:bodyPr/>
                <a:lstStyle/>
                <a:p>
                  <a:pPr>
                    <a:defRPr sz="1400" b="1" i="0" u="none" strike="noStrike" baseline="0">
                      <a:solidFill>
                        <a:srgbClr val="000000"/>
                      </a:solidFill>
                      <a:latin typeface="Times New Roman"/>
                      <a:ea typeface="Times New Roman"/>
                      <a:cs typeface="Times New Roman"/>
                    </a:defRPr>
                  </a:pPr>
                  <a:endParaRPr lang="en-US"/>
                </a:p>
              </c:txPr>
            </c:trendlineLbl>
          </c:trendline>
          <c:xVal>
            <c:numRef>
              <c:f>EvenRPS!$C$27:$C$34</c:f>
              <c:numCache>
                <c:formatCode>#,##0</c:formatCode>
                <c:ptCount val="8"/>
                <c:pt idx="0">
                  <c:v>1.409281E6</c:v>
                </c:pt>
                <c:pt idx="1">
                  <c:v>1.483336E6</c:v>
                </c:pt>
                <c:pt idx="2">
                  <c:v>1.420105E6</c:v>
                </c:pt>
                <c:pt idx="3">
                  <c:v>1.659028E6</c:v>
                </c:pt>
                <c:pt idx="4">
                  <c:v>943177.0</c:v>
                </c:pt>
                <c:pt idx="5">
                  <c:v>2.001123E6</c:v>
                </c:pt>
                <c:pt idx="6">
                  <c:v>1.190801600881E6</c:v>
                </c:pt>
                <c:pt idx="7">
                  <c:v>862418.5119961288</c:v>
                </c:pt>
              </c:numCache>
            </c:numRef>
          </c:xVal>
          <c:yVal>
            <c:numRef>
              <c:f>EvenRPS!$F$27:$F$34</c:f>
              <c:numCache>
                <c:formatCode>#,##0</c:formatCode>
                <c:ptCount val="8"/>
                <c:pt idx="0">
                  <c:v>4.500085E6</c:v>
                </c:pt>
                <c:pt idx="1">
                  <c:v>5.2742755E6</c:v>
                </c:pt>
                <c:pt idx="2">
                  <c:v>7.389941E6</c:v>
                </c:pt>
                <c:pt idx="3">
                  <c:v>1.26464531020259E6</c:v>
                </c:pt>
                <c:pt idx="4">
                  <c:v>4.93943105634744E6</c:v>
                </c:pt>
                <c:pt idx="5">
                  <c:v>3.31470277534367E6</c:v>
                </c:pt>
                <c:pt idx="6">
                  <c:v>2.29069167759909E6</c:v>
                </c:pt>
                <c:pt idx="7">
                  <c:v>4.39939072721724E6</c:v>
                </c:pt>
              </c:numCache>
            </c:numRef>
          </c:yVal>
          <c:smooth val="0"/>
        </c:ser>
        <c:dLbls>
          <c:showLegendKey val="0"/>
          <c:showVal val="0"/>
          <c:showCatName val="0"/>
          <c:showSerName val="0"/>
          <c:showPercent val="0"/>
          <c:showBubbleSize val="0"/>
        </c:dLbls>
        <c:axId val="-2089479704"/>
        <c:axId val="-2089679608"/>
      </c:scatterChart>
      <c:valAx>
        <c:axId val="-2089479704"/>
        <c:scaling>
          <c:orientation val="minMax"/>
        </c:scaling>
        <c:delete val="0"/>
        <c:axPos val="b"/>
        <c:title>
          <c:tx>
            <c:rich>
              <a:bodyPr/>
              <a:lstStyle/>
              <a:p>
                <a:pPr>
                  <a:defRPr sz="1200" b="1" i="0" u="none" strike="noStrike" baseline="0">
                    <a:solidFill>
                      <a:srgbClr val="000000"/>
                    </a:solidFill>
                    <a:latin typeface="Times New Roman"/>
                    <a:ea typeface="Times New Roman"/>
                    <a:cs typeface="Times New Roman"/>
                  </a:defRPr>
                </a:pPr>
                <a:r>
                  <a:rPr lang="en-US" sz="1200"/>
                  <a:t>BYR escapement</a:t>
                </a:r>
              </a:p>
            </c:rich>
          </c:tx>
          <c:layout>
            <c:manualLayout>
              <c:xMode val="edge"/>
              <c:yMode val="edge"/>
              <c:x val="0.457533257060816"/>
              <c:y val="0.89552237372767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2089679608"/>
        <c:crosses val="autoZero"/>
        <c:crossBetween val="midCat"/>
      </c:valAx>
      <c:valAx>
        <c:axId val="-2089679608"/>
        <c:scaling>
          <c:orientation val="minMax"/>
        </c:scaling>
        <c:delete val="0"/>
        <c:axPos val="l"/>
        <c:title>
          <c:tx>
            <c:rich>
              <a:bodyPr/>
              <a:lstStyle/>
              <a:p>
                <a:pPr>
                  <a:defRPr sz="1200" b="1" i="0" u="none" strike="noStrike" baseline="0">
                    <a:solidFill>
                      <a:srgbClr val="000000"/>
                    </a:solidFill>
                    <a:latin typeface="Times New Roman"/>
                    <a:ea typeface="Times New Roman"/>
                    <a:cs typeface="Times New Roman"/>
                  </a:defRPr>
                </a:pPr>
                <a:r>
                  <a:rPr lang="en-US"/>
                  <a:t>BYR Return</a:t>
                </a:r>
              </a:p>
            </c:rich>
          </c:tx>
          <c:layout>
            <c:manualLayout>
              <c:xMode val="edge"/>
              <c:yMode val="edge"/>
              <c:x val="0.0334781015620911"/>
              <c:y val="0.38507457909224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089479704"/>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Times New Roman"/>
          <a:ea typeface="Times New Roman"/>
          <a:cs typeface="Times New Roman"/>
        </a:defRPr>
      </a:pPr>
      <a:endParaRPr lang="en-US"/>
    </a:p>
  </c:txPr>
  <c:printSettings>
    <c:headerFooter alignWithMargins="0"/>
    <c:pageMargins b="1.0" l="0.75" r="0.75" t="1.0"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Times New Roman"/>
                <a:ea typeface="Times New Roman"/>
                <a:cs typeface="Times New Roman"/>
              </a:defRPr>
            </a:pPr>
            <a:r>
              <a:rPr lang="en-US" sz="1200"/>
              <a:t>Even year Pink Salmon,  BYR 1994-2010</a:t>
            </a:r>
          </a:p>
        </c:rich>
      </c:tx>
      <c:layout>
        <c:manualLayout>
          <c:xMode val="edge"/>
          <c:yMode val="edge"/>
          <c:x val="0.381340927484929"/>
          <c:y val="0.0330995282031464"/>
        </c:manualLayout>
      </c:layout>
      <c:overlay val="0"/>
      <c:spPr>
        <a:noFill/>
        <a:ln w="25400">
          <a:noFill/>
        </a:ln>
      </c:spPr>
    </c:title>
    <c:autoTitleDeleted val="0"/>
    <c:plotArea>
      <c:layout>
        <c:manualLayout>
          <c:layoutTarget val="inner"/>
          <c:xMode val="edge"/>
          <c:yMode val="edge"/>
          <c:x val="0.18319745608722"/>
          <c:y val="0.130383581570376"/>
          <c:w val="0.767337219866747"/>
          <c:h val="0.674024707030103"/>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dLbls>
            <c:dLbl>
              <c:idx val="0"/>
              <c:tx>
                <c:strRef>
                  <c:f>EvenRPS!$B$27</c:f>
                  <c:strCache>
                    <c:ptCount val="1"/>
                    <c:pt idx="0">
                      <c:v>1996</c:v>
                    </c:pt>
                  </c:strCache>
                </c:strRef>
              </c:tx>
              <c:dLblPos val="t"/>
              <c:showLegendKey val="0"/>
              <c:showVal val="0"/>
              <c:showCatName val="0"/>
              <c:showSerName val="0"/>
              <c:showPercent val="0"/>
              <c:showBubbleSize val="0"/>
            </c:dLbl>
            <c:dLbl>
              <c:idx val="1"/>
              <c:tx>
                <c:strRef>
                  <c:f>EvenRPS!$B$28</c:f>
                  <c:strCache>
                    <c:ptCount val="1"/>
                    <c:pt idx="0">
                      <c:v>1998</c:v>
                    </c:pt>
                  </c:strCache>
                </c:strRef>
              </c:tx>
              <c:dLblPos val="t"/>
              <c:showLegendKey val="0"/>
              <c:showVal val="0"/>
              <c:showCatName val="0"/>
              <c:showSerName val="0"/>
              <c:showPercent val="0"/>
              <c:showBubbleSize val="0"/>
            </c:dLbl>
            <c:dLbl>
              <c:idx val="2"/>
              <c:tx>
                <c:strRef>
                  <c:f>EvenRPS!$B$29</c:f>
                  <c:strCache>
                    <c:ptCount val="1"/>
                    <c:pt idx="0">
                      <c:v>2000</c:v>
                    </c:pt>
                  </c:strCache>
                </c:strRef>
              </c:tx>
              <c:dLblPos val="t"/>
              <c:showLegendKey val="0"/>
              <c:showVal val="0"/>
              <c:showCatName val="0"/>
              <c:showSerName val="0"/>
              <c:showPercent val="0"/>
              <c:showBubbleSize val="0"/>
            </c:dLbl>
            <c:dLbl>
              <c:idx val="3"/>
              <c:tx>
                <c:strRef>
                  <c:f>EvenRPS!$B$30</c:f>
                  <c:strCache>
                    <c:ptCount val="1"/>
                    <c:pt idx="0">
                      <c:v>2002</c:v>
                    </c:pt>
                  </c:strCache>
                </c:strRef>
              </c:tx>
              <c:dLblPos val="t"/>
              <c:showLegendKey val="0"/>
              <c:showVal val="0"/>
              <c:showCatName val="0"/>
              <c:showSerName val="0"/>
              <c:showPercent val="0"/>
              <c:showBubbleSize val="0"/>
            </c:dLbl>
            <c:dLbl>
              <c:idx val="4"/>
              <c:tx>
                <c:strRef>
                  <c:f>EvenRPS!$B$31</c:f>
                  <c:strCache>
                    <c:ptCount val="1"/>
                    <c:pt idx="0">
                      <c:v>2004</c:v>
                    </c:pt>
                  </c:strCache>
                </c:strRef>
              </c:tx>
              <c:dLblPos val="t"/>
              <c:showLegendKey val="0"/>
              <c:showVal val="0"/>
              <c:showCatName val="0"/>
              <c:showSerName val="0"/>
              <c:showPercent val="0"/>
              <c:showBubbleSize val="0"/>
            </c:dLbl>
            <c:dLbl>
              <c:idx val="5"/>
              <c:tx>
                <c:strRef>
                  <c:f>EvenRPS!$B$32</c:f>
                  <c:strCache>
                    <c:ptCount val="1"/>
                    <c:pt idx="0">
                      <c:v>2006</c:v>
                    </c:pt>
                  </c:strCache>
                </c:strRef>
              </c:tx>
              <c:dLblPos val="t"/>
              <c:showLegendKey val="0"/>
              <c:showVal val="0"/>
              <c:showCatName val="0"/>
              <c:showSerName val="0"/>
              <c:showPercent val="0"/>
              <c:showBubbleSize val="0"/>
            </c:dLbl>
            <c:dLbl>
              <c:idx val="6"/>
              <c:tx>
                <c:strRef>
                  <c:f>EvenRPS!$B$33</c:f>
                  <c:strCache>
                    <c:ptCount val="1"/>
                    <c:pt idx="0">
                      <c:v>2008</c:v>
                    </c:pt>
                  </c:strCache>
                </c:strRef>
              </c:tx>
              <c:dLblPos val="t"/>
              <c:showLegendKey val="0"/>
              <c:showVal val="0"/>
              <c:showCatName val="0"/>
              <c:showSerName val="0"/>
              <c:showPercent val="0"/>
              <c:showBubbleSize val="0"/>
            </c:dLbl>
            <c:dLbl>
              <c:idx val="7"/>
              <c:tx>
                <c:strRef>
                  <c:f>EvenRPS!$B$34</c:f>
                  <c:strCache>
                    <c:ptCount val="1"/>
                    <c:pt idx="0">
                      <c:v>2010</c:v>
                    </c:pt>
                  </c:strCache>
                </c:strRef>
              </c:tx>
              <c:dLblPos val="t"/>
              <c:showLegendKey val="0"/>
              <c:showVal val="0"/>
              <c:showCatName val="0"/>
              <c:showSerName val="0"/>
              <c:showPercent val="0"/>
              <c:showBubbleSize val="0"/>
            </c:dLbl>
            <c:txPr>
              <a:bodyPr/>
              <a:lstStyle/>
              <a:p>
                <a:pPr>
                  <a:defRPr sz="1100"/>
                </a:pPr>
                <a:endParaRPr lang="en-US"/>
              </a:p>
            </c:txPr>
            <c:showLegendKey val="0"/>
            <c:showVal val="1"/>
            <c:showCatName val="0"/>
            <c:showSerName val="0"/>
            <c:showPercent val="0"/>
            <c:showBubbleSize val="0"/>
            <c:showLeaderLines val="0"/>
          </c:dLbls>
          <c:trendline>
            <c:spPr>
              <a:ln w="25400">
                <a:solidFill>
                  <a:srgbClr val="000000"/>
                </a:solidFill>
                <a:prstDash val="solid"/>
              </a:ln>
            </c:spPr>
            <c:trendlineType val="linear"/>
            <c:dispRSqr val="1"/>
            <c:dispEq val="1"/>
            <c:trendlineLbl>
              <c:layout>
                <c:manualLayout>
                  <c:x val="-0.396942761962447"/>
                  <c:y val="0.184707932635181"/>
                </c:manualLayout>
              </c:layout>
              <c:numFmt formatCode="General" sourceLinked="0"/>
              <c:spPr>
                <a:noFill/>
                <a:ln w="25400">
                  <a:noFill/>
                </a:ln>
              </c:spPr>
              <c:txPr>
                <a:bodyPr/>
                <a:lstStyle/>
                <a:p>
                  <a:pPr>
                    <a:defRPr sz="1400" b="1" i="0" u="none" strike="noStrike" baseline="0">
                      <a:solidFill>
                        <a:srgbClr val="000000"/>
                      </a:solidFill>
                      <a:latin typeface="Times New Roman"/>
                      <a:ea typeface="Times New Roman"/>
                      <a:cs typeface="Times New Roman"/>
                    </a:defRPr>
                  </a:pPr>
                  <a:endParaRPr lang="en-US"/>
                </a:p>
              </c:txPr>
            </c:trendlineLbl>
          </c:trendline>
          <c:xVal>
            <c:numRef>
              <c:f>EvenRPS!$D$27:$D$34</c:f>
              <c:numCache>
                <c:formatCode>0.00</c:formatCode>
                <c:ptCount val="8"/>
                <c:pt idx="0">
                  <c:v>14.15859020321829</c:v>
                </c:pt>
                <c:pt idx="1">
                  <c:v>14.20980416322551</c:v>
                </c:pt>
                <c:pt idx="2">
                  <c:v>14.16624137050572</c:v>
                </c:pt>
                <c:pt idx="3">
                  <c:v>14.32174244666729</c:v>
                </c:pt>
                <c:pt idx="4">
                  <c:v>13.75700924283588</c:v>
                </c:pt>
                <c:pt idx="5">
                  <c:v>14.50921908094208</c:v>
                </c:pt>
                <c:pt idx="6">
                  <c:v>13.99013725249722</c:v>
                </c:pt>
                <c:pt idx="7">
                  <c:v>13.66749594457918</c:v>
                </c:pt>
              </c:numCache>
            </c:numRef>
          </c:xVal>
          <c:yVal>
            <c:numRef>
              <c:f>EvenRPS!$G$27:$G$34</c:f>
              <c:numCache>
                <c:formatCode>0.00</c:formatCode>
                <c:ptCount val="8"/>
                <c:pt idx="0">
                  <c:v>15.31960684345104</c:v>
                </c:pt>
                <c:pt idx="1">
                  <c:v>15.47835188192202</c:v>
                </c:pt>
                <c:pt idx="2">
                  <c:v>15.81563030913067</c:v>
                </c:pt>
                <c:pt idx="3">
                  <c:v>14.0503022536363</c:v>
                </c:pt>
                <c:pt idx="4">
                  <c:v>15.41276071175157</c:v>
                </c:pt>
                <c:pt idx="5">
                  <c:v>15.01387851705254</c:v>
                </c:pt>
                <c:pt idx="6">
                  <c:v>14.64436437254442</c:v>
                </c:pt>
                <c:pt idx="7">
                  <c:v>15.29697661821349</c:v>
                </c:pt>
              </c:numCache>
            </c:numRef>
          </c:yVal>
          <c:smooth val="0"/>
        </c:ser>
        <c:dLbls>
          <c:showLegendKey val="0"/>
          <c:showVal val="0"/>
          <c:showCatName val="0"/>
          <c:showSerName val="0"/>
          <c:showPercent val="0"/>
          <c:showBubbleSize val="0"/>
        </c:dLbls>
        <c:axId val="-2089726760"/>
        <c:axId val="-2089749160"/>
      </c:scatterChart>
      <c:valAx>
        <c:axId val="-2089726760"/>
        <c:scaling>
          <c:orientation val="minMax"/>
        </c:scaling>
        <c:delete val="0"/>
        <c:axPos val="b"/>
        <c:title>
          <c:tx>
            <c:rich>
              <a:bodyPr/>
              <a:lstStyle/>
              <a:p>
                <a:pPr>
                  <a:defRPr sz="1200" b="1" i="0" u="none" strike="noStrike" baseline="0">
                    <a:solidFill>
                      <a:srgbClr val="000000"/>
                    </a:solidFill>
                    <a:latin typeface="Times New Roman"/>
                    <a:ea typeface="Times New Roman"/>
                    <a:cs typeface="Times New Roman"/>
                  </a:defRPr>
                </a:pPr>
                <a:r>
                  <a:rPr lang="en-US" sz="1200"/>
                  <a:t>Ln(BYR escapement)</a:t>
                </a:r>
              </a:p>
            </c:rich>
          </c:tx>
          <c:layout>
            <c:manualLayout>
              <c:xMode val="edge"/>
              <c:yMode val="edge"/>
              <c:x val="0.450846324324733"/>
              <c:y val="0.89368468511988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Times New Roman"/>
                <a:ea typeface="Times New Roman"/>
                <a:cs typeface="Times New Roman"/>
              </a:defRPr>
            </a:pPr>
            <a:endParaRPr lang="en-US"/>
          </a:p>
        </c:txPr>
        <c:crossAx val="-2089749160"/>
        <c:crosses val="autoZero"/>
        <c:crossBetween val="midCat"/>
      </c:valAx>
      <c:valAx>
        <c:axId val="-2089749160"/>
        <c:scaling>
          <c:orientation val="minMax"/>
          <c:min val="14.0"/>
        </c:scaling>
        <c:delete val="0"/>
        <c:axPos val="l"/>
        <c:title>
          <c:tx>
            <c:rich>
              <a:bodyPr/>
              <a:lstStyle/>
              <a:p>
                <a:pPr>
                  <a:defRPr sz="1200" b="1" i="0" u="none" strike="noStrike" baseline="0">
                    <a:solidFill>
                      <a:srgbClr val="000000"/>
                    </a:solidFill>
                    <a:latin typeface="Times New Roman"/>
                    <a:ea typeface="Times New Roman"/>
                    <a:cs typeface="Times New Roman"/>
                  </a:defRPr>
                </a:pPr>
                <a:r>
                  <a:rPr lang="en-US" sz="1200"/>
                  <a:t>Ln(BYR Return)</a:t>
                </a:r>
              </a:p>
            </c:rich>
          </c:tx>
          <c:layout>
            <c:manualLayout>
              <c:xMode val="edge"/>
              <c:yMode val="edge"/>
              <c:x val="0.033813489452147"/>
              <c:y val="0.340021255011835"/>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089726760"/>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0" l="0.75" r="0.75" t="1.0"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Calibri"/>
                <a:ea typeface="Calibri"/>
                <a:cs typeface="Calibri"/>
              </a:defRPr>
            </a:pPr>
            <a:r>
              <a:rPr lang="en-US"/>
              <a:t>Even Year Pink Salmon, BYR 1960-2008</a:t>
            </a:r>
          </a:p>
        </c:rich>
      </c:tx>
      <c:overlay val="0"/>
    </c:title>
    <c:autoTitleDeleted val="0"/>
    <c:plotArea>
      <c:layout>
        <c:manualLayout>
          <c:layoutTarget val="inner"/>
          <c:xMode val="edge"/>
          <c:yMode val="edge"/>
          <c:x val="0.119668853893263"/>
          <c:y val="0.11357648002333"/>
          <c:w val="0.849775590551182"/>
          <c:h val="0.698665062700496"/>
        </c:manualLayout>
      </c:layout>
      <c:lineChart>
        <c:grouping val="standard"/>
        <c:varyColors val="0"/>
        <c:ser>
          <c:idx val="0"/>
          <c:order val="0"/>
          <c:dLbls>
            <c:txPr>
              <a:bodyPr/>
              <a:lstStyle/>
              <a:p>
                <a:pPr>
                  <a:defRPr sz="800" b="0" i="0" u="none" strike="noStrike" baseline="0">
                    <a:solidFill>
                      <a:srgbClr val="000000"/>
                    </a:solidFill>
                    <a:latin typeface="Times New Roman"/>
                    <a:ea typeface="Times New Roman"/>
                    <a:cs typeface="Times New Roman"/>
                  </a:defRPr>
                </a:pPr>
                <a:endParaRPr lang="en-US"/>
              </a:p>
            </c:txPr>
            <c:dLblPos val="t"/>
            <c:showLegendKey val="0"/>
            <c:showVal val="1"/>
            <c:showCatName val="0"/>
            <c:showSerName val="0"/>
            <c:showPercent val="0"/>
            <c:showBubbleSize val="0"/>
            <c:showLeaderLines val="0"/>
          </c:dLbls>
          <c:cat>
            <c:numRef>
              <c:f>EvenRPS!$A$18:$A$35</c:f>
              <c:numCache>
                <c:formatCode>General</c:formatCode>
                <c:ptCount val="18"/>
                <c:pt idx="0">
                  <c:v>1976.0</c:v>
                </c:pt>
                <c:pt idx="1">
                  <c:v>1978.0</c:v>
                </c:pt>
                <c:pt idx="2">
                  <c:v>1980.0</c:v>
                </c:pt>
                <c:pt idx="3">
                  <c:v>1982.0</c:v>
                </c:pt>
                <c:pt idx="4">
                  <c:v>1984.0</c:v>
                </c:pt>
                <c:pt idx="5">
                  <c:v>1986.0</c:v>
                </c:pt>
                <c:pt idx="6">
                  <c:v>1988.0</c:v>
                </c:pt>
                <c:pt idx="7">
                  <c:v>1990.0</c:v>
                </c:pt>
                <c:pt idx="8">
                  <c:v>1992.0</c:v>
                </c:pt>
                <c:pt idx="9">
                  <c:v>1994.0</c:v>
                </c:pt>
                <c:pt idx="10">
                  <c:v>1996.0</c:v>
                </c:pt>
                <c:pt idx="11">
                  <c:v>1998.0</c:v>
                </c:pt>
                <c:pt idx="12">
                  <c:v>2000.0</c:v>
                </c:pt>
                <c:pt idx="13">
                  <c:v>2002.0</c:v>
                </c:pt>
                <c:pt idx="14">
                  <c:v>2004.0</c:v>
                </c:pt>
                <c:pt idx="15">
                  <c:v>2006.0</c:v>
                </c:pt>
                <c:pt idx="16">
                  <c:v>2008.0</c:v>
                </c:pt>
                <c:pt idx="17">
                  <c:v>2010.0</c:v>
                </c:pt>
              </c:numCache>
            </c:numRef>
          </c:cat>
          <c:val>
            <c:numRef>
              <c:f>EvenRPS!$H$18:$H$35</c:f>
              <c:numCache>
                <c:formatCode>0.00</c:formatCode>
                <c:ptCount val="18"/>
                <c:pt idx="0">
                  <c:v>5.510605409685544</c:v>
                </c:pt>
                <c:pt idx="1">
                  <c:v>18.55199328555202</c:v>
                </c:pt>
                <c:pt idx="2">
                  <c:v>15.33668754257828</c:v>
                </c:pt>
                <c:pt idx="3">
                  <c:v>11.46574366806229</c:v>
                </c:pt>
                <c:pt idx="4">
                  <c:v>1.558602099030824</c:v>
                </c:pt>
                <c:pt idx="5">
                  <c:v>1.792144301748393</c:v>
                </c:pt>
                <c:pt idx="6">
                  <c:v>13.3073940137814</c:v>
                </c:pt>
                <c:pt idx="7">
                  <c:v>1.137128662801752</c:v>
                </c:pt>
                <c:pt idx="8">
                  <c:v>8.601512892208272</c:v>
                </c:pt>
                <c:pt idx="9">
                  <c:v>3.193177939672783</c:v>
                </c:pt>
                <c:pt idx="10">
                  <c:v>3.555684956071989</c:v>
                </c:pt>
                <c:pt idx="11">
                  <c:v>5.203799014861576</c:v>
                </c:pt>
                <c:pt idx="12">
                  <c:v>0.76228087181325</c:v>
                </c:pt>
                <c:pt idx="13">
                  <c:v>5.237013897017674</c:v>
                </c:pt>
                <c:pt idx="14">
                  <c:v>1.656421307107893</c:v>
                </c:pt>
                <c:pt idx="15">
                  <c:v>1.923655188155908</c:v>
                </c:pt>
                <c:pt idx="16">
                  <c:v>5.101224829966295</c:v>
                </c:pt>
                <c:pt idx="17">
                  <c:v>2.213682181341754</c:v>
                </c:pt>
              </c:numCache>
            </c:numRef>
          </c:val>
          <c:smooth val="0"/>
        </c:ser>
        <c:dLbls>
          <c:showLegendKey val="0"/>
          <c:showVal val="0"/>
          <c:showCatName val="0"/>
          <c:showSerName val="0"/>
          <c:showPercent val="0"/>
          <c:showBubbleSize val="0"/>
        </c:dLbls>
        <c:marker val="1"/>
        <c:smooth val="0"/>
        <c:axId val="-2088913032"/>
        <c:axId val="2134581784"/>
      </c:lineChart>
      <c:catAx>
        <c:axId val="-2088913032"/>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US"/>
                  <a:t>Brood 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134581784"/>
        <c:crosses val="autoZero"/>
        <c:auto val="1"/>
        <c:lblAlgn val="ctr"/>
        <c:lblOffset val="100"/>
        <c:tickLblSkip val="2"/>
        <c:noMultiLvlLbl val="0"/>
      </c:catAx>
      <c:valAx>
        <c:axId val="2134581784"/>
        <c:scaling>
          <c:orientation val="minMax"/>
        </c:scaling>
        <c:delete val="0"/>
        <c:axPos val="l"/>
        <c:title>
          <c:tx>
            <c:rich>
              <a:bodyPr/>
              <a:lstStyle/>
              <a:p>
                <a:pPr>
                  <a:defRPr sz="1000" b="1" i="0" u="none" strike="noStrike" baseline="0">
                    <a:solidFill>
                      <a:srgbClr val="000000"/>
                    </a:solidFill>
                    <a:latin typeface="Calibri"/>
                    <a:ea typeface="Calibri"/>
                    <a:cs typeface="Calibri"/>
                  </a:defRPr>
                </a:pPr>
                <a:r>
                  <a:rPr lang="en-US"/>
                  <a:t>R/S</a:t>
                </a:r>
              </a:p>
            </c:rich>
          </c:tx>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088913032"/>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Times New Roman"/>
                <a:ea typeface="Times New Roman"/>
                <a:cs typeface="Times New Roman"/>
              </a:defRPr>
            </a:pPr>
            <a:r>
              <a:rPr lang="en-US"/>
              <a:t>Odd year Pink Salmon,  BYR 1995-2007</a:t>
            </a:r>
          </a:p>
        </c:rich>
      </c:tx>
      <c:layout>
        <c:manualLayout>
          <c:xMode val="edge"/>
          <c:yMode val="edge"/>
          <c:x val="0.383137342874876"/>
          <c:y val="0.0358210101786057"/>
        </c:manualLayout>
      </c:layout>
      <c:overlay val="0"/>
      <c:spPr>
        <a:noFill/>
        <a:ln w="25400">
          <a:noFill/>
        </a:ln>
      </c:spPr>
    </c:title>
    <c:autoTitleDeleted val="0"/>
    <c:plotArea>
      <c:layout>
        <c:manualLayout>
          <c:layoutTarget val="inner"/>
          <c:xMode val="edge"/>
          <c:yMode val="edge"/>
          <c:x val="0.208484025956972"/>
          <c:y val="0.129258019394282"/>
          <c:w val="0.72695972476202"/>
          <c:h val="0.673691357442595"/>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0.00880976183255267"/>
                  <c:y val="0.336627086614173"/>
                </c:manualLayout>
              </c:layout>
              <c:numFmt formatCode="General" sourceLinked="0"/>
              <c:spPr>
                <a:noFill/>
                <a:ln w="25400">
                  <a:noFill/>
                </a:ln>
              </c:spPr>
              <c:txPr>
                <a:bodyPr/>
                <a:lstStyle/>
                <a:p>
                  <a:pPr>
                    <a:defRPr sz="1400" b="1" i="0" u="none" strike="noStrike" baseline="0">
                      <a:solidFill>
                        <a:srgbClr val="000000"/>
                      </a:solidFill>
                      <a:latin typeface="Times New Roman"/>
                      <a:ea typeface="Times New Roman"/>
                      <a:cs typeface="Times New Roman"/>
                    </a:defRPr>
                  </a:pPr>
                  <a:endParaRPr lang="en-US"/>
                </a:p>
              </c:txPr>
            </c:trendlineLbl>
          </c:trendline>
          <c:xVal>
            <c:numRef>
              <c:f>OddRPS!$C$19:$C$35</c:f>
              <c:numCache>
                <c:formatCode>#,##0</c:formatCode>
                <c:ptCount val="17"/>
                <c:pt idx="0">
                  <c:v>2.901977E6</c:v>
                </c:pt>
                <c:pt idx="1">
                  <c:v>2.166319E6</c:v>
                </c:pt>
                <c:pt idx="2">
                  <c:v>2.003106E6</c:v>
                </c:pt>
                <c:pt idx="3">
                  <c:v>2.347997E6</c:v>
                </c:pt>
                <c:pt idx="4">
                  <c:v>1.372217E6</c:v>
                </c:pt>
                <c:pt idx="5">
                  <c:v>1.233676E6</c:v>
                </c:pt>
                <c:pt idx="6">
                  <c:v>1.725792E6</c:v>
                </c:pt>
                <c:pt idx="7">
                  <c:v>1.06564E6</c:v>
                </c:pt>
                <c:pt idx="8">
                  <c:v>1.190184E6</c:v>
                </c:pt>
                <c:pt idx="9">
                  <c:v>1.422688E6</c:v>
                </c:pt>
                <c:pt idx="10">
                  <c:v>2.462862E6</c:v>
                </c:pt>
                <c:pt idx="11">
                  <c:v>2.000386E6</c:v>
                </c:pt>
                <c:pt idx="12">
                  <c:v>2.846732E6</c:v>
                </c:pt>
                <c:pt idx="13">
                  <c:v>4.73611585714286E6</c:v>
                </c:pt>
                <c:pt idx="14">
                  <c:v>1.50913316288356E6</c:v>
                </c:pt>
                <c:pt idx="15">
                  <c:v>1.82962260916244E6</c:v>
                </c:pt>
                <c:pt idx="16">
                  <c:v>3.927419E6</c:v>
                </c:pt>
              </c:numCache>
            </c:numRef>
          </c:xVal>
          <c:yVal>
            <c:numRef>
              <c:f>OddRPS!$F$19:$F$35</c:f>
              <c:numCache>
                <c:formatCode>#,##0</c:formatCode>
                <c:ptCount val="17"/>
                <c:pt idx="0">
                  <c:v>1.9568866E7</c:v>
                </c:pt>
                <c:pt idx="1">
                  <c:v>1.1567348E7</c:v>
                </c:pt>
                <c:pt idx="2">
                  <c:v>1.9938105E7</c:v>
                </c:pt>
                <c:pt idx="3">
                  <c:v>1.3066944E7</c:v>
                </c:pt>
                <c:pt idx="4">
                  <c:v>4.74375E6</c:v>
                </c:pt>
                <c:pt idx="5">
                  <c:v>7.544776E6</c:v>
                </c:pt>
                <c:pt idx="6">
                  <c:v>1.542942E6</c:v>
                </c:pt>
                <c:pt idx="7">
                  <c:v>3.934208E6</c:v>
                </c:pt>
                <c:pt idx="8">
                  <c:v>2.588682E6</c:v>
                </c:pt>
                <c:pt idx="9">
                  <c:v>9.405198E6</c:v>
                </c:pt>
                <c:pt idx="10">
                  <c:v>8.85467698080419E6</c:v>
                </c:pt>
                <c:pt idx="11">
                  <c:v>7.34451193981931E6</c:v>
                </c:pt>
                <c:pt idx="12">
                  <c:v>1.70324876853211E7</c:v>
                </c:pt>
                <c:pt idx="13">
                  <c:v>1.15269877950034E7</c:v>
                </c:pt>
                <c:pt idx="14">
                  <c:v>2.82433060706674E6</c:v>
                </c:pt>
                <c:pt idx="15">
                  <c:v>9.643099E6</c:v>
                </c:pt>
                <c:pt idx="16">
                  <c:v>2.1965453E7</c:v>
                </c:pt>
              </c:numCache>
            </c:numRef>
          </c:yVal>
          <c:smooth val="0"/>
        </c:ser>
        <c:dLbls>
          <c:showLegendKey val="0"/>
          <c:showVal val="0"/>
          <c:showCatName val="0"/>
          <c:showSerName val="0"/>
          <c:showPercent val="0"/>
          <c:showBubbleSize val="0"/>
        </c:dLbls>
        <c:axId val="-2089651880"/>
        <c:axId val="-2089645752"/>
      </c:scatterChart>
      <c:valAx>
        <c:axId val="-2089651880"/>
        <c:scaling>
          <c:orientation val="minMax"/>
        </c:scaling>
        <c:delete val="0"/>
        <c:axPos val="b"/>
        <c:title>
          <c:tx>
            <c:rich>
              <a:bodyPr/>
              <a:lstStyle/>
              <a:p>
                <a:pPr>
                  <a:defRPr sz="1100" b="1" i="0" u="none" strike="noStrike" baseline="0">
                    <a:solidFill>
                      <a:srgbClr val="000000"/>
                    </a:solidFill>
                    <a:latin typeface="Times New Roman"/>
                    <a:ea typeface="Times New Roman"/>
                    <a:cs typeface="Times New Roman"/>
                  </a:defRPr>
                </a:pPr>
                <a:r>
                  <a:rPr lang="en-US"/>
                  <a:t>BYR escapement</a:t>
                </a:r>
              </a:p>
            </c:rich>
          </c:tx>
          <c:layout>
            <c:manualLayout>
              <c:xMode val="edge"/>
              <c:yMode val="edge"/>
              <c:x val="0.457533257060816"/>
              <c:y val="0.89552237372767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089645752"/>
        <c:crosses val="autoZero"/>
        <c:crossBetween val="midCat"/>
      </c:valAx>
      <c:valAx>
        <c:axId val="-2089645752"/>
        <c:scaling>
          <c:orientation val="minMax"/>
        </c:scaling>
        <c:delete val="0"/>
        <c:axPos val="l"/>
        <c:title>
          <c:tx>
            <c:rich>
              <a:bodyPr/>
              <a:lstStyle/>
              <a:p>
                <a:pPr>
                  <a:defRPr sz="1200" b="1" i="0" u="none" strike="noStrike" baseline="0">
                    <a:solidFill>
                      <a:srgbClr val="000000"/>
                    </a:solidFill>
                    <a:latin typeface="Times New Roman"/>
                    <a:ea typeface="Times New Roman"/>
                    <a:cs typeface="Times New Roman"/>
                  </a:defRPr>
                </a:pPr>
                <a:r>
                  <a:rPr lang="en-US"/>
                  <a:t>BYR Return</a:t>
                </a:r>
              </a:p>
            </c:rich>
          </c:tx>
          <c:layout>
            <c:manualLayout>
              <c:xMode val="edge"/>
              <c:yMode val="edge"/>
              <c:x val="0.0334781015620911"/>
              <c:y val="0.38507457909224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089651880"/>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Times New Roman"/>
          <a:ea typeface="Times New Roman"/>
          <a:cs typeface="Times New Roman"/>
        </a:defRPr>
      </a:pPr>
      <a:endParaRPr lang="en-US"/>
    </a:p>
  </c:txPr>
  <c:printSettings>
    <c:headerFooter alignWithMargins="0"/>
    <c:pageMargins b="1.0" l="0.75" r="0.75" t="1.0"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Times New Roman"/>
                <a:ea typeface="Times New Roman"/>
                <a:cs typeface="Times New Roman"/>
              </a:defRPr>
            </a:pPr>
            <a:r>
              <a:rPr lang="en-US"/>
              <a:t>Odd year Pink Salmon,  BYR 1995-2007</a:t>
            </a:r>
          </a:p>
        </c:rich>
      </c:tx>
      <c:layout>
        <c:manualLayout>
          <c:xMode val="edge"/>
          <c:yMode val="edge"/>
          <c:x val="0.381340927484929"/>
          <c:y val="0.0330995282031464"/>
        </c:manualLayout>
      </c:layout>
      <c:overlay val="0"/>
      <c:spPr>
        <a:noFill/>
        <a:ln w="25400">
          <a:noFill/>
        </a:ln>
      </c:spPr>
    </c:title>
    <c:autoTitleDeleted val="0"/>
    <c:plotArea>
      <c:layout>
        <c:manualLayout>
          <c:layoutTarget val="inner"/>
          <c:xMode val="edge"/>
          <c:yMode val="edge"/>
          <c:x val="0.181274305822085"/>
          <c:y val="0.130383581570376"/>
          <c:w val="0.769260230362431"/>
          <c:h val="0.674024707030102"/>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dLbls>
            <c:dLbl>
              <c:idx val="0"/>
              <c:tx>
                <c:strRef>
                  <c:f>OddRPS!$A$27</c:f>
                  <c:strCache>
                    <c:ptCount val="1"/>
                    <c:pt idx="0">
                      <c:v>1995</c:v>
                    </c:pt>
                  </c:strCache>
                </c:strRef>
              </c:tx>
              <c:dLblPos val="t"/>
              <c:showLegendKey val="0"/>
              <c:showVal val="0"/>
              <c:showCatName val="0"/>
              <c:showSerName val="0"/>
              <c:showPercent val="0"/>
              <c:showBubbleSize val="0"/>
            </c:dLbl>
            <c:dLbl>
              <c:idx val="1"/>
              <c:tx>
                <c:strRef>
                  <c:f>OddRPS!$A$28</c:f>
                  <c:strCache>
                    <c:ptCount val="1"/>
                    <c:pt idx="0">
                      <c:v>1997</c:v>
                    </c:pt>
                  </c:strCache>
                </c:strRef>
              </c:tx>
              <c:dLblPos val="t"/>
              <c:showLegendKey val="0"/>
              <c:showVal val="0"/>
              <c:showCatName val="0"/>
              <c:showSerName val="0"/>
              <c:showPercent val="0"/>
              <c:showBubbleSize val="0"/>
            </c:dLbl>
            <c:dLbl>
              <c:idx val="2"/>
              <c:tx>
                <c:strRef>
                  <c:f>OddRPS!$A$29</c:f>
                  <c:strCache>
                    <c:ptCount val="1"/>
                    <c:pt idx="0">
                      <c:v>1999</c:v>
                    </c:pt>
                  </c:strCache>
                </c:strRef>
              </c:tx>
              <c:dLblPos val="t"/>
              <c:showLegendKey val="0"/>
              <c:showVal val="0"/>
              <c:showCatName val="0"/>
              <c:showSerName val="0"/>
              <c:showPercent val="0"/>
              <c:showBubbleSize val="0"/>
            </c:dLbl>
            <c:dLbl>
              <c:idx val="3"/>
              <c:tx>
                <c:strRef>
                  <c:f>OddRPS!$A$30</c:f>
                  <c:strCache>
                    <c:ptCount val="1"/>
                    <c:pt idx="0">
                      <c:v>2001</c:v>
                    </c:pt>
                  </c:strCache>
                </c:strRef>
              </c:tx>
              <c:dLblPos val="t"/>
              <c:showLegendKey val="0"/>
              <c:showVal val="0"/>
              <c:showCatName val="0"/>
              <c:showSerName val="0"/>
              <c:showPercent val="0"/>
              <c:showBubbleSize val="0"/>
            </c:dLbl>
            <c:dLbl>
              <c:idx val="4"/>
              <c:tx>
                <c:strRef>
                  <c:f>OddRPS!$A$31</c:f>
                  <c:strCache>
                    <c:ptCount val="1"/>
                    <c:pt idx="0">
                      <c:v>2003</c:v>
                    </c:pt>
                  </c:strCache>
                </c:strRef>
              </c:tx>
              <c:dLblPos val="t"/>
              <c:showLegendKey val="0"/>
              <c:showVal val="0"/>
              <c:showCatName val="0"/>
              <c:showSerName val="0"/>
              <c:showPercent val="0"/>
              <c:showBubbleSize val="0"/>
            </c:dLbl>
            <c:dLbl>
              <c:idx val="5"/>
              <c:tx>
                <c:strRef>
                  <c:f>OddRPS!$A$32</c:f>
                  <c:strCache>
                    <c:ptCount val="1"/>
                    <c:pt idx="0">
                      <c:v>2005</c:v>
                    </c:pt>
                  </c:strCache>
                </c:strRef>
              </c:tx>
              <c:dLblPos val="t"/>
              <c:showLegendKey val="0"/>
              <c:showVal val="0"/>
              <c:showCatName val="0"/>
              <c:showSerName val="0"/>
              <c:showPercent val="0"/>
              <c:showBubbleSize val="0"/>
            </c:dLbl>
            <c:dLbl>
              <c:idx val="6"/>
              <c:tx>
                <c:strRef>
                  <c:f>OddRPS!$A$33</c:f>
                  <c:strCache>
                    <c:ptCount val="1"/>
                    <c:pt idx="0">
                      <c:v>2007</c:v>
                    </c:pt>
                  </c:strCache>
                </c:strRef>
              </c:tx>
              <c:dLblPos val="t"/>
              <c:showLegendKey val="0"/>
              <c:showVal val="0"/>
              <c:showCatName val="0"/>
              <c:showSerName val="0"/>
              <c:showPercent val="0"/>
              <c:showBubbleSize val="0"/>
            </c:dLbl>
            <c:txPr>
              <a:bodyPr/>
              <a:lstStyle/>
              <a:p>
                <a:pPr>
                  <a:defRPr sz="14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s>
          <c:trendline>
            <c:spPr>
              <a:ln w="25400">
                <a:solidFill>
                  <a:srgbClr val="000000"/>
                </a:solidFill>
                <a:prstDash val="solid"/>
              </a:ln>
            </c:spPr>
            <c:trendlineType val="linear"/>
            <c:dispRSqr val="1"/>
            <c:dispEq val="1"/>
            <c:trendlineLbl>
              <c:layout>
                <c:manualLayout>
                  <c:x val="0.0195254381081153"/>
                  <c:y val="0.303376656231224"/>
                </c:manualLayout>
              </c:layout>
              <c:numFmt formatCode="General" sourceLinked="0"/>
              <c:spPr>
                <a:noFill/>
                <a:ln w="25400">
                  <a:noFill/>
                </a:ln>
              </c:spPr>
              <c:txPr>
                <a:bodyPr/>
                <a:lstStyle/>
                <a:p>
                  <a:pPr>
                    <a:defRPr sz="1400" b="1" i="0" u="none" strike="noStrike" baseline="0">
                      <a:solidFill>
                        <a:srgbClr val="000000"/>
                      </a:solidFill>
                      <a:latin typeface="Times New Roman"/>
                      <a:ea typeface="Times New Roman"/>
                      <a:cs typeface="Times New Roman"/>
                    </a:defRPr>
                  </a:pPr>
                  <a:endParaRPr lang="en-US"/>
                </a:p>
              </c:txPr>
            </c:trendlineLbl>
          </c:trendline>
          <c:xVal>
            <c:numRef>
              <c:f>OddRPS!$D$19:$D$35</c:f>
              <c:numCache>
                <c:formatCode>0.00</c:formatCode>
                <c:ptCount val="17"/>
                <c:pt idx="0">
                  <c:v>14.8809027868263</c:v>
                </c:pt>
                <c:pt idx="1">
                  <c:v>14.58853997178396</c:v>
                </c:pt>
                <c:pt idx="2">
                  <c:v>14.51020953386678</c:v>
                </c:pt>
                <c:pt idx="3">
                  <c:v>14.66907318224617</c:v>
                </c:pt>
                <c:pt idx="4">
                  <c:v>14.13193823802678</c:v>
                </c:pt>
                <c:pt idx="5">
                  <c:v>14.0255088881944</c:v>
                </c:pt>
                <c:pt idx="6">
                  <c:v>14.36119663351425</c:v>
                </c:pt>
                <c:pt idx="7">
                  <c:v>13.87908611560128</c:v>
                </c:pt>
                <c:pt idx="8">
                  <c:v>13.98961847498373</c:v>
                </c:pt>
                <c:pt idx="9">
                  <c:v>14.16805859793721</c:v>
                </c:pt>
                <c:pt idx="10">
                  <c:v>14.71683464630034</c:v>
                </c:pt>
                <c:pt idx="11">
                  <c:v>14.50885071990212</c:v>
                </c:pt>
                <c:pt idx="12">
                  <c:v>14.86168222765295</c:v>
                </c:pt>
                <c:pt idx="13">
                  <c:v>15.37072791832591</c:v>
                </c:pt>
                <c:pt idx="14">
                  <c:v>14.22704597963758</c:v>
                </c:pt>
                <c:pt idx="15">
                  <c:v>14.41962027904901</c:v>
                </c:pt>
                <c:pt idx="16">
                  <c:v>15.18349302509275</c:v>
                </c:pt>
              </c:numCache>
            </c:numRef>
          </c:xVal>
          <c:yVal>
            <c:numRef>
              <c:f>OddRPS!$G$19:$G$35</c:f>
              <c:numCache>
                <c:formatCode>0.00</c:formatCode>
                <c:ptCount val="17"/>
                <c:pt idx="0">
                  <c:v>16.78945039185787</c:v>
                </c:pt>
                <c:pt idx="1">
                  <c:v>16.26369685941329</c:v>
                </c:pt>
                <c:pt idx="2">
                  <c:v>16.80814328287653</c:v>
                </c:pt>
                <c:pt idx="3">
                  <c:v>16.38559624035714</c:v>
                </c:pt>
                <c:pt idx="4">
                  <c:v>15.37233852012608</c:v>
                </c:pt>
                <c:pt idx="5">
                  <c:v>15.83636596120792</c:v>
                </c:pt>
                <c:pt idx="6">
                  <c:v>14.24920154152669</c:v>
                </c:pt>
                <c:pt idx="7">
                  <c:v>15.18522014892796</c:v>
                </c:pt>
                <c:pt idx="8">
                  <c:v>14.76665942384331</c:v>
                </c:pt>
                <c:pt idx="9">
                  <c:v>16.05677307312724</c:v>
                </c:pt>
                <c:pt idx="10">
                  <c:v>15.996456349799</c:v>
                </c:pt>
                <c:pt idx="11">
                  <c:v>15.809463917434</c:v>
                </c:pt>
                <c:pt idx="12">
                  <c:v>16.65063311861904</c:v>
                </c:pt>
                <c:pt idx="13">
                  <c:v>16.26020160876446</c:v>
                </c:pt>
                <c:pt idx="14">
                  <c:v>14.85378194123411</c:v>
                </c:pt>
                <c:pt idx="15">
                  <c:v>16.08175308795439</c:v>
                </c:pt>
                <c:pt idx="16">
                  <c:v>16.9049814588989</c:v>
                </c:pt>
              </c:numCache>
            </c:numRef>
          </c:yVal>
          <c:smooth val="0"/>
        </c:ser>
        <c:dLbls>
          <c:showLegendKey val="0"/>
          <c:showVal val="0"/>
          <c:showCatName val="0"/>
          <c:showSerName val="0"/>
          <c:showPercent val="0"/>
          <c:showBubbleSize val="0"/>
        </c:dLbls>
        <c:axId val="-2089340488"/>
        <c:axId val="-2089334344"/>
      </c:scatterChart>
      <c:valAx>
        <c:axId val="-2089340488"/>
        <c:scaling>
          <c:orientation val="minMax"/>
        </c:scaling>
        <c:delete val="0"/>
        <c:axPos val="b"/>
        <c:title>
          <c:tx>
            <c:rich>
              <a:bodyPr/>
              <a:lstStyle/>
              <a:p>
                <a:pPr>
                  <a:defRPr sz="2400" b="1" i="0" u="none" strike="noStrike" baseline="0">
                    <a:solidFill>
                      <a:srgbClr val="000000"/>
                    </a:solidFill>
                    <a:latin typeface="Times New Roman"/>
                    <a:ea typeface="Times New Roman"/>
                    <a:cs typeface="Times New Roman"/>
                  </a:defRPr>
                </a:pPr>
                <a:r>
                  <a:rPr lang="en-US" sz="2400"/>
                  <a:t>Ln(BYR escapement)</a:t>
                </a:r>
              </a:p>
            </c:rich>
          </c:tx>
          <c:layout>
            <c:manualLayout>
              <c:xMode val="edge"/>
              <c:yMode val="edge"/>
              <c:x val="0.450846324324733"/>
              <c:y val="0.89368468511988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2089334344"/>
        <c:crosses val="autoZero"/>
        <c:crossBetween val="midCat"/>
      </c:valAx>
      <c:valAx>
        <c:axId val="-2089334344"/>
        <c:scaling>
          <c:orientation val="minMax"/>
          <c:min val="14.0"/>
        </c:scaling>
        <c:delete val="0"/>
        <c:axPos val="l"/>
        <c:title>
          <c:tx>
            <c:rich>
              <a:bodyPr/>
              <a:lstStyle/>
              <a:p>
                <a:pPr>
                  <a:defRPr sz="2400" b="1" i="0" u="none" strike="noStrike" baseline="0">
                    <a:solidFill>
                      <a:srgbClr val="000000"/>
                    </a:solidFill>
                    <a:latin typeface="Times New Roman"/>
                    <a:ea typeface="Times New Roman"/>
                    <a:cs typeface="Times New Roman"/>
                  </a:defRPr>
                </a:pPr>
                <a:r>
                  <a:rPr lang="en-US" sz="2400"/>
                  <a:t>Ln(BYR Return)</a:t>
                </a:r>
              </a:p>
            </c:rich>
          </c:tx>
          <c:layout>
            <c:manualLayout>
              <c:xMode val="edge"/>
              <c:yMode val="edge"/>
              <c:x val="0.033813489452147"/>
              <c:y val="0.340021255011835"/>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2089340488"/>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0" l="0.75" r="0.75" t="1.0"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Calibri"/>
                <a:ea typeface="Calibri"/>
                <a:cs typeface="Calibri"/>
              </a:defRPr>
            </a:pPr>
            <a:r>
              <a:rPr lang="en-US"/>
              <a:t>Odd Year Pink Salmon, BYR 1961-2007</a:t>
            </a:r>
          </a:p>
        </c:rich>
      </c:tx>
      <c:overlay val="0"/>
    </c:title>
    <c:autoTitleDeleted val="0"/>
    <c:plotArea>
      <c:layout>
        <c:manualLayout>
          <c:layoutTarget val="inner"/>
          <c:xMode val="edge"/>
          <c:yMode val="edge"/>
          <c:x val="0.119668853893263"/>
          <c:y val="0.11357648002333"/>
          <c:w val="0.849775590551181"/>
          <c:h val="0.698665062700496"/>
        </c:manualLayout>
      </c:layout>
      <c:lineChart>
        <c:grouping val="standard"/>
        <c:varyColors val="0"/>
        <c:ser>
          <c:idx val="0"/>
          <c:order val="0"/>
          <c:dLbls>
            <c:txPr>
              <a:bodyPr/>
              <a:lstStyle/>
              <a:p>
                <a:pPr>
                  <a:defRPr sz="800" b="0" i="0" u="none" strike="noStrike" baseline="0">
                    <a:solidFill>
                      <a:srgbClr val="000000"/>
                    </a:solidFill>
                    <a:latin typeface="Times New Roman"/>
                    <a:ea typeface="Times New Roman"/>
                    <a:cs typeface="Times New Roman"/>
                  </a:defRPr>
                </a:pPr>
                <a:endParaRPr lang="en-US"/>
              </a:p>
            </c:txPr>
            <c:dLblPos val="t"/>
            <c:showLegendKey val="0"/>
            <c:showVal val="1"/>
            <c:showCatName val="0"/>
            <c:showSerName val="0"/>
            <c:showPercent val="0"/>
            <c:showBubbleSize val="0"/>
            <c:showLeaderLines val="0"/>
          </c:dLbls>
          <c:cat>
            <c:numRef>
              <c:f>OddRPS!$A$17:$A$35</c:f>
              <c:numCache>
                <c:formatCode>General</c:formatCode>
                <c:ptCount val="19"/>
                <c:pt idx="0">
                  <c:v>1975.0</c:v>
                </c:pt>
                <c:pt idx="1">
                  <c:v>1977.0</c:v>
                </c:pt>
                <c:pt idx="2">
                  <c:v>1979.0</c:v>
                </c:pt>
                <c:pt idx="3">
                  <c:v>1981.0</c:v>
                </c:pt>
                <c:pt idx="4">
                  <c:v>1983.0</c:v>
                </c:pt>
                <c:pt idx="5">
                  <c:v>1985.0</c:v>
                </c:pt>
                <c:pt idx="6">
                  <c:v>1987.0</c:v>
                </c:pt>
                <c:pt idx="7">
                  <c:v>1989.0</c:v>
                </c:pt>
                <c:pt idx="8">
                  <c:v>1991.0</c:v>
                </c:pt>
                <c:pt idx="9">
                  <c:v>1993.0</c:v>
                </c:pt>
                <c:pt idx="10">
                  <c:v>1995.0</c:v>
                </c:pt>
                <c:pt idx="11">
                  <c:v>1997.0</c:v>
                </c:pt>
                <c:pt idx="12">
                  <c:v>1999.0</c:v>
                </c:pt>
                <c:pt idx="13">
                  <c:v>2001.0</c:v>
                </c:pt>
                <c:pt idx="14">
                  <c:v>2003.0</c:v>
                </c:pt>
                <c:pt idx="15">
                  <c:v>2005.0</c:v>
                </c:pt>
                <c:pt idx="16">
                  <c:v>2007.0</c:v>
                </c:pt>
                <c:pt idx="17">
                  <c:v>2009.0</c:v>
                </c:pt>
                <c:pt idx="18">
                  <c:v>2011.0</c:v>
                </c:pt>
              </c:numCache>
            </c:numRef>
          </c:cat>
          <c:val>
            <c:numRef>
              <c:f>OddRPS!$H$17:$H$35</c:f>
              <c:numCache>
                <c:formatCode>0.00</c:formatCode>
                <c:ptCount val="19"/>
                <c:pt idx="0">
                  <c:v>4.595910901103069</c:v>
                </c:pt>
                <c:pt idx="1">
                  <c:v>11.42246816989498</c:v>
                </c:pt>
                <c:pt idx="2">
                  <c:v>6.743287765547418</c:v>
                </c:pt>
                <c:pt idx="3">
                  <c:v>5.33963280569482</c:v>
                </c:pt>
                <c:pt idx="4">
                  <c:v>9.95359456763646</c:v>
                </c:pt>
                <c:pt idx="5">
                  <c:v>5.565145100270571</c:v>
                </c:pt>
                <c:pt idx="6">
                  <c:v>3.456996961850786</c:v>
                </c:pt>
                <c:pt idx="7">
                  <c:v>6.115686776754999</c:v>
                </c:pt>
                <c:pt idx="8">
                  <c:v>0.894048645491461</c:v>
                </c:pt>
                <c:pt idx="9">
                  <c:v>3.691873428174618</c:v>
                </c:pt>
                <c:pt idx="10">
                  <c:v>2.175026718557803</c:v>
                </c:pt>
                <c:pt idx="11">
                  <c:v>6.610864785532737</c:v>
                </c:pt>
                <c:pt idx="12">
                  <c:v>3.595279386666486</c:v>
                </c:pt>
                <c:pt idx="13">
                  <c:v>3.671547361268928</c:v>
                </c:pt>
                <c:pt idx="14">
                  <c:v>5.983172172624978</c:v>
                </c:pt>
                <c:pt idx="15">
                  <c:v>2.433848356479458</c:v>
                </c:pt>
                <c:pt idx="16">
                  <c:v>1.871491977334974</c:v>
                </c:pt>
                <c:pt idx="17">
                  <c:v>5.270539919931578</c:v>
                </c:pt>
                <c:pt idx="18">
                  <c:v>5.592846854384521</c:v>
                </c:pt>
              </c:numCache>
            </c:numRef>
          </c:val>
          <c:smooth val="0"/>
        </c:ser>
        <c:dLbls>
          <c:showLegendKey val="0"/>
          <c:showVal val="0"/>
          <c:showCatName val="0"/>
          <c:showSerName val="0"/>
          <c:showPercent val="0"/>
          <c:showBubbleSize val="0"/>
        </c:dLbls>
        <c:marker val="1"/>
        <c:smooth val="0"/>
        <c:axId val="-2089315752"/>
        <c:axId val="-2089727960"/>
      </c:lineChart>
      <c:catAx>
        <c:axId val="-2089315752"/>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US"/>
                  <a:t>Brood 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089727960"/>
        <c:crosses val="autoZero"/>
        <c:auto val="1"/>
        <c:lblAlgn val="ctr"/>
        <c:lblOffset val="100"/>
        <c:tickLblSkip val="2"/>
        <c:noMultiLvlLbl val="0"/>
      </c:catAx>
      <c:valAx>
        <c:axId val="-2089727960"/>
        <c:scaling>
          <c:orientation val="minMax"/>
        </c:scaling>
        <c:delete val="0"/>
        <c:axPos val="l"/>
        <c:title>
          <c:tx>
            <c:rich>
              <a:bodyPr/>
              <a:lstStyle/>
              <a:p>
                <a:pPr>
                  <a:defRPr sz="1000" b="1" i="0" u="none" strike="noStrike" baseline="0">
                    <a:solidFill>
                      <a:srgbClr val="000000"/>
                    </a:solidFill>
                    <a:latin typeface="Calibri"/>
                    <a:ea typeface="Calibri"/>
                    <a:cs typeface="Calibri"/>
                  </a:defRPr>
                </a:pPr>
                <a:r>
                  <a:rPr lang="en-US"/>
                  <a:t>R/S</a:t>
                </a:r>
              </a:p>
            </c:rich>
          </c:tx>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089315752"/>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Wild PWS Pink salmon</a:t>
            </a:r>
          </a:p>
        </c:rich>
      </c:tx>
      <c:overlay val="1"/>
    </c:title>
    <c:autoTitleDeleted val="0"/>
    <c:plotArea>
      <c:layout>
        <c:manualLayout>
          <c:layoutTarget val="inner"/>
          <c:xMode val="edge"/>
          <c:yMode val="edge"/>
          <c:x val="0.124883005853893"/>
          <c:y val="0.0386681765113809"/>
          <c:w val="0.905988874463131"/>
          <c:h val="0.783176981166593"/>
        </c:manualLayout>
      </c:layout>
      <c:barChart>
        <c:barDir val="col"/>
        <c:grouping val="clustered"/>
        <c:varyColors val="0"/>
        <c:ser>
          <c:idx val="1"/>
          <c:order val="0"/>
          <c:spPr>
            <a:solidFill>
              <a:srgbClr val="FFFFFF"/>
            </a:solidFill>
            <a:ln w="12700">
              <a:solidFill>
                <a:srgbClr val="000000"/>
              </a:solidFill>
              <a:prstDash val="solid"/>
            </a:ln>
          </c:spPr>
          <c:invertIfNegative val="0"/>
          <c:cat>
            <c:numRef>
              <c:f>'Lag1_Exp_smooth_Total Run Even'!$A$10:$A$34</c:f>
              <c:numCache>
                <c:formatCode>General</c:formatCode>
                <c:ptCount val="25"/>
                <c:pt idx="0">
                  <c:v>1964.0</c:v>
                </c:pt>
                <c:pt idx="1">
                  <c:v>1966.0</c:v>
                </c:pt>
                <c:pt idx="2">
                  <c:v>1968.0</c:v>
                </c:pt>
                <c:pt idx="3">
                  <c:v>1970.0</c:v>
                </c:pt>
                <c:pt idx="4">
                  <c:v>1972.0</c:v>
                </c:pt>
                <c:pt idx="5">
                  <c:v>1974.0</c:v>
                </c:pt>
                <c:pt idx="6">
                  <c:v>1976.0</c:v>
                </c:pt>
                <c:pt idx="7">
                  <c:v>1978.0</c:v>
                </c:pt>
                <c:pt idx="8">
                  <c:v>1980.0</c:v>
                </c:pt>
                <c:pt idx="9">
                  <c:v>1982.0</c:v>
                </c:pt>
                <c:pt idx="10">
                  <c:v>1984.0</c:v>
                </c:pt>
                <c:pt idx="11">
                  <c:v>1986.0</c:v>
                </c:pt>
                <c:pt idx="12">
                  <c:v>1988.0</c:v>
                </c:pt>
                <c:pt idx="13">
                  <c:v>1990.0</c:v>
                </c:pt>
                <c:pt idx="14">
                  <c:v>1992.0</c:v>
                </c:pt>
                <c:pt idx="15">
                  <c:v>1994.0</c:v>
                </c:pt>
                <c:pt idx="16">
                  <c:v>1996.0</c:v>
                </c:pt>
                <c:pt idx="17">
                  <c:v>1998.0</c:v>
                </c:pt>
                <c:pt idx="18">
                  <c:v>2000.0</c:v>
                </c:pt>
                <c:pt idx="19">
                  <c:v>2002.0</c:v>
                </c:pt>
                <c:pt idx="20">
                  <c:v>2004.0</c:v>
                </c:pt>
                <c:pt idx="21">
                  <c:v>2006.0</c:v>
                </c:pt>
                <c:pt idx="22">
                  <c:v>2008.0</c:v>
                </c:pt>
                <c:pt idx="23">
                  <c:v>2010.0</c:v>
                </c:pt>
                <c:pt idx="24">
                  <c:v>2012.0</c:v>
                </c:pt>
              </c:numCache>
            </c:numRef>
          </c:cat>
          <c:val>
            <c:numRef>
              <c:f>'Lag1_Exp_smooth_Total Run Even'!$B$10:$B$34</c:f>
              <c:numCache>
                <c:formatCode>#,##0</c:formatCode>
                <c:ptCount val="25"/>
                <c:pt idx="0">
                  <c:v>6.048576E6</c:v>
                </c:pt>
                <c:pt idx="1">
                  <c:v>4.122588E6</c:v>
                </c:pt>
                <c:pt idx="2">
                  <c:v>3.608678E6</c:v>
                </c:pt>
                <c:pt idx="3">
                  <c:v>3.789216E6</c:v>
                </c:pt>
                <c:pt idx="4">
                  <c:v>695963.0</c:v>
                </c:pt>
                <c:pt idx="5">
                  <c:v>1.012903E6</c:v>
                </c:pt>
                <c:pt idx="6">
                  <c:v>1.161051E6</c:v>
                </c:pt>
                <c:pt idx="7">
                  <c:v>3.925083E6</c:v>
                </c:pt>
                <c:pt idx="8">
                  <c:v>1.4013916E7</c:v>
                </c:pt>
                <c:pt idx="9">
                  <c:v>1.6794317E7</c:v>
                </c:pt>
                <c:pt idx="10">
                  <c:v>2.1201513E7</c:v>
                </c:pt>
                <c:pt idx="11">
                  <c:v>5.563957E6</c:v>
                </c:pt>
                <c:pt idx="12">
                  <c:v>1.766936E6</c:v>
                </c:pt>
                <c:pt idx="13">
                  <c:v>1.2923662E7</c:v>
                </c:pt>
                <c:pt idx="14">
                  <c:v>1.405383E6</c:v>
                </c:pt>
                <c:pt idx="15">
                  <c:v>4.666639E6</c:v>
                </c:pt>
                <c:pt idx="16">
                  <c:v>4.500085E6</c:v>
                </c:pt>
                <c:pt idx="17">
                  <c:v>5.2742755E6</c:v>
                </c:pt>
                <c:pt idx="18">
                  <c:v>7.389941E6</c:v>
                </c:pt>
                <c:pt idx="19">
                  <c:v>1.26464531020259E6</c:v>
                </c:pt>
                <c:pt idx="20">
                  <c:v>4.93943105634744E6</c:v>
                </c:pt>
                <c:pt idx="21">
                  <c:v>3.31470277534367E6</c:v>
                </c:pt>
                <c:pt idx="22">
                  <c:v>2.29069167759909E6</c:v>
                </c:pt>
                <c:pt idx="23">
                  <c:v>4.39939072721724E6</c:v>
                </c:pt>
                <c:pt idx="24">
                  <c:v>4.4282675450135E6</c:v>
                </c:pt>
              </c:numCache>
            </c:numRef>
          </c:val>
        </c:ser>
        <c:dLbls>
          <c:showLegendKey val="0"/>
          <c:showVal val="0"/>
          <c:showCatName val="0"/>
          <c:showSerName val="0"/>
          <c:showPercent val="0"/>
          <c:showBubbleSize val="0"/>
        </c:dLbls>
        <c:gapWidth val="150"/>
        <c:axId val="-2088798936"/>
        <c:axId val="-2088793944"/>
      </c:barChart>
      <c:lineChart>
        <c:grouping val="standard"/>
        <c:varyColors val="0"/>
        <c:ser>
          <c:idx val="0"/>
          <c:order val="1"/>
          <c:spPr>
            <a:ln w="25400">
              <a:solidFill>
                <a:srgbClr val="000080"/>
              </a:solidFill>
              <a:prstDash val="solid"/>
            </a:ln>
          </c:spPr>
          <c:marker>
            <c:symbol val="diamond"/>
            <c:size val="7"/>
            <c:spPr>
              <a:solidFill>
                <a:srgbClr val="000080"/>
              </a:solidFill>
              <a:ln>
                <a:solidFill>
                  <a:srgbClr val="000080"/>
                </a:solidFill>
                <a:prstDash val="solid"/>
              </a:ln>
            </c:spPr>
          </c:marker>
          <c:val>
            <c:numRef>
              <c:f>'Lag1_Exp_smooth_Total Run Even'!$C$10:$C$34</c:f>
              <c:numCache>
                <c:formatCode>#,##0</c:formatCode>
                <c:ptCount val="25"/>
                <c:pt idx="0">
                  <c:v>7.23438213981478E6</c:v>
                </c:pt>
                <c:pt idx="1">
                  <c:v>6.37357034209199E6</c:v>
                </c:pt>
                <c:pt idx="2">
                  <c:v>4.73951559108427E6</c:v>
                </c:pt>
                <c:pt idx="3">
                  <c:v>3.91860709092605E6</c:v>
                </c:pt>
                <c:pt idx="4">
                  <c:v>3.82467826575842E6</c:v>
                </c:pt>
                <c:pt idx="5">
                  <c:v>1.55345118904508E6</c:v>
                </c:pt>
                <c:pt idx="6">
                  <c:v>1.16105124883194E6</c:v>
                </c:pt>
                <c:pt idx="7">
                  <c:v>1.16105106819746E6</c:v>
                </c:pt>
                <c:pt idx="8">
                  <c:v>3.16754371171657E6</c:v>
                </c:pt>
                <c:pt idx="9">
                  <c:v>1.10412466002058E7</c:v>
                </c:pt>
                <c:pt idx="10">
                  <c:v>1.52175707960361E7</c:v>
                </c:pt>
                <c:pt idx="11">
                  <c:v>1.95614916724013E7</c:v>
                </c:pt>
                <c:pt idx="12">
                  <c:v>9.40026667914993E6</c:v>
                </c:pt>
                <c:pt idx="13">
                  <c:v>3.85900585758094E6</c:v>
                </c:pt>
                <c:pt idx="14">
                  <c:v>1.04393082254819E7</c:v>
                </c:pt>
                <c:pt idx="15">
                  <c:v>3.8813143403642E6</c:v>
                </c:pt>
                <c:pt idx="16">
                  <c:v>4.45140477029124E6</c:v>
                </c:pt>
                <c:pt idx="17">
                  <c:v>4.48674319083248E6</c:v>
                </c:pt>
                <c:pt idx="18">
                  <c:v>5.05843621894006E6</c:v>
                </c:pt>
                <c:pt idx="19">
                  <c:v>6.75094459328275E6</c:v>
                </c:pt>
                <c:pt idx="20">
                  <c:v>2.76827745221771E6</c:v>
                </c:pt>
                <c:pt idx="21">
                  <c:v>4.34438215799631E6</c:v>
                </c:pt>
                <c:pt idx="22">
                  <c:v>3.59690739741043E6</c:v>
                </c:pt>
                <c:pt idx="23">
                  <c:v>2.64868671931527E6</c:v>
                </c:pt>
                <c:pt idx="24">
                  <c:v>3.91957461044896E6</c:v>
                </c:pt>
              </c:numCache>
            </c:numRef>
          </c:val>
          <c:smooth val="0"/>
        </c:ser>
        <c:dLbls>
          <c:showLegendKey val="0"/>
          <c:showVal val="0"/>
          <c:showCatName val="0"/>
          <c:showSerName val="0"/>
          <c:showPercent val="0"/>
          <c:showBubbleSize val="0"/>
        </c:dLbls>
        <c:marker val="1"/>
        <c:smooth val="0"/>
        <c:axId val="-2088790664"/>
        <c:axId val="-2088787464"/>
      </c:lineChart>
      <c:catAx>
        <c:axId val="-208879893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088793944"/>
        <c:crosses val="autoZero"/>
        <c:auto val="0"/>
        <c:lblAlgn val="ctr"/>
        <c:lblOffset val="100"/>
        <c:tickLblSkip val="5"/>
        <c:tickMarkSkip val="1"/>
        <c:noMultiLvlLbl val="0"/>
      </c:catAx>
      <c:valAx>
        <c:axId val="-2088793944"/>
        <c:scaling>
          <c:orientation val="minMax"/>
        </c:scaling>
        <c:delete val="0"/>
        <c:axPos val="l"/>
        <c:numFmt formatCode="#,##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2088798936"/>
        <c:crosses val="autoZero"/>
        <c:crossBetween val="between"/>
      </c:valAx>
      <c:catAx>
        <c:axId val="-2088790664"/>
        <c:scaling>
          <c:orientation val="minMax"/>
        </c:scaling>
        <c:delete val="1"/>
        <c:axPos val="b"/>
        <c:majorTickMark val="out"/>
        <c:minorTickMark val="none"/>
        <c:tickLblPos val="nextTo"/>
        <c:crossAx val="-2088787464"/>
        <c:crosses val="autoZero"/>
        <c:auto val="0"/>
        <c:lblAlgn val="ctr"/>
        <c:lblOffset val="100"/>
        <c:noMultiLvlLbl val="0"/>
      </c:catAx>
      <c:valAx>
        <c:axId val="-2088787464"/>
        <c:scaling>
          <c:orientation val="minMax"/>
        </c:scaling>
        <c:delete val="1"/>
        <c:axPos val="l"/>
        <c:numFmt formatCode="#,##0" sourceLinked="1"/>
        <c:majorTickMark val="out"/>
        <c:minorTickMark val="none"/>
        <c:tickLblPos val="nextTo"/>
        <c:crossAx val="-2088790664"/>
        <c:crosses val="autoZero"/>
        <c:crossBetween val="between"/>
      </c:valAx>
      <c:spPr>
        <a:solidFill>
          <a:srgbClr val="FFFFFF"/>
        </a:solidFill>
        <a:ln w="25400">
          <a:noFill/>
        </a:ln>
      </c:spPr>
    </c:plotArea>
    <c:legend>
      <c:legendPos val="r"/>
      <c:layout>
        <c:manualLayout>
          <c:xMode val="edge"/>
          <c:yMode val="edge"/>
          <c:x val="0.659738136181253"/>
          <c:y val="0.047061670482679"/>
          <c:w val="0.258606088032099"/>
          <c:h val="0.232372194610425"/>
        </c:manualLayout>
      </c:layout>
      <c:overlay val="0"/>
      <c:spPr>
        <a:solidFill>
          <a:srgbClr val="FFFFFF"/>
        </a:solidFill>
        <a:ln w="25400">
          <a:noFill/>
        </a:ln>
      </c:spPr>
      <c:txPr>
        <a:bodyPr/>
        <a:lstStyle/>
        <a:p>
          <a:pPr>
            <a:defRPr sz="1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0" l="0.75" r="0.75" t="1.0"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036544128303"/>
          <c:y val="0.042701998788613"/>
          <c:w val="0.847092290227526"/>
          <c:h val="0.914596002422775"/>
        </c:manualLayout>
      </c:layout>
      <c:barChart>
        <c:barDir val="col"/>
        <c:grouping val="clustered"/>
        <c:varyColors val="0"/>
        <c:ser>
          <c:idx val="0"/>
          <c:order val="0"/>
          <c:invertIfNegative val="0"/>
          <c:dLbls>
            <c:dLbl>
              <c:idx val="2"/>
              <c:delete val="1"/>
            </c:dLbl>
            <c:dLbl>
              <c:idx val="3"/>
              <c:delete val="1"/>
            </c:dLbl>
            <c:dLbl>
              <c:idx val="17"/>
              <c:delete val="1"/>
            </c:dLbl>
            <c:dLbl>
              <c:idx val="21"/>
              <c:delete val="1"/>
            </c:dLbl>
            <c:dLbl>
              <c:idx val="34"/>
              <c:delete val="1"/>
            </c:dLbl>
            <c:dLbl>
              <c:idx val="36"/>
              <c:delete val="1"/>
            </c:dLbl>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'Lag1_Exp_smooth_Total Run Even'!$A$10:$A$34</c:f>
              <c:numCache>
                <c:formatCode>General</c:formatCode>
                <c:ptCount val="25"/>
                <c:pt idx="0">
                  <c:v>1964.0</c:v>
                </c:pt>
                <c:pt idx="1">
                  <c:v>1966.0</c:v>
                </c:pt>
                <c:pt idx="2">
                  <c:v>1968.0</c:v>
                </c:pt>
                <c:pt idx="3">
                  <c:v>1970.0</c:v>
                </c:pt>
                <c:pt idx="4">
                  <c:v>1972.0</c:v>
                </c:pt>
                <c:pt idx="5">
                  <c:v>1974.0</c:v>
                </c:pt>
                <c:pt idx="6">
                  <c:v>1976.0</c:v>
                </c:pt>
                <c:pt idx="7">
                  <c:v>1978.0</c:v>
                </c:pt>
                <c:pt idx="8">
                  <c:v>1980.0</c:v>
                </c:pt>
                <c:pt idx="9">
                  <c:v>1982.0</c:v>
                </c:pt>
                <c:pt idx="10">
                  <c:v>1984.0</c:v>
                </c:pt>
                <c:pt idx="11">
                  <c:v>1986.0</c:v>
                </c:pt>
                <c:pt idx="12">
                  <c:v>1988.0</c:v>
                </c:pt>
                <c:pt idx="13">
                  <c:v>1990.0</c:v>
                </c:pt>
                <c:pt idx="14">
                  <c:v>1992.0</c:v>
                </c:pt>
                <c:pt idx="15">
                  <c:v>1994.0</c:v>
                </c:pt>
                <c:pt idx="16">
                  <c:v>1996.0</c:v>
                </c:pt>
                <c:pt idx="17">
                  <c:v>1998.0</c:v>
                </c:pt>
                <c:pt idx="18">
                  <c:v>2000.0</c:v>
                </c:pt>
                <c:pt idx="19">
                  <c:v>2002.0</c:v>
                </c:pt>
                <c:pt idx="20">
                  <c:v>2004.0</c:v>
                </c:pt>
                <c:pt idx="21">
                  <c:v>2006.0</c:v>
                </c:pt>
                <c:pt idx="22">
                  <c:v>2008.0</c:v>
                </c:pt>
                <c:pt idx="23">
                  <c:v>2010.0</c:v>
                </c:pt>
                <c:pt idx="24">
                  <c:v>2012.0</c:v>
                </c:pt>
              </c:numCache>
            </c:numRef>
          </c:cat>
          <c:val>
            <c:numRef>
              <c:f>'Lag1_Exp_smooth_Total Run Even'!$H$10:$H$34</c:f>
              <c:numCache>
                <c:formatCode>0%</c:formatCode>
                <c:ptCount val="25"/>
                <c:pt idx="0">
                  <c:v>0.196047158837846</c:v>
                </c:pt>
                <c:pt idx="1">
                  <c:v>0.546011957074534</c:v>
                </c:pt>
                <c:pt idx="2">
                  <c:v>0.313366166525323</c:v>
                </c:pt>
                <c:pt idx="3">
                  <c:v>0.0341471932257352</c:v>
                </c:pt>
                <c:pt idx="4">
                  <c:v>4.49551954020317</c:v>
                </c:pt>
                <c:pt idx="5">
                  <c:v>0.533662343822738</c:v>
                </c:pt>
                <c:pt idx="6">
                  <c:v>2.1431611521245E-7</c:v>
                </c:pt>
                <c:pt idx="7">
                  <c:v>-0.704197065846132</c:v>
                </c:pt>
                <c:pt idx="8">
                  <c:v>-0.773971550013817</c:v>
                </c:pt>
                <c:pt idx="9">
                  <c:v>-0.342560545915274</c:v>
                </c:pt>
                <c:pt idx="10">
                  <c:v>-0.282241281740782</c:v>
                </c:pt>
                <c:pt idx="11">
                  <c:v>2.515751770260142</c:v>
                </c:pt>
                <c:pt idx="12">
                  <c:v>4.320094603964108</c:v>
                </c:pt>
                <c:pt idx="13">
                  <c:v>-0.701399970257583</c:v>
                </c:pt>
                <c:pt idx="14">
                  <c:v>6.428087735145444</c:v>
                </c:pt>
                <c:pt idx="15">
                  <c:v>-0.168284853325016</c:v>
                </c:pt>
                <c:pt idx="16">
                  <c:v>-0.0108176244912616</c:v>
                </c:pt>
                <c:pt idx="17">
                  <c:v>-0.14931573240107</c:v>
                </c:pt>
                <c:pt idx="18">
                  <c:v>-0.315497076507098</c:v>
                </c:pt>
                <c:pt idx="19">
                  <c:v>4.338211859735809</c:v>
                </c:pt>
                <c:pt idx="20">
                  <c:v>-0.439555402102369</c:v>
                </c:pt>
                <c:pt idx="21">
                  <c:v>0.310640033945693</c:v>
                </c:pt>
                <c:pt idx="22">
                  <c:v>0.570227644595282</c:v>
                </c:pt>
                <c:pt idx="23">
                  <c:v>-0.39794237803682</c:v>
                </c:pt>
                <c:pt idx="24">
                  <c:v>-0.114874029040398</c:v>
                </c:pt>
              </c:numCache>
            </c:numRef>
          </c:val>
        </c:ser>
        <c:dLbls>
          <c:showLegendKey val="0"/>
          <c:showVal val="0"/>
          <c:showCatName val="0"/>
          <c:showSerName val="0"/>
          <c:showPercent val="0"/>
          <c:showBubbleSize val="0"/>
        </c:dLbls>
        <c:gapWidth val="150"/>
        <c:axId val="-2089597224"/>
        <c:axId val="-2089811448"/>
      </c:barChart>
      <c:catAx>
        <c:axId val="-2089597224"/>
        <c:scaling>
          <c:orientation val="minMax"/>
        </c:scaling>
        <c:delete val="0"/>
        <c:axPos val="b"/>
        <c:numFmt formatCode="General" sourceLinked="1"/>
        <c:majorTickMark val="out"/>
        <c:minorTickMark val="none"/>
        <c:tickLblPos val="low"/>
        <c:txPr>
          <a:bodyPr rot="0" vert="horz"/>
          <a:lstStyle/>
          <a:p>
            <a:pPr>
              <a:defRPr sz="1100" b="0" i="0" u="none" strike="noStrike" baseline="0">
                <a:solidFill>
                  <a:srgbClr val="000000"/>
                </a:solidFill>
                <a:latin typeface="Arial"/>
                <a:ea typeface="Arial"/>
                <a:cs typeface="Arial"/>
              </a:defRPr>
            </a:pPr>
            <a:endParaRPr lang="en-US"/>
          </a:p>
        </c:txPr>
        <c:crossAx val="-2089811448"/>
        <c:crosses val="autoZero"/>
        <c:auto val="1"/>
        <c:lblAlgn val="ctr"/>
        <c:lblOffset val="100"/>
        <c:tickLblSkip val="5"/>
        <c:noMultiLvlLbl val="0"/>
      </c:catAx>
      <c:valAx>
        <c:axId val="-2089811448"/>
        <c:scaling>
          <c:orientation val="minMax"/>
        </c:scaling>
        <c:delete val="0"/>
        <c:axPos val="l"/>
        <c:title>
          <c:tx>
            <c:rich>
              <a:bodyPr/>
              <a:lstStyle/>
              <a:p>
                <a:pPr>
                  <a:defRPr sz="1200" b="1" i="0" u="none" strike="noStrike" baseline="0">
                    <a:solidFill>
                      <a:srgbClr val="000000"/>
                    </a:solidFill>
                    <a:latin typeface="Arial"/>
                    <a:ea typeface="Arial"/>
                    <a:cs typeface="Arial"/>
                  </a:defRPr>
                </a:pPr>
                <a:r>
                  <a:rPr lang="en-US"/>
                  <a:t>% Forecast Error</a:t>
                </a:r>
              </a:p>
            </c:rich>
          </c:tx>
          <c:overlay val="0"/>
        </c:title>
        <c:numFmt formatCode="0%" sourceLinked="1"/>
        <c:majorTickMark val="out"/>
        <c:minorTickMark val="none"/>
        <c:tickLblPos val="nextTo"/>
        <c:txPr>
          <a:bodyPr rot="0" vert="horz"/>
          <a:lstStyle/>
          <a:p>
            <a:pPr>
              <a:defRPr sz="1100" b="0" i="0" u="none" strike="noStrike" baseline="0">
                <a:solidFill>
                  <a:srgbClr val="000000"/>
                </a:solidFill>
                <a:latin typeface="Arial"/>
                <a:ea typeface="Arial"/>
                <a:cs typeface="Arial"/>
              </a:defRPr>
            </a:pPr>
            <a:endParaRPr lang="en-US"/>
          </a:p>
        </c:txPr>
        <c:crossAx val="-2089597224"/>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Tahoma"/>
                <a:ea typeface="Tahoma"/>
                <a:cs typeface="Tahoma"/>
              </a:defRPr>
            </a:pPr>
            <a:r>
              <a:rPr lang="en-US"/>
              <a:t>T0 Total Run Size vs. T0+2 Total Run Size: Wild Pink Forecast</a:t>
            </a:r>
          </a:p>
        </c:rich>
      </c:tx>
      <c:layout>
        <c:manualLayout>
          <c:xMode val="edge"/>
          <c:yMode val="edge"/>
          <c:x val="0.177520965367134"/>
          <c:y val="0.0298083810138767"/>
        </c:manualLayout>
      </c:layout>
      <c:overlay val="0"/>
      <c:spPr>
        <a:noFill/>
        <a:ln w="25400">
          <a:noFill/>
        </a:ln>
      </c:spPr>
    </c:title>
    <c:autoTitleDeleted val="0"/>
    <c:plotArea>
      <c:layout>
        <c:manualLayout>
          <c:layoutTarget val="inner"/>
          <c:xMode val="edge"/>
          <c:yMode val="edge"/>
          <c:x val="0.150743996311979"/>
          <c:y val="0.123492009365033"/>
          <c:w val="0.806282032905518"/>
          <c:h val="0.709014467561307"/>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0.352895083295205"/>
                  <c:y val="-0.253221170564888"/>
                </c:manualLayout>
              </c:layout>
              <c:numFmt formatCode="General" sourceLinked="0"/>
              <c:spPr>
                <a:noFill/>
                <a:ln w="25400">
                  <a:noFill/>
                </a:ln>
              </c:spPr>
              <c:txPr>
                <a:bodyPr/>
                <a:lstStyle/>
                <a:p>
                  <a:pPr>
                    <a:defRPr sz="1600" b="1" i="0" u="none" strike="noStrike" baseline="0">
                      <a:solidFill>
                        <a:srgbClr val="000000"/>
                      </a:solidFill>
                      <a:latin typeface="Tahoma"/>
                      <a:ea typeface="Tahoma"/>
                      <a:cs typeface="Tahoma"/>
                    </a:defRPr>
                  </a:pPr>
                  <a:endParaRPr lang="en-US"/>
                </a:p>
              </c:txPr>
            </c:trendlineLbl>
          </c:trendline>
          <c:xVal>
            <c:numRef>
              <c:f>Evaluation_TOTAL_ODD_EVEN!$H$5:$H$50</c:f>
              <c:numCache>
                <c:formatCode>#,##0</c:formatCode>
                <c:ptCount val="46"/>
                <c:pt idx="0">
                  <c:v>8.760326E6</c:v>
                </c:pt>
                <c:pt idx="1">
                  <c:v>6.651118E6</c:v>
                </c:pt>
                <c:pt idx="2">
                  <c:v>6.048576E6</c:v>
                </c:pt>
                <c:pt idx="3">
                  <c:v>3.436427E6</c:v>
                </c:pt>
                <c:pt idx="4">
                  <c:v>4.122588E6</c:v>
                </c:pt>
                <c:pt idx="5">
                  <c:v>3.4686E6</c:v>
                </c:pt>
                <c:pt idx="6">
                  <c:v>3.608678E6</c:v>
                </c:pt>
                <c:pt idx="7">
                  <c:v>5.233149E6</c:v>
                </c:pt>
                <c:pt idx="8">
                  <c:v>3.789216E6</c:v>
                </c:pt>
                <c:pt idx="9">
                  <c:v>8.423514E6</c:v>
                </c:pt>
                <c:pt idx="10">
                  <c:v>695963.0</c:v>
                </c:pt>
                <c:pt idx="11">
                  <c:v>8.535974E6</c:v>
                </c:pt>
                <c:pt idx="12">
                  <c:v>1.012903E6</c:v>
                </c:pt>
                <c:pt idx="13">
                  <c:v>3.322438E6</c:v>
                </c:pt>
                <c:pt idx="14">
                  <c:v>1.161051E6</c:v>
                </c:pt>
                <c:pt idx="15">
                  <c:v>5.816401E6</c:v>
                </c:pt>
                <c:pt idx="16">
                  <c:v>3.925083E6</c:v>
                </c:pt>
                <c:pt idx="17">
                  <c:v>1.7335503E7</c:v>
                </c:pt>
                <c:pt idx="18">
                  <c:v>1.4013916E7</c:v>
                </c:pt>
                <c:pt idx="19">
                  <c:v>1.9568866E7</c:v>
                </c:pt>
                <c:pt idx="20">
                  <c:v>1.6794317E7</c:v>
                </c:pt>
                <c:pt idx="21">
                  <c:v>1.1567348E7</c:v>
                </c:pt>
                <c:pt idx="22">
                  <c:v>2.1201513E7</c:v>
                </c:pt>
                <c:pt idx="23">
                  <c:v>1.9938105E7</c:v>
                </c:pt>
                <c:pt idx="24">
                  <c:v>5.563957E6</c:v>
                </c:pt>
                <c:pt idx="25">
                  <c:v>1.3066944E7</c:v>
                </c:pt>
                <c:pt idx="26">
                  <c:v>1.766936E6</c:v>
                </c:pt>
                <c:pt idx="27">
                  <c:v>4.74375E6</c:v>
                </c:pt>
                <c:pt idx="28">
                  <c:v>1.2923662E7</c:v>
                </c:pt>
                <c:pt idx="29">
                  <c:v>7.544776E6</c:v>
                </c:pt>
                <c:pt idx="30">
                  <c:v>1.405383E6</c:v>
                </c:pt>
                <c:pt idx="31">
                  <c:v>1.542942E6</c:v>
                </c:pt>
                <c:pt idx="32">
                  <c:v>4.666639E6</c:v>
                </c:pt>
                <c:pt idx="33">
                  <c:v>3.934208E6</c:v>
                </c:pt>
                <c:pt idx="34">
                  <c:v>4.500085E6</c:v>
                </c:pt>
                <c:pt idx="35">
                  <c:v>2.588682E6</c:v>
                </c:pt>
                <c:pt idx="36">
                  <c:v>5.2742755E6</c:v>
                </c:pt>
                <c:pt idx="37">
                  <c:v>9.405198E6</c:v>
                </c:pt>
                <c:pt idx="38">
                  <c:v>7.389941E6</c:v>
                </c:pt>
                <c:pt idx="39">
                  <c:v>8.85467698080419E6</c:v>
                </c:pt>
                <c:pt idx="40">
                  <c:v>1.26464531020259E6</c:v>
                </c:pt>
                <c:pt idx="41">
                  <c:v>7.34451193981931E6</c:v>
                </c:pt>
                <c:pt idx="42">
                  <c:v>4.93943105634744E6</c:v>
                </c:pt>
                <c:pt idx="43">
                  <c:v>1.70324876853211E7</c:v>
                </c:pt>
                <c:pt idx="44">
                  <c:v>3.31470277534367E6</c:v>
                </c:pt>
                <c:pt idx="45">
                  <c:v>1.15269877950034E7</c:v>
                </c:pt>
              </c:numCache>
            </c:numRef>
          </c:xVal>
          <c:yVal>
            <c:numRef>
              <c:f>Evaluation_TOTAL_ODD_EVEN!$E$5:$E$50</c:f>
              <c:numCache>
                <c:formatCode>#,##0</c:formatCode>
                <c:ptCount val="46"/>
                <c:pt idx="0">
                  <c:v>6.048576E6</c:v>
                </c:pt>
                <c:pt idx="1">
                  <c:v>3.436427E6</c:v>
                </c:pt>
                <c:pt idx="2">
                  <c:v>4.122588E6</c:v>
                </c:pt>
                <c:pt idx="3">
                  <c:v>3.4686E6</c:v>
                </c:pt>
                <c:pt idx="4">
                  <c:v>3.608678E6</c:v>
                </c:pt>
                <c:pt idx="5">
                  <c:v>5.233149E6</c:v>
                </c:pt>
                <c:pt idx="6">
                  <c:v>3.789216E6</c:v>
                </c:pt>
                <c:pt idx="7">
                  <c:v>8.423514E6</c:v>
                </c:pt>
                <c:pt idx="8">
                  <c:v>695963.0</c:v>
                </c:pt>
                <c:pt idx="9">
                  <c:v>8.535974E6</c:v>
                </c:pt>
                <c:pt idx="10">
                  <c:v>1.012903E6</c:v>
                </c:pt>
                <c:pt idx="11">
                  <c:v>3.322438E6</c:v>
                </c:pt>
                <c:pt idx="12">
                  <c:v>1.161051E6</c:v>
                </c:pt>
                <c:pt idx="13">
                  <c:v>5.816401E6</c:v>
                </c:pt>
                <c:pt idx="14">
                  <c:v>3.925083E6</c:v>
                </c:pt>
                <c:pt idx="15">
                  <c:v>1.7335503E7</c:v>
                </c:pt>
                <c:pt idx="16">
                  <c:v>1.4013916E7</c:v>
                </c:pt>
                <c:pt idx="17">
                  <c:v>1.9568866E7</c:v>
                </c:pt>
                <c:pt idx="18">
                  <c:v>1.6794317E7</c:v>
                </c:pt>
                <c:pt idx="19">
                  <c:v>1.1567348E7</c:v>
                </c:pt>
                <c:pt idx="20">
                  <c:v>2.1201513E7</c:v>
                </c:pt>
                <c:pt idx="21">
                  <c:v>1.9938105E7</c:v>
                </c:pt>
                <c:pt idx="22">
                  <c:v>5.563957E6</c:v>
                </c:pt>
                <c:pt idx="23">
                  <c:v>1.3066944E7</c:v>
                </c:pt>
                <c:pt idx="24">
                  <c:v>1.766936E6</c:v>
                </c:pt>
                <c:pt idx="25">
                  <c:v>4.74375E6</c:v>
                </c:pt>
                <c:pt idx="26">
                  <c:v>1.2923662E7</c:v>
                </c:pt>
                <c:pt idx="27">
                  <c:v>7.544776E6</c:v>
                </c:pt>
                <c:pt idx="28">
                  <c:v>1.405383E6</c:v>
                </c:pt>
                <c:pt idx="29">
                  <c:v>1.542942E6</c:v>
                </c:pt>
                <c:pt idx="30">
                  <c:v>4.666639E6</c:v>
                </c:pt>
                <c:pt idx="31">
                  <c:v>3.934208E6</c:v>
                </c:pt>
                <c:pt idx="32">
                  <c:v>4.500085E6</c:v>
                </c:pt>
                <c:pt idx="33">
                  <c:v>2.588682E6</c:v>
                </c:pt>
                <c:pt idx="34">
                  <c:v>5.2742755E6</c:v>
                </c:pt>
                <c:pt idx="35">
                  <c:v>9.405198E6</c:v>
                </c:pt>
                <c:pt idx="36">
                  <c:v>7.389941E6</c:v>
                </c:pt>
                <c:pt idx="37">
                  <c:v>8.85467698080419E6</c:v>
                </c:pt>
                <c:pt idx="38">
                  <c:v>1.26464531020259E6</c:v>
                </c:pt>
                <c:pt idx="39">
                  <c:v>7.34451193981931E6</c:v>
                </c:pt>
                <c:pt idx="40">
                  <c:v>4.93943105634744E6</c:v>
                </c:pt>
                <c:pt idx="41">
                  <c:v>1.70324876853211E7</c:v>
                </c:pt>
                <c:pt idx="42">
                  <c:v>3.31470277534367E6</c:v>
                </c:pt>
                <c:pt idx="43">
                  <c:v>1.15269877950034E7</c:v>
                </c:pt>
                <c:pt idx="44">
                  <c:v>2.29069167759909E6</c:v>
                </c:pt>
                <c:pt idx="45">
                  <c:v>2.82433060706674E6</c:v>
                </c:pt>
              </c:numCache>
            </c:numRef>
          </c:yVal>
          <c:smooth val="0"/>
        </c:ser>
        <c:dLbls>
          <c:showLegendKey val="0"/>
          <c:showVal val="0"/>
          <c:showCatName val="0"/>
          <c:showSerName val="0"/>
          <c:showPercent val="0"/>
          <c:showBubbleSize val="0"/>
        </c:dLbls>
        <c:axId val="-2103764568"/>
        <c:axId val="-2103758344"/>
      </c:scatterChart>
      <c:valAx>
        <c:axId val="-2103764568"/>
        <c:scaling>
          <c:orientation val="minMax"/>
        </c:scaling>
        <c:delete val="0"/>
        <c:axPos val="b"/>
        <c:title>
          <c:tx>
            <c:rich>
              <a:bodyPr/>
              <a:lstStyle/>
              <a:p>
                <a:pPr>
                  <a:defRPr sz="1625" b="1" i="0" u="none" strike="noStrike" baseline="0">
                    <a:solidFill>
                      <a:srgbClr val="000000"/>
                    </a:solidFill>
                    <a:latin typeface="Tahoma"/>
                    <a:ea typeface="Tahoma"/>
                    <a:cs typeface="Tahoma"/>
                  </a:defRPr>
                </a:pPr>
                <a:r>
                  <a:rPr lang="en-US"/>
                  <a:t>Year T0 Total Wild Pink Salmon Run Size</a:t>
                </a:r>
              </a:p>
            </c:rich>
          </c:tx>
          <c:layout>
            <c:manualLayout>
              <c:xMode val="edge"/>
              <c:yMode val="edge"/>
              <c:x val="0.327273061903847"/>
              <c:y val="0.90915669709851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ahoma"/>
                <a:ea typeface="Tahoma"/>
                <a:cs typeface="Tahoma"/>
              </a:defRPr>
            </a:pPr>
            <a:endParaRPr lang="en-US"/>
          </a:p>
        </c:txPr>
        <c:crossAx val="-2103758344"/>
        <c:crosses val="autoZero"/>
        <c:crossBetween val="midCat"/>
      </c:valAx>
      <c:valAx>
        <c:axId val="-2103758344"/>
        <c:scaling>
          <c:orientation val="minMax"/>
        </c:scaling>
        <c:delete val="0"/>
        <c:axPos val="l"/>
        <c:majorGridlines>
          <c:spPr>
            <a:ln w="3175">
              <a:solidFill>
                <a:srgbClr val="000000"/>
              </a:solidFill>
              <a:prstDash val="solid"/>
            </a:ln>
          </c:spPr>
        </c:majorGridlines>
        <c:title>
          <c:tx>
            <c:rich>
              <a:bodyPr/>
              <a:lstStyle/>
              <a:p>
                <a:pPr>
                  <a:defRPr sz="1625" b="1" i="0" u="none" strike="noStrike" baseline="0">
                    <a:solidFill>
                      <a:srgbClr val="000000"/>
                    </a:solidFill>
                    <a:latin typeface="Tahoma"/>
                    <a:ea typeface="Tahoma"/>
                    <a:cs typeface="Tahoma"/>
                  </a:defRPr>
                </a:pPr>
                <a:r>
                  <a:rPr lang="en-US"/>
                  <a:t>Year T0+2 Total Wild Pink Salmon Run Size</a:t>
                </a:r>
              </a:p>
            </c:rich>
          </c:tx>
          <c:layout>
            <c:manualLayout>
              <c:xMode val="edge"/>
              <c:yMode val="edge"/>
              <c:x val="0.0198346776774854"/>
              <c:y val="0.1618170621610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ahoma"/>
                <a:ea typeface="Tahoma"/>
                <a:cs typeface="Tahoma"/>
              </a:defRPr>
            </a:pPr>
            <a:endParaRPr lang="en-US"/>
          </a:p>
        </c:txPr>
        <c:crossAx val="-210376456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Tahoma"/>
          <a:ea typeface="Tahoma"/>
          <a:cs typeface="Tahoma"/>
        </a:defRPr>
      </a:pPr>
      <a:endParaRPr lang="en-US"/>
    </a:p>
  </c:txPr>
  <c:printSettings>
    <c:headerFooter alignWithMargins="0"/>
    <c:pageMargins b="1.0" l="0.75" r="0.75" t="1.0"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50" b="1" i="0" u="none" strike="noStrike" baseline="0">
                <a:solidFill>
                  <a:srgbClr val="000000"/>
                </a:solidFill>
                <a:latin typeface="Tahoma"/>
                <a:ea typeface="Tahoma"/>
                <a:cs typeface="Tahoma"/>
              </a:defRPr>
            </a:pPr>
            <a:r>
              <a:rPr lang="en-US"/>
              <a:t>Escapement vs. Total Return</a:t>
            </a:r>
          </a:p>
        </c:rich>
      </c:tx>
      <c:layout>
        <c:manualLayout>
          <c:xMode val="edge"/>
          <c:yMode val="edge"/>
          <c:x val="0.330129470457414"/>
          <c:y val="0.0293092086893394"/>
        </c:manualLayout>
      </c:layout>
      <c:overlay val="0"/>
      <c:spPr>
        <a:noFill/>
        <a:ln w="25400">
          <a:noFill/>
        </a:ln>
      </c:spPr>
    </c:title>
    <c:autoTitleDeleted val="0"/>
    <c:plotArea>
      <c:layout>
        <c:manualLayout>
          <c:layoutTarget val="inner"/>
          <c:xMode val="edge"/>
          <c:yMode val="edge"/>
          <c:x val="0.109380249795592"/>
          <c:y val="0.138171856152761"/>
          <c:w val="0.853165948405616"/>
          <c:h val="0.69713981967984"/>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0.0186691876493201"/>
                  <c:y val="-0.125529530143954"/>
                </c:manualLayout>
              </c:layout>
              <c:numFmt formatCode="General" sourceLinked="0"/>
              <c:spPr>
                <a:noFill/>
                <a:ln w="25400">
                  <a:noFill/>
                </a:ln>
              </c:spPr>
              <c:txPr>
                <a:bodyPr/>
                <a:lstStyle/>
                <a:p>
                  <a:pPr>
                    <a:defRPr sz="1600" b="1" i="0" u="none" strike="noStrike" baseline="0">
                      <a:solidFill>
                        <a:srgbClr val="000000"/>
                      </a:solidFill>
                      <a:latin typeface="Tahoma"/>
                      <a:ea typeface="Tahoma"/>
                      <a:cs typeface="Tahoma"/>
                    </a:defRPr>
                  </a:pPr>
                  <a:endParaRPr lang="en-US"/>
                </a:p>
              </c:txPr>
            </c:trendlineLbl>
          </c:trendline>
          <c:xVal>
            <c:numRef>
              <c:f>Evaluation_TOTAL_ODD_EVEN!$D$3:$D$50</c:f>
              <c:numCache>
                <c:formatCode>#,##0</c:formatCode>
                <c:ptCount val="48"/>
                <c:pt idx="0">
                  <c:v>1.350722E6</c:v>
                </c:pt>
                <c:pt idx="1">
                  <c:v>2.19898E6</c:v>
                </c:pt>
                <c:pt idx="2">
                  <c:v>2.01801E6</c:v>
                </c:pt>
                <c:pt idx="3">
                  <c:v>1.35574E6</c:v>
                </c:pt>
                <c:pt idx="4">
                  <c:v>1.84168E6</c:v>
                </c:pt>
                <c:pt idx="5">
                  <c:v>975956.0</c:v>
                </c:pt>
                <c:pt idx="6">
                  <c:v>1.42317E6</c:v>
                </c:pt>
                <c:pt idx="7">
                  <c:v>842260.0</c:v>
                </c:pt>
                <c:pt idx="8">
                  <c:v>1.15651E6</c:v>
                </c:pt>
                <c:pt idx="9">
                  <c:v>404570.0</c:v>
                </c:pt>
                <c:pt idx="10">
                  <c:v>979220.0</c:v>
                </c:pt>
                <c:pt idx="11">
                  <c:v>1.11255E6</c:v>
                </c:pt>
                <c:pt idx="12">
                  <c:v>641180.0</c:v>
                </c:pt>
                <c:pt idx="13">
                  <c:v>1.22501E6</c:v>
                </c:pt>
                <c:pt idx="14">
                  <c:v>958120.0</c:v>
                </c:pt>
                <c:pt idx="15">
                  <c:v>1.26556E6</c:v>
                </c:pt>
                <c:pt idx="16">
                  <c:v>712278.0</c:v>
                </c:pt>
                <c:pt idx="17">
                  <c:v>1.517667E6</c:v>
                </c:pt>
                <c:pt idx="18">
                  <c:v>755386.0</c:v>
                </c:pt>
                <c:pt idx="19">
                  <c:v>2.901977E6</c:v>
                </c:pt>
                <c:pt idx="20">
                  <c:v>1.095042E6</c:v>
                </c:pt>
                <c:pt idx="21">
                  <c:v>2.166319E6</c:v>
                </c:pt>
                <c:pt idx="22">
                  <c:v>1.849118E6</c:v>
                </c:pt>
                <c:pt idx="23">
                  <c:v>2.003106E6</c:v>
                </c:pt>
                <c:pt idx="24">
                  <c:v>3.569838E6</c:v>
                </c:pt>
                <c:pt idx="25">
                  <c:v>2.347997E6</c:v>
                </c:pt>
                <c:pt idx="26">
                  <c:v>985934.0</c:v>
                </c:pt>
                <c:pt idx="27">
                  <c:v>1.372217E6</c:v>
                </c:pt>
                <c:pt idx="28">
                  <c:v>971164.0</c:v>
                </c:pt>
                <c:pt idx="29">
                  <c:v>1.233676E6</c:v>
                </c:pt>
                <c:pt idx="30">
                  <c:v>1.235905E6</c:v>
                </c:pt>
                <c:pt idx="31">
                  <c:v>1.725792E6</c:v>
                </c:pt>
                <c:pt idx="32">
                  <c:v>542537.0</c:v>
                </c:pt>
                <c:pt idx="33">
                  <c:v>1.06564E6</c:v>
                </c:pt>
                <c:pt idx="34">
                  <c:v>1.409281E6</c:v>
                </c:pt>
                <c:pt idx="35">
                  <c:v>1.190184E6</c:v>
                </c:pt>
                <c:pt idx="36">
                  <c:v>1.483336E6</c:v>
                </c:pt>
                <c:pt idx="37">
                  <c:v>1.422688E6</c:v>
                </c:pt>
                <c:pt idx="38">
                  <c:v>1.420105E6</c:v>
                </c:pt>
                <c:pt idx="39">
                  <c:v>2.462862E6</c:v>
                </c:pt>
                <c:pt idx="40">
                  <c:v>1.659028E6</c:v>
                </c:pt>
                <c:pt idx="41">
                  <c:v>2.000386E6</c:v>
                </c:pt>
                <c:pt idx="42">
                  <c:v>943177.0</c:v>
                </c:pt>
                <c:pt idx="43">
                  <c:v>2.846732E6</c:v>
                </c:pt>
                <c:pt idx="44">
                  <c:v>2.001123E6</c:v>
                </c:pt>
                <c:pt idx="45">
                  <c:v>4.73611585714286E6</c:v>
                </c:pt>
                <c:pt idx="46">
                  <c:v>1.190801600881E6</c:v>
                </c:pt>
                <c:pt idx="47">
                  <c:v>1.50913316288356E6</c:v>
                </c:pt>
              </c:numCache>
            </c:numRef>
          </c:xVal>
          <c:yVal>
            <c:numRef>
              <c:f>Evaluation_TOTAL_ODD_EVEN!$E$3:$E$50</c:f>
              <c:numCache>
                <c:formatCode>#,##0</c:formatCode>
                <c:ptCount val="48"/>
                <c:pt idx="0">
                  <c:v>8.760326E6</c:v>
                </c:pt>
                <c:pt idx="1">
                  <c:v>6.651118E6</c:v>
                </c:pt>
                <c:pt idx="2">
                  <c:v>6.048576E6</c:v>
                </c:pt>
                <c:pt idx="3">
                  <c:v>3.436427E6</c:v>
                </c:pt>
                <c:pt idx="4">
                  <c:v>4.122588E6</c:v>
                </c:pt>
                <c:pt idx="5">
                  <c:v>3.4686E6</c:v>
                </c:pt>
                <c:pt idx="6">
                  <c:v>3.608678E6</c:v>
                </c:pt>
                <c:pt idx="7">
                  <c:v>5.233149E6</c:v>
                </c:pt>
                <c:pt idx="8">
                  <c:v>3.789216E6</c:v>
                </c:pt>
                <c:pt idx="9">
                  <c:v>8.423514E6</c:v>
                </c:pt>
                <c:pt idx="10">
                  <c:v>695963.0</c:v>
                </c:pt>
                <c:pt idx="11">
                  <c:v>8.535974E6</c:v>
                </c:pt>
                <c:pt idx="12">
                  <c:v>1.012903E6</c:v>
                </c:pt>
                <c:pt idx="13">
                  <c:v>3.322438E6</c:v>
                </c:pt>
                <c:pt idx="14">
                  <c:v>1.161051E6</c:v>
                </c:pt>
                <c:pt idx="15">
                  <c:v>5.816401E6</c:v>
                </c:pt>
                <c:pt idx="16">
                  <c:v>3.925083E6</c:v>
                </c:pt>
                <c:pt idx="17">
                  <c:v>1.7335503E7</c:v>
                </c:pt>
                <c:pt idx="18">
                  <c:v>1.4013916E7</c:v>
                </c:pt>
                <c:pt idx="19">
                  <c:v>1.9568866E7</c:v>
                </c:pt>
                <c:pt idx="20">
                  <c:v>1.6794317E7</c:v>
                </c:pt>
                <c:pt idx="21">
                  <c:v>1.1567348E7</c:v>
                </c:pt>
                <c:pt idx="22">
                  <c:v>2.1201513E7</c:v>
                </c:pt>
                <c:pt idx="23">
                  <c:v>1.9938105E7</c:v>
                </c:pt>
                <c:pt idx="24">
                  <c:v>5.563957E6</c:v>
                </c:pt>
                <c:pt idx="25">
                  <c:v>1.3066944E7</c:v>
                </c:pt>
                <c:pt idx="26">
                  <c:v>1.766936E6</c:v>
                </c:pt>
                <c:pt idx="27">
                  <c:v>4.74375E6</c:v>
                </c:pt>
                <c:pt idx="28">
                  <c:v>1.2923662E7</c:v>
                </c:pt>
                <c:pt idx="29">
                  <c:v>7.544776E6</c:v>
                </c:pt>
                <c:pt idx="30">
                  <c:v>1.405383E6</c:v>
                </c:pt>
                <c:pt idx="31">
                  <c:v>1.542942E6</c:v>
                </c:pt>
                <c:pt idx="32">
                  <c:v>4.666639E6</c:v>
                </c:pt>
                <c:pt idx="33">
                  <c:v>3.934208E6</c:v>
                </c:pt>
                <c:pt idx="34">
                  <c:v>4.500085E6</c:v>
                </c:pt>
                <c:pt idx="35">
                  <c:v>2.588682E6</c:v>
                </c:pt>
                <c:pt idx="36">
                  <c:v>5.2742755E6</c:v>
                </c:pt>
                <c:pt idx="37">
                  <c:v>9.405198E6</c:v>
                </c:pt>
                <c:pt idx="38">
                  <c:v>7.389941E6</c:v>
                </c:pt>
                <c:pt idx="39">
                  <c:v>8.85467698080419E6</c:v>
                </c:pt>
                <c:pt idx="40">
                  <c:v>1.26464531020259E6</c:v>
                </c:pt>
                <c:pt idx="41">
                  <c:v>7.34451193981931E6</c:v>
                </c:pt>
                <c:pt idx="42">
                  <c:v>4.93943105634744E6</c:v>
                </c:pt>
                <c:pt idx="43">
                  <c:v>1.70324876853211E7</c:v>
                </c:pt>
                <c:pt idx="44">
                  <c:v>3.31470277534367E6</c:v>
                </c:pt>
                <c:pt idx="45">
                  <c:v>1.15269877950034E7</c:v>
                </c:pt>
                <c:pt idx="46">
                  <c:v>2.29069167759909E6</c:v>
                </c:pt>
                <c:pt idx="47">
                  <c:v>2.82433060706674E6</c:v>
                </c:pt>
              </c:numCache>
            </c:numRef>
          </c:yVal>
          <c:smooth val="0"/>
        </c:ser>
        <c:dLbls>
          <c:showLegendKey val="0"/>
          <c:showVal val="0"/>
          <c:showCatName val="0"/>
          <c:showSerName val="0"/>
          <c:showPercent val="0"/>
          <c:showBubbleSize val="0"/>
        </c:dLbls>
        <c:axId val="-2103828552"/>
        <c:axId val="-2103835992"/>
      </c:scatterChart>
      <c:valAx>
        <c:axId val="-2103828552"/>
        <c:scaling>
          <c:orientation val="minMax"/>
        </c:scaling>
        <c:delete val="0"/>
        <c:axPos val="b"/>
        <c:title>
          <c:tx>
            <c:rich>
              <a:bodyPr/>
              <a:lstStyle/>
              <a:p>
                <a:pPr>
                  <a:defRPr sz="1400" b="1" i="0" u="none" strike="noStrike" baseline="0">
                    <a:solidFill>
                      <a:srgbClr val="000000"/>
                    </a:solidFill>
                    <a:latin typeface="Tahoma"/>
                    <a:ea typeface="Tahoma"/>
                    <a:cs typeface="Tahoma"/>
                  </a:defRPr>
                </a:pPr>
                <a:r>
                  <a:rPr lang="en-US"/>
                  <a:t>Year T0 Escapement</a:t>
                </a:r>
              </a:p>
            </c:rich>
          </c:tx>
          <c:layout>
            <c:manualLayout>
              <c:xMode val="edge"/>
              <c:yMode val="edge"/>
              <c:x val="0.436526617378935"/>
              <c:y val="0.91067805885966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ahoma"/>
                <a:ea typeface="Tahoma"/>
                <a:cs typeface="Tahoma"/>
              </a:defRPr>
            </a:pPr>
            <a:endParaRPr lang="en-US"/>
          </a:p>
        </c:txPr>
        <c:crossAx val="-2103835992"/>
        <c:crosses val="autoZero"/>
        <c:crossBetween val="midCat"/>
      </c:valAx>
      <c:valAx>
        <c:axId val="-2103835992"/>
        <c:scaling>
          <c:orientation val="minMax"/>
        </c:scaling>
        <c:delete val="0"/>
        <c:axPos val="l"/>
        <c:majorGridlines>
          <c:spPr>
            <a:ln w="3175">
              <a:solidFill>
                <a:srgbClr val="000000"/>
              </a:solidFill>
              <a:prstDash val="solid"/>
            </a:ln>
          </c:spPr>
        </c:majorGridlines>
        <c:title>
          <c:tx>
            <c:rich>
              <a:bodyPr/>
              <a:lstStyle/>
              <a:p>
                <a:pPr>
                  <a:defRPr sz="1400" b="1" i="0" u="none" strike="noStrike" baseline="0">
                    <a:solidFill>
                      <a:srgbClr val="000000"/>
                    </a:solidFill>
                    <a:latin typeface="Tahoma"/>
                    <a:ea typeface="Tahoma"/>
                    <a:cs typeface="Tahoma"/>
                  </a:defRPr>
                </a:pPr>
                <a:r>
                  <a:rPr lang="en-US"/>
                  <a:t>Year T+2 Total Return</a:t>
                </a:r>
              </a:p>
            </c:rich>
          </c:tx>
          <c:layout>
            <c:manualLayout>
              <c:xMode val="edge"/>
              <c:yMode val="edge"/>
              <c:x val="0.0119324397427421"/>
              <c:y val="0.25540849946948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ahoma"/>
                <a:ea typeface="Tahoma"/>
                <a:cs typeface="Tahoma"/>
              </a:defRPr>
            </a:pPr>
            <a:endParaRPr lang="en-US"/>
          </a:p>
        </c:txPr>
        <c:crossAx val="-2103828552"/>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Tahoma"/>
          <a:ea typeface="Tahoma"/>
          <a:cs typeface="Tahoma"/>
        </a:defRPr>
      </a:pPr>
      <a:endParaRPr lang="en-US"/>
    </a:p>
  </c:txPr>
  <c:printSettings>
    <c:headerFooter alignWithMargins="0"/>
    <c:pageMargins b="1.0" l="0.75" r="0.75" t="1.0"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Prince William Sound Wild Pink salmon</a:t>
            </a:r>
          </a:p>
        </c:rich>
      </c:tx>
      <c:layout>
        <c:manualLayout>
          <c:xMode val="edge"/>
          <c:yMode val="edge"/>
          <c:x val="0.328085076040786"/>
          <c:y val="0.0296637628467648"/>
        </c:manualLayout>
      </c:layout>
      <c:overlay val="0"/>
      <c:spPr>
        <a:noFill/>
        <a:ln w="25400">
          <a:noFill/>
        </a:ln>
      </c:spPr>
    </c:title>
    <c:autoTitleDeleted val="0"/>
    <c:plotArea>
      <c:layout>
        <c:manualLayout>
          <c:layoutTarget val="inner"/>
          <c:xMode val="edge"/>
          <c:yMode val="edge"/>
          <c:x val="0.143961991864419"/>
          <c:y val="0.118655393374301"/>
          <c:w val="0.82386385980103"/>
          <c:h val="0.700066820908378"/>
        </c:manualLayout>
      </c:layout>
      <c:barChart>
        <c:barDir val="col"/>
        <c:grouping val="clustered"/>
        <c:varyColors val="0"/>
        <c:ser>
          <c:idx val="1"/>
          <c:order val="0"/>
          <c:spPr>
            <a:solidFill>
              <a:srgbClr val="FFFFFF"/>
            </a:solidFill>
            <a:ln w="12700">
              <a:solidFill>
                <a:srgbClr val="000000"/>
              </a:solidFill>
              <a:prstDash val="solid"/>
            </a:ln>
          </c:spPr>
          <c:invertIfNegative val="0"/>
          <c:cat>
            <c:numRef>
              <c:f>'Exp_smoothing_w_damping_Total R'!$A$12:$A$63</c:f>
              <c:numCache>
                <c:formatCode>General</c:formatCode>
                <c:ptCount val="52"/>
                <c:pt idx="0">
                  <c:v>1962.0</c:v>
                </c:pt>
                <c:pt idx="1">
                  <c:v>1963.0</c:v>
                </c:pt>
                <c:pt idx="2">
                  <c:v>1964.0</c:v>
                </c:pt>
                <c:pt idx="3">
                  <c:v>1965.0</c:v>
                </c:pt>
                <c:pt idx="4">
                  <c:v>1966.0</c:v>
                </c:pt>
                <c:pt idx="5">
                  <c:v>1967.0</c:v>
                </c:pt>
                <c:pt idx="6">
                  <c:v>1968.0</c:v>
                </c:pt>
                <c:pt idx="7">
                  <c:v>1969.0</c:v>
                </c:pt>
                <c:pt idx="8">
                  <c:v>1970.0</c:v>
                </c:pt>
                <c:pt idx="9">
                  <c:v>1971.0</c:v>
                </c:pt>
                <c:pt idx="10">
                  <c:v>1972.0</c:v>
                </c:pt>
                <c:pt idx="11">
                  <c:v>1973.0</c:v>
                </c:pt>
                <c:pt idx="12">
                  <c:v>1974.0</c:v>
                </c:pt>
                <c:pt idx="13">
                  <c:v>1975.0</c:v>
                </c:pt>
                <c:pt idx="14">
                  <c:v>1976.0</c:v>
                </c:pt>
                <c:pt idx="15">
                  <c:v>1977.0</c:v>
                </c:pt>
                <c:pt idx="16">
                  <c:v>1978.0</c:v>
                </c:pt>
                <c:pt idx="17">
                  <c:v>1979.0</c:v>
                </c:pt>
                <c:pt idx="18">
                  <c:v>1980.0</c:v>
                </c:pt>
                <c:pt idx="19">
                  <c:v>1981.0</c:v>
                </c:pt>
                <c:pt idx="20">
                  <c:v>1982.0</c:v>
                </c:pt>
                <c:pt idx="21">
                  <c:v>1983.0</c:v>
                </c:pt>
                <c:pt idx="22">
                  <c:v>1984.0</c:v>
                </c:pt>
                <c:pt idx="23">
                  <c:v>1985.0</c:v>
                </c:pt>
                <c:pt idx="24">
                  <c:v>1986.0</c:v>
                </c:pt>
                <c:pt idx="25">
                  <c:v>1987.0</c:v>
                </c:pt>
                <c:pt idx="26">
                  <c:v>1988.0</c:v>
                </c:pt>
                <c:pt idx="27">
                  <c:v>1989.0</c:v>
                </c:pt>
                <c:pt idx="28">
                  <c:v>1990.0</c:v>
                </c:pt>
                <c:pt idx="29">
                  <c:v>1991.0</c:v>
                </c:pt>
                <c:pt idx="30">
                  <c:v>1992.0</c:v>
                </c:pt>
                <c:pt idx="31">
                  <c:v>1993.0</c:v>
                </c:pt>
                <c:pt idx="32">
                  <c:v>1994.0</c:v>
                </c:pt>
                <c:pt idx="33">
                  <c:v>1995.0</c:v>
                </c:pt>
                <c:pt idx="34">
                  <c:v>1996.0</c:v>
                </c:pt>
                <c:pt idx="35">
                  <c:v>1997.0</c:v>
                </c:pt>
                <c:pt idx="36">
                  <c:v>1998.0</c:v>
                </c:pt>
                <c:pt idx="37">
                  <c:v>1999.0</c:v>
                </c:pt>
                <c:pt idx="38">
                  <c:v>2000.0</c:v>
                </c:pt>
                <c:pt idx="39">
                  <c:v>2001.0</c:v>
                </c:pt>
                <c:pt idx="40">
                  <c:v>2002.0</c:v>
                </c:pt>
                <c:pt idx="41">
                  <c:v>2003.0</c:v>
                </c:pt>
                <c:pt idx="42">
                  <c:v>2004.0</c:v>
                </c:pt>
                <c:pt idx="43">
                  <c:v>2005.0</c:v>
                </c:pt>
                <c:pt idx="44">
                  <c:v>2006.0</c:v>
                </c:pt>
                <c:pt idx="45">
                  <c:v>2007.0</c:v>
                </c:pt>
                <c:pt idx="46">
                  <c:v>2008.0</c:v>
                </c:pt>
                <c:pt idx="47">
                  <c:v>2009.0</c:v>
                </c:pt>
                <c:pt idx="48">
                  <c:v>2010.0</c:v>
                </c:pt>
                <c:pt idx="49">
                  <c:v>2011.0</c:v>
                </c:pt>
                <c:pt idx="50">
                  <c:v>2012.0</c:v>
                </c:pt>
                <c:pt idx="51">
                  <c:v>2013.0</c:v>
                </c:pt>
              </c:numCache>
            </c:numRef>
          </c:cat>
          <c:val>
            <c:numRef>
              <c:f>'Exp_smoothing_w_damping_Total R'!$I$12:$I$63</c:f>
              <c:numCache>
                <c:formatCode>#,##0</c:formatCode>
                <c:ptCount val="52"/>
                <c:pt idx="0">
                  <c:v>8.760326E6</c:v>
                </c:pt>
                <c:pt idx="1">
                  <c:v>6.651118E6</c:v>
                </c:pt>
                <c:pt idx="2">
                  <c:v>6.048576E6</c:v>
                </c:pt>
                <c:pt idx="3">
                  <c:v>3.436427E6</c:v>
                </c:pt>
                <c:pt idx="4">
                  <c:v>4.122588E6</c:v>
                </c:pt>
                <c:pt idx="5">
                  <c:v>3.4686E6</c:v>
                </c:pt>
                <c:pt idx="6">
                  <c:v>3.608678E6</c:v>
                </c:pt>
                <c:pt idx="7">
                  <c:v>5.233149E6</c:v>
                </c:pt>
                <c:pt idx="8">
                  <c:v>3.789216E6</c:v>
                </c:pt>
                <c:pt idx="9">
                  <c:v>8.423514E6</c:v>
                </c:pt>
                <c:pt idx="10">
                  <c:v>695963.0</c:v>
                </c:pt>
                <c:pt idx="11">
                  <c:v>8.535974E6</c:v>
                </c:pt>
                <c:pt idx="12">
                  <c:v>1.012903E6</c:v>
                </c:pt>
                <c:pt idx="13">
                  <c:v>3.322438E6</c:v>
                </c:pt>
                <c:pt idx="14">
                  <c:v>1.161051E6</c:v>
                </c:pt>
                <c:pt idx="15">
                  <c:v>5.816401E6</c:v>
                </c:pt>
                <c:pt idx="16">
                  <c:v>3.925083E6</c:v>
                </c:pt>
                <c:pt idx="17">
                  <c:v>1.7335503E7</c:v>
                </c:pt>
                <c:pt idx="18">
                  <c:v>1.4013916E7</c:v>
                </c:pt>
                <c:pt idx="19">
                  <c:v>1.9568866E7</c:v>
                </c:pt>
                <c:pt idx="20">
                  <c:v>1.6794317E7</c:v>
                </c:pt>
                <c:pt idx="21">
                  <c:v>1.1567348E7</c:v>
                </c:pt>
                <c:pt idx="22">
                  <c:v>2.1201513E7</c:v>
                </c:pt>
                <c:pt idx="23">
                  <c:v>1.9938105E7</c:v>
                </c:pt>
                <c:pt idx="24">
                  <c:v>5.563957E6</c:v>
                </c:pt>
                <c:pt idx="25">
                  <c:v>1.3066944E7</c:v>
                </c:pt>
                <c:pt idx="26">
                  <c:v>1.766936E6</c:v>
                </c:pt>
                <c:pt idx="27">
                  <c:v>4.74375E6</c:v>
                </c:pt>
                <c:pt idx="28">
                  <c:v>1.2923662E7</c:v>
                </c:pt>
                <c:pt idx="29">
                  <c:v>7.544776E6</c:v>
                </c:pt>
                <c:pt idx="30">
                  <c:v>1.405383E6</c:v>
                </c:pt>
                <c:pt idx="31">
                  <c:v>1.542942E6</c:v>
                </c:pt>
                <c:pt idx="32">
                  <c:v>4.666639E6</c:v>
                </c:pt>
                <c:pt idx="33">
                  <c:v>3.934208E6</c:v>
                </c:pt>
                <c:pt idx="34">
                  <c:v>4.500085E6</c:v>
                </c:pt>
                <c:pt idx="35">
                  <c:v>2.588682E6</c:v>
                </c:pt>
                <c:pt idx="36">
                  <c:v>5.2742755E6</c:v>
                </c:pt>
                <c:pt idx="37">
                  <c:v>9.405198E6</c:v>
                </c:pt>
                <c:pt idx="38">
                  <c:v>7.389941E6</c:v>
                </c:pt>
                <c:pt idx="39">
                  <c:v>8.85467698080419E6</c:v>
                </c:pt>
                <c:pt idx="40">
                  <c:v>1.26464531020259E6</c:v>
                </c:pt>
                <c:pt idx="41">
                  <c:v>7.34451193981931E6</c:v>
                </c:pt>
                <c:pt idx="42">
                  <c:v>4.93943105634744E6</c:v>
                </c:pt>
                <c:pt idx="43">
                  <c:v>1.70324876853211E7</c:v>
                </c:pt>
                <c:pt idx="44">
                  <c:v>3.31470277534367E6</c:v>
                </c:pt>
                <c:pt idx="45">
                  <c:v>1.15269877950034E7</c:v>
                </c:pt>
                <c:pt idx="46">
                  <c:v>2.29069167759909E6</c:v>
                </c:pt>
                <c:pt idx="47">
                  <c:v>2.82433060706674E6</c:v>
                </c:pt>
                <c:pt idx="48">
                  <c:v>4.39939072721724E6</c:v>
                </c:pt>
                <c:pt idx="49">
                  <c:v>9.643099E6</c:v>
                </c:pt>
                <c:pt idx="50">
                  <c:v>4.4282675450135E6</c:v>
                </c:pt>
                <c:pt idx="51">
                  <c:v>2.1965453E7</c:v>
                </c:pt>
              </c:numCache>
            </c:numRef>
          </c:val>
        </c:ser>
        <c:dLbls>
          <c:showLegendKey val="0"/>
          <c:showVal val="0"/>
          <c:showCatName val="0"/>
          <c:showSerName val="0"/>
          <c:showPercent val="0"/>
          <c:showBubbleSize val="0"/>
        </c:dLbls>
        <c:gapWidth val="50"/>
        <c:axId val="-2103933400"/>
        <c:axId val="-2103942824"/>
      </c:barChart>
      <c:lineChart>
        <c:grouping val="standard"/>
        <c:varyColors val="0"/>
        <c:ser>
          <c:idx val="0"/>
          <c:order val="1"/>
          <c:spPr>
            <a:ln w="12700">
              <a:solidFill>
                <a:srgbClr val="000080"/>
              </a:solidFill>
              <a:prstDash val="solid"/>
            </a:ln>
          </c:spPr>
          <c:marker>
            <c:symbol val="circle"/>
            <c:size val="6"/>
            <c:spPr>
              <a:solidFill>
                <a:srgbClr val="000080"/>
              </a:solidFill>
              <a:ln>
                <a:solidFill>
                  <a:srgbClr val="000080"/>
                </a:solidFill>
                <a:prstDash val="solid"/>
              </a:ln>
            </c:spPr>
          </c:marker>
          <c:cat>
            <c:numRef>
              <c:f>'Exp_smoothing_w_damping_Total R'!$A$12:$A$63</c:f>
              <c:numCache>
                <c:formatCode>General</c:formatCode>
                <c:ptCount val="52"/>
                <c:pt idx="0">
                  <c:v>1962.0</c:v>
                </c:pt>
                <c:pt idx="1">
                  <c:v>1963.0</c:v>
                </c:pt>
                <c:pt idx="2">
                  <c:v>1964.0</c:v>
                </c:pt>
                <c:pt idx="3">
                  <c:v>1965.0</c:v>
                </c:pt>
                <c:pt idx="4">
                  <c:v>1966.0</c:v>
                </c:pt>
                <c:pt idx="5">
                  <c:v>1967.0</c:v>
                </c:pt>
                <c:pt idx="6">
                  <c:v>1968.0</c:v>
                </c:pt>
                <c:pt idx="7">
                  <c:v>1969.0</c:v>
                </c:pt>
                <c:pt idx="8">
                  <c:v>1970.0</c:v>
                </c:pt>
                <c:pt idx="9">
                  <c:v>1971.0</c:v>
                </c:pt>
                <c:pt idx="10">
                  <c:v>1972.0</c:v>
                </c:pt>
                <c:pt idx="11">
                  <c:v>1973.0</c:v>
                </c:pt>
                <c:pt idx="12">
                  <c:v>1974.0</c:v>
                </c:pt>
                <c:pt idx="13">
                  <c:v>1975.0</c:v>
                </c:pt>
                <c:pt idx="14">
                  <c:v>1976.0</c:v>
                </c:pt>
                <c:pt idx="15">
                  <c:v>1977.0</c:v>
                </c:pt>
                <c:pt idx="16">
                  <c:v>1978.0</c:v>
                </c:pt>
                <c:pt idx="17">
                  <c:v>1979.0</c:v>
                </c:pt>
                <c:pt idx="18">
                  <c:v>1980.0</c:v>
                </c:pt>
                <c:pt idx="19">
                  <c:v>1981.0</c:v>
                </c:pt>
                <c:pt idx="20">
                  <c:v>1982.0</c:v>
                </c:pt>
                <c:pt idx="21">
                  <c:v>1983.0</c:v>
                </c:pt>
                <c:pt idx="22">
                  <c:v>1984.0</c:v>
                </c:pt>
                <c:pt idx="23">
                  <c:v>1985.0</c:v>
                </c:pt>
                <c:pt idx="24">
                  <c:v>1986.0</c:v>
                </c:pt>
                <c:pt idx="25">
                  <c:v>1987.0</c:v>
                </c:pt>
                <c:pt idx="26">
                  <c:v>1988.0</c:v>
                </c:pt>
                <c:pt idx="27">
                  <c:v>1989.0</c:v>
                </c:pt>
                <c:pt idx="28">
                  <c:v>1990.0</c:v>
                </c:pt>
                <c:pt idx="29">
                  <c:v>1991.0</c:v>
                </c:pt>
                <c:pt idx="30">
                  <c:v>1992.0</c:v>
                </c:pt>
                <c:pt idx="31">
                  <c:v>1993.0</c:v>
                </c:pt>
                <c:pt idx="32">
                  <c:v>1994.0</c:v>
                </c:pt>
                <c:pt idx="33">
                  <c:v>1995.0</c:v>
                </c:pt>
                <c:pt idx="34">
                  <c:v>1996.0</c:v>
                </c:pt>
                <c:pt idx="35">
                  <c:v>1997.0</c:v>
                </c:pt>
                <c:pt idx="36">
                  <c:v>1998.0</c:v>
                </c:pt>
                <c:pt idx="37">
                  <c:v>1999.0</c:v>
                </c:pt>
                <c:pt idx="38">
                  <c:v>2000.0</c:v>
                </c:pt>
                <c:pt idx="39">
                  <c:v>2001.0</c:v>
                </c:pt>
                <c:pt idx="40">
                  <c:v>2002.0</c:v>
                </c:pt>
                <c:pt idx="41">
                  <c:v>2003.0</c:v>
                </c:pt>
                <c:pt idx="42">
                  <c:v>2004.0</c:v>
                </c:pt>
                <c:pt idx="43">
                  <c:v>2005.0</c:v>
                </c:pt>
                <c:pt idx="44">
                  <c:v>2006.0</c:v>
                </c:pt>
                <c:pt idx="45">
                  <c:v>2007.0</c:v>
                </c:pt>
                <c:pt idx="46">
                  <c:v>2008.0</c:v>
                </c:pt>
                <c:pt idx="47">
                  <c:v>2009.0</c:v>
                </c:pt>
                <c:pt idx="48">
                  <c:v>2010.0</c:v>
                </c:pt>
                <c:pt idx="49">
                  <c:v>2011.0</c:v>
                </c:pt>
                <c:pt idx="50">
                  <c:v>2012.0</c:v>
                </c:pt>
                <c:pt idx="51">
                  <c:v>2013.0</c:v>
                </c:pt>
              </c:numCache>
            </c:numRef>
          </c:cat>
          <c:val>
            <c:numRef>
              <c:f>'Exp_smoothing_w_damping_Total R'!$J$12:$J$63</c:f>
              <c:numCache>
                <c:formatCode>#,##0</c:formatCode>
                <c:ptCount val="52"/>
                <c:pt idx="0">
                  <c:v>#N/A</c:v>
                </c:pt>
                <c:pt idx="1">
                  <c:v>#N/A</c:v>
                </c:pt>
                <c:pt idx="2">
                  <c:v>#N/A</c:v>
                </c:pt>
                <c:pt idx="3">
                  <c:v>#N/A</c:v>
                </c:pt>
                <c:pt idx="4">
                  <c:v>#N/A</c:v>
                </c:pt>
                <c:pt idx="5">
                  <c:v>5.13903449009954E6</c:v>
                </c:pt>
                <c:pt idx="6">
                  <c:v>4.56619867623007E6</c:v>
                </c:pt>
                <c:pt idx="7">
                  <c:v>4.23783971386668E6</c:v>
                </c:pt>
                <c:pt idx="8">
                  <c:v>4.57915738202621E6</c:v>
                </c:pt>
                <c:pt idx="9">
                  <c:v>4.30826575642574E6</c:v>
                </c:pt>
                <c:pt idx="10">
                  <c:v>5.71949235097617E6</c:v>
                </c:pt>
                <c:pt idx="11">
                  <c:v>3.99679233411282E6</c:v>
                </c:pt>
                <c:pt idx="12">
                  <c:v>5.5533968219218E6</c:v>
                </c:pt>
                <c:pt idx="13">
                  <c:v>3.99634236138149E6</c:v>
                </c:pt>
                <c:pt idx="14">
                  <c:v>3.76524287462512E6</c:v>
                </c:pt>
                <c:pt idx="15">
                  <c:v>2.87219715459557E6</c:v>
                </c:pt>
                <c:pt idx="16">
                  <c:v>3.88184190030443E6</c:v>
                </c:pt>
                <c:pt idx="17">
                  <c:v>3.89667040790741E6</c:v>
                </c:pt>
                <c:pt idx="18">
                  <c:v>8.50519869858475E6</c:v>
                </c:pt>
                <c:pt idx="19">
                  <c:v>1.03942823935371E7</c:v>
                </c:pt>
                <c:pt idx="20">
                  <c:v>1.35404878258785E7</c:v>
                </c:pt>
                <c:pt idx="21">
                  <c:v>1.46563112204488E7</c:v>
                </c:pt>
                <c:pt idx="22">
                  <c:v>1.35970246869833E7</c:v>
                </c:pt>
                <c:pt idx="23">
                  <c:v>1.62048032485887E7</c:v>
                </c:pt>
                <c:pt idx="24">
                  <c:v>1.74850503698407E7</c:v>
                </c:pt>
                <c:pt idx="25">
                  <c:v>1.33969946794199E7</c:v>
                </c:pt>
                <c:pt idx="26">
                  <c:v>1.32838116419023E7</c:v>
                </c:pt>
                <c:pt idx="27">
                  <c:v>9.33437281585802E6</c:v>
                </c:pt>
                <c:pt idx="28">
                  <c:v>7.76012780806183E6</c:v>
                </c:pt>
                <c:pt idx="29">
                  <c:v>9.53083915820012E6</c:v>
                </c:pt>
                <c:pt idx="30">
                  <c:v>8.84976599288495E6</c:v>
                </c:pt>
                <c:pt idx="31">
                  <c:v>6.2968917462384E6</c:v>
                </c:pt>
                <c:pt idx="32">
                  <c:v>4.66663764880369E6</c:v>
                </c:pt>
                <c:pt idx="33">
                  <c:v>4.66663811216436E6</c:v>
                </c:pt>
                <c:pt idx="34">
                  <c:v>4.41546860992355E6</c:v>
                </c:pt>
                <c:pt idx="35">
                  <c:v>4.44448579016224E6</c:v>
                </c:pt>
                <c:pt idx="36">
                  <c:v>3.80808197976421E6</c:v>
                </c:pt>
                <c:pt idx="37">
                  <c:v>4.31087820639407E6</c:v>
                </c:pt>
                <c:pt idx="38">
                  <c:v>6.05785412336505E6</c:v>
                </c:pt>
                <c:pt idx="39">
                  <c:v>6.51466166334619E6</c:v>
                </c:pt>
                <c:pt idx="40">
                  <c:v>7.31711431071891E6</c:v>
                </c:pt>
                <c:pt idx="41">
                  <c:v>5.24156389172349E6</c:v>
                </c:pt>
                <c:pt idx="42">
                  <c:v>5.96271995249448E6</c:v>
                </c:pt>
                <c:pt idx="43">
                  <c:v>5.61180734195981E6</c:v>
                </c:pt>
                <c:pt idx="44">
                  <c:v>9.52825827625687E6</c:v>
                </c:pt>
                <c:pt idx="45">
                  <c:v>7.39746706984648E6</c:v>
                </c:pt>
                <c:pt idx="46">
                  <c:v>8.81358807279893E6</c:v>
                </c:pt>
                <c:pt idx="47">
                  <c:v>6.57671575755605E6</c:v>
                </c:pt>
                <c:pt idx="48">
                  <c:v>5.28992443806876E6</c:v>
                </c:pt>
                <c:pt idx="49">
                  <c:v>4.98453706367168E6</c:v>
                </c:pt>
                <c:pt idx="50">
                  <c:v>6.58208017839684E6</c:v>
                </c:pt>
                <c:pt idx="51">
                  <c:v>5.84348131679589E6</c:v>
                </c:pt>
              </c:numCache>
            </c:numRef>
          </c:val>
          <c:smooth val="0"/>
        </c:ser>
        <c:dLbls>
          <c:showLegendKey val="0"/>
          <c:showVal val="0"/>
          <c:showCatName val="0"/>
          <c:showSerName val="0"/>
          <c:showPercent val="0"/>
          <c:showBubbleSize val="0"/>
        </c:dLbls>
        <c:marker val="1"/>
        <c:smooth val="0"/>
        <c:axId val="-2103954248"/>
        <c:axId val="-2103951112"/>
      </c:lineChart>
      <c:catAx>
        <c:axId val="-2103933400"/>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en-US"/>
                  <a:t>Run Year</a:t>
                </a:r>
              </a:p>
            </c:rich>
          </c:tx>
          <c:layout>
            <c:manualLayout>
              <c:xMode val="edge"/>
              <c:yMode val="edge"/>
              <c:x val="0.503292825783582"/>
              <c:y val="0.90573635494006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103942824"/>
        <c:crosses val="autoZero"/>
        <c:auto val="0"/>
        <c:lblAlgn val="ctr"/>
        <c:lblOffset val="100"/>
        <c:tickLblSkip val="5"/>
        <c:tickMarkSkip val="1"/>
        <c:noMultiLvlLbl val="0"/>
      </c:catAx>
      <c:valAx>
        <c:axId val="-2103942824"/>
        <c:scaling>
          <c:orientation val="minMax"/>
        </c:scaling>
        <c:delete val="0"/>
        <c:axPos val="l"/>
        <c:title>
          <c:tx>
            <c:rich>
              <a:bodyPr/>
              <a:lstStyle/>
              <a:p>
                <a:pPr>
                  <a:defRPr sz="1600" b="1" i="0" u="none" strike="noStrike" baseline="0">
                    <a:solidFill>
                      <a:srgbClr val="000000"/>
                    </a:solidFill>
                    <a:latin typeface="Arial"/>
                    <a:ea typeface="Arial"/>
                    <a:cs typeface="Arial"/>
                  </a:defRPr>
                </a:pPr>
                <a:r>
                  <a:rPr lang="en-US"/>
                  <a:t>Pink salmon (millions)</a:t>
                </a:r>
              </a:p>
            </c:rich>
          </c:tx>
          <c:layout>
            <c:manualLayout>
              <c:xMode val="edge"/>
              <c:yMode val="edge"/>
              <c:x val="0.0146007137206167"/>
              <c:y val="0.298615902584161"/>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2103933400"/>
        <c:crosses val="autoZero"/>
        <c:crossBetween val="between"/>
      </c:valAx>
      <c:catAx>
        <c:axId val="-2103954248"/>
        <c:scaling>
          <c:orientation val="minMax"/>
        </c:scaling>
        <c:delete val="1"/>
        <c:axPos val="b"/>
        <c:numFmt formatCode="General" sourceLinked="1"/>
        <c:majorTickMark val="out"/>
        <c:minorTickMark val="none"/>
        <c:tickLblPos val="nextTo"/>
        <c:crossAx val="-2103951112"/>
        <c:crosses val="autoZero"/>
        <c:auto val="0"/>
        <c:lblAlgn val="ctr"/>
        <c:lblOffset val="100"/>
        <c:noMultiLvlLbl val="0"/>
      </c:catAx>
      <c:valAx>
        <c:axId val="-2103951112"/>
        <c:scaling>
          <c:orientation val="minMax"/>
        </c:scaling>
        <c:delete val="1"/>
        <c:axPos val="l"/>
        <c:numFmt formatCode="#,##0" sourceLinked="1"/>
        <c:majorTickMark val="out"/>
        <c:minorTickMark val="none"/>
        <c:tickLblPos val="nextTo"/>
        <c:crossAx val="-2103954248"/>
        <c:crosses val="autoZero"/>
        <c:crossBetween val="between"/>
      </c:valAx>
      <c:spPr>
        <a:solidFill>
          <a:srgbClr val="FFFFFF"/>
        </a:solidFill>
        <a:ln w="25400">
          <a:noFill/>
        </a:ln>
      </c:spPr>
    </c:plotArea>
    <c:legend>
      <c:legendPos val="r"/>
      <c:layout>
        <c:manualLayout>
          <c:xMode val="edge"/>
          <c:yMode val="edge"/>
          <c:x val="0.170469690641839"/>
          <c:y val="0.193996548096858"/>
          <c:w val="0.212308183339954"/>
          <c:h val="0.138817297643242"/>
        </c:manualLayout>
      </c:layout>
      <c:overlay val="1"/>
      <c:txPr>
        <a:bodyPr/>
        <a:lstStyle/>
        <a:p>
          <a:pPr>
            <a:defRPr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0" l="0.75" r="0.75" t="1.0" header="0.5" footer="0.5"/>
    <c:pageSetup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157480315"/>
          <c:y val="0.113604947108884"/>
          <c:w val="0.839900515012943"/>
          <c:h val="0.700066820908378"/>
        </c:manualLayout>
      </c:layout>
      <c:barChart>
        <c:barDir val="col"/>
        <c:grouping val="clustered"/>
        <c:varyColors val="0"/>
        <c:ser>
          <c:idx val="1"/>
          <c:order val="0"/>
          <c:spPr>
            <a:solidFill>
              <a:srgbClr val="0070C0"/>
            </a:solidFill>
            <a:ln w="12700">
              <a:solidFill>
                <a:srgbClr val="0070C0"/>
              </a:solidFill>
              <a:prstDash val="solid"/>
            </a:ln>
          </c:spPr>
          <c:invertIfNegative val="0"/>
          <c:dLbls>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'Exp_smoothing_w_damping_Total R'!$A$12:$A$63</c:f>
              <c:numCache>
                <c:formatCode>General</c:formatCode>
                <c:ptCount val="52"/>
                <c:pt idx="0">
                  <c:v>1962.0</c:v>
                </c:pt>
                <c:pt idx="1">
                  <c:v>1963.0</c:v>
                </c:pt>
                <c:pt idx="2">
                  <c:v>1964.0</c:v>
                </c:pt>
                <c:pt idx="3">
                  <c:v>1965.0</c:v>
                </c:pt>
                <c:pt idx="4">
                  <c:v>1966.0</c:v>
                </c:pt>
                <c:pt idx="5">
                  <c:v>1967.0</c:v>
                </c:pt>
                <c:pt idx="6">
                  <c:v>1968.0</c:v>
                </c:pt>
                <c:pt idx="7">
                  <c:v>1969.0</c:v>
                </c:pt>
                <c:pt idx="8">
                  <c:v>1970.0</c:v>
                </c:pt>
                <c:pt idx="9">
                  <c:v>1971.0</c:v>
                </c:pt>
                <c:pt idx="10">
                  <c:v>1972.0</c:v>
                </c:pt>
                <c:pt idx="11">
                  <c:v>1973.0</c:v>
                </c:pt>
                <c:pt idx="12">
                  <c:v>1974.0</c:v>
                </c:pt>
                <c:pt idx="13">
                  <c:v>1975.0</c:v>
                </c:pt>
                <c:pt idx="14">
                  <c:v>1976.0</c:v>
                </c:pt>
                <c:pt idx="15">
                  <c:v>1977.0</c:v>
                </c:pt>
                <c:pt idx="16">
                  <c:v>1978.0</c:v>
                </c:pt>
                <c:pt idx="17">
                  <c:v>1979.0</c:v>
                </c:pt>
                <c:pt idx="18">
                  <c:v>1980.0</c:v>
                </c:pt>
                <c:pt idx="19">
                  <c:v>1981.0</c:v>
                </c:pt>
                <c:pt idx="20">
                  <c:v>1982.0</c:v>
                </c:pt>
                <c:pt idx="21">
                  <c:v>1983.0</c:v>
                </c:pt>
                <c:pt idx="22">
                  <c:v>1984.0</c:v>
                </c:pt>
                <c:pt idx="23">
                  <c:v>1985.0</c:v>
                </c:pt>
                <c:pt idx="24">
                  <c:v>1986.0</c:v>
                </c:pt>
                <c:pt idx="25">
                  <c:v>1987.0</c:v>
                </c:pt>
                <c:pt idx="26">
                  <c:v>1988.0</c:v>
                </c:pt>
                <c:pt idx="27">
                  <c:v>1989.0</c:v>
                </c:pt>
                <c:pt idx="28">
                  <c:v>1990.0</c:v>
                </c:pt>
                <c:pt idx="29">
                  <c:v>1991.0</c:v>
                </c:pt>
                <c:pt idx="30">
                  <c:v>1992.0</c:v>
                </c:pt>
                <c:pt idx="31">
                  <c:v>1993.0</c:v>
                </c:pt>
                <c:pt idx="32">
                  <c:v>1994.0</c:v>
                </c:pt>
                <c:pt idx="33">
                  <c:v>1995.0</c:v>
                </c:pt>
                <c:pt idx="34">
                  <c:v>1996.0</c:v>
                </c:pt>
                <c:pt idx="35">
                  <c:v>1997.0</c:v>
                </c:pt>
                <c:pt idx="36">
                  <c:v>1998.0</c:v>
                </c:pt>
                <c:pt idx="37">
                  <c:v>1999.0</c:v>
                </c:pt>
                <c:pt idx="38">
                  <c:v>2000.0</c:v>
                </c:pt>
                <c:pt idx="39">
                  <c:v>2001.0</c:v>
                </c:pt>
                <c:pt idx="40">
                  <c:v>2002.0</c:v>
                </c:pt>
                <c:pt idx="41">
                  <c:v>2003.0</c:v>
                </c:pt>
                <c:pt idx="42">
                  <c:v>2004.0</c:v>
                </c:pt>
                <c:pt idx="43">
                  <c:v>2005.0</c:v>
                </c:pt>
                <c:pt idx="44">
                  <c:v>2006.0</c:v>
                </c:pt>
                <c:pt idx="45">
                  <c:v>2007.0</c:v>
                </c:pt>
                <c:pt idx="46">
                  <c:v>2008.0</c:v>
                </c:pt>
                <c:pt idx="47">
                  <c:v>2009.0</c:v>
                </c:pt>
                <c:pt idx="48">
                  <c:v>2010.0</c:v>
                </c:pt>
                <c:pt idx="49">
                  <c:v>2011.0</c:v>
                </c:pt>
                <c:pt idx="50">
                  <c:v>2012.0</c:v>
                </c:pt>
                <c:pt idx="51">
                  <c:v>2013.0</c:v>
                </c:pt>
              </c:numCache>
            </c:numRef>
          </c:cat>
          <c:val>
            <c:numRef>
              <c:f>'Exp_smoothing_w_damping_Total R'!$F$13:$F$63</c:f>
              <c:numCache>
                <c:formatCode>0%</c:formatCode>
                <c:ptCount val="51"/>
                <c:pt idx="0">
                  <c:v>0.317120820890563</c:v>
                </c:pt>
                <c:pt idx="1">
                  <c:v>0.134488315927584</c:v>
                </c:pt>
                <c:pt idx="2">
                  <c:v>0.988974257273616</c:v>
                </c:pt>
                <c:pt idx="3">
                  <c:v>0.375232511028656</c:v>
                </c:pt>
                <c:pt idx="4">
                  <c:v>0.481587525255012</c:v>
                </c:pt>
                <c:pt idx="5">
                  <c:v>0.26533835277907</c:v>
                </c:pt>
                <c:pt idx="6">
                  <c:v>-0.190193186957474</c:v>
                </c:pt>
                <c:pt idx="7">
                  <c:v>0.208470929613463</c:v>
                </c:pt>
                <c:pt idx="8">
                  <c:v>-0.488542933931642</c:v>
                </c:pt>
                <c:pt idx="9">
                  <c:v>7.218098305479128</c:v>
                </c:pt>
                <c:pt idx="10">
                  <c:v>-0.531770793337372</c:v>
                </c:pt>
                <c:pt idx="11">
                  <c:v>4.482654135610026</c:v>
                </c:pt>
                <c:pt idx="12">
                  <c:v>0.202834292583185</c:v>
                </c:pt>
                <c:pt idx="13">
                  <c:v>2.242960795542242</c:v>
                </c:pt>
                <c:pt idx="14">
                  <c:v>-0.506189969605678</c:v>
                </c:pt>
                <c:pt idx="15">
                  <c:v>-0.0110166077241088</c:v>
                </c:pt>
                <c:pt idx="16">
                  <c:v>-0.775220228227158</c:v>
                </c:pt>
                <c:pt idx="17">
                  <c:v>-0.393089076701705</c:v>
                </c:pt>
                <c:pt idx="18">
                  <c:v>-0.468835731537174</c:v>
                </c:pt>
                <c:pt idx="19">
                  <c:v>-0.19374584712921</c:v>
                </c:pt>
                <c:pt idx="20">
                  <c:v>0.267041608884661</c:v>
                </c:pt>
                <c:pt idx="21">
                  <c:v>-0.358676680905587</c:v>
                </c:pt>
                <c:pt idx="22">
                  <c:v>-0.187244562680922</c:v>
                </c:pt>
                <c:pt idx="23">
                  <c:v>2.142556703770484</c:v>
                </c:pt>
                <c:pt idx="24">
                  <c:v>0.0252584444702517</c:v>
                </c:pt>
                <c:pt idx="25">
                  <c:v>6.517992525989774</c:v>
                </c:pt>
                <c:pt idx="26">
                  <c:v>0.967720224686803</c:v>
                </c:pt>
                <c:pt idx="27">
                  <c:v>-0.399541104675917</c:v>
                </c:pt>
                <c:pt idx="28">
                  <c:v>0.263236861929383</c:v>
                </c:pt>
                <c:pt idx="29">
                  <c:v>5.297049269049753</c:v>
                </c:pt>
                <c:pt idx="30">
                  <c:v>3.081094264229244</c:v>
                </c:pt>
                <c:pt idx="31">
                  <c:v>-2.89543782314773E-7</c:v>
                </c:pt>
                <c:pt idx="32">
                  <c:v>0.186169646384827</c:v>
                </c:pt>
                <c:pt idx="33">
                  <c:v>-0.0188032870660104</c:v>
                </c:pt>
                <c:pt idx="34">
                  <c:v>0.716891371810921</c:v>
                </c:pt>
                <c:pt idx="35">
                  <c:v>-0.277989558989815</c:v>
                </c:pt>
                <c:pt idx="36">
                  <c:v>-0.541649393623179</c:v>
                </c:pt>
                <c:pt idx="37">
                  <c:v>-0.180256767494484</c:v>
                </c:pt>
                <c:pt idx="38">
                  <c:v>-0.264268851651038</c:v>
                </c:pt>
                <c:pt idx="39">
                  <c:v>4.78590238044431</c:v>
                </c:pt>
                <c:pt idx="40">
                  <c:v>-0.28632917548876</c:v>
                </c:pt>
                <c:pt idx="41">
                  <c:v>0.207167360870856</c:v>
                </c:pt>
                <c:pt idx="42">
                  <c:v>-0.670523328967607</c:v>
                </c:pt>
                <c:pt idx="43">
                  <c:v>1.874543789305205</c:v>
                </c:pt>
                <c:pt idx="44">
                  <c:v>-0.358248034837598</c:v>
                </c:pt>
                <c:pt idx="45">
                  <c:v>2.847566287068627</c:v>
                </c:pt>
                <c:pt idx="46">
                  <c:v>1.32859274374625</c:v>
                </c:pt>
                <c:pt idx="47">
                  <c:v>0.202422054795487</c:v>
                </c:pt>
                <c:pt idx="48">
                  <c:v>-0.483098009916555</c:v>
                </c:pt>
                <c:pt idx="49">
                  <c:v>0.486378162902256</c:v>
                </c:pt>
                <c:pt idx="50">
                  <c:v>-0.733969460279472</c:v>
                </c:pt>
              </c:numCache>
            </c:numRef>
          </c:val>
        </c:ser>
        <c:dLbls>
          <c:showLegendKey val="0"/>
          <c:showVal val="0"/>
          <c:showCatName val="0"/>
          <c:showSerName val="0"/>
          <c:showPercent val="0"/>
          <c:showBubbleSize val="0"/>
        </c:dLbls>
        <c:gapWidth val="50"/>
        <c:axId val="-2103994840"/>
        <c:axId val="-2103998600"/>
      </c:barChart>
      <c:catAx>
        <c:axId val="-2103994840"/>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en-US"/>
                  <a:t>Run Year</a:t>
                </a:r>
              </a:p>
            </c:rich>
          </c:tx>
          <c:layout>
            <c:manualLayout>
              <c:xMode val="edge"/>
              <c:yMode val="edge"/>
              <c:x val="0.503292835818203"/>
              <c:y val="0.905736213601572"/>
            </c:manualLayout>
          </c:layout>
          <c:overlay val="0"/>
          <c:spPr>
            <a:noFill/>
            <a:ln w="25400">
              <a:noFill/>
            </a:ln>
          </c:spPr>
        </c:title>
        <c:numFmt formatCode="General" sourceLinked="1"/>
        <c:majorTickMark val="cross"/>
        <c:minorTickMark val="none"/>
        <c:tickLblPos val="low"/>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103998600"/>
        <c:crosses val="autoZero"/>
        <c:auto val="0"/>
        <c:lblAlgn val="ctr"/>
        <c:lblOffset val="100"/>
        <c:tickLblSkip val="5"/>
        <c:tickMarkSkip val="1"/>
        <c:noMultiLvlLbl val="0"/>
      </c:catAx>
      <c:valAx>
        <c:axId val="-2103998600"/>
        <c:scaling>
          <c:orientation val="minMax"/>
        </c:scaling>
        <c:delete val="0"/>
        <c:axPos val="l"/>
        <c:title>
          <c:tx>
            <c:rich>
              <a:bodyPr/>
              <a:lstStyle/>
              <a:p>
                <a:pPr>
                  <a:defRPr sz="1200" b="0" i="0" u="none" strike="noStrike" baseline="0">
                    <a:solidFill>
                      <a:srgbClr val="000000"/>
                    </a:solidFill>
                    <a:latin typeface="Times New Roman"/>
                    <a:ea typeface="Times New Roman"/>
                    <a:cs typeface="Times New Roman"/>
                  </a:defRPr>
                </a:pPr>
                <a:r>
                  <a:rPr lang="en-US" sz="1400" b="1" i="0" u="none" strike="noStrike" baseline="0">
                    <a:solidFill>
                      <a:srgbClr val="000000"/>
                    </a:solidFill>
                    <a:latin typeface="Arial"/>
                    <a:cs typeface="Arial"/>
                  </a:rPr>
                  <a:t>Forecast</a:t>
                </a:r>
                <a:r>
                  <a:rPr lang="en-US" sz="1200" b="1" i="0" u="none" strike="noStrike" baseline="0">
                    <a:solidFill>
                      <a:srgbClr val="000000"/>
                    </a:solidFill>
                    <a:latin typeface="Arial"/>
                    <a:cs typeface="Arial"/>
                  </a:rPr>
                  <a:t> Error</a:t>
                </a:r>
                <a:endParaRPr lang="en-US"/>
              </a:p>
            </c:rich>
          </c:tx>
          <c:overlay val="0"/>
        </c:title>
        <c:numFmt formatCode="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2103994840"/>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0" l="0.75" r="0.75" t="1.0" header="0.5" footer="0.5"/>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sz="1400" b="1" i="0" u="none" strike="noStrike" baseline="0">
                <a:solidFill>
                  <a:srgbClr val="000000"/>
                </a:solidFill>
                <a:latin typeface="Arial"/>
                <a:cs typeface="Arial"/>
              </a:rPr>
              <a:t>Prince William Sound Wild Pink salmon</a:t>
            </a:r>
          </a:p>
          <a:p>
            <a:pPr>
              <a:defRPr sz="1000" b="0" i="0" u="none" strike="noStrike" baseline="0">
                <a:solidFill>
                  <a:srgbClr val="000000"/>
                </a:solidFill>
                <a:latin typeface="Arial"/>
                <a:ea typeface="Arial"/>
                <a:cs typeface="Arial"/>
              </a:defRPr>
            </a:pPr>
            <a:r>
              <a:rPr lang="en-US" sz="1400" b="1" i="0" u="none" strike="noStrike" baseline="0">
                <a:solidFill>
                  <a:srgbClr val="000000"/>
                </a:solidFill>
                <a:latin typeface="Arial"/>
                <a:cs typeface="Arial"/>
              </a:rPr>
              <a:t>Odd Years</a:t>
            </a:r>
            <a:endParaRPr lang="en-US"/>
          </a:p>
        </c:rich>
      </c:tx>
      <c:layout>
        <c:manualLayout>
          <c:xMode val="edge"/>
          <c:yMode val="edge"/>
          <c:x val="0.343544655105423"/>
          <c:y val="0.0295856152309319"/>
        </c:manualLayout>
      </c:layout>
      <c:overlay val="0"/>
      <c:spPr>
        <a:noFill/>
        <a:ln w="25400">
          <a:noFill/>
        </a:ln>
      </c:spPr>
    </c:title>
    <c:autoTitleDeleted val="0"/>
    <c:plotArea>
      <c:layout>
        <c:manualLayout>
          <c:layoutTarget val="inner"/>
          <c:xMode val="edge"/>
          <c:yMode val="edge"/>
          <c:x val="0.205524612096287"/>
          <c:y val="0.0473008702859511"/>
          <c:w val="0.770554928243981"/>
          <c:h val="0.793622617449317"/>
        </c:manualLayout>
      </c:layout>
      <c:barChart>
        <c:barDir val="col"/>
        <c:grouping val="clustered"/>
        <c:varyColors val="0"/>
        <c:ser>
          <c:idx val="1"/>
          <c:order val="0"/>
          <c:tx>
            <c:v>Total Run</c:v>
          </c:tx>
          <c:spPr>
            <a:solidFill>
              <a:srgbClr val="FFFFFF"/>
            </a:solidFill>
            <a:ln w="12700">
              <a:solidFill>
                <a:srgbClr val="000000"/>
              </a:solidFill>
              <a:prstDash val="solid"/>
            </a:ln>
          </c:spPr>
          <c:invertIfNegative val="0"/>
          <c:cat>
            <c:numRef>
              <c:f>'Exp_smoothing damp_Tot odd'!$A$11:$A$36</c:f>
              <c:numCache>
                <c:formatCode>General</c:formatCode>
                <c:ptCount val="26"/>
                <c:pt idx="0">
                  <c:v>1961.0</c:v>
                </c:pt>
                <c:pt idx="1">
                  <c:v>1963.0</c:v>
                </c:pt>
                <c:pt idx="2">
                  <c:v>1965.0</c:v>
                </c:pt>
                <c:pt idx="3">
                  <c:v>1967.0</c:v>
                </c:pt>
                <c:pt idx="4">
                  <c:v>1969.0</c:v>
                </c:pt>
                <c:pt idx="5">
                  <c:v>1971.0</c:v>
                </c:pt>
                <c:pt idx="6">
                  <c:v>1973.0</c:v>
                </c:pt>
                <c:pt idx="7">
                  <c:v>1975.0</c:v>
                </c:pt>
                <c:pt idx="8">
                  <c:v>1977.0</c:v>
                </c:pt>
                <c:pt idx="9">
                  <c:v>1979.0</c:v>
                </c:pt>
                <c:pt idx="10">
                  <c:v>1981.0</c:v>
                </c:pt>
                <c:pt idx="11">
                  <c:v>1983.0</c:v>
                </c:pt>
                <c:pt idx="12">
                  <c:v>1985.0</c:v>
                </c:pt>
                <c:pt idx="13">
                  <c:v>1987.0</c:v>
                </c:pt>
                <c:pt idx="14">
                  <c:v>1989.0</c:v>
                </c:pt>
                <c:pt idx="15">
                  <c:v>1991.0</c:v>
                </c:pt>
                <c:pt idx="16">
                  <c:v>1993.0</c:v>
                </c:pt>
                <c:pt idx="17">
                  <c:v>1995.0</c:v>
                </c:pt>
                <c:pt idx="18">
                  <c:v>1997.0</c:v>
                </c:pt>
                <c:pt idx="19">
                  <c:v>1999.0</c:v>
                </c:pt>
                <c:pt idx="20">
                  <c:v>2001.0</c:v>
                </c:pt>
                <c:pt idx="21">
                  <c:v>2003.0</c:v>
                </c:pt>
                <c:pt idx="22">
                  <c:v>2005.0</c:v>
                </c:pt>
                <c:pt idx="23">
                  <c:v>2007.0</c:v>
                </c:pt>
                <c:pt idx="24">
                  <c:v>2009.0</c:v>
                </c:pt>
                <c:pt idx="25">
                  <c:v>2011.0</c:v>
                </c:pt>
              </c:numCache>
            </c:numRef>
          </c:cat>
          <c:val>
            <c:numRef>
              <c:f>'Exp_smoothing damp_Tot odd'!$I$11:$I$36</c:f>
              <c:numCache>
                <c:formatCode>#,##0</c:formatCode>
                <c:ptCount val="26"/>
                <c:pt idx="0">
                  <c:v>4.497198E6</c:v>
                </c:pt>
                <c:pt idx="1">
                  <c:v>6.651118E6</c:v>
                </c:pt>
                <c:pt idx="2">
                  <c:v>3.436427E6</c:v>
                </c:pt>
                <c:pt idx="3">
                  <c:v>3.4686E6</c:v>
                </c:pt>
                <c:pt idx="4">
                  <c:v>5.233149E6</c:v>
                </c:pt>
                <c:pt idx="5">
                  <c:v>8.423514E6</c:v>
                </c:pt>
                <c:pt idx="6">
                  <c:v>8.535974E6</c:v>
                </c:pt>
                <c:pt idx="7">
                  <c:v>3.322438E6</c:v>
                </c:pt>
                <c:pt idx="8">
                  <c:v>5.816401E6</c:v>
                </c:pt>
                <c:pt idx="9">
                  <c:v>1.7335503E7</c:v>
                </c:pt>
                <c:pt idx="10">
                  <c:v>1.9568866E7</c:v>
                </c:pt>
                <c:pt idx="11">
                  <c:v>1.1567348E7</c:v>
                </c:pt>
                <c:pt idx="12">
                  <c:v>1.9938105E7</c:v>
                </c:pt>
                <c:pt idx="13">
                  <c:v>1.3066944E7</c:v>
                </c:pt>
                <c:pt idx="14">
                  <c:v>4.74375E6</c:v>
                </c:pt>
                <c:pt idx="15">
                  <c:v>7.544776E6</c:v>
                </c:pt>
                <c:pt idx="16">
                  <c:v>1.542942E6</c:v>
                </c:pt>
                <c:pt idx="17">
                  <c:v>3.934208E6</c:v>
                </c:pt>
                <c:pt idx="18">
                  <c:v>2.588682E6</c:v>
                </c:pt>
                <c:pt idx="19">
                  <c:v>9.405198E6</c:v>
                </c:pt>
                <c:pt idx="20">
                  <c:v>8.85467698080419E6</c:v>
                </c:pt>
                <c:pt idx="21">
                  <c:v>7.34451193981931E6</c:v>
                </c:pt>
                <c:pt idx="22">
                  <c:v>1.70324876853211E7</c:v>
                </c:pt>
                <c:pt idx="23">
                  <c:v>1.15269877950034E7</c:v>
                </c:pt>
                <c:pt idx="24">
                  <c:v>2.82433060706674E6</c:v>
                </c:pt>
                <c:pt idx="25">
                  <c:v>9.643099E6</c:v>
                </c:pt>
              </c:numCache>
            </c:numRef>
          </c:val>
        </c:ser>
        <c:dLbls>
          <c:showLegendKey val="0"/>
          <c:showVal val="0"/>
          <c:showCatName val="0"/>
          <c:showSerName val="0"/>
          <c:showPercent val="0"/>
          <c:showBubbleSize val="0"/>
        </c:dLbls>
        <c:gapWidth val="50"/>
        <c:axId val="-2104068312"/>
        <c:axId val="-2104074376"/>
      </c:barChart>
      <c:lineChart>
        <c:grouping val="standard"/>
        <c:varyColors val="0"/>
        <c:ser>
          <c:idx val="0"/>
          <c:order val="1"/>
          <c:tx>
            <c:v>Exponential smoothing forecast</c:v>
          </c:tx>
          <c:spPr>
            <a:ln w="12700">
              <a:solidFill>
                <a:srgbClr val="000080"/>
              </a:solidFill>
              <a:prstDash val="solid"/>
            </a:ln>
          </c:spPr>
          <c:marker>
            <c:symbol val="circle"/>
            <c:size val="6"/>
            <c:spPr>
              <a:solidFill>
                <a:srgbClr val="000080"/>
              </a:solidFill>
              <a:ln>
                <a:solidFill>
                  <a:srgbClr val="000080"/>
                </a:solidFill>
                <a:prstDash val="solid"/>
              </a:ln>
            </c:spPr>
          </c:marker>
          <c:val>
            <c:numRef>
              <c:f>'Exp_smoothing damp_Tot odd'!$J$11:$J$36</c:f>
              <c:numCache>
                <c:formatCode>#,##0</c:formatCode>
                <c:ptCount val="26"/>
                <c:pt idx="0">
                  <c:v>#N/A</c:v>
                </c:pt>
                <c:pt idx="1">
                  <c:v>#N/A</c:v>
                </c:pt>
                <c:pt idx="2">
                  <c:v>#N/A</c:v>
                </c:pt>
                <c:pt idx="3">
                  <c:v>4.5483709E6</c:v>
                </c:pt>
                <c:pt idx="4">
                  <c:v>3.87435562716158E6</c:v>
                </c:pt>
                <c:pt idx="5">
                  <c:v>4.72254248413719E6</c:v>
                </c:pt>
                <c:pt idx="6">
                  <c:v>7.03276526012744E6</c:v>
                </c:pt>
                <c:pt idx="7">
                  <c:v>7.97109916867998E6</c:v>
                </c:pt>
                <c:pt idx="8">
                  <c:v>5.06930895934835E6</c:v>
                </c:pt>
                <c:pt idx="9">
                  <c:v>5.53565922459002E6</c:v>
                </c:pt>
                <c:pt idx="10">
                  <c:v>1.29013651551107E7</c:v>
                </c:pt>
                <c:pt idx="11">
                  <c:v>1.70633567415838E7</c:v>
                </c:pt>
                <c:pt idx="12">
                  <c:v>1.36326346953785E7</c:v>
                </c:pt>
                <c:pt idx="13">
                  <c:v>1.75686393494621E7</c:v>
                </c:pt>
                <c:pt idx="14">
                  <c:v>1.47585882365796E7</c:v>
                </c:pt>
                <c:pt idx="15">
                  <c:v>8.50711959035026E6</c:v>
                </c:pt>
                <c:pt idx="16">
                  <c:v>7.9064048668712E6</c:v>
                </c:pt>
                <c:pt idx="17">
                  <c:v>3.93420005897043E6</c:v>
                </c:pt>
                <c:pt idx="18">
                  <c:v>3.93420501592492E6</c:v>
                </c:pt>
                <c:pt idx="19">
                  <c:v>3.0943017895192E6</c:v>
                </c:pt>
                <c:pt idx="20">
                  <c:v>7.03369340598354E6</c:v>
                </c:pt>
                <c:pt idx="21">
                  <c:v>8.17038892261306E6</c:v>
                </c:pt>
                <c:pt idx="22">
                  <c:v>7.6548594710519E6</c:v>
                </c:pt>
                <c:pt idx="23">
                  <c:v>1.35085684748951E7</c:v>
                </c:pt>
                <c:pt idx="24">
                  <c:v>1.2271624931956E7</c:v>
                </c:pt>
                <c:pt idx="25">
                  <c:v>6.37442890456253E6</c:v>
                </c:pt>
              </c:numCache>
            </c:numRef>
          </c:val>
          <c:smooth val="0"/>
        </c:ser>
        <c:dLbls>
          <c:showLegendKey val="0"/>
          <c:showVal val="0"/>
          <c:showCatName val="0"/>
          <c:showSerName val="0"/>
          <c:showPercent val="0"/>
          <c:showBubbleSize val="0"/>
        </c:dLbls>
        <c:marker val="1"/>
        <c:smooth val="0"/>
        <c:axId val="-2104079704"/>
        <c:axId val="-2104089096"/>
      </c:lineChart>
      <c:catAx>
        <c:axId val="-2104068312"/>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en-US"/>
                  <a:t>Run Year</a:t>
                </a:r>
              </a:p>
            </c:rich>
          </c:tx>
          <c:layout>
            <c:manualLayout>
              <c:xMode val="edge"/>
              <c:yMode val="edge"/>
              <c:x val="0.51016374463766"/>
              <c:y val="0.92307689896971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04074376"/>
        <c:crosses val="autoZero"/>
        <c:auto val="0"/>
        <c:lblAlgn val="ctr"/>
        <c:lblOffset val="100"/>
        <c:tickLblSkip val="2"/>
        <c:tickMarkSkip val="1"/>
        <c:noMultiLvlLbl val="0"/>
      </c:catAx>
      <c:valAx>
        <c:axId val="-2104074376"/>
        <c:scaling>
          <c:orientation val="minMax"/>
        </c:scaling>
        <c:delete val="0"/>
        <c:axPos val="l"/>
        <c:title>
          <c:tx>
            <c:rich>
              <a:bodyPr/>
              <a:lstStyle/>
              <a:p>
                <a:pPr>
                  <a:defRPr sz="1100" b="1" i="0" u="none" strike="noStrike" baseline="0">
                    <a:solidFill>
                      <a:srgbClr val="000000"/>
                    </a:solidFill>
                    <a:latin typeface="Arial"/>
                    <a:ea typeface="Arial"/>
                    <a:cs typeface="Arial"/>
                  </a:defRPr>
                </a:pPr>
                <a:r>
                  <a:rPr lang="en-US"/>
                  <a:t>Pink salmon (millions)</a:t>
                </a:r>
              </a:p>
            </c:rich>
          </c:tx>
          <c:layout>
            <c:manualLayout>
              <c:xMode val="edge"/>
              <c:yMode val="edge"/>
              <c:x val="0.0159698995329511"/>
              <c:y val="0.19263650252673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04068312"/>
        <c:crosses val="autoZero"/>
        <c:crossBetween val="between"/>
      </c:valAx>
      <c:catAx>
        <c:axId val="-2104079704"/>
        <c:scaling>
          <c:orientation val="minMax"/>
        </c:scaling>
        <c:delete val="1"/>
        <c:axPos val="b"/>
        <c:majorTickMark val="out"/>
        <c:minorTickMark val="none"/>
        <c:tickLblPos val="nextTo"/>
        <c:crossAx val="-2104089096"/>
        <c:crosses val="autoZero"/>
        <c:auto val="0"/>
        <c:lblAlgn val="ctr"/>
        <c:lblOffset val="100"/>
        <c:noMultiLvlLbl val="0"/>
      </c:catAx>
      <c:valAx>
        <c:axId val="-2104089096"/>
        <c:scaling>
          <c:orientation val="minMax"/>
        </c:scaling>
        <c:delete val="1"/>
        <c:axPos val="l"/>
        <c:numFmt formatCode="#,##0" sourceLinked="1"/>
        <c:majorTickMark val="out"/>
        <c:minorTickMark val="none"/>
        <c:tickLblPos val="nextTo"/>
        <c:crossAx val="-2104079704"/>
        <c:crosses val="autoZero"/>
        <c:crossBetween val="between"/>
      </c:valAx>
      <c:spPr>
        <a:solidFill>
          <a:srgbClr val="FFFFFF"/>
        </a:solidFill>
        <a:ln w="25400">
          <a:noFill/>
        </a:ln>
      </c:spPr>
    </c:plotArea>
    <c:legend>
      <c:legendPos val="l"/>
      <c:layout>
        <c:manualLayout>
          <c:xMode val="edge"/>
          <c:yMode val="edge"/>
          <c:x val="0.162657500138767"/>
          <c:y val="0.169484545775062"/>
          <c:w val="0.232176416014463"/>
          <c:h val="0.101518862381008"/>
        </c:manualLayout>
      </c:layout>
      <c:overlay val="1"/>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0" l="0.75" r="0.75" t="1.0"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098658900514"/>
          <c:y val="0.0448180386542591"/>
          <c:w val="0.855344263473915"/>
          <c:h val="0.726551467430208"/>
        </c:manualLayout>
      </c:layout>
      <c:barChart>
        <c:barDir val="col"/>
        <c:grouping val="clustered"/>
        <c:varyColors val="0"/>
        <c:ser>
          <c:idx val="0"/>
          <c:order val="0"/>
          <c:invertIfNegative val="0"/>
          <c:dLbls>
            <c:dLbl>
              <c:idx val="0"/>
              <c:delete val="1"/>
            </c:dLbl>
            <c:dLbl>
              <c:idx val="1"/>
              <c:delete val="1"/>
            </c:dLbl>
            <c:dLbl>
              <c:idx val="2"/>
              <c:delete val="1"/>
            </c:dLbl>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'Exp_smoothing damp_Tot odd'!$A$11:$A$36</c:f>
              <c:numCache>
                <c:formatCode>General</c:formatCode>
                <c:ptCount val="26"/>
                <c:pt idx="0">
                  <c:v>1961.0</c:v>
                </c:pt>
                <c:pt idx="1">
                  <c:v>1963.0</c:v>
                </c:pt>
                <c:pt idx="2">
                  <c:v>1965.0</c:v>
                </c:pt>
                <c:pt idx="3">
                  <c:v>1967.0</c:v>
                </c:pt>
                <c:pt idx="4">
                  <c:v>1969.0</c:v>
                </c:pt>
                <c:pt idx="5">
                  <c:v>1971.0</c:v>
                </c:pt>
                <c:pt idx="6">
                  <c:v>1973.0</c:v>
                </c:pt>
                <c:pt idx="7">
                  <c:v>1975.0</c:v>
                </c:pt>
                <c:pt idx="8">
                  <c:v>1977.0</c:v>
                </c:pt>
                <c:pt idx="9">
                  <c:v>1979.0</c:v>
                </c:pt>
                <c:pt idx="10">
                  <c:v>1981.0</c:v>
                </c:pt>
                <c:pt idx="11">
                  <c:v>1983.0</c:v>
                </c:pt>
                <c:pt idx="12">
                  <c:v>1985.0</c:v>
                </c:pt>
                <c:pt idx="13">
                  <c:v>1987.0</c:v>
                </c:pt>
                <c:pt idx="14">
                  <c:v>1989.0</c:v>
                </c:pt>
                <c:pt idx="15">
                  <c:v>1991.0</c:v>
                </c:pt>
                <c:pt idx="16">
                  <c:v>1993.0</c:v>
                </c:pt>
                <c:pt idx="17">
                  <c:v>1995.0</c:v>
                </c:pt>
                <c:pt idx="18">
                  <c:v>1997.0</c:v>
                </c:pt>
                <c:pt idx="19">
                  <c:v>1999.0</c:v>
                </c:pt>
                <c:pt idx="20">
                  <c:v>2001.0</c:v>
                </c:pt>
                <c:pt idx="21">
                  <c:v>2003.0</c:v>
                </c:pt>
                <c:pt idx="22">
                  <c:v>2005.0</c:v>
                </c:pt>
                <c:pt idx="23">
                  <c:v>2007.0</c:v>
                </c:pt>
                <c:pt idx="24">
                  <c:v>2009.0</c:v>
                </c:pt>
                <c:pt idx="25">
                  <c:v>2011.0</c:v>
                </c:pt>
              </c:numCache>
            </c:numRef>
          </c:cat>
          <c:val>
            <c:numRef>
              <c:f>'Exp_smoothing damp_Tot odd'!$F$11:$F$36</c:f>
              <c:numCache>
                <c:formatCode>0%</c:formatCode>
                <c:ptCount val="26"/>
                <c:pt idx="0">
                  <c:v>#N/A</c:v>
                </c:pt>
                <c:pt idx="1">
                  <c:v>-0.323843299727955</c:v>
                </c:pt>
                <c:pt idx="2">
                  <c:v>0.872795784691483</c:v>
                </c:pt>
                <c:pt idx="3">
                  <c:v>0.311298766072767</c:v>
                </c:pt>
                <c:pt idx="4">
                  <c:v>-0.259651191441027</c:v>
                </c:pt>
                <c:pt idx="5">
                  <c:v>-0.439361947503478</c:v>
                </c:pt>
                <c:pt idx="6">
                  <c:v>-0.176102778648642</c:v>
                </c:pt>
                <c:pt idx="7">
                  <c:v>1.399171683167597</c:v>
                </c:pt>
                <c:pt idx="8">
                  <c:v>-0.128445758924058</c:v>
                </c:pt>
                <c:pt idx="9">
                  <c:v>-0.680675015626024</c:v>
                </c:pt>
                <c:pt idx="10">
                  <c:v>-0.340719837566943</c:v>
                </c:pt>
                <c:pt idx="11">
                  <c:v>0.47513126963793</c:v>
                </c:pt>
                <c:pt idx="12">
                  <c:v>-0.316252236841039</c:v>
                </c:pt>
                <c:pt idx="13">
                  <c:v>0.344510189181347</c:v>
                </c:pt>
                <c:pt idx="14">
                  <c:v>2.111164845655776</c:v>
                </c:pt>
                <c:pt idx="15">
                  <c:v>0.127550982341989</c:v>
                </c:pt>
                <c:pt idx="16">
                  <c:v>4.124239839780887</c:v>
                </c:pt>
                <c:pt idx="17">
                  <c:v>-2.01845697244997E-6</c:v>
                </c:pt>
                <c:pt idx="18">
                  <c:v>0.519771457415365</c:v>
                </c:pt>
                <c:pt idx="19">
                  <c:v>-0.671000888070703</c:v>
                </c:pt>
                <c:pt idx="20">
                  <c:v>-0.205652174412269</c:v>
                </c:pt>
                <c:pt idx="21">
                  <c:v>0.112448177572719</c:v>
                </c:pt>
                <c:pt idx="22">
                  <c:v>-0.550573021834678</c:v>
                </c:pt>
                <c:pt idx="23">
                  <c:v>0.171907935978782</c:v>
                </c:pt>
                <c:pt idx="24">
                  <c:v>3.344967583204062</c:v>
                </c:pt>
                <c:pt idx="25">
                  <c:v>-0.338964693345726</c:v>
                </c:pt>
              </c:numCache>
            </c:numRef>
          </c:val>
        </c:ser>
        <c:dLbls>
          <c:showLegendKey val="0"/>
          <c:showVal val="0"/>
          <c:showCatName val="0"/>
          <c:showSerName val="0"/>
          <c:showPercent val="0"/>
          <c:showBubbleSize val="0"/>
        </c:dLbls>
        <c:gapWidth val="50"/>
        <c:axId val="-2104120520"/>
        <c:axId val="-2104125320"/>
      </c:barChart>
      <c:catAx>
        <c:axId val="-2104120520"/>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en-US"/>
                  <a:t>Run Year</a:t>
                </a:r>
              </a:p>
            </c:rich>
          </c:tx>
          <c:overlay val="0"/>
        </c:title>
        <c:numFmt formatCode="General" sourceLinked="1"/>
        <c:majorTickMark val="out"/>
        <c:minorTickMark val="none"/>
        <c:tickLblPos val="low"/>
        <c:txPr>
          <a:bodyPr rot="0" vert="horz"/>
          <a:lstStyle/>
          <a:p>
            <a:pPr>
              <a:defRPr sz="1200" b="1" i="0" u="none" strike="noStrike" baseline="0">
                <a:solidFill>
                  <a:srgbClr val="000000"/>
                </a:solidFill>
                <a:latin typeface="Arial"/>
                <a:ea typeface="Arial"/>
                <a:cs typeface="Arial"/>
              </a:defRPr>
            </a:pPr>
            <a:endParaRPr lang="en-US"/>
          </a:p>
        </c:txPr>
        <c:crossAx val="-2104125320"/>
        <c:crosses val="autoZero"/>
        <c:auto val="1"/>
        <c:lblAlgn val="ctr"/>
        <c:lblOffset val="100"/>
        <c:tickLblSkip val="2"/>
        <c:noMultiLvlLbl val="0"/>
      </c:catAx>
      <c:valAx>
        <c:axId val="-2104125320"/>
        <c:scaling>
          <c:orientation val="minMax"/>
        </c:scaling>
        <c:delete val="0"/>
        <c:axPos val="l"/>
        <c:title>
          <c:tx>
            <c:rich>
              <a:bodyPr/>
              <a:lstStyle/>
              <a:p>
                <a:pPr>
                  <a:defRPr sz="1400" b="1" i="0" u="none" strike="noStrike" baseline="0">
                    <a:solidFill>
                      <a:srgbClr val="000000"/>
                    </a:solidFill>
                    <a:latin typeface="Arial"/>
                    <a:ea typeface="Arial"/>
                    <a:cs typeface="Arial"/>
                  </a:defRPr>
                </a:pPr>
                <a:r>
                  <a:rPr lang="en-US"/>
                  <a:t>Percentage Error</a:t>
                </a:r>
              </a:p>
            </c:rich>
          </c:tx>
          <c:layout>
            <c:manualLayout>
              <c:xMode val="edge"/>
              <c:yMode val="edge"/>
              <c:x val="0.0389480638550318"/>
              <c:y val="0.213930100842658"/>
            </c:manualLayout>
          </c:layout>
          <c:overlay val="0"/>
        </c:title>
        <c:numFmt formatCode="0%" sourceLinked="1"/>
        <c:majorTickMark val="out"/>
        <c:minorTickMark val="none"/>
        <c:tickLblPos val="nextTo"/>
        <c:txPr>
          <a:bodyPr rot="0" vert="horz"/>
          <a:lstStyle/>
          <a:p>
            <a:pPr>
              <a:defRPr sz="1400" b="0" i="0" u="none" strike="noStrike" baseline="0">
                <a:solidFill>
                  <a:srgbClr val="000000"/>
                </a:solidFill>
                <a:latin typeface="Arial"/>
                <a:ea typeface="Arial"/>
                <a:cs typeface="Arial"/>
              </a:defRPr>
            </a:pPr>
            <a:endParaRPr lang="en-US"/>
          </a:p>
        </c:txPr>
        <c:crossAx val="-2104120520"/>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sz="1400" b="1" i="0" u="none" strike="noStrike" baseline="0">
                <a:solidFill>
                  <a:srgbClr val="000000"/>
                </a:solidFill>
                <a:latin typeface="Arial"/>
                <a:cs typeface="Arial"/>
              </a:rPr>
              <a:t>Prince William Sound Wild Pink salmon</a:t>
            </a:r>
          </a:p>
          <a:p>
            <a:pPr>
              <a:defRPr sz="1000" b="0" i="0" u="none" strike="noStrike" baseline="0">
                <a:solidFill>
                  <a:srgbClr val="000000"/>
                </a:solidFill>
                <a:latin typeface="Arial"/>
                <a:ea typeface="Arial"/>
                <a:cs typeface="Arial"/>
              </a:defRPr>
            </a:pPr>
            <a:r>
              <a:rPr lang="en-US" sz="1400" b="1" i="0" u="none" strike="noStrike" baseline="0">
                <a:solidFill>
                  <a:srgbClr val="000000"/>
                </a:solidFill>
                <a:latin typeface="Arial"/>
                <a:cs typeface="Arial"/>
              </a:rPr>
              <a:t>Even years</a:t>
            </a:r>
            <a:endParaRPr lang="en-US"/>
          </a:p>
        </c:rich>
      </c:tx>
      <c:layout>
        <c:manualLayout>
          <c:xMode val="edge"/>
          <c:yMode val="edge"/>
          <c:x val="0.343544590259551"/>
          <c:y val="0.0295855234454532"/>
        </c:manualLayout>
      </c:layout>
      <c:overlay val="0"/>
      <c:spPr>
        <a:noFill/>
        <a:ln w="25400">
          <a:noFill/>
        </a:ln>
      </c:spPr>
    </c:title>
    <c:autoTitleDeleted val="0"/>
    <c:plotArea>
      <c:layout>
        <c:manualLayout>
          <c:layoutTarget val="inner"/>
          <c:xMode val="edge"/>
          <c:yMode val="edge"/>
          <c:x val="0.216414814814815"/>
          <c:y val="0.0473008702859511"/>
          <c:w val="0.759977913871877"/>
          <c:h val="0.743589743589744"/>
        </c:manualLayout>
      </c:layout>
      <c:barChart>
        <c:barDir val="col"/>
        <c:grouping val="clustered"/>
        <c:varyColors val="0"/>
        <c:ser>
          <c:idx val="1"/>
          <c:order val="0"/>
          <c:tx>
            <c:v>Total Run</c:v>
          </c:tx>
          <c:spPr>
            <a:solidFill>
              <a:srgbClr val="FFFFFF"/>
            </a:solidFill>
            <a:ln w="12700">
              <a:solidFill>
                <a:srgbClr val="000000"/>
              </a:solidFill>
              <a:prstDash val="solid"/>
            </a:ln>
          </c:spPr>
          <c:invertIfNegative val="0"/>
          <c:cat>
            <c:numRef>
              <c:f>'Exp_smoothing damp_Tot_even'!$A$11:$A$36</c:f>
              <c:numCache>
                <c:formatCode>General</c:formatCode>
                <c:ptCount val="26"/>
                <c:pt idx="0">
                  <c:v>1962.0</c:v>
                </c:pt>
                <c:pt idx="1">
                  <c:v>1964.0</c:v>
                </c:pt>
                <c:pt idx="2">
                  <c:v>1966.0</c:v>
                </c:pt>
                <c:pt idx="3">
                  <c:v>1968.0</c:v>
                </c:pt>
                <c:pt idx="4">
                  <c:v>1970.0</c:v>
                </c:pt>
                <c:pt idx="5">
                  <c:v>1972.0</c:v>
                </c:pt>
                <c:pt idx="6">
                  <c:v>1974.0</c:v>
                </c:pt>
                <c:pt idx="7">
                  <c:v>1976.0</c:v>
                </c:pt>
                <c:pt idx="8">
                  <c:v>1978.0</c:v>
                </c:pt>
                <c:pt idx="9">
                  <c:v>1980.0</c:v>
                </c:pt>
                <c:pt idx="10">
                  <c:v>1982.0</c:v>
                </c:pt>
                <c:pt idx="11">
                  <c:v>1984.0</c:v>
                </c:pt>
                <c:pt idx="12">
                  <c:v>1986.0</c:v>
                </c:pt>
                <c:pt idx="13">
                  <c:v>1988.0</c:v>
                </c:pt>
                <c:pt idx="14">
                  <c:v>1990.0</c:v>
                </c:pt>
                <c:pt idx="15">
                  <c:v>1992.0</c:v>
                </c:pt>
                <c:pt idx="16">
                  <c:v>1994.0</c:v>
                </c:pt>
                <c:pt idx="17">
                  <c:v>1996.0</c:v>
                </c:pt>
                <c:pt idx="18">
                  <c:v>1998.0</c:v>
                </c:pt>
                <c:pt idx="19">
                  <c:v>2000.0</c:v>
                </c:pt>
                <c:pt idx="20">
                  <c:v>2002.0</c:v>
                </c:pt>
                <c:pt idx="21">
                  <c:v>2004.0</c:v>
                </c:pt>
                <c:pt idx="22">
                  <c:v>2006.0</c:v>
                </c:pt>
                <c:pt idx="23">
                  <c:v>2008.0</c:v>
                </c:pt>
                <c:pt idx="24">
                  <c:v>2010.0</c:v>
                </c:pt>
                <c:pt idx="25">
                  <c:v>2012.0</c:v>
                </c:pt>
              </c:numCache>
            </c:numRef>
          </c:cat>
          <c:val>
            <c:numRef>
              <c:f>'Exp_smoothing damp_Tot_even'!$I$11:$I$36</c:f>
              <c:numCache>
                <c:formatCode>#,##0</c:formatCode>
                <c:ptCount val="26"/>
                <c:pt idx="0">
                  <c:v>8.760326E6</c:v>
                </c:pt>
                <c:pt idx="1">
                  <c:v>6.048576E6</c:v>
                </c:pt>
                <c:pt idx="2">
                  <c:v>4.122588E6</c:v>
                </c:pt>
                <c:pt idx="3">
                  <c:v>3.608678E6</c:v>
                </c:pt>
                <c:pt idx="4">
                  <c:v>3.789216E6</c:v>
                </c:pt>
                <c:pt idx="5">
                  <c:v>695963.0</c:v>
                </c:pt>
                <c:pt idx="6">
                  <c:v>1.012903E6</c:v>
                </c:pt>
                <c:pt idx="7">
                  <c:v>1.161051E6</c:v>
                </c:pt>
                <c:pt idx="8">
                  <c:v>3.925083E6</c:v>
                </c:pt>
                <c:pt idx="9">
                  <c:v>1.4013916E7</c:v>
                </c:pt>
                <c:pt idx="10">
                  <c:v>1.6794317E7</c:v>
                </c:pt>
                <c:pt idx="11">
                  <c:v>2.1201513E7</c:v>
                </c:pt>
                <c:pt idx="12">
                  <c:v>5.563957E6</c:v>
                </c:pt>
                <c:pt idx="13">
                  <c:v>1.766936E6</c:v>
                </c:pt>
                <c:pt idx="14">
                  <c:v>1.2923662E7</c:v>
                </c:pt>
                <c:pt idx="15">
                  <c:v>1.405383E6</c:v>
                </c:pt>
                <c:pt idx="16">
                  <c:v>4.666639E6</c:v>
                </c:pt>
                <c:pt idx="17">
                  <c:v>4.500085E6</c:v>
                </c:pt>
                <c:pt idx="18">
                  <c:v>5.2742755E6</c:v>
                </c:pt>
                <c:pt idx="19">
                  <c:v>7.389941E6</c:v>
                </c:pt>
                <c:pt idx="20">
                  <c:v>1.26464531020259E6</c:v>
                </c:pt>
                <c:pt idx="21">
                  <c:v>4.93943105634744E6</c:v>
                </c:pt>
                <c:pt idx="22">
                  <c:v>3.31470277534367E6</c:v>
                </c:pt>
                <c:pt idx="23">
                  <c:v>2.29069167759909E6</c:v>
                </c:pt>
                <c:pt idx="24">
                  <c:v>4.39939072721724E6</c:v>
                </c:pt>
                <c:pt idx="25">
                  <c:v>4.4282675450135E6</c:v>
                </c:pt>
              </c:numCache>
            </c:numRef>
          </c:val>
        </c:ser>
        <c:dLbls>
          <c:showLegendKey val="0"/>
          <c:showVal val="0"/>
          <c:showCatName val="0"/>
          <c:showSerName val="0"/>
          <c:showPercent val="0"/>
          <c:showBubbleSize val="0"/>
        </c:dLbls>
        <c:gapWidth val="50"/>
        <c:axId val="-2104196680"/>
        <c:axId val="-2104199864"/>
      </c:barChart>
      <c:lineChart>
        <c:grouping val="standard"/>
        <c:varyColors val="0"/>
        <c:ser>
          <c:idx val="0"/>
          <c:order val="1"/>
          <c:tx>
            <c:v>Exponential Smoothing forecast</c:v>
          </c:tx>
          <c:spPr>
            <a:ln w="12700">
              <a:solidFill>
                <a:srgbClr val="000080"/>
              </a:solidFill>
              <a:prstDash val="solid"/>
            </a:ln>
          </c:spPr>
          <c:marker>
            <c:symbol val="circle"/>
            <c:size val="6"/>
            <c:spPr>
              <a:solidFill>
                <a:srgbClr val="000080"/>
              </a:solidFill>
              <a:ln>
                <a:solidFill>
                  <a:srgbClr val="000080"/>
                </a:solidFill>
                <a:prstDash val="solid"/>
              </a:ln>
            </c:spPr>
          </c:marker>
          <c:val>
            <c:numRef>
              <c:f>'Exp_smoothing damp_Tot_even'!$J$11:$J$36</c:f>
              <c:numCache>
                <c:formatCode>#,##0</c:formatCode>
                <c:ptCount val="26"/>
                <c:pt idx="0">
                  <c:v>#N/A</c:v>
                </c:pt>
                <c:pt idx="1">
                  <c:v>#N/A</c:v>
                </c:pt>
                <c:pt idx="2">
                  <c:v>#N/A</c:v>
                </c:pt>
                <c:pt idx="3">
                  <c:v>#N/A</c:v>
                </c:pt>
                <c:pt idx="4">
                  <c:v>3.90420686206036E6</c:v>
                </c:pt>
                <c:pt idx="5">
                  <c:v>3.80539376514166E6</c:v>
                </c:pt>
                <c:pt idx="6">
                  <c:v>1.1334207226519E6</c:v>
                </c:pt>
                <c:pt idx="7">
                  <c:v>1.02985832477569E6</c:v>
                </c:pt>
                <c:pt idx="8">
                  <c:v>1.14259384392641E6</c:v>
                </c:pt>
                <c:pt idx="9">
                  <c:v>3.53362184152519E6</c:v>
                </c:pt>
                <c:pt idx="10">
                  <c:v>1.25394706877952E7</c:v>
                </c:pt>
                <c:pt idx="11">
                  <c:v>1.61957137447556E7</c:v>
                </c:pt>
                <c:pt idx="12">
                  <c:v>2.049726012941E7</c:v>
                </c:pt>
                <c:pt idx="13">
                  <c:v>7.66488455622575E6</c:v>
                </c:pt>
                <c:pt idx="14">
                  <c:v>2.59670303409797E6</c:v>
                </c:pt>
                <c:pt idx="15">
                  <c:v>1.14707890170129E7</c:v>
                </c:pt>
                <c:pt idx="16">
                  <c:v>2.82145877924914E6</c:v>
                </c:pt>
                <c:pt idx="17">
                  <c:v>4.40704539646941E6</c:v>
                </c:pt>
                <c:pt idx="18">
                  <c:v>4.48699550029696E6</c:v>
                </c:pt>
                <c:pt idx="19">
                  <c:v>5.16351512558665E6</c:v>
                </c:pt>
                <c:pt idx="20">
                  <c:v>7.07671093757417E6</c:v>
                </c:pt>
                <c:pt idx="21">
                  <c:v>2.08232969853388E6</c:v>
                </c:pt>
                <c:pt idx="22">
                  <c:v>4.53747290137375E6</c:v>
                </c:pt>
                <c:pt idx="23">
                  <c:v>3.48673112235062E6</c:v>
                </c:pt>
                <c:pt idx="24">
                  <c:v>2.45895935461843E6</c:v>
                </c:pt>
                <c:pt idx="25">
                  <c:v>4.12639648700597E6</c:v>
                </c:pt>
              </c:numCache>
            </c:numRef>
          </c:val>
          <c:smooth val="0"/>
        </c:ser>
        <c:dLbls>
          <c:showLegendKey val="0"/>
          <c:showVal val="0"/>
          <c:showCatName val="0"/>
          <c:showSerName val="0"/>
          <c:showPercent val="0"/>
          <c:showBubbleSize val="0"/>
        </c:dLbls>
        <c:marker val="1"/>
        <c:smooth val="0"/>
        <c:axId val="-2104201864"/>
        <c:axId val="-2104214072"/>
      </c:lineChart>
      <c:catAx>
        <c:axId val="-210419668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Run Year</a:t>
                </a:r>
              </a:p>
            </c:rich>
          </c:tx>
          <c:layout>
            <c:manualLayout>
              <c:xMode val="edge"/>
              <c:yMode val="edge"/>
              <c:x val="0.510163740643531"/>
              <c:y val="0.92307675260909"/>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04199864"/>
        <c:crosses val="autoZero"/>
        <c:auto val="0"/>
        <c:lblAlgn val="ctr"/>
        <c:lblOffset val="100"/>
        <c:tickLblSkip val="2"/>
        <c:tickMarkSkip val="1"/>
        <c:noMultiLvlLbl val="0"/>
      </c:catAx>
      <c:valAx>
        <c:axId val="-2104199864"/>
        <c:scaling>
          <c:orientation val="minMax"/>
        </c:scaling>
        <c:delete val="0"/>
        <c:axPos val="l"/>
        <c:title>
          <c:tx>
            <c:rich>
              <a:bodyPr/>
              <a:lstStyle/>
              <a:p>
                <a:pPr>
                  <a:defRPr sz="1200" b="1" i="0" u="none" strike="noStrike" baseline="0">
                    <a:solidFill>
                      <a:srgbClr val="000000"/>
                    </a:solidFill>
                    <a:latin typeface="Arial"/>
                    <a:ea typeface="Arial"/>
                    <a:cs typeface="Arial"/>
                  </a:defRPr>
                </a:pPr>
                <a:r>
                  <a:rPr lang="en-US"/>
                  <a:t>Pink salmon (millions)</a:t>
                </a:r>
              </a:p>
            </c:rich>
          </c:tx>
          <c:layout>
            <c:manualLayout>
              <c:xMode val="edge"/>
              <c:yMode val="edge"/>
              <c:x val="0.0146006415864684"/>
              <c:y val="0.18765282308049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04196680"/>
        <c:crosses val="autoZero"/>
        <c:crossBetween val="between"/>
      </c:valAx>
      <c:catAx>
        <c:axId val="-2104201864"/>
        <c:scaling>
          <c:orientation val="minMax"/>
        </c:scaling>
        <c:delete val="1"/>
        <c:axPos val="b"/>
        <c:majorTickMark val="out"/>
        <c:minorTickMark val="none"/>
        <c:tickLblPos val="nextTo"/>
        <c:crossAx val="-2104214072"/>
        <c:crosses val="autoZero"/>
        <c:auto val="0"/>
        <c:lblAlgn val="ctr"/>
        <c:lblOffset val="100"/>
        <c:noMultiLvlLbl val="0"/>
      </c:catAx>
      <c:valAx>
        <c:axId val="-2104214072"/>
        <c:scaling>
          <c:orientation val="minMax"/>
        </c:scaling>
        <c:delete val="1"/>
        <c:axPos val="l"/>
        <c:numFmt formatCode="#,##0" sourceLinked="1"/>
        <c:majorTickMark val="out"/>
        <c:minorTickMark val="none"/>
        <c:tickLblPos val="nextTo"/>
        <c:crossAx val="-2104201864"/>
        <c:crosses val="autoZero"/>
        <c:crossBetween val="between"/>
      </c:valAx>
      <c:spPr>
        <a:solidFill>
          <a:srgbClr val="FFFFFF"/>
        </a:solidFill>
        <a:ln w="25400">
          <a:noFill/>
        </a:ln>
      </c:spPr>
    </c:plotArea>
    <c:legend>
      <c:legendPos val="r"/>
      <c:layout>
        <c:manualLayout>
          <c:xMode val="edge"/>
          <c:yMode val="edge"/>
          <c:x val="0.163596772625644"/>
          <c:y val="0.201886716667013"/>
          <c:w val="0.212308194808982"/>
          <c:h val="0.0963128553521838"/>
        </c:manualLayout>
      </c:layout>
      <c:overlay val="1"/>
      <c:txPr>
        <a:bodyPr/>
        <a:lstStyle/>
        <a:p>
          <a:pPr>
            <a:defRPr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0" l="0.75" r="0.75" t="1.0"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5125625418921"/>
          <c:y val="0.0295476239122804"/>
          <c:w val="0.852425643699095"/>
          <c:h val="0.940904752175439"/>
        </c:manualLayout>
      </c:layout>
      <c:barChart>
        <c:barDir val="col"/>
        <c:grouping val="clustered"/>
        <c:varyColors val="0"/>
        <c:ser>
          <c:idx val="0"/>
          <c:order val="0"/>
          <c:tx>
            <c:v>Error</c:v>
          </c:tx>
          <c:invertIfNegative val="0"/>
          <c:dLbls>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'Exp_smoothing damp_Tot_even'!$A$15:$A$36</c:f>
              <c:numCache>
                <c:formatCode>General</c:formatCode>
                <c:ptCount val="22"/>
                <c:pt idx="0">
                  <c:v>1970.0</c:v>
                </c:pt>
                <c:pt idx="1">
                  <c:v>1972.0</c:v>
                </c:pt>
                <c:pt idx="2">
                  <c:v>1974.0</c:v>
                </c:pt>
                <c:pt idx="3">
                  <c:v>1976.0</c:v>
                </c:pt>
                <c:pt idx="4">
                  <c:v>1978.0</c:v>
                </c:pt>
                <c:pt idx="5">
                  <c:v>1980.0</c:v>
                </c:pt>
                <c:pt idx="6">
                  <c:v>1982.0</c:v>
                </c:pt>
                <c:pt idx="7">
                  <c:v>1984.0</c:v>
                </c:pt>
                <c:pt idx="8">
                  <c:v>1986.0</c:v>
                </c:pt>
                <c:pt idx="9">
                  <c:v>1988.0</c:v>
                </c:pt>
                <c:pt idx="10">
                  <c:v>1990.0</c:v>
                </c:pt>
                <c:pt idx="11">
                  <c:v>1992.0</c:v>
                </c:pt>
                <c:pt idx="12">
                  <c:v>1994.0</c:v>
                </c:pt>
                <c:pt idx="13">
                  <c:v>1996.0</c:v>
                </c:pt>
                <c:pt idx="14">
                  <c:v>1998.0</c:v>
                </c:pt>
                <c:pt idx="15">
                  <c:v>2000.0</c:v>
                </c:pt>
                <c:pt idx="16">
                  <c:v>2002.0</c:v>
                </c:pt>
                <c:pt idx="17">
                  <c:v>2004.0</c:v>
                </c:pt>
                <c:pt idx="18">
                  <c:v>2006.0</c:v>
                </c:pt>
                <c:pt idx="19">
                  <c:v>2008.0</c:v>
                </c:pt>
                <c:pt idx="20">
                  <c:v>2010.0</c:v>
                </c:pt>
                <c:pt idx="21">
                  <c:v>2012.0</c:v>
                </c:pt>
              </c:numCache>
            </c:numRef>
          </c:cat>
          <c:val>
            <c:numRef>
              <c:f>'Exp_smoothing damp_Tot_even'!$F$15:$F$36</c:f>
              <c:numCache>
                <c:formatCode>0%</c:formatCode>
                <c:ptCount val="22"/>
                <c:pt idx="0">
                  <c:v>0.0303468744089429</c:v>
                </c:pt>
                <c:pt idx="1">
                  <c:v>4.467810451333844</c:v>
                </c:pt>
                <c:pt idx="2">
                  <c:v>0.11898249156326</c:v>
                </c:pt>
                <c:pt idx="3">
                  <c:v>-0.11299475666815</c:v>
                </c:pt>
                <c:pt idx="4">
                  <c:v>-0.708899443928597</c:v>
                </c:pt>
                <c:pt idx="5">
                  <c:v>-0.747849077907617</c:v>
                </c:pt>
                <c:pt idx="6">
                  <c:v>-0.253350363233275</c:v>
                </c:pt>
                <c:pt idx="7">
                  <c:v>-0.236105756001679</c:v>
                </c:pt>
                <c:pt idx="8">
                  <c:v>2.683935754609537</c:v>
                </c:pt>
                <c:pt idx="9">
                  <c:v>3.337952566604418</c:v>
                </c:pt>
                <c:pt idx="10">
                  <c:v>-0.799073742868084</c:v>
                </c:pt>
                <c:pt idx="11">
                  <c:v>7.162037691513935</c:v>
                </c:pt>
                <c:pt idx="12">
                  <c:v>-0.395398105735383</c:v>
                </c:pt>
                <c:pt idx="13">
                  <c:v>-0.0206750769220116</c:v>
                </c:pt>
                <c:pt idx="14">
                  <c:v>-0.149267894652647</c:v>
                </c:pt>
                <c:pt idx="15">
                  <c:v>-0.301277895779324</c:v>
                </c:pt>
                <c:pt idx="16">
                  <c:v>4.595806887893727</c:v>
                </c:pt>
                <c:pt idx="17">
                  <c:v>-0.578427216661324</c:v>
                </c:pt>
                <c:pt idx="18">
                  <c:v>0.368892841652538</c:v>
                </c:pt>
                <c:pt idx="19">
                  <c:v>0.522130261548392</c:v>
                </c:pt>
                <c:pt idx="20">
                  <c:v>-0.441068205329923</c:v>
                </c:pt>
                <c:pt idx="21">
                  <c:v>-0.0681691101404765</c:v>
                </c:pt>
              </c:numCache>
            </c:numRef>
          </c:val>
        </c:ser>
        <c:dLbls>
          <c:showLegendKey val="0"/>
          <c:showVal val="0"/>
          <c:showCatName val="0"/>
          <c:showSerName val="0"/>
          <c:showPercent val="0"/>
          <c:showBubbleSize val="0"/>
        </c:dLbls>
        <c:gapWidth val="50"/>
        <c:axId val="-2104227720"/>
        <c:axId val="-2104250680"/>
      </c:barChart>
      <c:catAx>
        <c:axId val="-2104227720"/>
        <c:scaling>
          <c:orientation val="minMax"/>
        </c:scaling>
        <c:delete val="0"/>
        <c:axPos val="b"/>
        <c:numFmt formatCode="General" sourceLinked="1"/>
        <c:majorTickMark val="out"/>
        <c:minorTickMark val="none"/>
        <c:tickLblPos val="low"/>
        <c:txPr>
          <a:bodyPr rot="0" vert="horz"/>
          <a:lstStyle/>
          <a:p>
            <a:pPr>
              <a:defRPr sz="1200" b="1" i="0" u="none" strike="noStrike" baseline="0">
                <a:solidFill>
                  <a:srgbClr val="000000"/>
                </a:solidFill>
                <a:latin typeface="Arial"/>
                <a:ea typeface="Arial"/>
                <a:cs typeface="Arial"/>
              </a:defRPr>
            </a:pPr>
            <a:endParaRPr lang="en-US"/>
          </a:p>
        </c:txPr>
        <c:crossAx val="-2104250680"/>
        <c:crosses val="autoZero"/>
        <c:auto val="1"/>
        <c:lblAlgn val="ctr"/>
        <c:lblOffset val="100"/>
        <c:tickLblSkip val="2"/>
        <c:noMultiLvlLbl val="0"/>
      </c:catAx>
      <c:valAx>
        <c:axId val="-2104250680"/>
        <c:scaling>
          <c:orientation val="minMax"/>
        </c:scaling>
        <c:delete val="0"/>
        <c:axPos val="l"/>
        <c:numFmt formatCode="0%" sourceLinked="1"/>
        <c:majorTickMark val="out"/>
        <c:minorTickMark val="none"/>
        <c:tickLblPos val="nextTo"/>
        <c:txPr>
          <a:bodyPr rot="0" vert="horz"/>
          <a:lstStyle/>
          <a:p>
            <a:pPr>
              <a:defRPr sz="1200" b="1" i="0" u="none" strike="noStrike" baseline="0">
                <a:solidFill>
                  <a:srgbClr val="000000"/>
                </a:solidFill>
                <a:latin typeface="Arial"/>
                <a:ea typeface="Arial"/>
                <a:cs typeface="Arial"/>
              </a:defRPr>
            </a:pPr>
            <a:endParaRPr lang="en-US"/>
          </a:p>
        </c:txPr>
        <c:crossAx val="-2104227720"/>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Wild PWS Pink salmon CCP harvest</a:t>
            </a:r>
          </a:p>
        </c:rich>
      </c:tx>
      <c:overlay val="1"/>
    </c:title>
    <c:autoTitleDeleted val="0"/>
    <c:plotArea>
      <c:layout>
        <c:manualLayout>
          <c:layoutTarget val="inner"/>
          <c:xMode val="edge"/>
          <c:yMode val="edge"/>
          <c:x val="0.124883005853893"/>
          <c:y val="0.0386681765113809"/>
          <c:w val="0.905988874463131"/>
          <c:h val="0.783176981166593"/>
        </c:manualLayout>
      </c:layout>
      <c:barChart>
        <c:barDir val="col"/>
        <c:grouping val="clustered"/>
        <c:varyColors val="0"/>
        <c:ser>
          <c:idx val="1"/>
          <c:order val="0"/>
          <c:spPr>
            <a:solidFill>
              <a:srgbClr val="FFFFFF"/>
            </a:solidFill>
            <a:ln w="12700">
              <a:solidFill>
                <a:srgbClr val="000000"/>
              </a:solidFill>
              <a:prstDash val="solid"/>
            </a:ln>
          </c:spPr>
          <c:invertIfNegative val="0"/>
          <c:cat>
            <c:numRef>
              <c:f>Lag1_Exp_smoothing_Harvest!$A$10:$A$59</c:f>
              <c:numCache>
                <c:formatCode>General</c:formatCode>
                <c:ptCount val="50"/>
                <c:pt idx="0">
                  <c:v>1964.0</c:v>
                </c:pt>
                <c:pt idx="1">
                  <c:v>1965.0</c:v>
                </c:pt>
                <c:pt idx="2">
                  <c:v>1966.0</c:v>
                </c:pt>
                <c:pt idx="3">
                  <c:v>1967.0</c:v>
                </c:pt>
                <c:pt idx="4">
                  <c:v>1968.0</c:v>
                </c:pt>
                <c:pt idx="5">
                  <c:v>1969.0</c:v>
                </c:pt>
                <c:pt idx="6">
                  <c:v>1970.0</c:v>
                </c:pt>
                <c:pt idx="7">
                  <c:v>1971.0</c:v>
                </c:pt>
                <c:pt idx="8">
                  <c:v>1972.0</c:v>
                </c:pt>
                <c:pt idx="9">
                  <c:v>1973.0</c:v>
                </c:pt>
                <c:pt idx="10">
                  <c:v>1974.0</c:v>
                </c:pt>
                <c:pt idx="11">
                  <c:v>1975.0</c:v>
                </c:pt>
                <c:pt idx="12">
                  <c:v>1976.0</c:v>
                </c:pt>
                <c:pt idx="13">
                  <c:v>1977.0</c:v>
                </c:pt>
                <c:pt idx="14">
                  <c:v>1978.0</c:v>
                </c:pt>
                <c:pt idx="15">
                  <c:v>1979.0</c:v>
                </c:pt>
                <c:pt idx="16">
                  <c:v>1980.0</c:v>
                </c:pt>
                <c:pt idx="17">
                  <c:v>1981.0</c:v>
                </c:pt>
                <c:pt idx="18">
                  <c:v>1982.0</c:v>
                </c:pt>
                <c:pt idx="19">
                  <c:v>1983.0</c:v>
                </c:pt>
                <c:pt idx="20">
                  <c:v>1984.0</c:v>
                </c:pt>
                <c:pt idx="21">
                  <c:v>1985.0</c:v>
                </c:pt>
                <c:pt idx="22">
                  <c:v>1986.0</c:v>
                </c:pt>
                <c:pt idx="23">
                  <c:v>1987.0</c:v>
                </c:pt>
                <c:pt idx="24">
                  <c:v>1988.0</c:v>
                </c:pt>
                <c:pt idx="25">
                  <c:v>1989.0</c:v>
                </c:pt>
                <c:pt idx="26">
                  <c:v>1990.0</c:v>
                </c:pt>
                <c:pt idx="27">
                  <c:v>1991.0</c:v>
                </c:pt>
                <c:pt idx="28">
                  <c:v>1992.0</c:v>
                </c:pt>
                <c:pt idx="29">
                  <c:v>1993.0</c:v>
                </c:pt>
                <c:pt idx="30">
                  <c:v>1994.0</c:v>
                </c:pt>
                <c:pt idx="31">
                  <c:v>1995.0</c:v>
                </c:pt>
                <c:pt idx="32">
                  <c:v>1996.0</c:v>
                </c:pt>
                <c:pt idx="33">
                  <c:v>1997.0</c:v>
                </c:pt>
                <c:pt idx="34">
                  <c:v>1998.0</c:v>
                </c:pt>
                <c:pt idx="35">
                  <c:v>1999.0</c:v>
                </c:pt>
                <c:pt idx="36">
                  <c:v>2000.0</c:v>
                </c:pt>
                <c:pt idx="37">
                  <c:v>2001.0</c:v>
                </c:pt>
                <c:pt idx="38">
                  <c:v>2002.0</c:v>
                </c:pt>
                <c:pt idx="39">
                  <c:v>2003.0</c:v>
                </c:pt>
                <c:pt idx="40">
                  <c:v>2004.0</c:v>
                </c:pt>
                <c:pt idx="41">
                  <c:v>2005.0</c:v>
                </c:pt>
                <c:pt idx="42">
                  <c:v>2006.0</c:v>
                </c:pt>
                <c:pt idx="43">
                  <c:v>2007.0</c:v>
                </c:pt>
                <c:pt idx="44">
                  <c:v>2008.0</c:v>
                </c:pt>
                <c:pt idx="45">
                  <c:v>2009.0</c:v>
                </c:pt>
                <c:pt idx="46">
                  <c:v>2010.0</c:v>
                </c:pt>
                <c:pt idx="47">
                  <c:v>2011.0</c:v>
                </c:pt>
                <c:pt idx="48">
                  <c:v>2012.0</c:v>
                </c:pt>
                <c:pt idx="49">
                  <c:v>2013.0</c:v>
                </c:pt>
              </c:numCache>
            </c:numRef>
          </c:cat>
          <c:val>
            <c:numRef>
              <c:f>Lag1_Exp_smoothing_Harvest!$B$10:$B$59</c:f>
              <c:numCache>
                <c:formatCode>#,##0</c:formatCode>
                <c:ptCount val="50"/>
                <c:pt idx="0">
                  <c:v>4.206896E6</c:v>
                </c:pt>
                <c:pt idx="1">
                  <c:v>2.460471E6</c:v>
                </c:pt>
                <c:pt idx="2">
                  <c:v>2.699418E6</c:v>
                </c:pt>
                <c:pt idx="3">
                  <c:v>2.62634E6</c:v>
                </c:pt>
                <c:pt idx="4">
                  <c:v>2.452168E6</c:v>
                </c:pt>
                <c:pt idx="5">
                  <c:v>4.828579E6</c:v>
                </c:pt>
                <c:pt idx="6">
                  <c:v>2.809996E6</c:v>
                </c:pt>
                <c:pt idx="7">
                  <c:v>7.310964E6</c:v>
                </c:pt>
                <c:pt idx="8">
                  <c:v>54783.0</c:v>
                </c:pt>
                <c:pt idx="9">
                  <c:v>7.310964E6</c:v>
                </c:pt>
                <c:pt idx="10">
                  <c:v>54783.0</c:v>
                </c:pt>
                <c:pt idx="11">
                  <c:v>2.056878E6</c:v>
                </c:pt>
                <c:pt idx="12">
                  <c:v>448773.0</c:v>
                </c:pt>
                <c:pt idx="13">
                  <c:v>4.298734E6</c:v>
                </c:pt>
                <c:pt idx="14">
                  <c:v>3.169697E6</c:v>
                </c:pt>
                <c:pt idx="15">
                  <c:v>1.4433526E7</c:v>
                </c:pt>
                <c:pt idx="16">
                  <c:v>1.2918874E7</c:v>
                </c:pt>
                <c:pt idx="17">
                  <c:v>1.7402547E7</c:v>
                </c:pt>
                <c:pt idx="18">
                  <c:v>1.4945199E7</c:v>
                </c:pt>
                <c:pt idx="19">
                  <c:v>9.564242E6</c:v>
                </c:pt>
                <c:pt idx="20">
                  <c:v>1.7631675E7</c:v>
                </c:pt>
                <c:pt idx="21">
                  <c:v>1.7590108E7</c:v>
                </c:pt>
                <c:pt idx="22">
                  <c:v>4.578023E6</c:v>
                </c:pt>
                <c:pt idx="23">
                  <c:v>1.1694727E7</c:v>
                </c:pt>
                <c:pt idx="24">
                  <c:v>795772.0</c:v>
                </c:pt>
                <c:pt idx="25">
                  <c:v>3.510074E6</c:v>
                </c:pt>
                <c:pt idx="26">
                  <c:v>1.1687757E7</c:v>
                </c:pt>
                <c:pt idx="27">
                  <c:v>5.818984E6</c:v>
                </c:pt>
                <c:pt idx="28">
                  <c:v>862846.0</c:v>
                </c:pt>
                <c:pt idx="29">
                  <c:v>477302.0</c:v>
                </c:pt>
                <c:pt idx="30">
                  <c:v>3.257358E6</c:v>
                </c:pt>
                <c:pt idx="31">
                  <c:v>2.744024E6</c:v>
                </c:pt>
                <c:pt idx="32">
                  <c:v>3.016749E6</c:v>
                </c:pt>
                <c:pt idx="33">
                  <c:v>1.088828E6</c:v>
                </c:pt>
                <c:pt idx="34">
                  <c:v>3.692143E6</c:v>
                </c:pt>
                <c:pt idx="35">
                  <c:v>6.793207E6</c:v>
                </c:pt>
                <c:pt idx="36">
                  <c:v>5.660513E6</c:v>
                </c:pt>
                <c:pt idx="37">
                  <c:v>6.70593670040738E6</c:v>
                </c:pt>
                <c:pt idx="38">
                  <c:v>236842.5455660675</c:v>
                </c:pt>
                <c:pt idx="39">
                  <c:v>4.49394873148597E6</c:v>
                </c:pt>
                <c:pt idx="40">
                  <c:v>2.87087429198372E6</c:v>
                </c:pt>
                <c:pt idx="41">
                  <c:v>1.22561068281782E7</c:v>
                </c:pt>
                <c:pt idx="42">
                  <c:v>1.98312071612934E6</c:v>
                </c:pt>
                <c:pt idx="43">
                  <c:v>9.96766328956036E6</c:v>
                </c:pt>
                <c:pt idx="44">
                  <c:v>1.37115642601963E6</c:v>
                </c:pt>
                <c:pt idx="45">
                  <c:v>910000.6995797429</c:v>
                </c:pt>
                <c:pt idx="46">
                  <c:v>2.32541260968194E6</c:v>
                </c:pt>
                <c:pt idx="47">
                  <c:v>5.564873E6</c:v>
                </c:pt>
                <c:pt idx="48">
                  <c:v>3.28858030084719E6</c:v>
                </c:pt>
                <c:pt idx="49">
                  <c:v>1.7267227E7</c:v>
                </c:pt>
              </c:numCache>
            </c:numRef>
          </c:val>
        </c:ser>
        <c:dLbls>
          <c:showLegendKey val="0"/>
          <c:showVal val="0"/>
          <c:showCatName val="0"/>
          <c:showSerName val="0"/>
          <c:showPercent val="0"/>
          <c:showBubbleSize val="0"/>
        </c:dLbls>
        <c:gapWidth val="150"/>
        <c:axId val="-2093578936"/>
        <c:axId val="-2093586888"/>
      </c:barChart>
      <c:lineChart>
        <c:grouping val="standard"/>
        <c:varyColors val="0"/>
        <c:ser>
          <c:idx val="0"/>
          <c:order val="1"/>
          <c:spPr>
            <a:ln w="25400">
              <a:solidFill>
                <a:srgbClr val="000080"/>
              </a:solidFill>
              <a:prstDash val="solid"/>
            </a:ln>
          </c:spPr>
          <c:marker>
            <c:symbol val="diamond"/>
            <c:size val="7"/>
            <c:spPr>
              <a:solidFill>
                <a:srgbClr val="000080"/>
              </a:solidFill>
              <a:ln>
                <a:solidFill>
                  <a:srgbClr val="000080"/>
                </a:solidFill>
                <a:prstDash val="solid"/>
              </a:ln>
            </c:spPr>
          </c:marker>
          <c:val>
            <c:numRef>
              <c:f>Lag1_Exp_smoothing_Harvest!$C$10:$C$59</c:f>
              <c:numCache>
                <c:formatCode>#,##0</c:formatCode>
                <c:ptCount val="50"/>
                <c:pt idx="0">
                  <c:v>6.36538437715069E6</c:v>
                </c:pt>
                <c:pt idx="1">
                  <c:v>5.80309177933325E6</c:v>
                </c:pt>
                <c:pt idx="2">
                  <c:v>4.93232919315202E6</c:v>
                </c:pt>
                <c:pt idx="3">
                  <c:v>4.35064923194209E6</c:v>
                </c:pt>
                <c:pt idx="4">
                  <c:v>3.90146158389499E6</c:v>
                </c:pt>
                <c:pt idx="5">
                  <c:v>3.52391632448331E6</c:v>
                </c:pt>
                <c:pt idx="6">
                  <c:v>3.86378480506328E6</c:v>
                </c:pt>
                <c:pt idx="7">
                  <c:v>3.58926970874752E6</c:v>
                </c:pt>
                <c:pt idx="8">
                  <c:v>4.55878206446062E6</c:v>
                </c:pt>
                <c:pt idx="9">
                  <c:v>3.38547700461776E6</c:v>
                </c:pt>
                <c:pt idx="10">
                  <c:v>4.4080779617032E6</c:v>
                </c:pt>
                <c:pt idx="11">
                  <c:v>3.27403176576633E6</c:v>
                </c:pt>
                <c:pt idx="12">
                  <c:v>2.95695961465312E6</c:v>
                </c:pt>
                <c:pt idx="13">
                  <c:v>2.30356959305571E6</c:v>
                </c:pt>
                <c:pt idx="14">
                  <c:v>2.82331581422115E6</c:v>
                </c:pt>
                <c:pt idx="15">
                  <c:v>2.91354913622948E6</c:v>
                </c:pt>
                <c:pt idx="16">
                  <c:v>5.91453713602456E6</c:v>
                </c:pt>
                <c:pt idx="17">
                  <c:v>7.73918757793809E6</c:v>
                </c:pt>
                <c:pt idx="18">
                  <c:v>1.02565212502405E7</c:v>
                </c:pt>
                <c:pt idx="19">
                  <c:v>1.14779356530928E7</c:v>
                </c:pt>
                <c:pt idx="20">
                  <c:v>1.09794128039474E7</c:v>
                </c:pt>
                <c:pt idx="21">
                  <c:v>1.27123467549372E7</c:v>
                </c:pt>
                <c:pt idx="22">
                  <c:v>1.39830179668156E7</c:v>
                </c:pt>
                <c:pt idx="23">
                  <c:v>1.1532988998241E7</c:v>
                </c:pt>
                <c:pt idx="24">
                  <c:v>1.1575122225428E7</c:v>
                </c:pt>
                <c:pt idx="25">
                  <c:v>8.76706965252464E6</c:v>
                </c:pt>
                <c:pt idx="26">
                  <c:v>7.39760675735024E6</c:v>
                </c:pt>
                <c:pt idx="27">
                  <c:v>8.51520356746188E6</c:v>
                </c:pt>
                <c:pt idx="28">
                  <c:v>7.81283040626115E6</c:v>
                </c:pt>
                <c:pt idx="29">
                  <c:v>6.00233894012411E6</c:v>
                </c:pt>
                <c:pt idx="30">
                  <c:v>4.56305049781121E6</c:v>
                </c:pt>
                <c:pt idx="31">
                  <c:v>4.22291374548171E6</c:v>
                </c:pt>
                <c:pt idx="32">
                  <c:v>3.83765859855791E6</c:v>
                </c:pt>
                <c:pt idx="33">
                  <c:v>3.62380922339671E6</c:v>
                </c:pt>
                <c:pt idx="34">
                  <c:v>2.96343912707783E6</c:v>
                </c:pt>
                <c:pt idx="35">
                  <c:v>3.15326863836106E6</c:v>
                </c:pt>
                <c:pt idx="36">
                  <c:v>4.10148333292573E6</c:v>
                </c:pt>
                <c:pt idx="37">
                  <c:v>4.50761516613525E6</c:v>
                </c:pt>
                <c:pt idx="38">
                  <c:v>5.08028441903881E6</c:v>
                </c:pt>
                <c:pt idx="39">
                  <c:v>3.81855350482938E6</c:v>
                </c:pt>
                <c:pt idx="40">
                  <c:v>3.99449595630162E6</c:v>
                </c:pt>
                <c:pt idx="41">
                  <c:v>3.70178919388334E6</c:v>
                </c:pt>
                <c:pt idx="42">
                  <c:v>5.93021420467385E6</c:v>
                </c:pt>
                <c:pt idx="43">
                  <c:v>4.90198469230012E6</c:v>
                </c:pt>
                <c:pt idx="44">
                  <c:v>6.2216089294812E6</c:v>
                </c:pt>
                <c:pt idx="45">
                  <c:v>4.95805172545223E6</c:v>
                </c:pt>
                <c:pt idx="46">
                  <c:v>3.9035224764043E6</c:v>
                </c:pt>
                <c:pt idx="47">
                  <c:v>3.49242019482889E6</c:v>
                </c:pt>
                <c:pt idx="48">
                  <c:v>4.03230027202068E6</c:v>
                </c:pt>
                <c:pt idx="49">
                  <c:v>3.83855902278964E6</c:v>
                </c:pt>
              </c:numCache>
            </c:numRef>
          </c:val>
          <c:smooth val="0"/>
        </c:ser>
        <c:dLbls>
          <c:showLegendKey val="0"/>
          <c:showVal val="0"/>
          <c:showCatName val="0"/>
          <c:showSerName val="0"/>
          <c:showPercent val="0"/>
          <c:showBubbleSize val="0"/>
        </c:dLbls>
        <c:marker val="1"/>
        <c:smooth val="0"/>
        <c:axId val="-2093761464"/>
        <c:axId val="-2093656264"/>
      </c:lineChart>
      <c:catAx>
        <c:axId val="-209357893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093586888"/>
        <c:crosses val="autoZero"/>
        <c:auto val="0"/>
        <c:lblAlgn val="ctr"/>
        <c:lblOffset val="100"/>
        <c:tickLblSkip val="5"/>
        <c:tickMarkSkip val="1"/>
        <c:noMultiLvlLbl val="0"/>
      </c:catAx>
      <c:valAx>
        <c:axId val="-2093586888"/>
        <c:scaling>
          <c:orientation val="minMax"/>
        </c:scaling>
        <c:delete val="0"/>
        <c:axPos val="l"/>
        <c:numFmt formatCode="#,##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2093578936"/>
        <c:crosses val="autoZero"/>
        <c:crossBetween val="between"/>
      </c:valAx>
      <c:catAx>
        <c:axId val="-2093761464"/>
        <c:scaling>
          <c:orientation val="minMax"/>
        </c:scaling>
        <c:delete val="1"/>
        <c:axPos val="b"/>
        <c:majorTickMark val="out"/>
        <c:minorTickMark val="none"/>
        <c:tickLblPos val="nextTo"/>
        <c:crossAx val="-2093656264"/>
        <c:crosses val="autoZero"/>
        <c:auto val="0"/>
        <c:lblAlgn val="ctr"/>
        <c:lblOffset val="100"/>
        <c:noMultiLvlLbl val="0"/>
      </c:catAx>
      <c:valAx>
        <c:axId val="-2093656264"/>
        <c:scaling>
          <c:orientation val="minMax"/>
        </c:scaling>
        <c:delete val="1"/>
        <c:axPos val="l"/>
        <c:numFmt formatCode="#,##0" sourceLinked="1"/>
        <c:majorTickMark val="out"/>
        <c:minorTickMark val="none"/>
        <c:tickLblPos val="nextTo"/>
        <c:crossAx val="-2093761464"/>
        <c:crosses val="autoZero"/>
        <c:crossBetween val="between"/>
      </c:valAx>
      <c:spPr>
        <a:solidFill>
          <a:srgbClr val="FFFFFF"/>
        </a:solidFill>
        <a:ln w="25400">
          <a:noFill/>
        </a:ln>
      </c:spPr>
    </c:plotArea>
    <c:legend>
      <c:legendPos val="r"/>
      <c:layout>
        <c:manualLayout>
          <c:xMode val="edge"/>
          <c:yMode val="edge"/>
          <c:x val="0.659738171414705"/>
          <c:y val="0.0470616055068588"/>
          <c:w val="0.258606050156139"/>
          <c:h val="0.232372109146734"/>
        </c:manualLayout>
      </c:layout>
      <c:overlay val="0"/>
      <c:spPr>
        <a:solidFill>
          <a:srgbClr val="FFFFFF"/>
        </a:solidFill>
        <a:ln w="25400">
          <a:noFill/>
        </a:ln>
      </c:spPr>
      <c:txPr>
        <a:bodyPr/>
        <a:lstStyle/>
        <a:p>
          <a:pPr>
            <a:defRPr sz="1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0" l="0.75" r="0.75" t="1.0"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036544128303"/>
          <c:y val="0.042701998788613"/>
          <c:w val="0.847092290227525"/>
          <c:h val="0.914596002422774"/>
        </c:manualLayout>
      </c:layout>
      <c:barChart>
        <c:barDir val="col"/>
        <c:grouping val="clustered"/>
        <c:varyColors val="0"/>
        <c:ser>
          <c:idx val="0"/>
          <c:order val="0"/>
          <c:invertIfNegative val="0"/>
          <c:dLbls>
            <c:dLbl>
              <c:idx val="2"/>
              <c:delete val="1"/>
            </c:dLbl>
            <c:dLbl>
              <c:idx val="3"/>
              <c:delete val="1"/>
            </c:dLbl>
            <c:dLbl>
              <c:idx val="17"/>
              <c:delete val="1"/>
            </c:dLbl>
            <c:dLbl>
              <c:idx val="21"/>
              <c:delete val="1"/>
            </c:dLbl>
            <c:dLbl>
              <c:idx val="34"/>
              <c:delete val="1"/>
            </c:dLbl>
            <c:dLbl>
              <c:idx val="36"/>
              <c:delete val="1"/>
            </c:dLbl>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Lag1_Exp_smoothing_Harvest!$A$10:$A$59</c:f>
              <c:numCache>
                <c:formatCode>General</c:formatCode>
                <c:ptCount val="50"/>
                <c:pt idx="0">
                  <c:v>1964.0</c:v>
                </c:pt>
                <c:pt idx="1">
                  <c:v>1965.0</c:v>
                </c:pt>
                <c:pt idx="2">
                  <c:v>1966.0</c:v>
                </c:pt>
                <c:pt idx="3">
                  <c:v>1967.0</c:v>
                </c:pt>
                <c:pt idx="4">
                  <c:v>1968.0</c:v>
                </c:pt>
                <c:pt idx="5">
                  <c:v>1969.0</c:v>
                </c:pt>
                <c:pt idx="6">
                  <c:v>1970.0</c:v>
                </c:pt>
                <c:pt idx="7">
                  <c:v>1971.0</c:v>
                </c:pt>
                <c:pt idx="8">
                  <c:v>1972.0</c:v>
                </c:pt>
                <c:pt idx="9">
                  <c:v>1973.0</c:v>
                </c:pt>
                <c:pt idx="10">
                  <c:v>1974.0</c:v>
                </c:pt>
                <c:pt idx="11">
                  <c:v>1975.0</c:v>
                </c:pt>
                <c:pt idx="12">
                  <c:v>1976.0</c:v>
                </c:pt>
                <c:pt idx="13">
                  <c:v>1977.0</c:v>
                </c:pt>
                <c:pt idx="14">
                  <c:v>1978.0</c:v>
                </c:pt>
                <c:pt idx="15">
                  <c:v>1979.0</c:v>
                </c:pt>
                <c:pt idx="16">
                  <c:v>1980.0</c:v>
                </c:pt>
                <c:pt idx="17">
                  <c:v>1981.0</c:v>
                </c:pt>
                <c:pt idx="18">
                  <c:v>1982.0</c:v>
                </c:pt>
                <c:pt idx="19">
                  <c:v>1983.0</c:v>
                </c:pt>
                <c:pt idx="20">
                  <c:v>1984.0</c:v>
                </c:pt>
                <c:pt idx="21">
                  <c:v>1985.0</c:v>
                </c:pt>
                <c:pt idx="22">
                  <c:v>1986.0</c:v>
                </c:pt>
                <c:pt idx="23">
                  <c:v>1987.0</c:v>
                </c:pt>
                <c:pt idx="24">
                  <c:v>1988.0</c:v>
                </c:pt>
                <c:pt idx="25">
                  <c:v>1989.0</c:v>
                </c:pt>
                <c:pt idx="26">
                  <c:v>1990.0</c:v>
                </c:pt>
                <c:pt idx="27">
                  <c:v>1991.0</c:v>
                </c:pt>
                <c:pt idx="28">
                  <c:v>1992.0</c:v>
                </c:pt>
                <c:pt idx="29">
                  <c:v>1993.0</c:v>
                </c:pt>
                <c:pt idx="30">
                  <c:v>1994.0</c:v>
                </c:pt>
                <c:pt idx="31">
                  <c:v>1995.0</c:v>
                </c:pt>
                <c:pt idx="32">
                  <c:v>1996.0</c:v>
                </c:pt>
                <c:pt idx="33">
                  <c:v>1997.0</c:v>
                </c:pt>
                <c:pt idx="34">
                  <c:v>1998.0</c:v>
                </c:pt>
                <c:pt idx="35">
                  <c:v>1999.0</c:v>
                </c:pt>
                <c:pt idx="36">
                  <c:v>2000.0</c:v>
                </c:pt>
                <c:pt idx="37">
                  <c:v>2001.0</c:v>
                </c:pt>
                <c:pt idx="38">
                  <c:v>2002.0</c:v>
                </c:pt>
                <c:pt idx="39">
                  <c:v>2003.0</c:v>
                </c:pt>
                <c:pt idx="40">
                  <c:v>2004.0</c:v>
                </c:pt>
                <c:pt idx="41">
                  <c:v>2005.0</c:v>
                </c:pt>
                <c:pt idx="42">
                  <c:v>2006.0</c:v>
                </c:pt>
                <c:pt idx="43">
                  <c:v>2007.0</c:v>
                </c:pt>
                <c:pt idx="44">
                  <c:v>2008.0</c:v>
                </c:pt>
                <c:pt idx="45">
                  <c:v>2009.0</c:v>
                </c:pt>
                <c:pt idx="46">
                  <c:v>2010.0</c:v>
                </c:pt>
                <c:pt idx="47">
                  <c:v>2011.0</c:v>
                </c:pt>
                <c:pt idx="48">
                  <c:v>2012.0</c:v>
                </c:pt>
                <c:pt idx="49">
                  <c:v>2013.0</c:v>
                </c:pt>
              </c:numCache>
            </c:numRef>
          </c:cat>
          <c:val>
            <c:numRef>
              <c:f>Lag1_Exp_smoothing_Harvest!$F$10:$F$59</c:f>
              <c:numCache>
                <c:formatCode>0%</c:formatCode>
                <c:ptCount val="50"/>
                <c:pt idx="0">
                  <c:v>0.513083370054951</c:v>
                </c:pt>
                <c:pt idx="1">
                  <c:v>1.358528826120385</c:v>
                </c:pt>
                <c:pt idx="2">
                  <c:v>0.827182449384282</c:v>
                </c:pt>
                <c:pt idx="3">
                  <c:v>0.656544557042154</c:v>
                </c:pt>
                <c:pt idx="4">
                  <c:v>0.591025404415599</c:v>
                </c:pt>
                <c:pt idx="5">
                  <c:v>-0.270195988409156</c:v>
                </c:pt>
                <c:pt idx="6">
                  <c:v>0.375014343459307</c:v>
                </c:pt>
                <c:pt idx="7">
                  <c:v>-0.509056574653148</c:v>
                </c:pt>
                <c:pt idx="8">
                  <c:v>82.2152686866476</c:v>
                </c:pt>
                <c:pt idx="9">
                  <c:v>-0.536931517564884</c:v>
                </c:pt>
                <c:pt idx="10">
                  <c:v>79.46434042865836</c:v>
                </c:pt>
                <c:pt idx="11">
                  <c:v>0.591748157044962</c:v>
                </c:pt>
                <c:pt idx="12">
                  <c:v>5.588987338037529</c:v>
                </c:pt>
                <c:pt idx="13">
                  <c:v>-0.464128370572427</c:v>
                </c:pt>
                <c:pt idx="14">
                  <c:v>-0.109278958139799</c:v>
                </c:pt>
                <c:pt idx="15">
                  <c:v>-0.798140167812807</c:v>
                </c:pt>
                <c:pt idx="16">
                  <c:v>-0.542178588008169</c:v>
                </c:pt>
                <c:pt idx="17">
                  <c:v>-0.555284201908026</c:v>
                </c:pt>
                <c:pt idx="18">
                  <c:v>-0.313724678390664</c:v>
                </c:pt>
                <c:pt idx="19">
                  <c:v>0.200088376380773</c:v>
                </c:pt>
                <c:pt idx="20">
                  <c:v>-0.377290427373041</c:v>
                </c:pt>
                <c:pt idx="21">
                  <c:v>-0.277301381268542</c:v>
                </c:pt>
                <c:pt idx="22">
                  <c:v>2.054379142877968</c:v>
                </c:pt>
                <c:pt idx="23">
                  <c:v>-0.0138299937877097</c:v>
                </c:pt>
                <c:pt idx="24">
                  <c:v>13.54577721436288</c:v>
                </c:pt>
                <c:pt idx="25">
                  <c:v>1.497687983935563</c:v>
                </c:pt>
                <c:pt idx="26">
                  <c:v>-0.367063607041947</c:v>
                </c:pt>
                <c:pt idx="27">
                  <c:v>0.463348853934274</c:v>
                </c:pt>
                <c:pt idx="28">
                  <c:v>8.054721707304836</c:v>
                </c:pt>
                <c:pt idx="29">
                  <c:v>11.57555790699413</c:v>
                </c:pt>
                <c:pt idx="30">
                  <c:v>0.400844026911137</c:v>
                </c:pt>
                <c:pt idx="31">
                  <c:v>0.538949275036117</c:v>
                </c:pt>
                <c:pt idx="32">
                  <c:v>0.272117301955819</c:v>
                </c:pt>
                <c:pt idx="33">
                  <c:v>2.32817416836884</c:v>
                </c:pt>
                <c:pt idx="34">
                  <c:v>-0.19736610226694</c:v>
                </c:pt>
                <c:pt idx="35">
                  <c:v>-0.535820321924379</c:v>
                </c:pt>
                <c:pt idx="36">
                  <c:v>-0.275421974487873</c:v>
                </c:pt>
                <c:pt idx="37">
                  <c:v>-0.327817221140574</c:v>
                </c:pt>
                <c:pt idx="38">
                  <c:v>20.45004989241538</c:v>
                </c:pt>
                <c:pt idx="39">
                  <c:v>-0.150289926968808</c:v>
                </c:pt>
                <c:pt idx="40">
                  <c:v>0.391386577759734</c:v>
                </c:pt>
                <c:pt idx="41">
                  <c:v>-0.697963697136476</c:v>
                </c:pt>
                <c:pt idx="42">
                  <c:v>1.99034453951369</c:v>
                </c:pt>
                <c:pt idx="43">
                  <c:v>-0.508211247721999</c:v>
                </c:pt>
                <c:pt idx="44">
                  <c:v>3.53749026107991</c:v>
                </c:pt>
                <c:pt idx="45">
                  <c:v>4.448404300943906</c:v>
                </c:pt>
                <c:pt idx="46">
                  <c:v>0.678636496659496</c:v>
                </c:pt>
                <c:pt idx="47">
                  <c:v>-0.372416909634975</c:v>
                </c:pt>
                <c:pt idx="48">
                  <c:v>0.226152291607993</c:v>
                </c:pt>
                <c:pt idx="49">
                  <c:v>-0.777696846008358</c:v>
                </c:pt>
              </c:numCache>
            </c:numRef>
          </c:val>
        </c:ser>
        <c:dLbls>
          <c:showLegendKey val="0"/>
          <c:showVal val="0"/>
          <c:showCatName val="0"/>
          <c:showSerName val="0"/>
          <c:showPercent val="0"/>
          <c:showBubbleSize val="0"/>
        </c:dLbls>
        <c:gapWidth val="150"/>
        <c:axId val="-2093649944"/>
        <c:axId val="-2097593016"/>
      </c:barChart>
      <c:catAx>
        <c:axId val="-2093649944"/>
        <c:scaling>
          <c:orientation val="minMax"/>
        </c:scaling>
        <c:delete val="0"/>
        <c:axPos val="b"/>
        <c:numFmt formatCode="General" sourceLinked="1"/>
        <c:majorTickMark val="out"/>
        <c:minorTickMark val="none"/>
        <c:tickLblPos val="low"/>
        <c:txPr>
          <a:bodyPr rot="0" vert="horz"/>
          <a:lstStyle/>
          <a:p>
            <a:pPr>
              <a:defRPr sz="1100" b="0" i="0" u="none" strike="noStrike" baseline="0">
                <a:solidFill>
                  <a:srgbClr val="000000"/>
                </a:solidFill>
                <a:latin typeface="Arial"/>
                <a:ea typeface="Arial"/>
                <a:cs typeface="Arial"/>
              </a:defRPr>
            </a:pPr>
            <a:endParaRPr lang="en-US"/>
          </a:p>
        </c:txPr>
        <c:crossAx val="-2097593016"/>
        <c:crosses val="autoZero"/>
        <c:auto val="1"/>
        <c:lblAlgn val="ctr"/>
        <c:lblOffset val="100"/>
        <c:tickLblSkip val="5"/>
        <c:noMultiLvlLbl val="0"/>
      </c:catAx>
      <c:valAx>
        <c:axId val="-2097593016"/>
        <c:scaling>
          <c:orientation val="minMax"/>
        </c:scaling>
        <c:delete val="0"/>
        <c:axPos val="l"/>
        <c:title>
          <c:tx>
            <c:rich>
              <a:bodyPr/>
              <a:lstStyle/>
              <a:p>
                <a:pPr>
                  <a:defRPr sz="1200" b="1" i="0" u="none" strike="noStrike" baseline="0">
                    <a:solidFill>
                      <a:srgbClr val="000000"/>
                    </a:solidFill>
                    <a:latin typeface="Arial"/>
                    <a:ea typeface="Arial"/>
                    <a:cs typeface="Arial"/>
                  </a:defRPr>
                </a:pPr>
                <a:r>
                  <a:rPr lang="en-US"/>
                  <a:t>% Forecast Error</a:t>
                </a:r>
              </a:p>
            </c:rich>
          </c:tx>
          <c:overlay val="0"/>
        </c:title>
        <c:numFmt formatCode="0%" sourceLinked="1"/>
        <c:majorTickMark val="out"/>
        <c:minorTickMark val="none"/>
        <c:tickLblPos val="nextTo"/>
        <c:txPr>
          <a:bodyPr rot="0" vert="horz"/>
          <a:lstStyle/>
          <a:p>
            <a:pPr>
              <a:defRPr sz="1100" b="0" i="0" u="none" strike="noStrike" baseline="0">
                <a:solidFill>
                  <a:srgbClr val="000000"/>
                </a:solidFill>
                <a:latin typeface="Arial"/>
                <a:ea typeface="Arial"/>
                <a:cs typeface="Arial"/>
              </a:defRPr>
            </a:pPr>
            <a:endParaRPr lang="en-US"/>
          </a:p>
        </c:txPr>
        <c:crossAx val="-2093649944"/>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Wild PWS Pink salmon</a:t>
            </a:r>
          </a:p>
        </c:rich>
      </c:tx>
      <c:overlay val="1"/>
    </c:title>
    <c:autoTitleDeleted val="0"/>
    <c:plotArea>
      <c:layout>
        <c:manualLayout>
          <c:layoutTarget val="inner"/>
          <c:xMode val="edge"/>
          <c:yMode val="edge"/>
          <c:x val="0.124883005853893"/>
          <c:y val="0.0386681765113809"/>
          <c:w val="0.90598887446313"/>
          <c:h val="0.783176981166594"/>
        </c:manualLayout>
      </c:layout>
      <c:barChart>
        <c:barDir val="col"/>
        <c:grouping val="clustered"/>
        <c:varyColors val="0"/>
        <c:ser>
          <c:idx val="1"/>
          <c:order val="0"/>
          <c:spPr>
            <a:solidFill>
              <a:srgbClr val="FFFFFF"/>
            </a:solidFill>
            <a:ln w="12700">
              <a:solidFill>
                <a:srgbClr val="000000"/>
              </a:solidFill>
              <a:prstDash val="solid"/>
            </a:ln>
          </c:spPr>
          <c:invertIfNegative val="0"/>
          <c:cat>
            <c:numRef>
              <c:f>'Lag1_Exp_smoothing_Total Run'!$A$10:$A$59</c:f>
              <c:numCache>
                <c:formatCode>General</c:formatCode>
                <c:ptCount val="50"/>
                <c:pt idx="0">
                  <c:v>1964.0</c:v>
                </c:pt>
                <c:pt idx="1">
                  <c:v>1965.0</c:v>
                </c:pt>
                <c:pt idx="2">
                  <c:v>1966.0</c:v>
                </c:pt>
                <c:pt idx="3">
                  <c:v>1967.0</c:v>
                </c:pt>
                <c:pt idx="4">
                  <c:v>1968.0</c:v>
                </c:pt>
                <c:pt idx="5">
                  <c:v>1969.0</c:v>
                </c:pt>
                <c:pt idx="6">
                  <c:v>1970.0</c:v>
                </c:pt>
                <c:pt idx="7">
                  <c:v>1971.0</c:v>
                </c:pt>
                <c:pt idx="8">
                  <c:v>1972.0</c:v>
                </c:pt>
                <c:pt idx="9">
                  <c:v>1973.0</c:v>
                </c:pt>
                <c:pt idx="10">
                  <c:v>1974.0</c:v>
                </c:pt>
                <c:pt idx="11">
                  <c:v>1975.0</c:v>
                </c:pt>
                <c:pt idx="12">
                  <c:v>1976.0</c:v>
                </c:pt>
                <c:pt idx="13">
                  <c:v>1977.0</c:v>
                </c:pt>
                <c:pt idx="14">
                  <c:v>1978.0</c:v>
                </c:pt>
                <c:pt idx="15">
                  <c:v>1979.0</c:v>
                </c:pt>
                <c:pt idx="16">
                  <c:v>1980.0</c:v>
                </c:pt>
                <c:pt idx="17">
                  <c:v>1981.0</c:v>
                </c:pt>
                <c:pt idx="18">
                  <c:v>1982.0</c:v>
                </c:pt>
                <c:pt idx="19">
                  <c:v>1983.0</c:v>
                </c:pt>
                <c:pt idx="20">
                  <c:v>1984.0</c:v>
                </c:pt>
                <c:pt idx="21">
                  <c:v>1985.0</c:v>
                </c:pt>
                <c:pt idx="22">
                  <c:v>1986.0</c:v>
                </c:pt>
                <c:pt idx="23">
                  <c:v>1987.0</c:v>
                </c:pt>
                <c:pt idx="24">
                  <c:v>1988.0</c:v>
                </c:pt>
                <c:pt idx="25">
                  <c:v>1989.0</c:v>
                </c:pt>
                <c:pt idx="26">
                  <c:v>1990.0</c:v>
                </c:pt>
                <c:pt idx="27">
                  <c:v>1991.0</c:v>
                </c:pt>
                <c:pt idx="28">
                  <c:v>1992.0</c:v>
                </c:pt>
                <c:pt idx="29">
                  <c:v>1993.0</c:v>
                </c:pt>
                <c:pt idx="30">
                  <c:v>1994.0</c:v>
                </c:pt>
                <c:pt idx="31">
                  <c:v>1995.0</c:v>
                </c:pt>
                <c:pt idx="32">
                  <c:v>1996.0</c:v>
                </c:pt>
                <c:pt idx="33">
                  <c:v>1997.0</c:v>
                </c:pt>
                <c:pt idx="34">
                  <c:v>1998.0</c:v>
                </c:pt>
                <c:pt idx="35">
                  <c:v>1999.0</c:v>
                </c:pt>
                <c:pt idx="36">
                  <c:v>2000.0</c:v>
                </c:pt>
                <c:pt idx="37">
                  <c:v>2001.0</c:v>
                </c:pt>
                <c:pt idx="38">
                  <c:v>2002.0</c:v>
                </c:pt>
                <c:pt idx="39">
                  <c:v>2003.0</c:v>
                </c:pt>
                <c:pt idx="40">
                  <c:v>2004.0</c:v>
                </c:pt>
                <c:pt idx="41">
                  <c:v>2005.0</c:v>
                </c:pt>
                <c:pt idx="42">
                  <c:v>2006.0</c:v>
                </c:pt>
                <c:pt idx="43">
                  <c:v>2007.0</c:v>
                </c:pt>
                <c:pt idx="44">
                  <c:v>2008.0</c:v>
                </c:pt>
                <c:pt idx="45">
                  <c:v>2009.0</c:v>
                </c:pt>
                <c:pt idx="46">
                  <c:v>2010.0</c:v>
                </c:pt>
                <c:pt idx="47">
                  <c:v>2011.0</c:v>
                </c:pt>
                <c:pt idx="48">
                  <c:v>2012.0</c:v>
                </c:pt>
                <c:pt idx="49">
                  <c:v>2013.0</c:v>
                </c:pt>
              </c:numCache>
            </c:numRef>
          </c:cat>
          <c:val>
            <c:numRef>
              <c:f>'Lag1_Exp_smoothing_Total Run'!$B$10:$B$59</c:f>
              <c:numCache>
                <c:formatCode>#,##0</c:formatCode>
                <c:ptCount val="50"/>
                <c:pt idx="0">
                  <c:v>6.048576E6</c:v>
                </c:pt>
                <c:pt idx="1">
                  <c:v>3.436427E6</c:v>
                </c:pt>
                <c:pt idx="2">
                  <c:v>4.122588E6</c:v>
                </c:pt>
                <c:pt idx="3">
                  <c:v>3.4686E6</c:v>
                </c:pt>
                <c:pt idx="4">
                  <c:v>3.608678E6</c:v>
                </c:pt>
                <c:pt idx="5">
                  <c:v>5.233149E6</c:v>
                </c:pt>
                <c:pt idx="6">
                  <c:v>3.789216E6</c:v>
                </c:pt>
                <c:pt idx="7">
                  <c:v>8.423514E6</c:v>
                </c:pt>
                <c:pt idx="8">
                  <c:v>695963.0</c:v>
                </c:pt>
                <c:pt idx="9">
                  <c:v>8.535974E6</c:v>
                </c:pt>
                <c:pt idx="10">
                  <c:v>1.012903E6</c:v>
                </c:pt>
                <c:pt idx="11">
                  <c:v>3.322438E6</c:v>
                </c:pt>
                <c:pt idx="12">
                  <c:v>1.161051E6</c:v>
                </c:pt>
                <c:pt idx="13">
                  <c:v>5.816401E6</c:v>
                </c:pt>
                <c:pt idx="14">
                  <c:v>3.925083E6</c:v>
                </c:pt>
                <c:pt idx="15">
                  <c:v>1.7335503E7</c:v>
                </c:pt>
                <c:pt idx="16">
                  <c:v>1.4013916E7</c:v>
                </c:pt>
                <c:pt idx="17">
                  <c:v>1.9568866E7</c:v>
                </c:pt>
                <c:pt idx="18">
                  <c:v>1.6794317E7</c:v>
                </c:pt>
                <c:pt idx="19">
                  <c:v>1.1567348E7</c:v>
                </c:pt>
                <c:pt idx="20">
                  <c:v>2.1201513E7</c:v>
                </c:pt>
                <c:pt idx="21">
                  <c:v>1.9938105E7</c:v>
                </c:pt>
                <c:pt idx="22">
                  <c:v>5.563957E6</c:v>
                </c:pt>
                <c:pt idx="23">
                  <c:v>1.3066944E7</c:v>
                </c:pt>
                <c:pt idx="24">
                  <c:v>1.766936E6</c:v>
                </c:pt>
                <c:pt idx="25">
                  <c:v>4.74375E6</c:v>
                </c:pt>
                <c:pt idx="26">
                  <c:v>1.2923662E7</c:v>
                </c:pt>
                <c:pt idx="27">
                  <c:v>7.544776E6</c:v>
                </c:pt>
                <c:pt idx="28">
                  <c:v>1.405383E6</c:v>
                </c:pt>
                <c:pt idx="29">
                  <c:v>1.542942E6</c:v>
                </c:pt>
                <c:pt idx="30">
                  <c:v>4.666639E6</c:v>
                </c:pt>
                <c:pt idx="31">
                  <c:v>3.934208E6</c:v>
                </c:pt>
                <c:pt idx="32">
                  <c:v>4.500085E6</c:v>
                </c:pt>
                <c:pt idx="33">
                  <c:v>2.588682E6</c:v>
                </c:pt>
                <c:pt idx="34">
                  <c:v>5.2742755E6</c:v>
                </c:pt>
                <c:pt idx="35">
                  <c:v>9.405198E6</c:v>
                </c:pt>
                <c:pt idx="36">
                  <c:v>7.389941E6</c:v>
                </c:pt>
                <c:pt idx="37">
                  <c:v>8.85467698080419E6</c:v>
                </c:pt>
                <c:pt idx="38">
                  <c:v>1.26464531020259E6</c:v>
                </c:pt>
                <c:pt idx="39">
                  <c:v>7.34451193981931E6</c:v>
                </c:pt>
                <c:pt idx="40">
                  <c:v>4.93943105634744E6</c:v>
                </c:pt>
                <c:pt idx="41">
                  <c:v>1.70324876853211E7</c:v>
                </c:pt>
                <c:pt idx="42">
                  <c:v>3.31470277534367E6</c:v>
                </c:pt>
                <c:pt idx="43">
                  <c:v>1.15269877950034E7</c:v>
                </c:pt>
                <c:pt idx="44">
                  <c:v>2.29069167759909E6</c:v>
                </c:pt>
                <c:pt idx="45">
                  <c:v>2.82433060706674E6</c:v>
                </c:pt>
                <c:pt idx="46">
                  <c:v>4.39939072721724E6</c:v>
                </c:pt>
                <c:pt idx="47">
                  <c:v>9.643099E6</c:v>
                </c:pt>
                <c:pt idx="48">
                  <c:v>4.4282675450135E6</c:v>
                </c:pt>
                <c:pt idx="49">
                  <c:v>2.1965453E7</c:v>
                </c:pt>
              </c:numCache>
            </c:numRef>
          </c:val>
        </c:ser>
        <c:dLbls>
          <c:showLegendKey val="0"/>
          <c:showVal val="0"/>
          <c:showCatName val="0"/>
          <c:showSerName val="0"/>
          <c:showPercent val="0"/>
          <c:showBubbleSize val="0"/>
        </c:dLbls>
        <c:gapWidth val="150"/>
        <c:axId val="-2090493896"/>
        <c:axId val="-2090560072"/>
      </c:barChart>
      <c:lineChart>
        <c:grouping val="standard"/>
        <c:varyColors val="0"/>
        <c:ser>
          <c:idx val="0"/>
          <c:order val="1"/>
          <c:spPr>
            <a:ln w="25400">
              <a:solidFill>
                <a:srgbClr val="000080"/>
              </a:solidFill>
              <a:prstDash val="solid"/>
            </a:ln>
          </c:spPr>
          <c:marker>
            <c:symbol val="diamond"/>
            <c:size val="7"/>
            <c:spPr>
              <a:solidFill>
                <a:srgbClr val="000080"/>
              </a:solidFill>
              <a:ln>
                <a:solidFill>
                  <a:srgbClr val="000080"/>
                </a:solidFill>
                <a:prstDash val="solid"/>
              </a:ln>
            </c:spPr>
          </c:marker>
          <c:val>
            <c:numRef>
              <c:f>'Lag1_Exp_smoothing_Total Run'!$C$10:$C$59</c:f>
              <c:numCache>
                <c:formatCode>#,##0</c:formatCode>
                <c:ptCount val="50"/>
                <c:pt idx="0">
                  <c:v>7.94145187847884E6</c:v>
                </c:pt>
                <c:pt idx="1">
                  <c:v>7.20656604828193E6</c:v>
                </c:pt>
                <c:pt idx="2">
                  <c:v>5.74285583043026E6</c:v>
                </c:pt>
                <c:pt idx="3">
                  <c:v>5.11380672940629E6</c:v>
                </c:pt>
                <c:pt idx="4">
                  <c:v>4.47507540690833E6</c:v>
                </c:pt>
                <c:pt idx="5">
                  <c:v>4.13870724621945E6</c:v>
                </c:pt>
                <c:pt idx="6">
                  <c:v>4.56361082599116E6</c:v>
                </c:pt>
                <c:pt idx="7">
                  <c:v>4.26296153827556E6</c:v>
                </c:pt>
                <c:pt idx="8">
                  <c:v>5.87824497269137E6</c:v>
                </c:pt>
                <c:pt idx="9">
                  <c:v>3.866287594442E6</c:v>
                </c:pt>
                <c:pt idx="10">
                  <c:v>5.67923603439226E6</c:v>
                </c:pt>
                <c:pt idx="11">
                  <c:v>3.86758949964408E6</c:v>
                </c:pt>
                <c:pt idx="12">
                  <c:v>3.65594112007839E6</c:v>
                </c:pt>
                <c:pt idx="13">
                  <c:v>2.68733064857866E6</c:v>
                </c:pt>
                <c:pt idx="14">
                  <c:v>3.90215381215383E6</c:v>
                </c:pt>
                <c:pt idx="15">
                  <c:v>3.91105578794509E6</c:v>
                </c:pt>
                <c:pt idx="16">
                  <c:v>9.12293267143816E6</c:v>
                </c:pt>
                <c:pt idx="17">
                  <c:v>1.10217969259596E7</c:v>
                </c:pt>
                <c:pt idx="18">
                  <c:v>1.43400916031965E7</c:v>
                </c:pt>
                <c:pt idx="19">
                  <c:v>1.52929144949276E7</c:v>
                </c:pt>
                <c:pt idx="20">
                  <c:v>1.38465090239155E7</c:v>
                </c:pt>
                <c:pt idx="21">
                  <c:v>1.67019990560512E7</c:v>
                </c:pt>
                <c:pt idx="22">
                  <c:v>1.79583774748702E7</c:v>
                </c:pt>
                <c:pt idx="23">
                  <c:v>1.31463958314651E7</c:v>
                </c:pt>
                <c:pt idx="24">
                  <c:v>1.31155496329421E7</c:v>
                </c:pt>
                <c:pt idx="25">
                  <c:v>8.70958966163605E6</c:v>
                </c:pt>
                <c:pt idx="26">
                  <c:v>7.16990108231339E6</c:v>
                </c:pt>
                <c:pt idx="27">
                  <c:v>9.40372814769215E6</c:v>
                </c:pt>
                <c:pt idx="28">
                  <c:v>8.68201278965668E6</c:v>
                </c:pt>
                <c:pt idx="29">
                  <c:v>5.85695057358324E6</c:v>
                </c:pt>
                <c:pt idx="30">
                  <c:v>4.1820896869719E6</c:v>
                </c:pt>
                <c:pt idx="31">
                  <c:v>4.37021001130197E6</c:v>
                </c:pt>
                <c:pt idx="32">
                  <c:v>4.20093758108818E6</c:v>
                </c:pt>
                <c:pt idx="33">
                  <c:v>4.3170778953041E6</c:v>
                </c:pt>
                <c:pt idx="34">
                  <c:v>3.64604940005474E6</c:v>
                </c:pt>
                <c:pt idx="35">
                  <c:v>4.27818820155298E6</c:v>
                </c:pt>
                <c:pt idx="36">
                  <c:v>6.26868683645939E6</c:v>
                </c:pt>
                <c:pt idx="37">
                  <c:v>6.70400000527501E6</c:v>
                </c:pt>
                <c:pt idx="38">
                  <c:v>7.53897394763264E6</c:v>
                </c:pt>
                <c:pt idx="39">
                  <c:v>5.10304285353922E6</c:v>
                </c:pt>
                <c:pt idx="40">
                  <c:v>5.97326571868313E6</c:v>
                </c:pt>
                <c:pt idx="41">
                  <c:v>5.57189209838666E6</c:v>
                </c:pt>
                <c:pt idx="42">
                  <c:v>1.00213276890729E7</c:v>
                </c:pt>
                <c:pt idx="43">
                  <c:v>7.41756287090327E6</c:v>
                </c:pt>
                <c:pt idx="44">
                  <c:v>9.01299666628035E6</c:v>
                </c:pt>
                <c:pt idx="45">
                  <c:v>6.40314425143853E6</c:v>
                </c:pt>
                <c:pt idx="46">
                  <c:v>5.01371377368437E6</c:v>
                </c:pt>
                <c:pt idx="47">
                  <c:v>4.77521038994698E6</c:v>
                </c:pt>
                <c:pt idx="48">
                  <c:v>6.66510840342883E6</c:v>
                </c:pt>
                <c:pt idx="49">
                  <c:v>5.79668239095519E6</c:v>
                </c:pt>
              </c:numCache>
            </c:numRef>
          </c:val>
          <c:smooth val="0"/>
        </c:ser>
        <c:dLbls>
          <c:showLegendKey val="0"/>
          <c:showVal val="0"/>
          <c:showCatName val="0"/>
          <c:showSerName val="0"/>
          <c:showPercent val="0"/>
          <c:showBubbleSize val="0"/>
        </c:dLbls>
        <c:marker val="1"/>
        <c:smooth val="0"/>
        <c:axId val="-2096677944"/>
        <c:axId val="-2096692376"/>
      </c:lineChart>
      <c:catAx>
        <c:axId val="-209049389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2090560072"/>
        <c:crosses val="autoZero"/>
        <c:auto val="0"/>
        <c:lblAlgn val="ctr"/>
        <c:lblOffset val="100"/>
        <c:tickLblSkip val="2"/>
        <c:tickMarkSkip val="1"/>
        <c:noMultiLvlLbl val="0"/>
      </c:catAx>
      <c:valAx>
        <c:axId val="-2090560072"/>
        <c:scaling>
          <c:orientation val="minMax"/>
        </c:scaling>
        <c:delete val="0"/>
        <c:axPos val="l"/>
        <c:numFmt formatCode="#,##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2090493896"/>
        <c:crosses val="autoZero"/>
        <c:crossBetween val="between"/>
      </c:valAx>
      <c:catAx>
        <c:axId val="-2096677944"/>
        <c:scaling>
          <c:orientation val="minMax"/>
        </c:scaling>
        <c:delete val="1"/>
        <c:axPos val="b"/>
        <c:majorTickMark val="out"/>
        <c:minorTickMark val="none"/>
        <c:tickLblPos val="nextTo"/>
        <c:crossAx val="-2096692376"/>
        <c:crosses val="autoZero"/>
        <c:auto val="0"/>
        <c:lblAlgn val="ctr"/>
        <c:lblOffset val="100"/>
        <c:noMultiLvlLbl val="0"/>
      </c:catAx>
      <c:valAx>
        <c:axId val="-2096692376"/>
        <c:scaling>
          <c:orientation val="minMax"/>
        </c:scaling>
        <c:delete val="1"/>
        <c:axPos val="l"/>
        <c:numFmt formatCode="#,##0" sourceLinked="1"/>
        <c:majorTickMark val="out"/>
        <c:minorTickMark val="none"/>
        <c:tickLblPos val="nextTo"/>
        <c:crossAx val="-2096677944"/>
        <c:crosses val="autoZero"/>
        <c:crossBetween val="between"/>
      </c:valAx>
      <c:spPr>
        <a:solidFill>
          <a:srgbClr val="FFFFFF"/>
        </a:solidFill>
        <a:ln w="25400">
          <a:noFill/>
        </a:ln>
      </c:spPr>
    </c:plotArea>
    <c:legend>
      <c:legendPos val="r"/>
      <c:layout>
        <c:manualLayout>
          <c:xMode val="edge"/>
          <c:yMode val="edge"/>
          <c:x val="0.659738136181253"/>
          <c:y val="0.047061670482679"/>
          <c:w val="0.258606088032099"/>
          <c:h val="0.232372194610425"/>
        </c:manualLayout>
      </c:layout>
      <c:overlay val="0"/>
      <c:spPr>
        <a:solidFill>
          <a:srgbClr val="FFFFFF"/>
        </a:solidFill>
        <a:ln w="25400">
          <a:noFill/>
        </a:ln>
      </c:spPr>
      <c:txPr>
        <a:bodyPr/>
        <a:lstStyle/>
        <a:p>
          <a:pPr>
            <a:defRPr sz="1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0" l="0.75" r="0.75" t="1.0"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036544128303"/>
          <c:y val="0.042701998788613"/>
          <c:w val="0.847092290227525"/>
          <c:h val="0.914596002422774"/>
        </c:manualLayout>
      </c:layout>
      <c:barChart>
        <c:barDir val="col"/>
        <c:grouping val="clustered"/>
        <c:varyColors val="0"/>
        <c:ser>
          <c:idx val="0"/>
          <c:order val="0"/>
          <c:invertIfNegative val="0"/>
          <c:dLbls>
            <c:dLbl>
              <c:idx val="2"/>
              <c:delete val="1"/>
            </c:dLbl>
            <c:dLbl>
              <c:idx val="3"/>
              <c:delete val="1"/>
            </c:dLbl>
            <c:dLbl>
              <c:idx val="17"/>
              <c:delete val="1"/>
            </c:dLbl>
            <c:dLbl>
              <c:idx val="21"/>
              <c:delete val="1"/>
            </c:dLbl>
            <c:dLbl>
              <c:idx val="34"/>
              <c:delete val="1"/>
            </c:dLbl>
            <c:dLbl>
              <c:idx val="36"/>
              <c:delete val="1"/>
            </c:dLbl>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'Lag1_Exp_smoothing_Total Run'!$A$10:$A$59</c:f>
              <c:numCache>
                <c:formatCode>General</c:formatCode>
                <c:ptCount val="50"/>
                <c:pt idx="0">
                  <c:v>1964.0</c:v>
                </c:pt>
                <c:pt idx="1">
                  <c:v>1965.0</c:v>
                </c:pt>
                <c:pt idx="2">
                  <c:v>1966.0</c:v>
                </c:pt>
                <c:pt idx="3">
                  <c:v>1967.0</c:v>
                </c:pt>
                <c:pt idx="4">
                  <c:v>1968.0</c:v>
                </c:pt>
                <c:pt idx="5">
                  <c:v>1969.0</c:v>
                </c:pt>
                <c:pt idx="6">
                  <c:v>1970.0</c:v>
                </c:pt>
                <c:pt idx="7">
                  <c:v>1971.0</c:v>
                </c:pt>
                <c:pt idx="8">
                  <c:v>1972.0</c:v>
                </c:pt>
                <c:pt idx="9">
                  <c:v>1973.0</c:v>
                </c:pt>
                <c:pt idx="10">
                  <c:v>1974.0</c:v>
                </c:pt>
                <c:pt idx="11">
                  <c:v>1975.0</c:v>
                </c:pt>
                <c:pt idx="12">
                  <c:v>1976.0</c:v>
                </c:pt>
                <c:pt idx="13">
                  <c:v>1977.0</c:v>
                </c:pt>
                <c:pt idx="14">
                  <c:v>1978.0</c:v>
                </c:pt>
                <c:pt idx="15">
                  <c:v>1979.0</c:v>
                </c:pt>
                <c:pt idx="16">
                  <c:v>1980.0</c:v>
                </c:pt>
                <c:pt idx="17">
                  <c:v>1981.0</c:v>
                </c:pt>
                <c:pt idx="18">
                  <c:v>1982.0</c:v>
                </c:pt>
                <c:pt idx="19">
                  <c:v>1983.0</c:v>
                </c:pt>
                <c:pt idx="20">
                  <c:v>1984.0</c:v>
                </c:pt>
                <c:pt idx="21">
                  <c:v>1985.0</c:v>
                </c:pt>
                <c:pt idx="22">
                  <c:v>1986.0</c:v>
                </c:pt>
                <c:pt idx="23">
                  <c:v>1987.0</c:v>
                </c:pt>
                <c:pt idx="24">
                  <c:v>1988.0</c:v>
                </c:pt>
                <c:pt idx="25">
                  <c:v>1989.0</c:v>
                </c:pt>
                <c:pt idx="26">
                  <c:v>1990.0</c:v>
                </c:pt>
                <c:pt idx="27">
                  <c:v>1991.0</c:v>
                </c:pt>
                <c:pt idx="28">
                  <c:v>1992.0</c:v>
                </c:pt>
                <c:pt idx="29">
                  <c:v>1993.0</c:v>
                </c:pt>
                <c:pt idx="30">
                  <c:v>1994.0</c:v>
                </c:pt>
                <c:pt idx="31">
                  <c:v>1995.0</c:v>
                </c:pt>
                <c:pt idx="32">
                  <c:v>1996.0</c:v>
                </c:pt>
                <c:pt idx="33">
                  <c:v>1997.0</c:v>
                </c:pt>
                <c:pt idx="34">
                  <c:v>1998.0</c:v>
                </c:pt>
                <c:pt idx="35">
                  <c:v>1999.0</c:v>
                </c:pt>
                <c:pt idx="36">
                  <c:v>2000.0</c:v>
                </c:pt>
                <c:pt idx="37">
                  <c:v>2001.0</c:v>
                </c:pt>
                <c:pt idx="38">
                  <c:v>2002.0</c:v>
                </c:pt>
                <c:pt idx="39">
                  <c:v>2003.0</c:v>
                </c:pt>
                <c:pt idx="40">
                  <c:v>2004.0</c:v>
                </c:pt>
                <c:pt idx="41">
                  <c:v>2005.0</c:v>
                </c:pt>
                <c:pt idx="42">
                  <c:v>2006.0</c:v>
                </c:pt>
                <c:pt idx="43">
                  <c:v>2007.0</c:v>
                </c:pt>
                <c:pt idx="44">
                  <c:v>2008.0</c:v>
                </c:pt>
                <c:pt idx="45">
                  <c:v>2009.0</c:v>
                </c:pt>
                <c:pt idx="46">
                  <c:v>2010.0</c:v>
                </c:pt>
                <c:pt idx="47">
                  <c:v>2011.0</c:v>
                </c:pt>
                <c:pt idx="48">
                  <c:v>2012.0</c:v>
                </c:pt>
                <c:pt idx="49">
                  <c:v>2013.0</c:v>
                </c:pt>
              </c:numCache>
            </c:numRef>
          </c:cat>
          <c:val>
            <c:numRef>
              <c:f>'Lag1_Exp_smoothing_Total Run'!$F$10:$F$59</c:f>
              <c:numCache>
                <c:formatCode>0%</c:formatCode>
                <c:ptCount val="50"/>
                <c:pt idx="0">
                  <c:v>0.31294570465492</c:v>
                </c:pt>
                <c:pt idx="1">
                  <c:v>1.097110181092726</c:v>
                </c:pt>
                <c:pt idx="2">
                  <c:v>0.393022012005629</c:v>
                </c:pt>
                <c:pt idx="3">
                  <c:v>0.47431434279141</c:v>
                </c:pt>
                <c:pt idx="4">
                  <c:v>0.240087202822842</c:v>
                </c:pt>
                <c:pt idx="5">
                  <c:v>-0.209136363933179</c:v>
                </c:pt>
                <c:pt idx="6">
                  <c:v>0.204368087222042</c:v>
                </c:pt>
                <c:pt idx="7">
                  <c:v>-0.493921237825976</c:v>
                </c:pt>
                <c:pt idx="8">
                  <c:v>7.446203279041227</c:v>
                </c:pt>
                <c:pt idx="9">
                  <c:v>-0.54705958635277</c:v>
                </c:pt>
                <c:pt idx="10">
                  <c:v>4.606890328483836</c:v>
                </c:pt>
                <c:pt idx="11">
                  <c:v>0.164081767558668</c:v>
                </c:pt>
                <c:pt idx="12">
                  <c:v>2.148820439479741</c:v>
                </c:pt>
                <c:pt idx="13">
                  <c:v>-0.537973628610088</c:v>
                </c:pt>
                <c:pt idx="14">
                  <c:v>-0.00584170776673288</c:v>
                </c:pt>
                <c:pt idx="15">
                  <c:v>-0.774390406327114</c:v>
                </c:pt>
                <c:pt idx="16">
                  <c:v>-0.349009037057296</c:v>
                </c:pt>
                <c:pt idx="17">
                  <c:v>-0.43676874654057</c:v>
                </c:pt>
                <c:pt idx="18">
                  <c:v>-0.146134278446898</c:v>
                </c:pt>
                <c:pt idx="19">
                  <c:v>0.322076114155779</c:v>
                </c:pt>
                <c:pt idx="20">
                  <c:v>-0.346909391612027</c:v>
                </c:pt>
                <c:pt idx="21">
                  <c:v>-0.162307598638327</c:v>
                </c:pt>
                <c:pt idx="22">
                  <c:v>2.227626934368874</c:v>
                </c:pt>
                <c:pt idx="23">
                  <c:v>0.00608036825328881</c:v>
                </c:pt>
                <c:pt idx="24">
                  <c:v>6.422764397206312</c:v>
                </c:pt>
                <c:pt idx="25">
                  <c:v>0.836013630911421</c:v>
                </c:pt>
                <c:pt idx="26">
                  <c:v>-0.445211343169344</c:v>
                </c:pt>
                <c:pt idx="27">
                  <c:v>0.246389309330343</c:v>
                </c:pt>
                <c:pt idx="28">
                  <c:v>5.177684509956843</c:v>
                </c:pt>
                <c:pt idx="29">
                  <c:v>2.795962890104257</c:v>
                </c:pt>
                <c:pt idx="30">
                  <c:v>-0.10383261122793</c:v>
                </c:pt>
                <c:pt idx="31">
                  <c:v>0.110823324873003</c:v>
                </c:pt>
                <c:pt idx="32">
                  <c:v>-0.0664759485458204</c:v>
                </c:pt>
                <c:pt idx="33">
                  <c:v>0.66767408870773</c:v>
                </c:pt>
                <c:pt idx="34">
                  <c:v>-0.308710855158261</c:v>
                </c:pt>
                <c:pt idx="35">
                  <c:v>-0.54512513170345</c:v>
                </c:pt>
                <c:pt idx="36">
                  <c:v>-0.151727079220336</c:v>
                </c:pt>
                <c:pt idx="37">
                  <c:v>-0.24288598897414</c:v>
                </c:pt>
                <c:pt idx="38">
                  <c:v>4.961334681599317</c:v>
                </c:pt>
                <c:pt idx="39">
                  <c:v>-0.305189657889675</c:v>
                </c:pt>
                <c:pt idx="40">
                  <c:v>0.209302377245888</c:v>
                </c:pt>
                <c:pt idx="41">
                  <c:v>-0.672866805992842</c:v>
                </c:pt>
                <c:pt idx="42">
                  <c:v>2.02329601423582</c:v>
                </c:pt>
                <c:pt idx="43">
                  <c:v>-0.356504665154713</c:v>
                </c:pt>
                <c:pt idx="44">
                  <c:v>2.934617982166424</c:v>
                </c:pt>
                <c:pt idx="45">
                  <c:v>1.267136940490348</c:v>
                </c:pt>
                <c:pt idx="46">
                  <c:v>0.139638210051807</c:v>
                </c:pt>
                <c:pt idx="47">
                  <c:v>-0.504805416811859</c:v>
                </c:pt>
                <c:pt idx="48">
                  <c:v>0.505127758356461</c:v>
                </c:pt>
                <c:pt idx="49">
                  <c:v>-0.736100029853461</c:v>
                </c:pt>
              </c:numCache>
            </c:numRef>
          </c:val>
        </c:ser>
        <c:dLbls>
          <c:showLegendKey val="0"/>
          <c:showVal val="0"/>
          <c:showCatName val="0"/>
          <c:showSerName val="0"/>
          <c:showPercent val="0"/>
          <c:showBubbleSize val="0"/>
        </c:dLbls>
        <c:gapWidth val="150"/>
        <c:axId val="-2096931896"/>
        <c:axId val="-2090421800"/>
      </c:barChart>
      <c:catAx>
        <c:axId val="-2096931896"/>
        <c:scaling>
          <c:orientation val="minMax"/>
        </c:scaling>
        <c:delete val="0"/>
        <c:axPos val="b"/>
        <c:numFmt formatCode="General" sourceLinked="1"/>
        <c:majorTickMark val="out"/>
        <c:minorTickMark val="none"/>
        <c:tickLblPos val="low"/>
        <c:txPr>
          <a:bodyPr rot="5400000" vert="horz"/>
          <a:lstStyle/>
          <a:p>
            <a:pPr>
              <a:defRPr sz="1100" b="0" i="0" u="none" strike="noStrike" baseline="0">
                <a:solidFill>
                  <a:srgbClr val="000000"/>
                </a:solidFill>
                <a:latin typeface="Arial"/>
                <a:ea typeface="Arial"/>
                <a:cs typeface="Arial"/>
              </a:defRPr>
            </a:pPr>
            <a:endParaRPr lang="en-US"/>
          </a:p>
        </c:txPr>
        <c:crossAx val="-2090421800"/>
        <c:crosses val="autoZero"/>
        <c:auto val="1"/>
        <c:lblAlgn val="ctr"/>
        <c:lblOffset val="100"/>
        <c:tickLblSkip val="2"/>
        <c:noMultiLvlLbl val="0"/>
      </c:catAx>
      <c:valAx>
        <c:axId val="-2090421800"/>
        <c:scaling>
          <c:orientation val="minMax"/>
        </c:scaling>
        <c:delete val="0"/>
        <c:axPos val="l"/>
        <c:title>
          <c:tx>
            <c:rich>
              <a:bodyPr/>
              <a:lstStyle/>
              <a:p>
                <a:pPr>
                  <a:defRPr sz="1200" b="1" i="0" u="none" strike="noStrike" baseline="0">
                    <a:solidFill>
                      <a:srgbClr val="000000"/>
                    </a:solidFill>
                    <a:latin typeface="Arial"/>
                    <a:ea typeface="Arial"/>
                    <a:cs typeface="Arial"/>
                  </a:defRPr>
                </a:pPr>
                <a:r>
                  <a:rPr lang="en-US"/>
                  <a:t>% Forecast Error</a:t>
                </a:r>
              </a:p>
            </c:rich>
          </c:tx>
          <c:overlay val="0"/>
        </c:title>
        <c:numFmt formatCode="0%" sourceLinked="1"/>
        <c:majorTickMark val="out"/>
        <c:minorTickMark val="none"/>
        <c:tickLblPos val="nextTo"/>
        <c:txPr>
          <a:bodyPr rot="0" vert="horz"/>
          <a:lstStyle/>
          <a:p>
            <a:pPr>
              <a:defRPr sz="1100" b="0" i="0" u="none" strike="noStrike" baseline="0">
                <a:solidFill>
                  <a:srgbClr val="000000"/>
                </a:solidFill>
                <a:latin typeface="Arial"/>
                <a:ea typeface="Arial"/>
                <a:cs typeface="Arial"/>
              </a:defRPr>
            </a:pPr>
            <a:endParaRPr lang="en-US"/>
          </a:p>
        </c:txPr>
        <c:crossAx val="-2096931896"/>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b="1" i="0" u="none" strike="noStrike" baseline="0">
                <a:solidFill>
                  <a:srgbClr val="000000"/>
                </a:solidFill>
                <a:latin typeface="Arial"/>
                <a:ea typeface="Arial"/>
                <a:cs typeface="Arial"/>
              </a:defRPr>
            </a:pPr>
            <a:r>
              <a:rPr lang="en-US"/>
              <a:t>Wild PWS pink salmon R/S</a:t>
            </a:r>
          </a:p>
        </c:rich>
      </c:tx>
      <c:layout>
        <c:manualLayout>
          <c:xMode val="edge"/>
          <c:yMode val="edge"/>
          <c:x val="0.373077303522503"/>
          <c:y val="0.0268401667775179"/>
        </c:manualLayout>
      </c:layout>
      <c:overlay val="0"/>
      <c:spPr>
        <a:noFill/>
        <a:ln w="25400">
          <a:noFill/>
        </a:ln>
      </c:spPr>
    </c:title>
    <c:autoTitleDeleted val="0"/>
    <c:plotArea>
      <c:layout>
        <c:manualLayout>
          <c:layoutTarget val="inner"/>
          <c:xMode val="edge"/>
          <c:yMode val="edge"/>
          <c:x val="0.09252317584985"/>
          <c:y val="0.123464618388135"/>
          <c:w val="0.893395827023283"/>
          <c:h val="0.814598080017369"/>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MainData!$A$14:$A$45</c:f>
              <c:numCache>
                <c:formatCode>General</c:formatCode>
                <c:ptCount val="32"/>
                <c:pt idx="0">
                  <c:v>1966.0</c:v>
                </c:pt>
                <c:pt idx="1">
                  <c:v>1967.0</c:v>
                </c:pt>
                <c:pt idx="2">
                  <c:v>1968.0</c:v>
                </c:pt>
                <c:pt idx="3">
                  <c:v>1969.0</c:v>
                </c:pt>
                <c:pt idx="4">
                  <c:v>1970.0</c:v>
                </c:pt>
                <c:pt idx="5">
                  <c:v>1971.0</c:v>
                </c:pt>
                <c:pt idx="6">
                  <c:v>1972.0</c:v>
                </c:pt>
                <c:pt idx="7">
                  <c:v>1973.0</c:v>
                </c:pt>
                <c:pt idx="8">
                  <c:v>1974.0</c:v>
                </c:pt>
                <c:pt idx="9">
                  <c:v>1975.0</c:v>
                </c:pt>
                <c:pt idx="10">
                  <c:v>1976.0</c:v>
                </c:pt>
                <c:pt idx="11">
                  <c:v>1977.0</c:v>
                </c:pt>
                <c:pt idx="12">
                  <c:v>1978.0</c:v>
                </c:pt>
                <c:pt idx="13">
                  <c:v>1979.0</c:v>
                </c:pt>
                <c:pt idx="14">
                  <c:v>1980.0</c:v>
                </c:pt>
                <c:pt idx="15">
                  <c:v>1981.0</c:v>
                </c:pt>
                <c:pt idx="16">
                  <c:v>1982.0</c:v>
                </c:pt>
                <c:pt idx="17">
                  <c:v>1983.0</c:v>
                </c:pt>
                <c:pt idx="18">
                  <c:v>1984.0</c:v>
                </c:pt>
                <c:pt idx="19">
                  <c:v>1985.0</c:v>
                </c:pt>
                <c:pt idx="20">
                  <c:v>1986.0</c:v>
                </c:pt>
                <c:pt idx="21">
                  <c:v>1987.0</c:v>
                </c:pt>
                <c:pt idx="22">
                  <c:v>1988.0</c:v>
                </c:pt>
                <c:pt idx="23">
                  <c:v>1989.0</c:v>
                </c:pt>
                <c:pt idx="24">
                  <c:v>1990.0</c:v>
                </c:pt>
                <c:pt idx="25">
                  <c:v>1991.0</c:v>
                </c:pt>
                <c:pt idx="26">
                  <c:v>1992.0</c:v>
                </c:pt>
                <c:pt idx="27">
                  <c:v>1993.0</c:v>
                </c:pt>
                <c:pt idx="28">
                  <c:v>1994.0</c:v>
                </c:pt>
                <c:pt idx="29">
                  <c:v>1995.0</c:v>
                </c:pt>
                <c:pt idx="30">
                  <c:v>1996.0</c:v>
                </c:pt>
                <c:pt idx="31">
                  <c:v>1997.0</c:v>
                </c:pt>
              </c:numCache>
            </c:numRef>
          </c:cat>
          <c:val>
            <c:numRef>
              <c:f>MainData!$H$14:$H$45</c:f>
              <c:numCache>
                <c:formatCode>0.00_)</c:formatCode>
                <c:ptCount val="32"/>
                <c:pt idx="0">
                  <c:v>2.487404877843125</c:v>
                </c:pt>
                <c:pt idx="1">
                  <c:v>7.104694512383349</c:v>
                </c:pt>
                <c:pt idx="2">
                  <c:v>3.199441422901661</c:v>
                </c:pt>
                <c:pt idx="3">
                  <c:v>23.31364164421485</c:v>
                </c:pt>
                <c:pt idx="4">
                  <c:v>0.674005841383959</c:v>
                </c:pt>
                <c:pt idx="5">
                  <c:v>2.954473956226686</c:v>
                </c:pt>
                <c:pt idx="6">
                  <c:v>2.043108019588883</c:v>
                </c:pt>
                <c:pt idx="7">
                  <c:v>4.968326789169068</c:v>
                </c:pt>
                <c:pt idx="8">
                  <c:v>4.096592284891245</c:v>
                </c:pt>
                <c:pt idx="9">
                  <c:v>4.595910901103069</c:v>
                </c:pt>
                <c:pt idx="10">
                  <c:v>4.237560728089305</c:v>
                </c:pt>
                <c:pt idx="11">
                  <c:v>13.35380034972307</c:v>
                </c:pt>
                <c:pt idx="12">
                  <c:v>12.2391210557113</c:v>
                </c:pt>
                <c:pt idx="13">
                  <c:v>8.825617874152113</c:v>
                </c:pt>
                <c:pt idx="14">
                  <c:v>10.04480842613969</c:v>
                </c:pt>
                <c:pt idx="15">
                  <c:v>6.752368832745699</c:v>
                </c:pt>
                <c:pt idx="16">
                  <c:v>9.321108165499412</c:v>
                </c:pt>
                <c:pt idx="17">
                  <c:v>9.217375525865656</c:v>
                </c:pt>
                <c:pt idx="18">
                  <c:v>1.379997569360047</c:v>
                </c:pt>
                <c:pt idx="19">
                  <c:v>4.984852727432258</c:v>
                </c:pt>
                <c:pt idx="20">
                  <c:v>1.840136635354398</c:v>
                </c:pt>
                <c:pt idx="21">
                  <c:v>3.232758620689655</c:v>
                </c:pt>
                <c:pt idx="22">
                  <c:v>13.39512508682986</c:v>
                </c:pt>
                <c:pt idx="23">
                  <c:v>5.924086834227708</c:v>
                </c:pt>
                <c:pt idx="24">
                  <c:v>1.063467113976522</c:v>
                </c:pt>
                <c:pt idx="25">
                  <c:v>0.838323353293413</c:v>
                </c:pt>
                <c:pt idx="26">
                  <c:v>8.412822799290225</c:v>
                </c:pt>
                <c:pt idx="27">
                  <c:v>3.68544147462672</c:v>
                </c:pt>
                <c:pt idx="28">
                  <c:v>3.184298718355147</c:v>
                </c:pt>
                <c:pt idx="29">
                  <c:v>3.100360952592204</c:v>
                </c:pt>
                <c:pt idx="30">
                  <c:v>3.539319479875092</c:v>
                </c:pt>
                <c:pt idx="31">
                  <c:v>6.62829798241076</c:v>
                </c:pt>
              </c:numCache>
            </c:numRef>
          </c:val>
          <c:smooth val="0"/>
        </c:ser>
        <c:dLbls>
          <c:showLegendKey val="0"/>
          <c:showVal val="0"/>
          <c:showCatName val="0"/>
          <c:showSerName val="0"/>
          <c:showPercent val="0"/>
          <c:showBubbleSize val="0"/>
        </c:dLbls>
        <c:marker val="1"/>
        <c:smooth val="0"/>
        <c:axId val="2136325464"/>
        <c:axId val="-2090577784"/>
      </c:lineChart>
      <c:catAx>
        <c:axId val="2136325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2090577784"/>
        <c:crosses val="autoZero"/>
        <c:auto val="1"/>
        <c:lblAlgn val="ctr"/>
        <c:lblOffset val="100"/>
        <c:tickLblSkip val="2"/>
        <c:tickMarkSkip val="1"/>
        <c:noMultiLvlLbl val="0"/>
      </c:catAx>
      <c:valAx>
        <c:axId val="-2090577784"/>
        <c:scaling>
          <c:orientation val="minMax"/>
        </c:scaling>
        <c:delete val="0"/>
        <c:axPos val="l"/>
        <c:majorGridlines>
          <c:spPr>
            <a:ln w="3175">
              <a:solidFill>
                <a:srgbClr val="C0C0C0"/>
              </a:solidFill>
              <a:prstDash val="sysDash"/>
            </a:ln>
          </c:spPr>
        </c:majorGridlines>
        <c:title>
          <c:tx>
            <c:rich>
              <a:bodyPr/>
              <a:lstStyle/>
              <a:p>
                <a:pPr>
                  <a:defRPr sz="1050" b="1" i="0" u="none" strike="noStrike" baseline="0">
                    <a:solidFill>
                      <a:srgbClr val="000000"/>
                    </a:solidFill>
                    <a:latin typeface="Arial"/>
                    <a:ea typeface="Arial"/>
                    <a:cs typeface="Arial"/>
                  </a:defRPr>
                </a:pPr>
                <a:r>
                  <a:rPr lang="en-US"/>
                  <a:t>R/S</a:t>
                </a:r>
              </a:p>
            </c:rich>
          </c:tx>
          <c:layout>
            <c:manualLayout>
              <c:xMode val="edge"/>
              <c:yMode val="edge"/>
              <c:x val="0.0159179155447045"/>
              <c:y val="0.512646627618414"/>
            </c:manualLayout>
          </c:layout>
          <c:overlay val="0"/>
          <c:spPr>
            <a:noFill/>
            <a:ln w="25400">
              <a:noFill/>
            </a:ln>
          </c:spPr>
        </c:title>
        <c:numFmt formatCode="0.00_)"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136325464"/>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0" l="0.75" r="0.75" t="1.0" header="0.5" footer="0.5"/>
    <c:pageSetup orientation="landscape"/>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Times New Roman"/>
                <a:ea typeface="Times New Roman"/>
                <a:cs typeface="Times New Roman"/>
              </a:defRPr>
            </a:pPr>
            <a:r>
              <a:rPr lang="en-US"/>
              <a:t>Total Return predicted from LN(r/s)</a:t>
            </a:r>
          </a:p>
        </c:rich>
      </c:tx>
      <c:layout>
        <c:manualLayout>
          <c:xMode val="edge"/>
          <c:yMode val="edge"/>
          <c:x val="0.372282567243197"/>
          <c:y val="0.0260357117807532"/>
        </c:manualLayout>
      </c:layout>
      <c:overlay val="0"/>
      <c:spPr>
        <a:noFill/>
        <a:ln w="25400">
          <a:noFill/>
        </a:ln>
      </c:spPr>
    </c:title>
    <c:autoTitleDeleted val="0"/>
    <c:plotArea>
      <c:layout>
        <c:manualLayout>
          <c:layoutTarget val="inner"/>
          <c:xMode val="edge"/>
          <c:yMode val="edge"/>
          <c:x val="0.0864036976582418"/>
          <c:y val="0.11373486709945"/>
          <c:w val="0.872570675116565"/>
          <c:h val="0.816698563750267"/>
        </c:manualLayout>
      </c:layout>
      <c:scatterChart>
        <c:scatterStyle val="lineMarker"/>
        <c:varyColors val="0"/>
        <c:ser>
          <c:idx val="0"/>
          <c:order val="0"/>
          <c:tx>
            <c:strRef>
              <c:f>MainData!$E$6</c:f>
              <c:strCache>
                <c:ptCount val="1"/>
                <c:pt idx="0">
                  <c:v>Return</c:v>
                </c:pt>
              </c:strCache>
            </c:strRef>
          </c:tx>
          <c:spPr>
            <a:ln w="3175">
              <a:solidFill>
                <a:srgbClr val="0000FF"/>
              </a:solidFill>
              <a:prstDash val="solid"/>
            </a:ln>
          </c:spPr>
          <c:marker>
            <c:symbol val="diamond"/>
            <c:size val="5"/>
            <c:spPr>
              <a:solidFill>
                <a:srgbClr val="0000FF"/>
              </a:solidFill>
              <a:ln>
                <a:solidFill>
                  <a:srgbClr val="000080"/>
                </a:solidFill>
                <a:prstDash val="solid"/>
              </a:ln>
            </c:spPr>
          </c:marker>
          <c:xVal>
            <c:numRef>
              <c:f>MainData!$B$8:$B$46</c:f>
              <c:numCache>
                <c:formatCode>General</c:formatCode>
                <c:ptCount val="39"/>
                <c:pt idx="0">
                  <c:v>1962.0</c:v>
                </c:pt>
                <c:pt idx="1">
                  <c:v>1963.0</c:v>
                </c:pt>
                <c:pt idx="2">
                  <c:v>1964.0</c:v>
                </c:pt>
                <c:pt idx="3">
                  <c:v>1965.0</c:v>
                </c:pt>
                <c:pt idx="4">
                  <c:v>1966.0</c:v>
                </c:pt>
                <c:pt idx="5">
                  <c:v>1967.0</c:v>
                </c:pt>
                <c:pt idx="6">
                  <c:v>1968.0</c:v>
                </c:pt>
                <c:pt idx="7">
                  <c:v>1969.0</c:v>
                </c:pt>
                <c:pt idx="8">
                  <c:v>1970.0</c:v>
                </c:pt>
                <c:pt idx="9">
                  <c:v>1971.0</c:v>
                </c:pt>
                <c:pt idx="10">
                  <c:v>1972.0</c:v>
                </c:pt>
                <c:pt idx="11">
                  <c:v>1973.0</c:v>
                </c:pt>
                <c:pt idx="12">
                  <c:v>1974.0</c:v>
                </c:pt>
                <c:pt idx="13">
                  <c:v>1975.0</c:v>
                </c:pt>
                <c:pt idx="14">
                  <c:v>1976.0</c:v>
                </c:pt>
                <c:pt idx="15">
                  <c:v>1977.0</c:v>
                </c:pt>
                <c:pt idx="16">
                  <c:v>1978.0</c:v>
                </c:pt>
                <c:pt idx="17">
                  <c:v>1979.0</c:v>
                </c:pt>
                <c:pt idx="18">
                  <c:v>1980.0</c:v>
                </c:pt>
                <c:pt idx="19">
                  <c:v>1981.0</c:v>
                </c:pt>
                <c:pt idx="20">
                  <c:v>1982.0</c:v>
                </c:pt>
                <c:pt idx="21">
                  <c:v>1983.0</c:v>
                </c:pt>
                <c:pt idx="22">
                  <c:v>1984.0</c:v>
                </c:pt>
                <c:pt idx="23">
                  <c:v>1985.0</c:v>
                </c:pt>
                <c:pt idx="24">
                  <c:v>1986.0</c:v>
                </c:pt>
                <c:pt idx="25">
                  <c:v>1987.0</c:v>
                </c:pt>
                <c:pt idx="26">
                  <c:v>1988.0</c:v>
                </c:pt>
                <c:pt idx="27">
                  <c:v>1989.0</c:v>
                </c:pt>
                <c:pt idx="28">
                  <c:v>1990.0</c:v>
                </c:pt>
                <c:pt idx="29">
                  <c:v>1991.0</c:v>
                </c:pt>
                <c:pt idx="30">
                  <c:v>1992.0</c:v>
                </c:pt>
                <c:pt idx="31">
                  <c:v>1993.0</c:v>
                </c:pt>
                <c:pt idx="32">
                  <c:v>1994.0</c:v>
                </c:pt>
                <c:pt idx="33">
                  <c:v>1995.0</c:v>
                </c:pt>
                <c:pt idx="34">
                  <c:v>1996.0</c:v>
                </c:pt>
                <c:pt idx="35">
                  <c:v>1997.0</c:v>
                </c:pt>
                <c:pt idx="36">
                  <c:v>1998.0</c:v>
                </c:pt>
                <c:pt idx="37">
                  <c:v>1999.0</c:v>
                </c:pt>
                <c:pt idx="38">
                  <c:v>2000.0</c:v>
                </c:pt>
              </c:numCache>
            </c:numRef>
          </c:xVal>
          <c:yVal>
            <c:numRef>
              <c:f>MainData!$E$8:$E$46</c:f>
              <c:numCache>
                <c:formatCode>0.00_)</c:formatCode>
                <c:ptCount val="39"/>
                <c:pt idx="0">
                  <c:v>8.760326</c:v>
                </c:pt>
                <c:pt idx="1">
                  <c:v>6.651118</c:v>
                </c:pt>
                <c:pt idx="2">
                  <c:v>6.048576</c:v>
                </c:pt>
                <c:pt idx="3">
                  <c:v>3.357531</c:v>
                </c:pt>
                <c:pt idx="4">
                  <c:v>4.0</c:v>
                </c:pt>
                <c:pt idx="5">
                  <c:v>4.093</c:v>
                </c:pt>
                <c:pt idx="6">
                  <c:v>3.54</c:v>
                </c:pt>
                <c:pt idx="7">
                  <c:v>5.984</c:v>
                </c:pt>
                <c:pt idx="8">
                  <c:v>3.700186</c:v>
                </c:pt>
                <c:pt idx="9">
                  <c:v>9.432</c:v>
                </c:pt>
                <c:pt idx="10">
                  <c:v>0.66</c:v>
                </c:pt>
                <c:pt idx="11">
                  <c:v>3.287</c:v>
                </c:pt>
                <c:pt idx="12">
                  <c:v>1.31</c:v>
                </c:pt>
                <c:pt idx="13">
                  <c:v>6.08625</c:v>
                </c:pt>
                <c:pt idx="14">
                  <c:v>3.925027</c:v>
                </c:pt>
                <c:pt idx="15">
                  <c:v>5.816401</c:v>
                </c:pt>
                <c:pt idx="16">
                  <c:v>3.925083</c:v>
                </c:pt>
                <c:pt idx="17">
                  <c:v>17.335503</c:v>
                </c:pt>
                <c:pt idx="18">
                  <c:v>14.013916</c:v>
                </c:pt>
                <c:pt idx="19">
                  <c:v>19.568866</c:v>
                </c:pt>
                <c:pt idx="20">
                  <c:v>16.794317</c:v>
                </c:pt>
                <c:pt idx="21">
                  <c:v>11.567348</c:v>
                </c:pt>
                <c:pt idx="22">
                  <c:v>21.201513</c:v>
                </c:pt>
                <c:pt idx="23">
                  <c:v>19.938105</c:v>
                </c:pt>
                <c:pt idx="24">
                  <c:v>5.563957</c:v>
                </c:pt>
                <c:pt idx="25">
                  <c:v>13.066944</c:v>
                </c:pt>
                <c:pt idx="26">
                  <c:v>1.766936</c:v>
                </c:pt>
                <c:pt idx="27">
                  <c:v>6.610342</c:v>
                </c:pt>
                <c:pt idx="28">
                  <c:v>14.418696</c:v>
                </c:pt>
                <c:pt idx="29">
                  <c:v>9.295456</c:v>
                </c:pt>
                <c:pt idx="30">
                  <c:v>2.203701</c:v>
                </c:pt>
                <c:pt idx="31">
                  <c:v>2.875916</c:v>
                </c:pt>
                <c:pt idx="32">
                  <c:v>9.501683</c:v>
                </c:pt>
                <c:pt idx="33">
                  <c:v>3.401469</c:v>
                </c:pt>
                <c:pt idx="34">
                  <c:v>8.374327</c:v>
                </c:pt>
                <c:pt idx="35">
                  <c:v>4.596623</c:v>
                </c:pt>
                <c:pt idx="36">
                  <c:v>5.25</c:v>
                </c:pt>
                <c:pt idx="37">
                  <c:v>9.43</c:v>
                </c:pt>
                <c:pt idx="38" formatCode="General">
                  <c:v>7.39</c:v>
                </c:pt>
              </c:numCache>
            </c:numRef>
          </c:yVal>
          <c:smooth val="0"/>
        </c:ser>
        <c:ser>
          <c:idx val="1"/>
          <c:order val="1"/>
          <c:tx>
            <c:strRef>
              <c:f>MainData!$L$6</c:f>
              <c:strCache>
                <c:ptCount val="1"/>
                <c:pt idx="0">
                  <c:v>Ln(r/s)</c:v>
                </c:pt>
              </c:strCache>
            </c:strRef>
          </c:tx>
          <c:spPr>
            <a:ln w="3175">
              <a:solidFill>
                <a:srgbClr val="FF0000"/>
              </a:solidFill>
              <a:prstDash val="solid"/>
            </a:ln>
          </c:spPr>
          <c:marker>
            <c:symbol val="square"/>
            <c:size val="5"/>
            <c:spPr>
              <a:solidFill>
                <a:srgbClr val="FFFFFF"/>
              </a:solidFill>
              <a:ln>
                <a:solidFill>
                  <a:srgbClr val="000000"/>
                </a:solidFill>
                <a:prstDash val="solid"/>
              </a:ln>
            </c:spPr>
          </c:marker>
          <c:xVal>
            <c:numRef>
              <c:f>MainData!$B$8:$B$46</c:f>
              <c:numCache>
                <c:formatCode>General</c:formatCode>
                <c:ptCount val="39"/>
                <c:pt idx="0">
                  <c:v>1962.0</c:v>
                </c:pt>
                <c:pt idx="1">
                  <c:v>1963.0</c:v>
                </c:pt>
                <c:pt idx="2">
                  <c:v>1964.0</c:v>
                </c:pt>
                <c:pt idx="3">
                  <c:v>1965.0</c:v>
                </c:pt>
                <c:pt idx="4">
                  <c:v>1966.0</c:v>
                </c:pt>
                <c:pt idx="5">
                  <c:v>1967.0</c:v>
                </c:pt>
                <c:pt idx="6">
                  <c:v>1968.0</c:v>
                </c:pt>
                <c:pt idx="7">
                  <c:v>1969.0</c:v>
                </c:pt>
                <c:pt idx="8">
                  <c:v>1970.0</c:v>
                </c:pt>
                <c:pt idx="9">
                  <c:v>1971.0</c:v>
                </c:pt>
                <c:pt idx="10">
                  <c:v>1972.0</c:v>
                </c:pt>
                <c:pt idx="11">
                  <c:v>1973.0</c:v>
                </c:pt>
                <c:pt idx="12">
                  <c:v>1974.0</c:v>
                </c:pt>
                <c:pt idx="13">
                  <c:v>1975.0</c:v>
                </c:pt>
                <c:pt idx="14">
                  <c:v>1976.0</c:v>
                </c:pt>
                <c:pt idx="15">
                  <c:v>1977.0</c:v>
                </c:pt>
                <c:pt idx="16">
                  <c:v>1978.0</c:v>
                </c:pt>
                <c:pt idx="17">
                  <c:v>1979.0</c:v>
                </c:pt>
                <c:pt idx="18">
                  <c:v>1980.0</c:v>
                </c:pt>
                <c:pt idx="19">
                  <c:v>1981.0</c:v>
                </c:pt>
                <c:pt idx="20">
                  <c:v>1982.0</c:v>
                </c:pt>
                <c:pt idx="21">
                  <c:v>1983.0</c:v>
                </c:pt>
                <c:pt idx="22">
                  <c:v>1984.0</c:v>
                </c:pt>
                <c:pt idx="23">
                  <c:v>1985.0</c:v>
                </c:pt>
                <c:pt idx="24">
                  <c:v>1986.0</c:v>
                </c:pt>
                <c:pt idx="25">
                  <c:v>1987.0</c:v>
                </c:pt>
                <c:pt idx="26">
                  <c:v>1988.0</c:v>
                </c:pt>
                <c:pt idx="27">
                  <c:v>1989.0</c:v>
                </c:pt>
                <c:pt idx="28">
                  <c:v>1990.0</c:v>
                </c:pt>
                <c:pt idx="29">
                  <c:v>1991.0</c:v>
                </c:pt>
                <c:pt idx="30">
                  <c:v>1992.0</c:v>
                </c:pt>
                <c:pt idx="31">
                  <c:v>1993.0</c:v>
                </c:pt>
                <c:pt idx="32">
                  <c:v>1994.0</c:v>
                </c:pt>
                <c:pt idx="33">
                  <c:v>1995.0</c:v>
                </c:pt>
                <c:pt idx="34">
                  <c:v>1996.0</c:v>
                </c:pt>
                <c:pt idx="35">
                  <c:v>1997.0</c:v>
                </c:pt>
                <c:pt idx="36">
                  <c:v>1998.0</c:v>
                </c:pt>
                <c:pt idx="37">
                  <c:v>1999.0</c:v>
                </c:pt>
                <c:pt idx="38">
                  <c:v>2000.0</c:v>
                </c:pt>
              </c:numCache>
            </c:numRef>
          </c:xVal>
          <c:yVal>
            <c:numRef>
              <c:f>MainData!$L$8:$L$58</c:f>
              <c:numCache>
                <c:formatCode>0.000</c:formatCode>
                <c:ptCount val="51"/>
                <c:pt idx="0">
                  <c:v>5.377107893376524</c:v>
                </c:pt>
                <c:pt idx="1">
                  <c:v>8.75394989892599</c:v>
                </c:pt>
                <c:pt idx="2">
                  <c:v>8.033523922696721</c:v>
                </c:pt>
                <c:pt idx="3">
                  <c:v>5.397084118986949</c:v>
                </c:pt>
                <c:pt idx="4">
                  <c:v>7.331569386649271</c:v>
                </c:pt>
                <c:pt idx="5">
                  <c:v>3.885196740105054</c:v>
                </c:pt>
                <c:pt idx="6">
                  <c:v>5.66551713869817</c:v>
                </c:pt>
                <c:pt idx="7">
                  <c:v>3.352964484383398</c:v>
                </c:pt>
                <c:pt idx="8">
                  <c:v>4.60396665618009</c:v>
                </c:pt>
                <c:pt idx="9">
                  <c:v>1.610558309128999</c:v>
                </c:pt>
                <c:pt idx="10">
                  <c:v>3.898190442853644</c:v>
                </c:pt>
                <c:pt idx="11">
                  <c:v>4.428965684112683</c:v>
                </c:pt>
                <c:pt idx="12">
                  <c:v>2.552482330986805</c:v>
                </c:pt>
                <c:pt idx="13">
                  <c:v>4.87665925369186</c:v>
                </c:pt>
                <c:pt idx="14">
                  <c:v>3.814193160992355</c:v>
                </c:pt>
                <c:pt idx="15">
                  <c:v>5.038085309591163</c:v>
                </c:pt>
                <c:pt idx="16">
                  <c:v>3.68736124629564</c:v>
                </c:pt>
                <c:pt idx="17">
                  <c:v>5.167902909662094</c:v>
                </c:pt>
                <c:pt idx="18">
                  <c:v>4.558186147108772</c:v>
                </c:pt>
                <c:pt idx="19">
                  <c:v>8.826800622056872</c:v>
                </c:pt>
                <c:pt idx="20">
                  <c:v>6.655849072756605</c:v>
                </c:pt>
                <c:pt idx="21">
                  <c:v>6.819623867816958</c:v>
                </c:pt>
                <c:pt idx="22">
                  <c:v>9.054867175508686</c:v>
                </c:pt>
                <c:pt idx="23">
                  <c:v>8.611114710623475</c:v>
                </c:pt>
                <c:pt idx="24">
                  <c:v>16.05048724385112</c:v>
                </c:pt>
                <c:pt idx="25">
                  <c:v>10.43528885599308</c:v>
                </c:pt>
                <c:pt idx="26">
                  <c:v>3.822553080040161</c:v>
                </c:pt>
                <c:pt idx="27">
                  <c:v>5.83697509745484</c:v>
                </c:pt>
                <c:pt idx="28">
                  <c:v>3.839710818657325</c:v>
                </c:pt>
                <c:pt idx="29">
                  <c:v>5.066787698321964</c:v>
                </c:pt>
                <c:pt idx="30">
                  <c:v>5.278102566367507</c:v>
                </c:pt>
                <c:pt idx="31">
                  <c:v>7.312938709914161</c:v>
                </c:pt>
                <c:pt idx="32">
                  <c:v>2.209825172872564</c:v>
                </c:pt>
                <c:pt idx="33">
                  <c:v>4.245079312371608</c:v>
                </c:pt>
                <c:pt idx="34">
                  <c:v>5.625763733168935</c:v>
                </c:pt>
                <c:pt idx="35">
                  <c:v>4.738019948568577</c:v>
                </c:pt>
                <c:pt idx="36">
                  <c:v>5.905032800331645</c:v>
                </c:pt>
                <c:pt idx="37">
                  <c:v>5.663598338231006</c:v>
                </c:pt>
                <c:pt idx="38">
                  <c:v>5.652897641849814</c:v>
                </c:pt>
                <c:pt idx="39">
                  <c:v>9.79304802742996</c:v>
                </c:pt>
                <c:pt idx="40">
                  <c:v>3.754001743848151</c:v>
                </c:pt>
                <c:pt idx="41">
                  <c:v>11.37347081884854</c:v>
                </c:pt>
                <c:pt idx="42" formatCode="General">
                  <c:v>7.945904009248049</c:v>
                </c:pt>
                <c:pt idx="50" formatCode="#,##0.00">
                  <c:v>5.966307118617623</c:v>
                </c:pt>
              </c:numCache>
            </c:numRef>
          </c:yVal>
          <c:smooth val="0"/>
        </c:ser>
        <c:ser>
          <c:idx val="2"/>
          <c:order val="2"/>
          <c:tx>
            <c:strRef>
              <c:f>MainData!$R$7</c:f>
              <c:strCache>
                <c:ptCount val="1"/>
                <c:pt idx="0">
                  <c:v>Average</c:v>
                </c:pt>
              </c:strCache>
            </c:strRef>
          </c:tx>
          <c:spPr>
            <a:ln w="3175">
              <a:solidFill>
                <a:srgbClr val="FFFF00"/>
              </a:solidFill>
              <a:prstDash val="solid"/>
            </a:ln>
          </c:spPr>
          <c:marker>
            <c:symbol val="star"/>
            <c:size val="3"/>
            <c:spPr>
              <a:solidFill>
                <a:srgbClr val="FFFF00"/>
              </a:solidFill>
              <a:ln>
                <a:solidFill>
                  <a:srgbClr val="FFFF00"/>
                </a:solidFill>
                <a:prstDash val="solid"/>
              </a:ln>
            </c:spPr>
          </c:marker>
          <c:xVal>
            <c:numRef>
              <c:f>MainData!$B$8:$B$46</c:f>
              <c:numCache>
                <c:formatCode>General</c:formatCode>
                <c:ptCount val="39"/>
                <c:pt idx="0">
                  <c:v>1962.0</c:v>
                </c:pt>
                <c:pt idx="1">
                  <c:v>1963.0</c:v>
                </c:pt>
                <c:pt idx="2">
                  <c:v>1964.0</c:v>
                </c:pt>
                <c:pt idx="3">
                  <c:v>1965.0</c:v>
                </c:pt>
                <c:pt idx="4">
                  <c:v>1966.0</c:v>
                </c:pt>
                <c:pt idx="5">
                  <c:v>1967.0</c:v>
                </c:pt>
                <c:pt idx="6">
                  <c:v>1968.0</c:v>
                </c:pt>
                <c:pt idx="7">
                  <c:v>1969.0</c:v>
                </c:pt>
                <c:pt idx="8">
                  <c:v>1970.0</c:v>
                </c:pt>
                <c:pt idx="9">
                  <c:v>1971.0</c:v>
                </c:pt>
                <c:pt idx="10">
                  <c:v>1972.0</c:v>
                </c:pt>
                <c:pt idx="11">
                  <c:v>1973.0</c:v>
                </c:pt>
                <c:pt idx="12">
                  <c:v>1974.0</c:v>
                </c:pt>
                <c:pt idx="13">
                  <c:v>1975.0</c:v>
                </c:pt>
                <c:pt idx="14">
                  <c:v>1976.0</c:v>
                </c:pt>
                <c:pt idx="15">
                  <c:v>1977.0</c:v>
                </c:pt>
                <c:pt idx="16">
                  <c:v>1978.0</c:v>
                </c:pt>
                <c:pt idx="17">
                  <c:v>1979.0</c:v>
                </c:pt>
                <c:pt idx="18">
                  <c:v>1980.0</c:v>
                </c:pt>
                <c:pt idx="19">
                  <c:v>1981.0</c:v>
                </c:pt>
                <c:pt idx="20">
                  <c:v>1982.0</c:v>
                </c:pt>
                <c:pt idx="21">
                  <c:v>1983.0</c:v>
                </c:pt>
                <c:pt idx="22">
                  <c:v>1984.0</c:v>
                </c:pt>
                <c:pt idx="23">
                  <c:v>1985.0</c:v>
                </c:pt>
                <c:pt idx="24">
                  <c:v>1986.0</c:v>
                </c:pt>
                <c:pt idx="25">
                  <c:v>1987.0</c:v>
                </c:pt>
                <c:pt idx="26">
                  <c:v>1988.0</c:v>
                </c:pt>
                <c:pt idx="27">
                  <c:v>1989.0</c:v>
                </c:pt>
                <c:pt idx="28">
                  <c:v>1990.0</c:v>
                </c:pt>
                <c:pt idx="29">
                  <c:v>1991.0</c:v>
                </c:pt>
                <c:pt idx="30">
                  <c:v>1992.0</c:v>
                </c:pt>
                <c:pt idx="31">
                  <c:v>1993.0</c:v>
                </c:pt>
                <c:pt idx="32">
                  <c:v>1994.0</c:v>
                </c:pt>
                <c:pt idx="33">
                  <c:v>1995.0</c:v>
                </c:pt>
                <c:pt idx="34">
                  <c:v>1996.0</c:v>
                </c:pt>
                <c:pt idx="35">
                  <c:v>1997.0</c:v>
                </c:pt>
                <c:pt idx="36">
                  <c:v>1998.0</c:v>
                </c:pt>
                <c:pt idx="37">
                  <c:v>1999.0</c:v>
                </c:pt>
                <c:pt idx="38">
                  <c:v>2000.0</c:v>
                </c:pt>
              </c:numCache>
            </c:numRef>
          </c:xVal>
          <c:yVal>
            <c:numRef>
              <c:f>MainData!$R$8:$R$46</c:f>
              <c:numCache>
                <c:formatCode>General</c:formatCode>
                <c:ptCount val="39"/>
                <c:pt idx="0">
                  <c:v>5.9021419</c:v>
                </c:pt>
                <c:pt idx="1">
                  <c:v>5.9021419</c:v>
                </c:pt>
                <c:pt idx="2">
                  <c:v>5.9021419</c:v>
                </c:pt>
                <c:pt idx="3">
                  <c:v>5.9021419</c:v>
                </c:pt>
                <c:pt idx="4">
                  <c:v>5.9021419</c:v>
                </c:pt>
                <c:pt idx="5">
                  <c:v>5.9021419</c:v>
                </c:pt>
                <c:pt idx="6">
                  <c:v>5.9021419</c:v>
                </c:pt>
                <c:pt idx="7">
                  <c:v>5.9021419</c:v>
                </c:pt>
                <c:pt idx="8">
                  <c:v>5.9021419</c:v>
                </c:pt>
                <c:pt idx="9">
                  <c:v>5.9021419</c:v>
                </c:pt>
                <c:pt idx="10">
                  <c:v>5.9021419</c:v>
                </c:pt>
                <c:pt idx="11">
                  <c:v>5.9021419</c:v>
                </c:pt>
                <c:pt idx="12">
                  <c:v>5.9021419</c:v>
                </c:pt>
                <c:pt idx="13">
                  <c:v>5.9021419</c:v>
                </c:pt>
                <c:pt idx="14">
                  <c:v>5.9021419</c:v>
                </c:pt>
                <c:pt idx="15">
                  <c:v>5.9021419</c:v>
                </c:pt>
                <c:pt idx="16">
                  <c:v>5.9021419</c:v>
                </c:pt>
                <c:pt idx="17">
                  <c:v>5.9021419</c:v>
                </c:pt>
                <c:pt idx="18">
                  <c:v>5.9021419</c:v>
                </c:pt>
                <c:pt idx="19">
                  <c:v>5.9021419</c:v>
                </c:pt>
                <c:pt idx="20">
                  <c:v>5.9021419</c:v>
                </c:pt>
                <c:pt idx="21">
                  <c:v>5.9021419</c:v>
                </c:pt>
                <c:pt idx="22">
                  <c:v>5.9021419</c:v>
                </c:pt>
                <c:pt idx="23">
                  <c:v>5.9021419</c:v>
                </c:pt>
                <c:pt idx="24">
                  <c:v>5.9021419</c:v>
                </c:pt>
                <c:pt idx="25">
                  <c:v>5.9021419</c:v>
                </c:pt>
                <c:pt idx="26">
                  <c:v>5.9021419</c:v>
                </c:pt>
                <c:pt idx="27">
                  <c:v>5.9021419</c:v>
                </c:pt>
                <c:pt idx="28">
                  <c:v>5.9021419</c:v>
                </c:pt>
                <c:pt idx="29">
                  <c:v>5.9021419</c:v>
                </c:pt>
                <c:pt idx="30">
                  <c:v>5.9021419</c:v>
                </c:pt>
                <c:pt idx="31">
                  <c:v>5.9021419</c:v>
                </c:pt>
                <c:pt idx="32">
                  <c:v>5.9021419</c:v>
                </c:pt>
                <c:pt idx="33">
                  <c:v>5.9021419</c:v>
                </c:pt>
                <c:pt idx="34">
                  <c:v>5.9021419</c:v>
                </c:pt>
                <c:pt idx="35" formatCode="#,##0.00">
                  <c:v>5.9021419</c:v>
                </c:pt>
                <c:pt idx="36">
                  <c:v>5.9021419</c:v>
                </c:pt>
                <c:pt idx="37">
                  <c:v>5.9021419</c:v>
                </c:pt>
                <c:pt idx="38" formatCode="#,##0.00">
                  <c:v>5.9021419</c:v>
                </c:pt>
              </c:numCache>
            </c:numRef>
          </c:yVal>
          <c:smooth val="0"/>
        </c:ser>
        <c:ser>
          <c:idx val="3"/>
          <c:order val="3"/>
          <c:tx>
            <c:strRef>
              <c:f>MainData!$N$6</c:f>
              <c:strCache>
                <c:ptCount val="1"/>
                <c:pt idx="0">
                  <c:v>Lower</c:v>
                </c:pt>
              </c:strCache>
            </c:strRef>
          </c:tx>
          <c:spPr>
            <a:ln w="3175">
              <a:solidFill>
                <a:srgbClr val="FF0000"/>
              </a:solidFill>
              <a:prstDash val="sysDash"/>
            </a:ln>
          </c:spPr>
          <c:marker>
            <c:symbol val="none"/>
          </c:marker>
          <c:xVal>
            <c:numRef>
              <c:f>MainData!$B$8:$B$46</c:f>
              <c:numCache>
                <c:formatCode>General</c:formatCode>
                <c:ptCount val="39"/>
                <c:pt idx="0">
                  <c:v>1962.0</c:v>
                </c:pt>
                <c:pt idx="1">
                  <c:v>1963.0</c:v>
                </c:pt>
                <c:pt idx="2">
                  <c:v>1964.0</c:v>
                </c:pt>
                <c:pt idx="3">
                  <c:v>1965.0</c:v>
                </c:pt>
                <c:pt idx="4">
                  <c:v>1966.0</c:v>
                </c:pt>
                <c:pt idx="5">
                  <c:v>1967.0</c:v>
                </c:pt>
                <c:pt idx="6">
                  <c:v>1968.0</c:v>
                </c:pt>
                <c:pt idx="7">
                  <c:v>1969.0</c:v>
                </c:pt>
                <c:pt idx="8">
                  <c:v>1970.0</c:v>
                </c:pt>
                <c:pt idx="9">
                  <c:v>1971.0</c:v>
                </c:pt>
                <c:pt idx="10">
                  <c:v>1972.0</c:v>
                </c:pt>
                <c:pt idx="11">
                  <c:v>1973.0</c:v>
                </c:pt>
                <c:pt idx="12">
                  <c:v>1974.0</c:v>
                </c:pt>
                <c:pt idx="13">
                  <c:v>1975.0</c:v>
                </c:pt>
                <c:pt idx="14">
                  <c:v>1976.0</c:v>
                </c:pt>
                <c:pt idx="15">
                  <c:v>1977.0</c:v>
                </c:pt>
                <c:pt idx="16">
                  <c:v>1978.0</c:v>
                </c:pt>
                <c:pt idx="17">
                  <c:v>1979.0</c:v>
                </c:pt>
                <c:pt idx="18">
                  <c:v>1980.0</c:v>
                </c:pt>
                <c:pt idx="19">
                  <c:v>1981.0</c:v>
                </c:pt>
                <c:pt idx="20">
                  <c:v>1982.0</c:v>
                </c:pt>
                <c:pt idx="21">
                  <c:v>1983.0</c:v>
                </c:pt>
                <c:pt idx="22">
                  <c:v>1984.0</c:v>
                </c:pt>
                <c:pt idx="23">
                  <c:v>1985.0</c:v>
                </c:pt>
                <c:pt idx="24">
                  <c:v>1986.0</c:v>
                </c:pt>
                <c:pt idx="25">
                  <c:v>1987.0</c:v>
                </c:pt>
                <c:pt idx="26">
                  <c:v>1988.0</c:v>
                </c:pt>
                <c:pt idx="27">
                  <c:v>1989.0</c:v>
                </c:pt>
                <c:pt idx="28">
                  <c:v>1990.0</c:v>
                </c:pt>
                <c:pt idx="29">
                  <c:v>1991.0</c:v>
                </c:pt>
                <c:pt idx="30">
                  <c:v>1992.0</c:v>
                </c:pt>
                <c:pt idx="31">
                  <c:v>1993.0</c:v>
                </c:pt>
                <c:pt idx="32">
                  <c:v>1994.0</c:v>
                </c:pt>
                <c:pt idx="33">
                  <c:v>1995.0</c:v>
                </c:pt>
                <c:pt idx="34">
                  <c:v>1996.0</c:v>
                </c:pt>
                <c:pt idx="35">
                  <c:v>1997.0</c:v>
                </c:pt>
                <c:pt idx="36">
                  <c:v>1998.0</c:v>
                </c:pt>
                <c:pt idx="37">
                  <c:v>1999.0</c:v>
                </c:pt>
                <c:pt idx="38">
                  <c:v>2000.0</c:v>
                </c:pt>
              </c:numCache>
            </c:numRef>
          </c:xVal>
          <c:yVal>
            <c:numRef>
              <c:f>MainData!$N$8:$N$44</c:f>
              <c:numCache>
                <c:formatCode>General</c:formatCode>
                <c:ptCount val="37"/>
                <c:pt idx="0">
                  <c:v>-1.723377726260354</c:v>
                </c:pt>
                <c:pt idx="1">
                  <c:v>1.653464279289111</c:v>
                </c:pt>
                <c:pt idx="2">
                  <c:v>0.933038303059843</c:v>
                </c:pt>
                <c:pt idx="3">
                  <c:v>-1.70340150064993</c:v>
                </c:pt>
                <c:pt idx="4">
                  <c:v>0.231083767012393</c:v>
                </c:pt>
                <c:pt idx="5">
                  <c:v>-3.215288879531824</c:v>
                </c:pt>
                <c:pt idx="6">
                  <c:v>-1.434968480938709</c:v>
                </c:pt>
                <c:pt idx="7">
                  <c:v>-3.747521135253481</c:v>
                </c:pt>
                <c:pt idx="8">
                  <c:v>-2.496518963456788</c:v>
                </c:pt>
                <c:pt idx="9">
                  <c:v>-5.489927310507878</c:v>
                </c:pt>
                <c:pt idx="10">
                  <c:v>-3.202295176783234</c:v>
                </c:pt>
                <c:pt idx="11">
                  <c:v>-2.671519935524195</c:v>
                </c:pt>
                <c:pt idx="12">
                  <c:v>-4.548003288650073</c:v>
                </c:pt>
                <c:pt idx="13">
                  <c:v>-2.22382636594502</c:v>
                </c:pt>
                <c:pt idx="14">
                  <c:v>-3.286292458644524</c:v>
                </c:pt>
                <c:pt idx="15">
                  <c:v>-2.062400310045716</c:v>
                </c:pt>
                <c:pt idx="16">
                  <c:v>-3.413124373341239</c:v>
                </c:pt>
                <c:pt idx="17">
                  <c:v>-1.932582709974785</c:v>
                </c:pt>
                <c:pt idx="18">
                  <c:v>-2.542299472528106</c:v>
                </c:pt>
                <c:pt idx="19">
                  <c:v>1.726315002419994</c:v>
                </c:pt>
                <c:pt idx="20">
                  <c:v>-0.444636546880274</c:v>
                </c:pt>
                <c:pt idx="21">
                  <c:v>-0.280861751819921</c:v>
                </c:pt>
                <c:pt idx="22">
                  <c:v>1.954381555871808</c:v>
                </c:pt>
                <c:pt idx="23">
                  <c:v>1.510629090986597</c:v>
                </c:pt>
                <c:pt idx="24">
                  <c:v>8.950001624214245</c:v>
                </c:pt>
                <c:pt idx="25">
                  <c:v>3.334803236356202</c:v>
                </c:pt>
                <c:pt idx="26">
                  <c:v>-3.277932539596718</c:v>
                </c:pt>
                <c:pt idx="27">
                  <c:v>-1.26351052218204</c:v>
                </c:pt>
                <c:pt idx="28">
                  <c:v>-3.260774800979553</c:v>
                </c:pt>
                <c:pt idx="29">
                  <c:v>-2.033697921314915</c:v>
                </c:pt>
                <c:pt idx="30">
                  <c:v>-1.822383053269371</c:v>
                </c:pt>
                <c:pt idx="31">
                  <c:v>0.212453090277283</c:v>
                </c:pt>
                <c:pt idx="32">
                  <c:v>-4.890660446764314</c:v>
                </c:pt>
                <c:pt idx="33">
                  <c:v>-2.85540630726527</c:v>
                </c:pt>
                <c:pt idx="34">
                  <c:v>-1.474721886467943</c:v>
                </c:pt>
                <c:pt idx="35">
                  <c:v>-2.362465671068302</c:v>
                </c:pt>
                <c:pt idx="36">
                  <c:v>-1.195452819305233</c:v>
                </c:pt>
              </c:numCache>
            </c:numRef>
          </c:yVal>
          <c:smooth val="0"/>
        </c:ser>
        <c:ser>
          <c:idx val="4"/>
          <c:order val="4"/>
          <c:tx>
            <c:strRef>
              <c:f>MainData!$O$6</c:f>
              <c:strCache>
                <c:ptCount val="1"/>
                <c:pt idx="0">
                  <c:v>Upper</c:v>
                </c:pt>
              </c:strCache>
            </c:strRef>
          </c:tx>
          <c:spPr>
            <a:ln w="3175">
              <a:solidFill>
                <a:srgbClr val="FF0000"/>
              </a:solidFill>
              <a:prstDash val="sysDash"/>
            </a:ln>
          </c:spPr>
          <c:marker>
            <c:symbol val="none"/>
          </c:marker>
          <c:xVal>
            <c:numRef>
              <c:f>MainData!$B$8:$B$46</c:f>
              <c:numCache>
                <c:formatCode>General</c:formatCode>
                <c:ptCount val="39"/>
                <c:pt idx="0">
                  <c:v>1962.0</c:v>
                </c:pt>
                <c:pt idx="1">
                  <c:v>1963.0</c:v>
                </c:pt>
                <c:pt idx="2">
                  <c:v>1964.0</c:v>
                </c:pt>
                <c:pt idx="3">
                  <c:v>1965.0</c:v>
                </c:pt>
                <c:pt idx="4">
                  <c:v>1966.0</c:v>
                </c:pt>
                <c:pt idx="5">
                  <c:v>1967.0</c:v>
                </c:pt>
                <c:pt idx="6">
                  <c:v>1968.0</c:v>
                </c:pt>
                <c:pt idx="7">
                  <c:v>1969.0</c:v>
                </c:pt>
                <c:pt idx="8">
                  <c:v>1970.0</c:v>
                </c:pt>
                <c:pt idx="9">
                  <c:v>1971.0</c:v>
                </c:pt>
                <c:pt idx="10">
                  <c:v>1972.0</c:v>
                </c:pt>
                <c:pt idx="11">
                  <c:v>1973.0</c:v>
                </c:pt>
                <c:pt idx="12">
                  <c:v>1974.0</c:v>
                </c:pt>
                <c:pt idx="13">
                  <c:v>1975.0</c:v>
                </c:pt>
                <c:pt idx="14">
                  <c:v>1976.0</c:v>
                </c:pt>
                <c:pt idx="15">
                  <c:v>1977.0</c:v>
                </c:pt>
                <c:pt idx="16">
                  <c:v>1978.0</c:v>
                </c:pt>
                <c:pt idx="17">
                  <c:v>1979.0</c:v>
                </c:pt>
                <c:pt idx="18">
                  <c:v>1980.0</c:v>
                </c:pt>
                <c:pt idx="19">
                  <c:v>1981.0</c:v>
                </c:pt>
                <c:pt idx="20">
                  <c:v>1982.0</c:v>
                </c:pt>
                <c:pt idx="21">
                  <c:v>1983.0</c:v>
                </c:pt>
                <c:pt idx="22">
                  <c:v>1984.0</c:v>
                </c:pt>
                <c:pt idx="23">
                  <c:v>1985.0</c:v>
                </c:pt>
                <c:pt idx="24">
                  <c:v>1986.0</c:v>
                </c:pt>
                <c:pt idx="25">
                  <c:v>1987.0</c:v>
                </c:pt>
                <c:pt idx="26">
                  <c:v>1988.0</c:v>
                </c:pt>
                <c:pt idx="27">
                  <c:v>1989.0</c:v>
                </c:pt>
                <c:pt idx="28">
                  <c:v>1990.0</c:v>
                </c:pt>
                <c:pt idx="29">
                  <c:v>1991.0</c:v>
                </c:pt>
                <c:pt idx="30">
                  <c:v>1992.0</c:v>
                </c:pt>
                <c:pt idx="31">
                  <c:v>1993.0</c:v>
                </c:pt>
                <c:pt idx="32">
                  <c:v>1994.0</c:v>
                </c:pt>
                <c:pt idx="33">
                  <c:v>1995.0</c:v>
                </c:pt>
                <c:pt idx="34">
                  <c:v>1996.0</c:v>
                </c:pt>
                <c:pt idx="35">
                  <c:v>1997.0</c:v>
                </c:pt>
                <c:pt idx="36">
                  <c:v>1998.0</c:v>
                </c:pt>
                <c:pt idx="37">
                  <c:v>1999.0</c:v>
                </c:pt>
                <c:pt idx="38">
                  <c:v>2000.0</c:v>
                </c:pt>
              </c:numCache>
            </c:numRef>
          </c:xVal>
          <c:yVal>
            <c:numRef>
              <c:f>MainData!$O$8:$O$44</c:f>
              <c:numCache>
                <c:formatCode>General</c:formatCode>
                <c:ptCount val="37"/>
                <c:pt idx="0">
                  <c:v>12.4775935130134</c:v>
                </c:pt>
                <c:pt idx="1">
                  <c:v>15.85443551856287</c:v>
                </c:pt>
                <c:pt idx="2">
                  <c:v>15.1340095423336</c:v>
                </c:pt>
                <c:pt idx="3">
                  <c:v>12.49756973862383</c:v>
                </c:pt>
                <c:pt idx="4">
                  <c:v>14.43205500628615</c:v>
                </c:pt>
                <c:pt idx="5">
                  <c:v>10.98568235974193</c:v>
                </c:pt>
                <c:pt idx="6">
                  <c:v>12.76600275833505</c:v>
                </c:pt>
                <c:pt idx="7">
                  <c:v>10.45345010402028</c:v>
                </c:pt>
                <c:pt idx="8">
                  <c:v>11.70445227581697</c:v>
                </c:pt>
                <c:pt idx="9">
                  <c:v>8.711043928765878</c:v>
                </c:pt>
                <c:pt idx="10">
                  <c:v>10.99867606249052</c:v>
                </c:pt>
                <c:pt idx="11">
                  <c:v>11.52945130374956</c:v>
                </c:pt>
                <c:pt idx="12">
                  <c:v>9.652967950623683</c:v>
                </c:pt>
                <c:pt idx="13">
                  <c:v>11.97714487332874</c:v>
                </c:pt>
                <c:pt idx="14">
                  <c:v>10.91467878062923</c:v>
                </c:pt>
                <c:pt idx="15">
                  <c:v>12.13857092922804</c:v>
                </c:pt>
                <c:pt idx="16">
                  <c:v>10.78784686593252</c:v>
                </c:pt>
                <c:pt idx="17">
                  <c:v>12.26838852929897</c:v>
                </c:pt>
                <c:pt idx="18">
                  <c:v>11.65867176674565</c:v>
                </c:pt>
                <c:pt idx="19">
                  <c:v>15.92728624169375</c:v>
                </c:pt>
                <c:pt idx="20">
                  <c:v>13.75633469239348</c:v>
                </c:pt>
                <c:pt idx="21">
                  <c:v>13.92010948745384</c:v>
                </c:pt>
                <c:pt idx="22">
                  <c:v>16.15535279514556</c:v>
                </c:pt>
                <c:pt idx="23">
                  <c:v>15.71160033026035</c:v>
                </c:pt>
                <c:pt idx="24">
                  <c:v>23.150972863488</c:v>
                </c:pt>
                <c:pt idx="25">
                  <c:v>17.53577447562996</c:v>
                </c:pt>
                <c:pt idx="26">
                  <c:v>10.92303869967704</c:v>
                </c:pt>
                <c:pt idx="27">
                  <c:v>12.93746071709172</c:v>
                </c:pt>
                <c:pt idx="28">
                  <c:v>10.9401964382942</c:v>
                </c:pt>
                <c:pt idx="29">
                  <c:v>12.16727331795884</c:v>
                </c:pt>
                <c:pt idx="30">
                  <c:v>12.37858818600439</c:v>
                </c:pt>
                <c:pt idx="31">
                  <c:v>14.41342432955104</c:v>
                </c:pt>
                <c:pt idx="32">
                  <c:v>9.310310792509442</c:v>
                </c:pt>
                <c:pt idx="33">
                  <c:v>11.34556493200849</c:v>
                </c:pt>
                <c:pt idx="34">
                  <c:v>12.72624935280581</c:v>
                </c:pt>
                <c:pt idx="35">
                  <c:v>11.83850556820546</c:v>
                </c:pt>
                <c:pt idx="36">
                  <c:v>13.00551841996852</c:v>
                </c:pt>
              </c:numCache>
            </c:numRef>
          </c:yVal>
          <c:smooth val="0"/>
        </c:ser>
        <c:dLbls>
          <c:showLegendKey val="0"/>
          <c:showVal val="0"/>
          <c:showCatName val="0"/>
          <c:showSerName val="0"/>
          <c:showPercent val="0"/>
          <c:showBubbleSize val="0"/>
        </c:dLbls>
        <c:axId val="-2096212760"/>
        <c:axId val="-2090671464"/>
      </c:scatterChart>
      <c:valAx>
        <c:axId val="-2096212760"/>
        <c:scaling>
          <c:orientation val="minMax"/>
          <c:max val="2000.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2090671464"/>
        <c:crosses val="autoZero"/>
        <c:crossBetween val="midCat"/>
      </c:valAx>
      <c:valAx>
        <c:axId val="-2090671464"/>
        <c:scaling>
          <c:orientation val="minMax"/>
          <c:max val="25.0"/>
          <c:min val="-5.0"/>
        </c:scaling>
        <c:delete val="0"/>
        <c:axPos val="l"/>
        <c:majorGridlines>
          <c:spPr>
            <a:ln w="3175">
              <a:solidFill>
                <a:srgbClr val="969696"/>
              </a:solidFill>
              <a:prstDash val="sysDash"/>
            </a:ln>
          </c:spPr>
        </c:majorGridlines>
        <c:title>
          <c:tx>
            <c:rich>
              <a:bodyPr/>
              <a:lstStyle/>
              <a:p>
                <a:pPr>
                  <a:defRPr sz="1200" b="1" i="0" u="none" strike="noStrike" baseline="0">
                    <a:solidFill>
                      <a:srgbClr val="000000"/>
                    </a:solidFill>
                    <a:latin typeface="Times New Roman"/>
                    <a:ea typeface="Times New Roman"/>
                    <a:cs typeface="Times New Roman"/>
                  </a:defRPr>
                </a:pPr>
                <a:r>
                  <a:rPr lang="en-US"/>
                  <a:t>Total Return</a:t>
                </a:r>
              </a:p>
            </c:rich>
          </c:tx>
          <c:layout>
            <c:manualLayout>
              <c:xMode val="edge"/>
              <c:yMode val="edge"/>
              <c:x val="0.00960046660834062"/>
              <c:y val="0.460420611980465"/>
            </c:manualLayout>
          </c:layout>
          <c:overlay val="0"/>
          <c:spPr>
            <a:noFill/>
            <a:ln w="25400">
              <a:noFill/>
            </a:ln>
          </c:spPr>
        </c:title>
        <c:numFmt formatCode="0.00_)"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Times New Roman"/>
                <a:ea typeface="Times New Roman"/>
                <a:cs typeface="Times New Roman"/>
              </a:defRPr>
            </a:pPr>
            <a:endParaRPr lang="en-US"/>
          </a:p>
        </c:txPr>
        <c:crossAx val="-2096212760"/>
        <c:crosses val="autoZero"/>
        <c:crossBetween val="midCat"/>
      </c:valAx>
      <c:spPr>
        <a:solidFill>
          <a:srgbClr val="FFFFFF"/>
        </a:solidFill>
        <a:ln w="25400">
          <a:noFill/>
        </a:ln>
      </c:spPr>
    </c:plotArea>
    <c:legend>
      <c:legendPos val="r"/>
      <c:layout>
        <c:manualLayout>
          <c:xMode val="edge"/>
          <c:yMode val="edge"/>
          <c:x val="0.17494077663369"/>
          <c:y val="0.128808118394483"/>
          <c:w val="0.209075644390605"/>
          <c:h val="0.19458247044014"/>
        </c:manualLayout>
      </c:layout>
      <c:overlay val="0"/>
      <c:spPr>
        <a:solidFill>
          <a:srgbClr val="FFFFFF"/>
        </a:solidFill>
        <a:ln w="25400">
          <a:noFill/>
        </a:ln>
      </c:spPr>
      <c:txPr>
        <a:bodyPr/>
        <a:lstStyle/>
        <a:p>
          <a:pPr>
            <a:defRPr sz="1180"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Times New Roman"/>
          <a:ea typeface="Times New Roman"/>
          <a:cs typeface="Times New Roman"/>
        </a:defRPr>
      </a:pPr>
      <a:endParaRPr lang="en-US"/>
    </a:p>
  </c:txPr>
  <c:printSettings>
    <c:headerFooter alignWithMargins="0"/>
    <c:pageMargins b="1.0" l="0.75" r="0.75" t="1.0" header="0.5" footer="0.5"/>
    <c:pageSetup orientation="landscape"/>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0649445756220394"/>
          <c:y val="0.0508847098569414"/>
          <c:w val="0.913976100827237"/>
          <c:h val="0.865040067568004"/>
        </c:manualLayout>
      </c:layout>
      <c:scatterChart>
        <c:scatterStyle val="lineMarker"/>
        <c:varyColors val="0"/>
        <c:ser>
          <c:idx val="0"/>
          <c:order val="0"/>
          <c:tx>
            <c:v>Observed</c:v>
          </c:tx>
          <c:spPr>
            <a:ln w="3175">
              <a:solidFill>
                <a:srgbClr val="00FFFF"/>
              </a:solidFill>
              <a:prstDash val="solid"/>
            </a:ln>
          </c:spPr>
          <c:marker>
            <c:symbol val="diamond"/>
            <c:size val="5"/>
            <c:spPr>
              <a:solidFill>
                <a:srgbClr val="00FFFF"/>
              </a:solidFill>
              <a:ln>
                <a:solidFill>
                  <a:srgbClr val="000000"/>
                </a:solidFill>
                <a:prstDash val="solid"/>
              </a:ln>
            </c:spPr>
          </c:marker>
          <c:xVal>
            <c:numRef>
              <c:f>MainData!#REF!</c:f>
              <c:numCache>
                <c:formatCode>General</c:formatCode>
                <c:ptCount val="1"/>
                <c:pt idx="0">
                  <c:v>1.0</c:v>
                </c:pt>
              </c:numCache>
            </c:numRef>
          </c:xVal>
          <c:yVal>
            <c:numRef>
              <c:f>MainData!#REF!</c:f>
              <c:numCache>
                <c:formatCode>General</c:formatCode>
                <c:ptCount val="1"/>
                <c:pt idx="0">
                  <c:v>1.0</c:v>
                </c:pt>
              </c:numCache>
            </c:numRef>
          </c:yVal>
          <c:smooth val="0"/>
        </c:ser>
        <c:ser>
          <c:idx val="1"/>
          <c:order val="1"/>
          <c:tx>
            <c:v>BYE*Avg(r/s)</c:v>
          </c:tx>
          <c:spPr>
            <a:ln w="3175">
              <a:solidFill>
                <a:srgbClr val="FF00FF"/>
              </a:solidFill>
              <a:prstDash val="solid"/>
            </a:ln>
          </c:spPr>
          <c:marker>
            <c:symbol val="square"/>
            <c:size val="5"/>
            <c:spPr>
              <a:solidFill>
                <a:srgbClr val="FF00FF"/>
              </a:solidFill>
              <a:ln>
                <a:solidFill>
                  <a:srgbClr val="000000"/>
                </a:solidFill>
                <a:prstDash val="solid"/>
              </a:ln>
            </c:spPr>
          </c:marker>
          <c:xVal>
            <c:numRef>
              <c:f>MainData!#REF!</c:f>
              <c:numCache>
                <c:formatCode>General</c:formatCode>
                <c:ptCount val="1"/>
                <c:pt idx="0">
                  <c:v>1.0</c:v>
                </c:pt>
              </c:numCache>
            </c:numRef>
          </c:xVal>
          <c:yVal>
            <c:numRef>
              <c:f>MainData!#REF!</c:f>
              <c:numCache>
                <c:formatCode>General</c:formatCode>
                <c:ptCount val="1"/>
                <c:pt idx="0">
                  <c:v>1.0</c:v>
                </c:pt>
              </c:numCache>
            </c:numRef>
          </c:yVal>
          <c:smooth val="0"/>
        </c:ser>
        <c:dLbls>
          <c:showLegendKey val="0"/>
          <c:showVal val="0"/>
          <c:showCatName val="0"/>
          <c:showSerName val="0"/>
          <c:showPercent val="0"/>
          <c:showBubbleSize val="0"/>
        </c:dLbls>
        <c:axId val="-2096247016"/>
        <c:axId val="2136235416"/>
      </c:scatterChart>
      <c:valAx>
        <c:axId val="-2096247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2136235416"/>
        <c:crosses val="autoZero"/>
        <c:crossBetween val="midCat"/>
      </c:valAx>
      <c:valAx>
        <c:axId val="213623541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2096247016"/>
        <c:crosses val="autoZero"/>
        <c:crossBetween val="midCat"/>
      </c:valAx>
      <c:spPr>
        <a:solidFill>
          <a:srgbClr val="C0C0C0"/>
        </a:solidFill>
        <a:ln w="12700">
          <a:solidFill>
            <a:srgbClr val="808080"/>
          </a:solidFill>
          <a:prstDash val="solid"/>
        </a:ln>
      </c:spPr>
    </c:plotArea>
    <c:legend>
      <c:legendPos val="r"/>
      <c:layout>
        <c:manualLayout>
          <c:xMode val="edge"/>
          <c:yMode val="edge"/>
          <c:x val="0.0855367287949766"/>
          <c:y val="0.0875217946399706"/>
          <c:w val="0.164737532808399"/>
          <c:h val="0.079380160987183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0" l="0.75" r="0.75" t="1.0"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Times New Roman"/>
                <a:ea typeface="Times New Roman"/>
                <a:cs typeface="Times New Roman"/>
              </a:defRPr>
            </a:pPr>
            <a:r>
              <a:rPr lang="en-US"/>
              <a:t>PWS Wild Stock Pink Salmon</a:t>
            </a:r>
          </a:p>
        </c:rich>
      </c:tx>
      <c:layout>
        <c:manualLayout>
          <c:xMode val="edge"/>
          <c:yMode val="edge"/>
          <c:x val="0.434238337491764"/>
          <c:y val="0.0266201970655307"/>
        </c:manualLayout>
      </c:layout>
      <c:overlay val="0"/>
      <c:spPr>
        <a:noFill/>
        <a:ln w="25400">
          <a:noFill/>
        </a:ln>
      </c:spPr>
    </c:title>
    <c:autoTitleDeleted val="0"/>
    <c:plotArea>
      <c:layout>
        <c:manualLayout>
          <c:layoutTarget val="inner"/>
          <c:xMode val="edge"/>
          <c:yMode val="edge"/>
          <c:x val="0.0575694727590432"/>
          <c:y val="0.109143055395937"/>
          <c:w val="0.916999458947617"/>
          <c:h val="0.793283670926565"/>
        </c:manualLayout>
      </c:layout>
      <c:scatterChart>
        <c:scatterStyle val="lineMarker"/>
        <c:varyColors val="0"/>
        <c:ser>
          <c:idx val="0"/>
          <c:order val="0"/>
          <c:tx>
            <c:v>Odd Escapement</c:v>
          </c:tx>
          <c:spPr>
            <a:ln w="3175">
              <a:solidFill>
                <a:srgbClr val="00FF00"/>
              </a:solidFill>
              <a:prstDash val="solid"/>
            </a:ln>
          </c:spPr>
          <c:marker>
            <c:symbol val="diamond"/>
            <c:size val="5"/>
            <c:spPr>
              <a:solidFill>
                <a:srgbClr val="00FF00"/>
              </a:solidFill>
              <a:ln>
                <a:solidFill>
                  <a:srgbClr val="000000"/>
                </a:solidFill>
                <a:prstDash val="solid"/>
              </a:ln>
            </c:spPr>
          </c:marker>
          <c:xVal>
            <c:numRef>
              <c:f>MainData!#REF!</c:f>
              <c:numCache>
                <c:formatCode>General</c:formatCode>
                <c:ptCount val="1"/>
                <c:pt idx="0">
                  <c:v>1.0</c:v>
                </c:pt>
              </c:numCache>
            </c:numRef>
          </c:xVal>
          <c:yVal>
            <c:numRef>
              <c:f>MainData!#REF!</c:f>
              <c:numCache>
                <c:formatCode>General</c:formatCode>
                <c:ptCount val="1"/>
                <c:pt idx="0">
                  <c:v>1.0</c:v>
                </c:pt>
              </c:numCache>
            </c:numRef>
          </c:yVal>
          <c:smooth val="0"/>
        </c:ser>
        <c:ser>
          <c:idx val="1"/>
          <c:order val="1"/>
          <c:tx>
            <c:v>Odd Total Return</c:v>
          </c:tx>
          <c:spPr>
            <a:ln w="3175">
              <a:solidFill>
                <a:srgbClr val="00FF00"/>
              </a:solidFill>
              <a:prstDash val="solid"/>
            </a:ln>
          </c:spPr>
          <c:marker>
            <c:symbol val="square"/>
            <c:size val="5"/>
            <c:spPr>
              <a:solidFill>
                <a:srgbClr val="00FF00"/>
              </a:solidFill>
              <a:ln>
                <a:solidFill>
                  <a:srgbClr val="000000"/>
                </a:solidFill>
                <a:prstDash val="solid"/>
              </a:ln>
            </c:spPr>
          </c:marker>
          <c:xVal>
            <c:numRef>
              <c:f>MainData!#REF!</c:f>
              <c:numCache>
                <c:formatCode>General</c:formatCode>
                <c:ptCount val="1"/>
                <c:pt idx="0">
                  <c:v>1.0</c:v>
                </c:pt>
              </c:numCache>
            </c:numRef>
          </c:xVal>
          <c:yVal>
            <c:numRef>
              <c:f>MainData!#REF!</c:f>
              <c:numCache>
                <c:formatCode>General</c:formatCode>
                <c:ptCount val="1"/>
                <c:pt idx="0">
                  <c:v>1.0</c:v>
                </c:pt>
              </c:numCache>
            </c:numRef>
          </c:yVal>
          <c:smooth val="0"/>
        </c:ser>
        <c:ser>
          <c:idx val="2"/>
          <c:order val="2"/>
          <c:tx>
            <c:v>Even Escapement</c:v>
          </c:tx>
          <c:spPr>
            <a:ln w="3175">
              <a:solidFill>
                <a:srgbClr val="0000FF"/>
              </a:solidFill>
              <a:prstDash val="solid"/>
            </a:ln>
          </c:spPr>
          <c:marker>
            <c:symbol val="diamond"/>
            <c:size val="5"/>
            <c:spPr>
              <a:solidFill>
                <a:srgbClr val="0000FF"/>
              </a:solidFill>
              <a:ln>
                <a:solidFill>
                  <a:srgbClr val="000000"/>
                </a:solidFill>
                <a:prstDash val="solid"/>
              </a:ln>
            </c:spPr>
          </c:marker>
          <c:xVal>
            <c:numRef>
              <c:f>MainData!#REF!</c:f>
              <c:numCache>
                <c:formatCode>General</c:formatCode>
                <c:ptCount val="1"/>
                <c:pt idx="0">
                  <c:v>1.0</c:v>
                </c:pt>
              </c:numCache>
            </c:numRef>
          </c:xVal>
          <c:yVal>
            <c:numRef>
              <c:f>MainData!#REF!</c:f>
              <c:numCache>
                <c:formatCode>General</c:formatCode>
                <c:ptCount val="1"/>
                <c:pt idx="0">
                  <c:v>1.0</c:v>
                </c:pt>
              </c:numCache>
            </c:numRef>
          </c:yVal>
          <c:smooth val="0"/>
        </c:ser>
        <c:ser>
          <c:idx val="3"/>
          <c:order val="3"/>
          <c:tx>
            <c:v>Even Total Return</c:v>
          </c:tx>
          <c:spPr>
            <a:ln w="3175">
              <a:solidFill>
                <a:srgbClr val="3366FF"/>
              </a:solidFill>
              <a:prstDash val="solid"/>
            </a:ln>
          </c:spPr>
          <c:marker>
            <c:symbol val="square"/>
            <c:size val="5"/>
            <c:spPr>
              <a:solidFill>
                <a:srgbClr val="3366FF"/>
              </a:solidFill>
              <a:ln>
                <a:solidFill>
                  <a:srgbClr val="000000"/>
                </a:solidFill>
                <a:prstDash val="solid"/>
              </a:ln>
            </c:spPr>
          </c:marker>
          <c:xVal>
            <c:numRef>
              <c:f>MainData!#REF!</c:f>
              <c:numCache>
                <c:formatCode>General</c:formatCode>
                <c:ptCount val="1"/>
                <c:pt idx="0">
                  <c:v>1.0</c:v>
                </c:pt>
              </c:numCache>
            </c:numRef>
          </c:xVal>
          <c:yVal>
            <c:numRef>
              <c:f>MainData!#REF!</c:f>
              <c:numCache>
                <c:formatCode>General</c:formatCode>
                <c:ptCount val="1"/>
                <c:pt idx="0">
                  <c:v>1.0</c:v>
                </c:pt>
              </c:numCache>
            </c:numRef>
          </c:yVal>
          <c:smooth val="0"/>
        </c:ser>
        <c:dLbls>
          <c:showLegendKey val="0"/>
          <c:showVal val="0"/>
          <c:showCatName val="0"/>
          <c:showSerName val="0"/>
          <c:showPercent val="0"/>
          <c:showBubbleSize val="0"/>
        </c:dLbls>
        <c:axId val="2136372216"/>
        <c:axId val="2135996920"/>
      </c:scatterChart>
      <c:scatterChart>
        <c:scatterStyle val="lineMarker"/>
        <c:varyColors val="0"/>
        <c:ser>
          <c:idx val="4"/>
          <c:order val="4"/>
          <c:tx>
            <c:v>ln(R/S)</c:v>
          </c:tx>
          <c:spPr>
            <a:ln w="3175">
              <a:solidFill>
                <a:srgbClr val="FF0000"/>
              </a:solidFill>
              <a:prstDash val="solid"/>
            </a:ln>
          </c:spPr>
          <c:marker>
            <c:symbol val="diamond"/>
            <c:size val="5"/>
            <c:spPr>
              <a:solidFill>
                <a:srgbClr val="FF0000"/>
              </a:solidFill>
              <a:ln>
                <a:solidFill>
                  <a:srgbClr val="000000"/>
                </a:solidFill>
                <a:prstDash val="solid"/>
              </a:ln>
            </c:spPr>
          </c:marker>
          <c:xVal>
            <c:numRef>
              <c:f>MainData!#REF!</c:f>
              <c:numCache>
                <c:formatCode>General</c:formatCode>
                <c:ptCount val="1"/>
                <c:pt idx="0">
                  <c:v>1.0</c:v>
                </c:pt>
              </c:numCache>
            </c:numRef>
          </c:xVal>
          <c:yVal>
            <c:numRef>
              <c:f>MainData!#REF!</c:f>
              <c:numCache>
                <c:formatCode>General</c:formatCode>
                <c:ptCount val="1"/>
                <c:pt idx="0">
                  <c:v>1.0</c:v>
                </c:pt>
              </c:numCache>
            </c:numRef>
          </c:yVal>
          <c:smooth val="0"/>
        </c:ser>
        <c:dLbls>
          <c:showLegendKey val="0"/>
          <c:showVal val="0"/>
          <c:showCatName val="0"/>
          <c:showSerName val="0"/>
          <c:showPercent val="0"/>
          <c:showBubbleSize val="0"/>
        </c:dLbls>
        <c:axId val="2136246840"/>
        <c:axId val="2136226808"/>
      </c:scatterChart>
      <c:valAx>
        <c:axId val="2136372216"/>
        <c:scaling>
          <c:orientation val="minMax"/>
        </c:scaling>
        <c:delete val="0"/>
        <c:axPos val="b"/>
        <c:title>
          <c:tx>
            <c:rich>
              <a:bodyPr/>
              <a:lstStyle/>
              <a:p>
                <a:pPr>
                  <a:defRPr sz="1000" b="0" i="0" u="none" strike="noStrike" baseline="0">
                    <a:solidFill>
                      <a:srgbClr val="000000"/>
                    </a:solidFill>
                    <a:latin typeface="Times New Roman"/>
                    <a:ea typeface="Times New Roman"/>
                    <a:cs typeface="Times New Roman"/>
                  </a:defRPr>
                </a:pPr>
                <a:r>
                  <a:rPr lang="en-US"/>
                  <a:t>Brood Year</a:t>
                </a:r>
              </a:p>
            </c:rich>
          </c:tx>
          <c:layout>
            <c:manualLayout>
              <c:xMode val="edge"/>
              <c:yMode val="edge"/>
              <c:x val="0.489340548480823"/>
              <c:y val="0.943688166028427"/>
            </c:manualLayout>
          </c:layout>
          <c:overlay val="0"/>
          <c:spPr>
            <a:noFill/>
            <a:ln w="25400">
              <a:noFill/>
            </a:ln>
          </c:spPr>
        </c:title>
        <c:numFmt formatCode="General" sourceLinked="1"/>
        <c:majorTickMark val="in"/>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135996920"/>
        <c:crosses val="autoZero"/>
        <c:crossBetween val="midCat"/>
      </c:valAx>
      <c:valAx>
        <c:axId val="2135996920"/>
        <c:scaling>
          <c:orientation val="minMax"/>
        </c:scaling>
        <c:delete val="0"/>
        <c:axPos val="l"/>
        <c:title>
          <c:tx>
            <c:rich>
              <a:bodyPr/>
              <a:lstStyle/>
              <a:p>
                <a:pPr>
                  <a:defRPr sz="1000" b="0" i="0" u="none" strike="noStrike" baseline="0">
                    <a:solidFill>
                      <a:srgbClr val="000000"/>
                    </a:solidFill>
                    <a:latin typeface="Times New Roman"/>
                    <a:ea typeface="Times New Roman"/>
                    <a:cs typeface="Times New Roman"/>
                  </a:defRPr>
                </a:pPr>
                <a:r>
                  <a:rPr lang="en-US"/>
                  <a:t>Fish (millions)</a:t>
                </a:r>
              </a:p>
            </c:rich>
          </c:tx>
          <c:layout>
            <c:manualLayout>
              <c:xMode val="edge"/>
              <c:yMode val="edge"/>
              <c:x val="0.0164484624607109"/>
              <c:y val="0.4538753352552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136372216"/>
        <c:crosses val="autoZero"/>
        <c:crossBetween val="midCat"/>
      </c:valAx>
      <c:valAx>
        <c:axId val="2136246840"/>
        <c:scaling>
          <c:orientation val="minMax"/>
        </c:scaling>
        <c:delete val="1"/>
        <c:axPos val="b"/>
        <c:numFmt formatCode="General" sourceLinked="1"/>
        <c:majorTickMark val="out"/>
        <c:minorTickMark val="none"/>
        <c:tickLblPos val="nextTo"/>
        <c:crossAx val="2136226808"/>
        <c:crosses val="autoZero"/>
        <c:crossBetween val="midCat"/>
      </c:valAx>
      <c:valAx>
        <c:axId val="213622680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136246840"/>
        <c:crosses val="max"/>
        <c:crossBetween val="midCat"/>
      </c:valAx>
      <c:spPr>
        <a:noFill/>
        <a:ln w="3175">
          <a:solidFill>
            <a:srgbClr val="000000"/>
          </a:solidFill>
          <a:prstDash val="solid"/>
        </a:ln>
      </c:spPr>
    </c:plotArea>
    <c:legend>
      <c:legendPos val="r"/>
      <c:layout>
        <c:manualLayout>
          <c:xMode val="edge"/>
          <c:yMode val="edge"/>
          <c:x val="0.147213376105765"/>
          <c:y val="0.133101272177043"/>
          <c:w val="0.111849302787769"/>
          <c:h val="0.141087302611764"/>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Times New Roman"/>
              <a:ea typeface="Times New Roman"/>
              <a:cs typeface="Times New Roman"/>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0" l="0.75" r="0.75" t="1.0" header="0.5" footer="0.5"/>
    <c:pageSetup orientation="landscape"/>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Times New Roman"/>
                <a:ea typeface="Times New Roman"/>
                <a:cs typeface="Times New Roman"/>
              </a:defRPr>
            </a:pPr>
            <a:r>
              <a:rPr lang="en-US"/>
              <a:t>LN(r/s)</a:t>
            </a:r>
          </a:p>
        </c:rich>
      </c:tx>
      <c:layout>
        <c:manualLayout>
          <c:xMode val="edge"/>
          <c:yMode val="edge"/>
          <c:x val="0.467238242179187"/>
          <c:y val="0.0306266748103028"/>
        </c:manualLayout>
      </c:layout>
      <c:overlay val="0"/>
      <c:spPr>
        <a:noFill/>
        <a:ln w="25400">
          <a:noFill/>
        </a:ln>
      </c:spPr>
    </c:title>
    <c:autoTitleDeleted val="0"/>
    <c:plotArea>
      <c:layout>
        <c:manualLayout>
          <c:layoutTarget val="inner"/>
          <c:xMode val="edge"/>
          <c:yMode val="edge"/>
          <c:x val="0.0674712370083688"/>
          <c:y val="0.126590700105778"/>
          <c:w val="0.893993890360887"/>
          <c:h val="0.790170982918324"/>
        </c:manualLayout>
      </c:layout>
      <c:scatterChart>
        <c:scatterStyle val="lineMarker"/>
        <c:varyColors val="0"/>
        <c:ser>
          <c:idx val="0"/>
          <c:order val="0"/>
          <c:spPr>
            <a:ln w="3175">
              <a:solidFill>
                <a:srgbClr val="FFFF00"/>
              </a:solidFill>
              <a:prstDash val="solid"/>
            </a:ln>
          </c:spPr>
          <c:marker>
            <c:symbol val="diamond"/>
            <c:size val="5"/>
            <c:spPr>
              <a:solidFill>
                <a:srgbClr val="FFFF00"/>
              </a:solidFill>
              <a:ln>
                <a:solidFill>
                  <a:srgbClr val="000000"/>
                </a:solidFill>
                <a:prstDash val="solid"/>
              </a:ln>
            </c:spPr>
          </c:marker>
          <c:xVal>
            <c:numRef>
              <c:f>MainData!#REF!</c:f>
              <c:numCache>
                <c:formatCode>General</c:formatCode>
                <c:ptCount val="1"/>
                <c:pt idx="0">
                  <c:v>1.0</c:v>
                </c:pt>
              </c:numCache>
            </c:numRef>
          </c:xVal>
          <c:yVal>
            <c:numRef>
              <c:f>MainData!#REF!</c:f>
              <c:numCache>
                <c:formatCode>General</c:formatCode>
                <c:ptCount val="1"/>
                <c:pt idx="0">
                  <c:v>1.0</c:v>
                </c:pt>
              </c:numCache>
            </c:numRef>
          </c:yVal>
          <c:smooth val="0"/>
        </c:ser>
        <c:dLbls>
          <c:showLegendKey val="0"/>
          <c:showVal val="0"/>
          <c:showCatName val="0"/>
          <c:showSerName val="0"/>
          <c:showPercent val="0"/>
          <c:showBubbleSize val="0"/>
        </c:dLbls>
        <c:axId val="-2090409208"/>
        <c:axId val="2136375592"/>
      </c:scatterChart>
      <c:valAx>
        <c:axId val="-2090409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2136375592"/>
        <c:crosses val="autoZero"/>
        <c:crossBetween val="midCat"/>
      </c:valAx>
      <c:valAx>
        <c:axId val="2136375592"/>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209040920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pageMargins b="1.0" l="0.75" r="0.75" t="1.0"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Times New Roman"/>
                <a:ea typeface="Times New Roman"/>
                <a:cs typeface="Times New Roman"/>
              </a:defRPr>
            </a:pPr>
            <a:r>
              <a:rPr lang="en-US"/>
              <a:t>LN R/S FROM BYE</a:t>
            </a:r>
          </a:p>
        </c:rich>
      </c:tx>
      <c:layout>
        <c:manualLayout>
          <c:xMode val="edge"/>
          <c:yMode val="edge"/>
          <c:x val="0.452746051147939"/>
          <c:y val="0.0284629461157993"/>
        </c:manualLayout>
      </c:layout>
      <c:overlay val="0"/>
      <c:spPr>
        <a:noFill/>
        <a:ln w="25400">
          <a:noFill/>
        </a:ln>
      </c:spPr>
    </c:title>
    <c:autoTitleDeleted val="0"/>
    <c:plotArea>
      <c:layout>
        <c:manualLayout>
          <c:layoutTarget val="inner"/>
          <c:xMode val="edge"/>
          <c:yMode val="edge"/>
          <c:x val="0.0675068693513539"/>
          <c:y val="0.132827324478178"/>
          <c:w val="0.778579226518949"/>
          <c:h val="0.736242884250474"/>
        </c:manualLayout>
      </c:layout>
      <c:scatterChart>
        <c:scatterStyle val="lineMarker"/>
        <c:varyColors val="0"/>
        <c:ser>
          <c:idx val="1"/>
          <c:order val="0"/>
          <c:tx>
            <c:v>ACTUAL</c:v>
          </c:tx>
          <c:spPr>
            <a:ln w="28575">
              <a:noFill/>
            </a:ln>
          </c:spPr>
          <c:marker>
            <c:symbol val="diamond"/>
            <c:size val="5"/>
            <c:spPr>
              <a:solidFill>
                <a:srgbClr val="00FF00"/>
              </a:solidFill>
              <a:ln>
                <a:solidFill>
                  <a:srgbClr val="000000"/>
                </a:solidFill>
                <a:prstDash val="solid"/>
              </a:ln>
            </c:spPr>
          </c:marker>
          <c:trendline>
            <c:spPr>
              <a:ln w="25400">
                <a:solidFill>
                  <a:srgbClr val="000000"/>
                </a:solidFill>
                <a:prstDash val="solid"/>
              </a:ln>
            </c:spPr>
            <c:trendlineType val="linear"/>
            <c:dispRSqr val="1"/>
            <c:dispEq val="1"/>
            <c:trendlineLbl>
              <c:layout>
                <c:manualLayout>
                  <c:x val="0.309899797208333"/>
                  <c:y val="-0.201731873291526"/>
                </c:manualLayout>
              </c:layout>
              <c:numFmt formatCode="General" sourceLinked="0"/>
              <c:spPr>
                <a:noFill/>
                <a:ln w="25400">
                  <a:noFill/>
                </a:ln>
              </c:spPr>
              <c:txPr>
                <a:bodyPr/>
                <a:lstStyle/>
                <a:p>
                  <a:pPr algn="ctr" rtl="1">
                    <a:defRPr sz="1200" b="0" i="0" u="none" strike="noStrike" baseline="0">
                      <a:solidFill>
                        <a:srgbClr val="000000"/>
                      </a:solidFill>
                      <a:latin typeface="Times New Roman"/>
                      <a:ea typeface="Times New Roman"/>
                      <a:cs typeface="Times New Roman"/>
                    </a:defRPr>
                  </a:pPr>
                  <a:endParaRPr lang="en-US"/>
                </a:p>
              </c:txPr>
            </c:trendlineLbl>
          </c:trendline>
          <c:xVal>
            <c:numRef>
              <c:f>Odd!$Z$13:$Z$33</c:f>
              <c:numCache>
                <c:formatCode>0.000_)</c:formatCode>
                <c:ptCount val="21"/>
                <c:pt idx="0">
                  <c:v>1.35574</c:v>
                </c:pt>
                <c:pt idx="1">
                  <c:v>0.975956</c:v>
                </c:pt>
                <c:pt idx="2">
                  <c:v>0.84226</c:v>
                </c:pt>
                <c:pt idx="3">
                  <c:v>0.40457</c:v>
                </c:pt>
                <c:pt idx="4">
                  <c:v>1.11255</c:v>
                </c:pt>
                <c:pt idx="5">
                  <c:v>1.22501</c:v>
                </c:pt>
                <c:pt idx="6">
                  <c:v>1.26556</c:v>
                </c:pt>
                <c:pt idx="7">
                  <c:v>1.29817</c:v>
                </c:pt>
                <c:pt idx="8">
                  <c:v>2.21728</c:v>
                </c:pt>
                <c:pt idx="9">
                  <c:v>1.71308</c:v>
                </c:pt>
                <c:pt idx="10">
                  <c:v>2.1631</c:v>
                </c:pt>
                <c:pt idx="11">
                  <c:v>2.62133</c:v>
                </c:pt>
                <c:pt idx="12">
                  <c:v>1.46624</c:v>
                </c:pt>
                <c:pt idx="13">
                  <c:v>1.27277</c:v>
                </c:pt>
                <c:pt idx="14">
                  <c:v>1.837</c:v>
                </c:pt>
                <c:pt idx="15">
                  <c:v>1.066358</c:v>
                </c:pt>
                <c:pt idx="16">
                  <c:v>1.190184</c:v>
                </c:pt>
                <c:pt idx="17">
                  <c:v>1.422688</c:v>
                </c:pt>
                <c:pt idx="18">
                  <c:v>2.46</c:v>
                </c:pt>
                <c:pt idx="20">
                  <c:v>2.857</c:v>
                </c:pt>
              </c:numCache>
            </c:numRef>
          </c:xVal>
          <c:yVal>
            <c:numRef>
              <c:f>Odd!$AB$13:$AB$30</c:f>
              <c:numCache>
                <c:formatCode>General</c:formatCode>
                <c:ptCount val="18"/>
                <c:pt idx="0">
                  <c:v>1963.0</c:v>
                </c:pt>
                <c:pt idx="1">
                  <c:v>1.433615973062746</c:v>
                </c:pt>
                <c:pt idx="2">
                  <c:v>1.960755764478799</c:v>
                </c:pt>
                <c:pt idx="3">
                  <c:v>3.149038667538591</c:v>
                </c:pt>
                <c:pt idx="4">
                  <c:v>1.083320616813543</c:v>
                </c:pt>
                <c:pt idx="5">
                  <c:v>1.603083121286096</c:v>
                </c:pt>
                <c:pt idx="6">
                  <c:v>1.525166973615625</c:v>
                </c:pt>
                <c:pt idx="7">
                  <c:v>2.591801014726572</c:v>
                </c:pt>
                <c:pt idx="8">
                  <c:v>2.177658614436718</c:v>
                </c:pt>
                <c:pt idx="9">
                  <c:v>1.909893381504585</c:v>
                </c:pt>
                <c:pt idx="10">
                  <c:v>2.221090346924935</c:v>
                </c:pt>
                <c:pt idx="11">
                  <c:v>1.606403859834417</c:v>
                </c:pt>
                <c:pt idx="12">
                  <c:v>1.173335834864046</c:v>
                </c:pt>
                <c:pt idx="13">
                  <c:v>1.779026554337913</c:v>
                </c:pt>
                <c:pt idx="14">
                  <c:v>-0.176351389807451</c:v>
                </c:pt>
                <c:pt idx="15">
                  <c:v>1.304390321620623</c:v>
                </c:pt>
                <c:pt idx="16">
                  <c:v>1.131518541032984</c:v>
                </c:pt>
                <c:pt idx="17">
                  <c:v>1.891348056672433</c:v>
                </c:pt>
              </c:numCache>
            </c:numRef>
          </c:yVal>
          <c:smooth val="0"/>
        </c:ser>
        <c:ser>
          <c:idx val="2"/>
          <c:order val="1"/>
          <c:tx>
            <c:v>Lower</c:v>
          </c:tx>
          <c:spPr>
            <a:ln w="3175">
              <a:solidFill>
                <a:srgbClr val="0000FF"/>
              </a:solidFill>
              <a:prstDash val="solid"/>
            </a:ln>
          </c:spPr>
          <c:marker>
            <c:symbol val="none"/>
          </c:marker>
          <c:xVal>
            <c:numRef>
              <c:f>Odd!$Z$13:$Z$30</c:f>
              <c:numCache>
                <c:formatCode>0.000_)</c:formatCode>
                <c:ptCount val="18"/>
                <c:pt idx="0">
                  <c:v>1.35574</c:v>
                </c:pt>
                <c:pt idx="1">
                  <c:v>0.975956</c:v>
                </c:pt>
                <c:pt idx="2">
                  <c:v>0.84226</c:v>
                </c:pt>
                <c:pt idx="3">
                  <c:v>0.40457</c:v>
                </c:pt>
                <c:pt idx="4">
                  <c:v>1.11255</c:v>
                </c:pt>
                <c:pt idx="5">
                  <c:v>1.22501</c:v>
                </c:pt>
                <c:pt idx="6">
                  <c:v>1.26556</c:v>
                </c:pt>
                <c:pt idx="7">
                  <c:v>1.29817</c:v>
                </c:pt>
                <c:pt idx="8">
                  <c:v>2.21728</c:v>
                </c:pt>
                <c:pt idx="9">
                  <c:v>1.71308</c:v>
                </c:pt>
                <c:pt idx="10">
                  <c:v>2.1631</c:v>
                </c:pt>
                <c:pt idx="11">
                  <c:v>2.62133</c:v>
                </c:pt>
                <c:pt idx="12">
                  <c:v>1.46624</c:v>
                </c:pt>
                <c:pt idx="13">
                  <c:v>1.27277</c:v>
                </c:pt>
                <c:pt idx="14">
                  <c:v>1.837</c:v>
                </c:pt>
                <c:pt idx="15">
                  <c:v>1.066358</c:v>
                </c:pt>
                <c:pt idx="16">
                  <c:v>1.190184</c:v>
                </c:pt>
                <c:pt idx="17">
                  <c:v>1.422688</c:v>
                </c:pt>
              </c:numCache>
            </c:numRef>
          </c:xVal>
          <c:yVal>
            <c:numRef>
              <c:f>Odd!$AD$13:$AD$30</c:f>
              <c:numCache>
                <c:formatCode>General</c:formatCode>
                <c:ptCount val="18"/>
                <c:pt idx="0">
                  <c:v>-5.793387696962527</c:v>
                </c:pt>
                <c:pt idx="1">
                  <c:v>-5.681209599098138</c:v>
                </c:pt>
                <c:pt idx="2">
                  <c:v>-5.641719354716919</c:v>
                </c:pt>
                <c:pt idx="3">
                  <c:v>-5.512437363758205</c:v>
                </c:pt>
                <c:pt idx="4">
                  <c:v>-5.721555835642301</c:v>
                </c:pt>
                <c:pt idx="5">
                  <c:v>-5.754773530136617</c:v>
                </c:pt>
                <c:pt idx="6">
                  <c:v>-5.766750922202635</c:v>
                </c:pt>
                <c:pt idx="7">
                  <c:v>-5.776383049336368</c:v>
                </c:pt>
                <c:pt idx="8">
                  <c:v>-6.047863710786398</c:v>
                </c:pt>
                <c:pt idx="9">
                  <c:v>-5.898936433852076</c:v>
                </c:pt>
                <c:pt idx="10">
                  <c:v>-6.031860379044427</c:v>
                </c:pt>
                <c:pt idx="11">
                  <c:v>-6.167209339991699</c:v>
                </c:pt>
                <c:pt idx="12">
                  <c:v>-5.8260264595592</c:v>
                </c:pt>
                <c:pt idx="13">
                  <c:v>-5.768880564540391</c:v>
                </c:pt>
                <c:pt idx="14">
                  <c:v>-5.935539107707097</c:v>
                </c:pt>
                <c:pt idx="15">
                  <c:v>-5.70791194675664</c:v>
                </c:pt>
                <c:pt idx="16">
                  <c:v>-5.744486855510448</c:v>
                </c:pt>
                <c:pt idx="17">
                  <c:v>-5.813162356494853</c:v>
                </c:pt>
              </c:numCache>
            </c:numRef>
          </c:yVal>
          <c:smooth val="0"/>
        </c:ser>
        <c:ser>
          <c:idx val="3"/>
          <c:order val="2"/>
          <c:tx>
            <c:v>Higher</c:v>
          </c:tx>
          <c:spPr>
            <a:ln w="3175">
              <a:solidFill>
                <a:srgbClr val="FFFF00"/>
              </a:solidFill>
              <a:prstDash val="solid"/>
            </a:ln>
          </c:spPr>
          <c:marker>
            <c:symbol val="none"/>
          </c:marker>
          <c:xVal>
            <c:numRef>
              <c:f>Odd!$Z$13:$Z$33</c:f>
              <c:numCache>
                <c:formatCode>0.000_)</c:formatCode>
                <c:ptCount val="21"/>
                <c:pt idx="0">
                  <c:v>1.35574</c:v>
                </c:pt>
                <c:pt idx="1">
                  <c:v>0.975956</c:v>
                </c:pt>
                <c:pt idx="2">
                  <c:v>0.84226</c:v>
                </c:pt>
                <c:pt idx="3">
                  <c:v>0.40457</c:v>
                </c:pt>
                <c:pt idx="4">
                  <c:v>1.11255</c:v>
                </c:pt>
                <c:pt idx="5">
                  <c:v>1.22501</c:v>
                </c:pt>
                <c:pt idx="6">
                  <c:v>1.26556</c:v>
                </c:pt>
                <c:pt idx="7">
                  <c:v>1.29817</c:v>
                </c:pt>
                <c:pt idx="8">
                  <c:v>2.21728</c:v>
                </c:pt>
                <c:pt idx="9">
                  <c:v>1.71308</c:v>
                </c:pt>
                <c:pt idx="10">
                  <c:v>2.1631</c:v>
                </c:pt>
                <c:pt idx="11">
                  <c:v>2.62133</c:v>
                </c:pt>
                <c:pt idx="12">
                  <c:v>1.46624</c:v>
                </c:pt>
                <c:pt idx="13">
                  <c:v>1.27277</c:v>
                </c:pt>
                <c:pt idx="14">
                  <c:v>1.837</c:v>
                </c:pt>
                <c:pt idx="15">
                  <c:v>1.066358</c:v>
                </c:pt>
                <c:pt idx="16">
                  <c:v>1.190184</c:v>
                </c:pt>
                <c:pt idx="17">
                  <c:v>1.422688</c:v>
                </c:pt>
                <c:pt idx="18">
                  <c:v>2.46</c:v>
                </c:pt>
                <c:pt idx="20">
                  <c:v>2.857</c:v>
                </c:pt>
              </c:numCache>
            </c:numRef>
          </c:xVal>
          <c:yVal>
            <c:numRef>
              <c:f>Odd!$AE$13:$AE$30</c:f>
              <c:numCache>
                <c:formatCode>General</c:formatCode>
                <c:ptCount val="18"/>
                <c:pt idx="0">
                  <c:v>9.052331289374357</c:v>
                </c:pt>
                <c:pt idx="1">
                  <c:v>9.164509387238746</c:v>
                </c:pt>
                <c:pt idx="2">
                  <c:v>9.203999631619966</c:v>
                </c:pt>
                <c:pt idx="3">
                  <c:v>9.33328162257868</c:v>
                </c:pt>
                <c:pt idx="4">
                  <c:v>9.124163150694585</c:v>
                </c:pt>
                <c:pt idx="5">
                  <c:v>9.090945456200268</c:v>
                </c:pt>
                <c:pt idx="6">
                  <c:v>9.07896806413425</c:v>
                </c:pt>
                <c:pt idx="7">
                  <c:v>9.069335937000516</c:v>
                </c:pt>
                <c:pt idx="8">
                  <c:v>8.797855275550487</c:v>
                </c:pt>
                <c:pt idx="9">
                  <c:v>8.946782552484808</c:v>
                </c:pt>
                <c:pt idx="10">
                  <c:v>8.813858607292458</c:v>
                </c:pt>
                <c:pt idx="11">
                  <c:v>8.678509646345187</c:v>
                </c:pt>
                <c:pt idx="12">
                  <c:v>9.019692526777685</c:v>
                </c:pt>
                <c:pt idx="13">
                  <c:v>9.076838421796493</c:v>
                </c:pt>
                <c:pt idx="14">
                  <c:v>8.910179878629788</c:v>
                </c:pt>
                <c:pt idx="15">
                  <c:v>9.137807039580245</c:v>
                </c:pt>
                <c:pt idx="16">
                  <c:v>9.101232130826438</c:v>
                </c:pt>
                <c:pt idx="17">
                  <c:v>9.03255662984203</c:v>
                </c:pt>
              </c:numCache>
            </c:numRef>
          </c:yVal>
          <c:smooth val="0"/>
        </c:ser>
        <c:ser>
          <c:idx val="4"/>
          <c:order val="3"/>
          <c:tx>
            <c:v>Forecast</c:v>
          </c:tx>
          <c:spPr>
            <a:ln w="28575">
              <a:noFill/>
            </a:ln>
          </c:spPr>
          <c:marker>
            <c:symbol val="diamond"/>
            <c:size val="11"/>
            <c:spPr>
              <a:solidFill>
                <a:srgbClr val="00CCFF"/>
              </a:solidFill>
              <a:ln>
                <a:solidFill>
                  <a:srgbClr val="000000"/>
                </a:solidFill>
                <a:prstDash val="solid"/>
              </a:ln>
            </c:spPr>
          </c:marker>
          <c:xVal>
            <c:numRef>
              <c:f>Odd!$Z$13:$Z$33</c:f>
              <c:numCache>
                <c:formatCode>0.000_)</c:formatCode>
                <c:ptCount val="21"/>
                <c:pt idx="0">
                  <c:v>1.35574</c:v>
                </c:pt>
                <c:pt idx="1">
                  <c:v>0.975956</c:v>
                </c:pt>
                <c:pt idx="2">
                  <c:v>0.84226</c:v>
                </c:pt>
                <c:pt idx="3">
                  <c:v>0.40457</c:v>
                </c:pt>
                <c:pt idx="4">
                  <c:v>1.11255</c:v>
                </c:pt>
                <c:pt idx="5">
                  <c:v>1.22501</c:v>
                </c:pt>
                <c:pt idx="6">
                  <c:v>1.26556</c:v>
                </c:pt>
                <c:pt idx="7">
                  <c:v>1.29817</c:v>
                </c:pt>
                <c:pt idx="8">
                  <c:v>2.21728</c:v>
                </c:pt>
                <c:pt idx="9">
                  <c:v>1.71308</c:v>
                </c:pt>
                <c:pt idx="10">
                  <c:v>2.1631</c:v>
                </c:pt>
                <c:pt idx="11">
                  <c:v>2.62133</c:v>
                </c:pt>
                <c:pt idx="12">
                  <c:v>1.46624</c:v>
                </c:pt>
                <c:pt idx="13">
                  <c:v>1.27277</c:v>
                </c:pt>
                <c:pt idx="14">
                  <c:v>1.837</c:v>
                </c:pt>
                <c:pt idx="15">
                  <c:v>1.066358</c:v>
                </c:pt>
                <c:pt idx="16">
                  <c:v>1.190184</c:v>
                </c:pt>
                <c:pt idx="17">
                  <c:v>1.422688</c:v>
                </c:pt>
                <c:pt idx="18">
                  <c:v>2.46</c:v>
                </c:pt>
                <c:pt idx="20">
                  <c:v>2.857</c:v>
                </c:pt>
              </c:numCache>
            </c:numRef>
          </c:xVal>
          <c:yVal>
            <c:numRef>
              <c:f>Odd!$AF$13:$AF$33</c:f>
              <c:numCache>
                <c:formatCode>General</c:formatCode>
                <c:ptCount val="21"/>
                <c:pt idx="20" formatCode="0.0000_)">
                  <c:v>1.186039499953595</c:v>
                </c:pt>
              </c:numCache>
            </c:numRef>
          </c:yVal>
          <c:smooth val="0"/>
        </c:ser>
        <c:dLbls>
          <c:showLegendKey val="0"/>
          <c:showVal val="0"/>
          <c:showCatName val="0"/>
          <c:showSerName val="0"/>
          <c:showPercent val="0"/>
          <c:showBubbleSize val="0"/>
        </c:dLbls>
        <c:axId val="-2090648360"/>
        <c:axId val="-2090669064"/>
      </c:scatterChart>
      <c:valAx>
        <c:axId val="-2090648360"/>
        <c:scaling>
          <c:orientation val="minMax"/>
          <c:min val="1.0"/>
        </c:scaling>
        <c:delete val="0"/>
        <c:axPos val="b"/>
        <c:title>
          <c:tx>
            <c:rich>
              <a:bodyPr/>
              <a:lstStyle/>
              <a:p>
                <a:pPr>
                  <a:defRPr sz="1000" b="0" i="0" u="none" strike="noStrike" baseline="0">
                    <a:solidFill>
                      <a:srgbClr val="000000"/>
                    </a:solidFill>
                    <a:latin typeface="Times New Roman"/>
                    <a:ea typeface="Times New Roman"/>
                    <a:cs typeface="Times New Roman"/>
                  </a:defRPr>
                </a:pPr>
                <a:r>
                  <a:rPr lang="en-US"/>
                  <a:t>PY Total Return in Brood Year</a:t>
                </a:r>
              </a:p>
            </c:rich>
          </c:tx>
          <c:layout>
            <c:manualLayout>
              <c:xMode val="edge"/>
              <c:yMode val="edge"/>
              <c:x val="0.382538919999621"/>
              <c:y val="0.927893674645251"/>
            </c:manualLayout>
          </c:layout>
          <c:overlay val="0"/>
          <c:spPr>
            <a:noFill/>
            <a:ln w="25400">
              <a:noFill/>
            </a:ln>
          </c:spPr>
        </c:title>
        <c:numFmt formatCode="0.000_)" sourceLinked="1"/>
        <c:majorTickMark val="in"/>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090669064"/>
        <c:crosses val="autoZero"/>
        <c:crossBetween val="midCat"/>
      </c:valAx>
      <c:valAx>
        <c:axId val="-2090669064"/>
        <c:scaling>
          <c:orientation val="minMax"/>
        </c:scaling>
        <c:delete val="0"/>
        <c:axPos val="l"/>
        <c:title>
          <c:tx>
            <c:rich>
              <a:bodyPr/>
              <a:lstStyle/>
              <a:p>
                <a:pPr>
                  <a:defRPr sz="1000" b="0" i="0" u="none" strike="noStrike" baseline="0">
                    <a:solidFill>
                      <a:srgbClr val="000000"/>
                    </a:solidFill>
                    <a:latin typeface="Times New Roman"/>
                    <a:ea typeface="Times New Roman"/>
                    <a:cs typeface="Times New Roman"/>
                  </a:defRPr>
                </a:pPr>
                <a:r>
                  <a:rPr lang="en-US"/>
                  <a:t>LN R/S</a:t>
                </a:r>
              </a:p>
            </c:rich>
          </c:tx>
          <c:layout>
            <c:manualLayout>
              <c:xMode val="edge"/>
              <c:yMode val="edge"/>
              <c:x val="0.0144014895250007"/>
              <c:y val="0.46110047996988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090648360"/>
        <c:crosses val="autoZero"/>
        <c:crossBetween val="midCat"/>
      </c:valAx>
      <c:spPr>
        <a:noFill/>
        <a:ln w="3175">
          <a:solidFill>
            <a:srgbClr val="000000"/>
          </a:solidFill>
          <a:prstDash val="solid"/>
        </a:ln>
      </c:spPr>
    </c:plotArea>
    <c:legend>
      <c:legendPos val="r"/>
      <c:layout>
        <c:manualLayout>
          <c:xMode val="edge"/>
          <c:yMode val="edge"/>
          <c:x val="0.871288647583312"/>
          <c:y val="0.4003795840261"/>
          <c:w val="0.121512360593915"/>
          <c:h val="0.201138542941097"/>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Times New Roman"/>
              <a:ea typeface="Times New Roman"/>
              <a:cs typeface="Times New Roman"/>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0" l="0.75" r="0.75" t="1.0" header="0.5" footer="0.5"/>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0972055769801246"/>
          <c:y val="0.0638820638820639"/>
          <c:w val="0.865129635123109"/>
          <c:h val="0.766584766584767"/>
        </c:manualLayout>
      </c:layout>
      <c:scatterChart>
        <c:scatterStyle val="lineMarker"/>
        <c:varyColors val="0"/>
        <c:ser>
          <c:idx val="0"/>
          <c:order val="0"/>
          <c:spPr>
            <a:ln w="3175">
              <a:solidFill>
                <a:srgbClr val="FF0000"/>
              </a:solidFill>
              <a:prstDash val="solid"/>
            </a:ln>
          </c:spPr>
          <c:marker>
            <c:symbol val="square"/>
            <c:size val="5"/>
            <c:spPr>
              <a:solidFill>
                <a:srgbClr val="FF0000"/>
              </a:solidFill>
              <a:ln>
                <a:solidFill>
                  <a:srgbClr val="000000"/>
                </a:solidFill>
                <a:prstDash val="solid"/>
              </a:ln>
            </c:spPr>
          </c:marker>
          <c:xVal>
            <c:numRef>
              <c:f>Odd!$C$13:$C$33</c:f>
              <c:numCache>
                <c:formatCode>0.000_)</c:formatCode>
                <c:ptCount val="21"/>
                <c:pt idx="0">
                  <c:v>1.35574</c:v>
                </c:pt>
                <c:pt idx="1">
                  <c:v>0.975956</c:v>
                </c:pt>
                <c:pt idx="2">
                  <c:v>0.84226</c:v>
                </c:pt>
                <c:pt idx="3">
                  <c:v>0.40457</c:v>
                </c:pt>
                <c:pt idx="4">
                  <c:v>1.11255</c:v>
                </c:pt>
                <c:pt idx="5">
                  <c:v>1.22501</c:v>
                </c:pt>
                <c:pt idx="6">
                  <c:v>1.26556</c:v>
                </c:pt>
                <c:pt idx="7">
                  <c:v>1.29817</c:v>
                </c:pt>
                <c:pt idx="8">
                  <c:v>2.21728</c:v>
                </c:pt>
                <c:pt idx="9">
                  <c:v>1.71308</c:v>
                </c:pt>
                <c:pt idx="10">
                  <c:v>2.1631</c:v>
                </c:pt>
                <c:pt idx="11">
                  <c:v>2.62133</c:v>
                </c:pt>
                <c:pt idx="12">
                  <c:v>1.46624</c:v>
                </c:pt>
                <c:pt idx="13">
                  <c:v>1.27277</c:v>
                </c:pt>
                <c:pt idx="14">
                  <c:v>1.837</c:v>
                </c:pt>
                <c:pt idx="15">
                  <c:v>1.066358</c:v>
                </c:pt>
                <c:pt idx="16">
                  <c:v>1.190184</c:v>
                </c:pt>
                <c:pt idx="17">
                  <c:v>1.422688</c:v>
                </c:pt>
                <c:pt idx="18">
                  <c:v>2.46</c:v>
                </c:pt>
                <c:pt idx="20">
                  <c:v>2.857</c:v>
                </c:pt>
              </c:numCache>
            </c:numRef>
          </c:xVal>
          <c:yVal>
            <c:numRef>
              <c:f>Odd!$D$13:$D$33</c:f>
              <c:numCache>
                <c:formatCode>0.00_)</c:formatCode>
                <c:ptCount val="21"/>
                <c:pt idx="0">
                  <c:v>0.906858451712262</c:v>
                </c:pt>
                <c:pt idx="1">
                  <c:v>1.433615973062746</c:v>
                </c:pt>
                <c:pt idx="2">
                  <c:v>1.960755764478799</c:v>
                </c:pt>
                <c:pt idx="3">
                  <c:v>3.149038667538591</c:v>
                </c:pt>
                <c:pt idx="4">
                  <c:v>1.083320616813543</c:v>
                </c:pt>
                <c:pt idx="5">
                  <c:v>1.603083121286096</c:v>
                </c:pt>
                <c:pt idx="6">
                  <c:v>1.525166973615625</c:v>
                </c:pt>
                <c:pt idx="7">
                  <c:v>2.591801014726572</c:v>
                </c:pt>
                <c:pt idx="8">
                  <c:v>2.177658614436718</c:v>
                </c:pt>
                <c:pt idx="9">
                  <c:v>1.909893381504585</c:v>
                </c:pt>
                <c:pt idx="10">
                  <c:v>2.221090346924935</c:v>
                </c:pt>
                <c:pt idx="11">
                  <c:v>1.606403859834417</c:v>
                </c:pt>
                <c:pt idx="12">
                  <c:v>1.173335834864046</c:v>
                </c:pt>
                <c:pt idx="13">
                  <c:v>1.779026554337913</c:v>
                </c:pt>
                <c:pt idx="14">
                  <c:v>-0.176351389807451</c:v>
                </c:pt>
                <c:pt idx="15">
                  <c:v>1.304390321620623</c:v>
                </c:pt>
                <c:pt idx="16">
                  <c:v>1.131518541032984</c:v>
                </c:pt>
                <c:pt idx="17">
                  <c:v>1.891348056672433</c:v>
                </c:pt>
                <c:pt idx="18">
                  <c:v>1.052724412847467</c:v>
                </c:pt>
              </c:numCache>
            </c:numRef>
          </c:yVal>
          <c:smooth val="0"/>
        </c:ser>
        <c:dLbls>
          <c:showLegendKey val="0"/>
          <c:showVal val="0"/>
          <c:showCatName val="0"/>
          <c:showSerName val="0"/>
          <c:showPercent val="0"/>
          <c:showBubbleSize val="0"/>
        </c:dLbls>
        <c:axId val="-2090763208"/>
        <c:axId val="2129609528"/>
      </c:scatterChart>
      <c:valAx>
        <c:axId val="-2090763208"/>
        <c:scaling>
          <c:orientation val="minMax"/>
        </c:scaling>
        <c:delete val="0"/>
        <c:axPos val="b"/>
        <c:title>
          <c:tx>
            <c:rich>
              <a:bodyPr/>
              <a:lstStyle/>
              <a:p>
                <a:pPr>
                  <a:defRPr sz="1000" b="0" i="0" u="none" strike="noStrike" baseline="0">
                    <a:solidFill>
                      <a:srgbClr val="000000"/>
                    </a:solidFill>
                    <a:latin typeface="Times New Roman"/>
                    <a:ea typeface="Times New Roman"/>
                    <a:cs typeface="Times New Roman"/>
                  </a:defRPr>
                </a:pPr>
                <a:r>
                  <a:rPr lang="en-US"/>
                  <a:t>Spawners (Millions)</a:t>
                </a:r>
              </a:p>
            </c:rich>
          </c:tx>
          <c:layout>
            <c:manualLayout>
              <c:xMode val="edge"/>
              <c:yMode val="edge"/>
              <c:x val="0.462941614636782"/>
              <c:y val="0.906633841312472"/>
            </c:manualLayout>
          </c:layout>
          <c:overlay val="0"/>
          <c:spPr>
            <a:noFill/>
            <a:ln w="25400">
              <a:noFill/>
            </a:ln>
          </c:spPr>
        </c:title>
        <c:numFmt formatCode="0.000_)" sourceLinked="1"/>
        <c:majorTickMark val="in"/>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129609528"/>
        <c:crosses val="autoZero"/>
        <c:crossBetween val="midCat"/>
      </c:valAx>
      <c:valAx>
        <c:axId val="2129609528"/>
        <c:scaling>
          <c:orientation val="minMax"/>
        </c:scaling>
        <c:delete val="0"/>
        <c:axPos val="l"/>
        <c:title>
          <c:tx>
            <c:rich>
              <a:bodyPr/>
              <a:lstStyle/>
              <a:p>
                <a:pPr>
                  <a:defRPr sz="1000" b="0" i="0" u="none" strike="noStrike" baseline="0">
                    <a:solidFill>
                      <a:srgbClr val="000000"/>
                    </a:solidFill>
                    <a:latin typeface="Times New Roman"/>
                    <a:ea typeface="Times New Roman"/>
                    <a:cs typeface="Times New Roman"/>
                  </a:defRPr>
                </a:pPr>
                <a:r>
                  <a:rPr lang="en-US"/>
                  <a:t>ln (R/S)</a:t>
                </a:r>
              </a:p>
            </c:rich>
          </c:tx>
          <c:layout>
            <c:manualLayout>
              <c:xMode val="edge"/>
              <c:yMode val="edge"/>
              <c:x val="0.0194411143186882"/>
              <c:y val="0.393120511098903"/>
            </c:manualLayout>
          </c:layout>
          <c:overlay val="0"/>
          <c:spPr>
            <a:noFill/>
            <a:ln w="25400">
              <a:noFill/>
            </a:ln>
          </c:spPr>
        </c:title>
        <c:numFmt formatCode="0.00_)"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090763208"/>
        <c:crosses val="autoZero"/>
        <c:crossBetween val="midCat"/>
      </c:valAx>
      <c:spPr>
        <a:noFill/>
        <a:ln w="3175">
          <a:solidFill>
            <a:srgbClr val="000000"/>
          </a:solidFill>
          <a:prstDash val="solid"/>
        </a:ln>
      </c:spPr>
    </c:plotArea>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0" l="0.75" r="0.75" t="1.0"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2272448150863"/>
          <c:y val="0.0638820638820639"/>
          <c:w val="0.774850939920369"/>
          <c:h val="0.766584766584767"/>
        </c:manualLayout>
      </c:layout>
      <c:scatterChart>
        <c:scatterStyle val="lineMarker"/>
        <c:varyColors val="0"/>
        <c:ser>
          <c:idx val="0"/>
          <c:order val="0"/>
          <c:spPr>
            <a:ln w="3175">
              <a:solidFill>
                <a:srgbClr val="FF0000"/>
              </a:solidFill>
              <a:prstDash val="solid"/>
            </a:ln>
          </c:spPr>
          <c:marker>
            <c:symbol val="square"/>
            <c:size val="5"/>
            <c:spPr>
              <a:solidFill>
                <a:srgbClr val="FF0000"/>
              </a:solidFill>
              <a:ln>
                <a:solidFill>
                  <a:srgbClr val="000000"/>
                </a:solidFill>
                <a:prstDash val="solid"/>
              </a:ln>
            </c:spPr>
          </c:marker>
          <c:dLbls>
            <c:dLbl>
              <c:idx val="0"/>
              <c:tx>
                <c:strRef>
                  <c:f>Even!$A$14</c:f>
                  <c:strCache>
                    <c:ptCount val="1"/>
                    <c:pt idx="0">
                      <c:v>1962</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
              <c:tx>
                <c:strRef>
                  <c:f>Even!$A$15</c:f>
                  <c:strCache>
                    <c:ptCount val="1"/>
                    <c:pt idx="0">
                      <c:v>1964</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2"/>
              <c:tx>
                <c:strRef>
                  <c:f>Even!$A$16</c:f>
                  <c:strCache>
                    <c:ptCount val="1"/>
                    <c:pt idx="0">
                      <c:v>1966</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3"/>
              <c:tx>
                <c:strRef>
                  <c:f>Even!$A$17</c:f>
                  <c:strCache>
                    <c:ptCount val="1"/>
                    <c:pt idx="0">
                      <c:v>1968</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4"/>
              <c:tx>
                <c:strRef>
                  <c:f>Even!$A$18</c:f>
                  <c:strCache>
                    <c:ptCount val="1"/>
                    <c:pt idx="0">
                      <c:v>1970</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5"/>
              <c:tx>
                <c:strRef>
                  <c:f>Even!$A$19</c:f>
                  <c:strCache>
                    <c:ptCount val="1"/>
                    <c:pt idx="0">
                      <c:v>1972</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6"/>
              <c:tx>
                <c:strRef>
                  <c:f>Even!$A$20</c:f>
                  <c:strCache>
                    <c:ptCount val="1"/>
                    <c:pt idx="0">
                      <c:v>1974</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7"/>
              <c:tx>
                <c:strRef>
                  <c:f>Even!$A$21</c:f>
                  <c:strCache>
                    <c:ptCount val="1"/>
                    <c:pt idx="0">
                      <c:v>1976</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8"/>
              <c:tx>
                <c:strRef>
                  <c:f>Even!$A$22</c:f>
                  <c:strCache>
                    <c:ptCount val="1"/>
                    <c:pt idx="0">
                      <c:v>1978</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9"/>
              <c:tx>
                <c:strRef>
                  <c:f>Even!$A$23</c:f>
                  <c:strCache>
                    <c:ptCount val="1"/>
                    <c:pt idx="0">
                      <c:v>1980</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0"/>
              <c:tx>
                <c:strRef>
                  <c:f>Even!$A$24</c:f>
                  <c:strCache>
                    <c:ptCount val="1"/>
                    <c:pt idx="0">
                      <c:v>1982</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1"/>
              <c:tx>
                <c:strRef>
                  <c:f>Even!$A$25</c:f>
                  <c:strCache>
                    <c:ptCount val="1"/>
                    <c:pt idx="0">
                      <c:v>1984</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2"/>
              <c:tx>
                <c:strRef>
                  <c:f>Even!$A$26</c:f>
                  <c:strCache>
                    <c:ptCount val="1"/>
                    <c:pt idx="0">
                      <c:v>1986</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3"/>
              <c:tx>
                <c:strRef>
                  <c:f>Even!$A$27</c:f>
                  <c:strCache>
                    <c:ptCount val="1"/>
                    <c:pt idx="0">
                      <c:v>1988</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4"/>
              <c:tx>
                <c:strRef>
                  <c:f>Even!$A$28</c:f>
                  <c:strCache>
                    <c:ptCount val="1"/>
                    <c:pt idx="0">
                      <c:v>1990</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5"/>
              <c:tx>
                <c:strRef>
                  <c:f>Even!$A$29</c:f>
                  <c:strCache>
                    <c:ptCount val="1"/>
                    <c:pt idx="0">
                      <c:v>1992</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6"/>
              <c:tx>
                <c:strRef>
                  <c:f>Even!$A$30</c:f>
                  <c:strCache>
                    <c:ptCount val="1"/>
                    <c:pt idx="0">
                      <c:v>1994</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showLegendKey val="0"/>
            <c:showVal val="0"/>
            <c:showCatName val="0"/>
            <c:showSerName val="0"/>
            <c:showPercent val="0"/>
            <c:showBubbleSize val="0"/>
          </c:dLbls>
          <c:xVal>
            <c:numRef>
              <c:f>Even!$C$13:$C$30</c:f>
              <c:numCache>
                <c:formatCode>0.000_)</c:formatCode>
                <c:ptCount val="18"/>
                <c:pt idx="0">
                  <c:v>1.350722</c:v>
                </c:pt>
                <c:pt idx="1">
                  <c:v>2.01801</c:v>
                </c:pt>
                <c:pt idx="2">
                  <c:v>1.84168</c:v>
                </c:pt>
                <c:pt idx="3">
                  <c:v>1.42317</c:v>
                </c:pt>
                <c:pt idx="4">
                  <c:v>1.15651</c:v>
                </c:pt>
                <c:pt idx="5">
                  <c:v>0.97922</c:v>
                </c:pt>
                <c:pt idx="6">
                  <c:v>0.64118</c:v>
                </c:pt>
                <c:pt idx="7">
                  <c:v>0.95812</c:v>
                </c:pt>
                <c:pt idx="8">
                  <c:v>0.92626</c:v>
                </c:pt>
                <c:pt idx="9">
                  <c:v>1.14501</c:v>
                </c:pt>
                <c:pt idx="10">
                  <c:v>1.67194</c:v>
                </c:pt>
                <c:pt idx="11">
                  <c:v>2.27457</c:v>
                </c:pt>
                <c:pt idx="12">
                  <c:v>4.03186</c:v>
                </c:pt>
                <c:pt idx="13">
                  <c:v>0.96022</c:v>
                </c:pt>
                <c:pt idx="14">
                  <c:v>0.96453</c:v>
                </c:pt>
                <c:pt idx="15">
                  <c:v>1.325852</c:v>
                </c:pt>
                <c:pt idx="16">
                  <c:v>0.555105</c:v>
                </c:pt>
                <c:pt idx="17">
                  <c:v>1.413184</c:v>
                </c:pt>
              </c:numCache>
            </c:numRef>
          </c:xVal>
          <c:yVal>
            <c:numRef>
              <c:f>Even!$D$13:$D$30</c:f>
              <c:numCache>
                <c:formatCode>0.00_)</c:formatCode>
                <c:ptCount val="18"/>
                <c:pt idx="0">
                  <c:v>2.170233118867726</c:v>
                </c:pt>
                <c:pt idx="1">
                  <c:v>1.79982287243761</c:v>
                </c:pt>
                <c:pt idx="2">
                  <c:v>1.386294361119891</c:v>
                </c:pt>
                <c:pt idx="3">
                  <c:v>1.264126727145683</c:v>
                </c:pt>
                <c:pt idx="4">
                  <c:v>1.308383088656941</c:v>
                </c:pt>
                <c:pt idx="5">
                  <c:v>-0.415515443961666</c:v>
                </c:pt>
                <c:pt idx="6">
                  <c:v>0.27002713721306</c:v>
                </c:pt>
                <c:pt idx="7">
                  <c:v>1.367373230191603</c:v>
                </c:pt>
                <c:pt idx="8">
                  <c:v>1.367387497507603</c:v>
                </c:pt>
                <c:pt idx="9">
                  <c:v>2.640050835924384</c:v>
                </c:pt>
                <c:pt idx="10">
                  <c:v>2.821040555372198</c:v>
                </c:pt>
                <c:pt idx="11">
                  <c:v>3.054072547055926</c:v>
                </c:pt>
                <c:pt idx="12">
                  <c:v>1.716309545778278</c:v>
                </c:pt>
                <c:pt idx="13">
                  <c:v>0.569246973100403</c:v>
                </c:pt>
                <c:pt idx="14">
                  <c:v>2.668525697809376</c:v>
                </c:pt>
                <c:pt idx="15">
                  <c:v>0.790138219655746</c:v>
                </c:pt>
                <c:pt idx="16">
                  <c:v>2.251468940810625</c:v>
                </c:pt>
                <c:pt idx="17">
                  <c:v>2.125170716273281</c:v>
                </c:pt>
              </c:numCache>
            </c:numRef>
          </c:yVal>
          <c:smooth val="0"/>
        </c:ser>
        <c:dLbls>
          <c:showLegendKey val="0"/>
          <c:showVal val="0"/>
          <c:showCatName val="0"/>
          <c:showSerName val="0"/>
          <c:showPercent val="0"/>
          <c:showBubbleSize val="0"/>
        </c:dLbls>
        <c:axId val="-2104413304"/>
        <c:axId val="-2104407208"/>
      </c:scatterChart>
      <c:valAx>
        <c:axId val="-2104413304"/>
        <c:scaling>
          <c:orientation val="minMax"/>
        </c:scaling>
        <c:delete val="0"/>
        <c:axPos val="b"/>
        <c:title>
          <c:tx>
            <c:rich>
              <a:bodyPr/>
              <a:lstStyle/>
              <a:p>
                <a:pPr>
                  <a:defRPr sz="1000" b="0" i="0" u="none" strike="noStrike" baseline="0">
                    <a:solidFill>
                      <a:srgbClr val="000000"/>
                    </a:solidFill>
                    <a:latin typeface="Times New Roman"/>
                    <a:ea typeface="Times New Roman"/>
                    <a:cs typeface="Times New Roman"/>
                  </a:defRPr>
                </a:pPr>
                <a:r>
                  <a:rPr lang="en-US"/>
                  <a:t>Spawners (Millions)</a:t>
                </a:r>
              </a:p>
            </c:rich>
          </c:tx>
          <c:layout>
            <c:manualLayout>
              <c:xMode val="edge"/>
              <c:yMode val="edge"/>
              <c:x val="0.438135570477003"/>
              <c:y val="0.906633841312472"/>
            </c:manualLayout>
          </c:layout>
          <c:overlay val="0"/>
          <c:spPr>
            <a:noFill/>
            <a:ln w="25400">
              <a:noFill/>
            </a:ln>
          </c:spPr>
        </c:title>
        <c:numFmt formatCode="0.000_)" sourceLinked="1"/>
        <c:majorTickMark val="in"/>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104407208"/>
        <c:crosses val="autoZero"/>
        <c:crossBetween val="midCat"/>
      </c:valAx>
      <c:valAx>
        <c:axId val="-2104407208"/>
        <c:scaling>
          <c:orientation val="minMax"/>
        </c:scaling>
        <c:delete val="0"/>
        <c:axPos val="l"/>
        <c:title>
          <c:tx>
            <c:rich>
              <a:bodyPr/>
              <a:lstStyle/>
              <a:p>
                <a:pPr>
                  <a:defRPr sz="1000" b="0" i="0" u="none" strike="noStrike" baseline="0">
                    <a:solidFill>
                      <a:srgbClr val="000000"/>
                    </a:solidFill>
                    <a:latin typeface="Times New Roman"/>
                    <a:ea typeface="Times New Roman"/>
                    <a:cs typeface="Times New Roman"/>
                  </a:defRPr>
                </a:pPr>
                <a:r>
                  <a:rPr lang="en-US"/>
                  <a:t>ln (R/S)</a:t>
                </a:r>
              </a:p>
            </c:rich>
          </c:tx>
          <c:layout>
            <c:manualLayout>
              <c:xMode val="edge"/>
              <c:yMode val="edge"/>
              <c:x val="0.0324544707985121"/>
              <c:y val="0.393120511098903"/>
            </c:manualLayout>
          </c:layout>
          <c:overlay val="0"/>
          <c:spPr>
            <a:noFill/>
            <a:ln w="25400">
              <a:noFill/>
            </a:ln>
          </c:spPr>
        </c:title>
        <c:numFmt formatCode="0.00_)"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104413304"/>
        <c:crosses val="autoZero"/>
        <c:crossBetween val="midCat"/>
      </c:valAx>
      <c:spPr>
        <a:noFill/>
        <a:ln w="3175">
          <a:solidFill>
            <a:srgbClr val="000000"/>
          </a:solidFill>
          <a:prstDash val="solid"/>
        </a:ln>
      </c:spPr>
    </c:plotArea>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0" l="0.75" r="0.75" t="1.0"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Times New Roman"/>
                <a:ea typeface="Times New Roman"/>
                <a:cs typeface="Times New Roman"/>
              </a:defRPr>
            </a:pPr>
            <a:r>
              <a:rPr lang="en-US"/>
              <a:t>PWS Even Yr Pink Salmon Return and R/S</a:t>
            </a:r>
          </a:p>
        </c:rich>
      </c:tx>
      <c:layout>
        <c:manualLayout>
          <c:xMode val="edge"/>
          <c:yMode val="edge"/>
          <c:x val="0.359703275303986"/>
          <c:y val="0.0319409686192327"/>
        </c:manualLayout>
      </c:layout>
      <c:overlay val="0"/>
      <c:spPr>
        <a:noFill/>
        <a:ln w="25400">
          <a:noFill/>
        </a:ln>
      </c:spPr>
    </c:title>
    <c:autoTitleDeleted val="0"/>
    <c:plotArea>
      <c:layout>
        <c:manualLayout>
          <c:layoutTarget val="inner"/>
          <c:xMode val="edge"/>
          <c:yMode val="edge"/>
          <c:x val="0.106304079110012"/>
          <c:y val="0.15970515970516"/>
          <c:w val="0.744128553770087"/>
          <c:h val="0.670761670761671"/>
        </c:manualLayout>
      </c:layout>
      <c:scatterChart>
        <c:scatterStyle val="lineMarker"/>
        <c:varyColors val="0"/>
        <c:ser>
          <c:idx val="0"/>
          <c:order val="0"/>
          <c:tx>
            <c:v>Spawners</c:v>
          </c:tx>
          <c:spPr>
            <a:ln w="3175">
              <a:solidFill>
                <a:srgbClr val="00FF00"/>
              </a:solidFill>
              <a:prstDash val="solid"/>
            </a:ln>
          </c:spPr>
          <c:marker>
            <c:symbol val="diamond"/>
            <c:size val="5"/>
            <c:spPr>
              <a:solidFill>
                <a:srgbClr val="00FF00"/>
              </a:solidFill>
              <a:ln>
                <a:solidFill>
                  <a:srgbClr val="000000"/>
                </a:solidFill>
                <a:prstDash val="solid"/>
              </a:ln>
            </c:spPr>
          </c:marker>
          <c:xVal>
            <c:numRef>
              <c:f>Even!$A$13:$A$30</c:f>
              <c:numCache>
                <c:formatCode>General</c:formatCode>
                <c:ptCount val="18"/>
                <c:pt idx="0">
                  <c:v>1960.0</c:v>
                </c:pt>
                <c:pt idx="1">
                  <c:v>1962.0</c:v>
                </c:pt>
                <c:pt idx="2">
                  <c:v>1964.0</c:v>
                </c:pt>
                <c:pt idx="3">
                  <c:v>1966.0</c:v>
                </c:pt>
                <c:pt idx="4">
                  <c:v>1968.0</c:v>
                </c:pt>
                <c:pt idx="5">
                  <c:v>1970.0</c:v>
                </c:pt>
                <c:pt idx="6">
                  <c:v>1972.0</c:v>
                </c:pt>
                <c:pt idx="7">
                  <c:v>1974.0</c:v>
                </c:pt>
                <c:pt idx="8">
                  <c:v>1976.0</c:v>
                </c:pt>
                <c:pt idx="9">
                  <c:v>1978.0</c:v>
                </c:pt>
                <c:pt idx="10">
                  <c:v>1980.0</c:v>
                </c:pt>
                <c:pt idx="11">
                  <c:v>1982.0</c:v>
                </c:pt>
                <c:pt idx="12">
                  <c:v>1984.0</c:v>
                </c:pt>
                <c:pt idx="13">
                  <c:v>1986.0</c:v>
                </c:pt>
                <c:pt idx="14">
                  <c:v>1988.0</c:v>
                </c:pt>
                <c:pt idx="15">
                  <c:v>1990.0</c:v>
                </c:pt>
                <c:pt idx="16">
                  <c:v>1992.0</c:v>
                </c:pt>
                <c:pt idx="17">
                  <c:v>1994.0</c:v>
                </c:pt>
              </c:numCache>
            </c:numRef>
          </c:xVal>
          <c:yVal>
            <c:numRef>
              <c:f>Even!$C$14:$C$30</c:f>
              <c:numCache>
                <c:formatCode>0.000_)</c:formatCode>
                <c:ptCount val="17"/>
                <c:pt idx="0">
                  <c:v>2.01801</c:v>
                </c:pt>
                <c:pt idx="1">
                  <c:v>1.84168</c:v>
                </c:pt>
                <c:pt idx="2">
                  <c:v>1.42317</c:v>
                </c:pt>
                <c:pt idx="3">
                  <c:v>1.15651</c:v>
                </c:pt>
                <c:pt idx="4">
                  <c:v>0.97922</c:v>
                </c:pt>
                <c:pt idx="5">
                  <c:v>0.64118</c:v>
                </c:pt>
                <c:pt idx="6">
                  <c:v>0.95812</c:v>
                </c:pt>
                <c:pt idx="7">
                  <c:v>0.92626</c:v>
                </c:pt>
                <c:pt idx="8">
                  <c:v>1.14501</c:v>
                </c:pt>
                <c:pt idx="9">
                  <c:v>1.67194</c:v>
                </c:pt>
                <c:pt idx="10">
                  <c:v>2.27457</c:v>
                </c:pt>
                <c:pt idx="11">
                  <c:v>4.03186</c:v>
                </c:pt>
                <c:pt idx="12">
                  <c:v>0.96022</c:v>
                </c:pt>
                <c:pt idx="13">
                  <c:v>0.96453</c:v>
                </c:pt>
                <c:pt idx="14">
                  <c:v>1.325852</c:v>
                </c:pt>
                <c:pt idx="15">
                  <c:v>0.555105</c:v>
                </c:pt>
                <c:pt idx="16">
                  <c:v>1.413184</c:v>
                </c:pt>
              </c:numCache>
            </c:numRef>
          </c:yVal>
          <c:smooth val="0"/>
        </c:ser>
        <c:ser>
          <c:idx val="1"/>
          <c:order val="1"/>
          <c:tx>
            <c:v>Ln( R/S)</c:v>
          </c:tx>
          <c:spPr>
            <a:ln w="3175">
              <a:solidFill>
                <a:srgbClr val="0000FF"/>
              </a:solidFill>
              <a:prstDash val="solid"/>
            </a:ln>
          </c:spPr>
          <c:marker>
            <c:symbol val="triangle"/>
            <c:size val="5"/>
            <c:spPr>
              <a:solidFill>
                <a:srgbClr val="0000FF"/>
              </a:solidFill>
              <a:ln>
                <a:solidFill>
                  <a:srgbClr val="000000"/>
                </a:solidFill>
                <a:prstDash val="solid"/>
              </a:ln>
            </c:spPr>
          </c:marker>
          <c:xVal>
            <c:numRef>
              <c:f>Even!$A$13:$A$30</c:f>
              <c:numCache>
                <c:formatCode>General</c:formatCode>
                <c:ptCount val="18"/>
                <c:pt idx="0">
                  <c:v>1960.0</c:v>
                </c:pt>
                <c:pt idx="1">
                  <c:v>1962.0</c:v>
                </c:pt>
                <c:pt idx="2">
                  <c:v>1964.0</c:v>
                </c:pt>
                <c:pt idx="3">
                  <c:v>1966.0</c:v>
                </c:pt>
                <c:pt idx="4">
                  <c:v>1968.0</c:v>
                </c:pt>
                <c:pt idx="5">
                  <c:v>1970.0</c:v>
                </c:pt>
                <c:pt idx="6">
                  <c:v>1972.0</c:v>
                </c:pt>
                <c:pt idx="7">
                  <c:v>1974.0</c:v>
                </c:pt>
                <c:pt idx="8">
                  <c:v>1976.0</c:v>
                </c:pt>
                <c:pt idx="9">
                  <c:v>1978.0</c:v>
                </c:pt>
                <c:pt idx="10">
                  <c:v>1980.0</c:v>
                </c:pt>
                <c:pt idx="11">
                  <c:v>1982.0</c:v>
                </c:pt>
                <c:pt idx="12">
                  <c:v>1984.0</c:v>
                </c:pt>
                <c:pt idx="13">
                  <c:v>1986.0</c:v>
                </c:pt>
                <c:pt idx="14">
                  <c:v>1988.0</c:v>
                </c:pt>
                <c:pt idx="15">
                  <c:v>1990.0</c:v>
                </c:pt>
                <c:pt idx="16">
                  <c:v>1992.0</c:v>
                </c:pt>
                <c:pt idx="17">
                  <c:v>1994.0</c:v>
                </c:pt>
              </c:numCache>
            </c:numRef>
          </c:xVal>
          <c:yVal>
            <c:numRef>
              <c:f>Even!$D$14:$D$30</c:f>
              <c:numCache>
                <c:formatCode>0.00_)</c:formatCode>
                <c:ptCount val="17"/>
                <c:pt idx="0">
                  <c:v>1.79982287243761</c:v>
                </c:pt>
                <c:pt idx="1">
                  <c:v>1.386294361119891</c:v>
                </c:pt>
                <c:pt idx="2">
                  <c:v>1.264126727145683</c:v>
                </c:pt>
                <c:pt idx="3">
                  <c:v>1.308383088656941</c:v>
                </c:pt>
                <c:pt idx="4">
                  <c:v>-0.415515443961666</c:v>
                </c:pt>
                <c:pt idx="5">
                  <c:v>0.27002713721306</c:v>
                </c:pt>
                <c:pt idx="6">
                  <c:v>1.367373230191603</c:v>
                </c:pt>
                <c:pt idx="7">
                  <c:v>1.367387497507603</c:v>
                </c:pt>
                <c:pt idx="8">
                  <c:v>2.640050835924384</c:v>
                </c:pt>
                <c:pt idx="9">
                  <c:v>2.821040555372198</c:v>
                </c:pt>
                <c:pt idx="10">
                  <c:v>3.054072547055926</c:v>
                </c:pt>
                <c:pt idx="11">
                  <c:v>1.716309545778278</c:v>
                </c:pt>
                <c:pt idx="12">
                  <c:v>0.569246973100403</c:v>
                </c:pt>
                <c:pt idx="13">
                  <c:v>2.668525697809376</c:v>
                </c:pt>
                <c:pt idx="14">
                  <c:v>0.790138219655746</c:v>
                </c:pt>
                <c:pt idx="15">
                  <c:v>2.251468940810625</c:v>
                </c:pt>
                <c:pt idx="16">
                  <c:v>2.125170716273281</c:v>
                </c:pt>
              </c:numCache>
            </c:numRef>
          </c:yVal>
          <c:smooth val="0"/>
        </c:ser>
        <c:dLbls>
          <c:showLegendKey val="0"/>
          <c:showVal val="0"/>
          <c:showCatName val="0"/>
          <c:showSerName val="0"/>
          <c:showPercent val="0"/>
          <c:showBubbleSize val="0"/>
        </c:dLbls>
        <c:axId val="-2104382584"/>
        <c:axId val="-2104374376"/>
      </c:scatterChart>
      <c:valAx>
        <c:axId val="-2104382584"/>
        <c:scaling>
          <c:orientation val="minMax"/>
          <c:max val="100.0"/>
          <c:min val="60.0"/>
        </c:scaling>
        <c:delete val="0"/>
        <c:axPos val="b"/>
        <c:title>
          <c:tx>
            <c:rich>
              <a:bodyPr/>
              <a:lstStyle/>
              <a:p>
                <a:pPr>
                  <a:defRPr sz="1000" b="0" i="0" u="none" strike="noStrike" baseline="0">
                    <a:solidFill>
                      <a:srgbClr val="000000"/>
                    </a:solidFill>
                    <a:latin typeface="Times New Roman"/>
                    <a:ea typeface="Times New Roman"/>
                    <a:cs typeface="Times New Roman"/>
                  </a:defRPr>
                </a:pPr>
                <a:r>
                  <a:rPr lang="en-US"/>
                  <a:t>Brood Year</a:t>
                </a:r>
              </a:p>
            </c:rich>
          </c:tx>
          <c:layout>
            <c:manualLayout>
              <c:xMode val="edge"/>
              <c:yMode val="edge"/>
              <c:x val="0.438813361729288"/>
              <c:y val="0.906633841312472"/>
            </c:manualLayout>
          </c:layout>
          <c:overlay val="0"/>
          <c:spPr>
            <a:noFill/>
            <a:ln w="25400">
              <a:noFill/>
            </a:ln>
          </c:spPr>
        </c:title>
        <c:numFmt formatCode="General" sourceLinked="1"/>
        <c:majorTickMark val="in"/>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104374376"/>
        <c:crosses val="autoZero"/>
        <c:crossBetween val="midCat"/>
      </c:valAx>
      <c:valAx>
        <c:axId val="-2104374376"/>
        <c:scaling>
          <c:orientation val="minMax"/>
        </c:scaling>
        <c:delete val="0"/>
        <c:axPos val="l"/>
        <c:title>
          <c:tx>
            <c:rich>
              <a:bodyPr/>
              <a:lstStyle/>
              <a:p>
                <a:pPr>
                  <a:defRPr sz="1000" b="0" i="0" u="none" strike="noStrike" baseline="0">
                    <a:solidFill>
                      <a:srgbClr val="000000"/>
                    </a:solidFill>
                    <a:latin typeface="Times New Roman"/>
                    <a:ea typeface="Times New Roman"/>
                    <a:cs typeface="Times New Roman"/>
                  </a:defRPr>
                </a:pPr>
                <a:r>
                  <a:rPr lang="en-US"/>
                  <a:t>Ln(R/S)</a:t>
                </a:r>
              </a:p>
            </c:rich>
          </c:tx>
          <c:layout>
            <c:manualLayout>
              <c:xMode val="edge"/>
              <c:yMode val="edge"/>
              <c:x val="0.0197775216063253"/>
              <c:y val="0.439803319158749"/>
            </c:manualLayout>
          </c:layout>
          <c:overlay val="0"/>
          <c:spPr>
            <a:noFill/>
            <a:ln w="25400">
              <a:noFill/>
            </a:ln>
          </c:spPr>
        </c:title>
        <c:numFmt formatCode="0.000_)"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104382584"/>
        <c:crosses val="autoZero"/>
        <c:crossBetween val="midCat"/>
      </c:valAx>
      <c:spPr>
        <a:noFill/>
        <a:ln w="3175">
          <a:solidFill>
            <a:srgbClr val="000000"/>
          </a:solidFill>
          <a:prstDash val="solid"/>
        </a:ln>
      </c:spPr>
    </c:plotArea>
    <c:legend>
      <c:legendPos val="r"/>
      <c:layout>
        <c:manualLayout>
          <c:xMode val="edge"/>
          <c:yMode val="edge"/>
          <c:x val="0.877626723458575"/>
          <c:y val="0.442260337612837"/>
          <c:w val="0.112484580866598"/>
          <c:h val="0.10565097967405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Times New Roman"/>
              <a:ea typeface="Times New Roman"/>
              <a:cs typeface="Times New Roman"/>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0" l="0.75" r="0.75" t="1.0"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Times New Roman"/>
                <a:ea typeface="Times New Roman"/>
                <a:cs typeface="Times New Roman"/>
              </a:defRPr>
            </a:pPr>
            <a:r>
              <a:rPr lang="en-US"/>
              <a:t>PWS Even Yr Pink Salmon Forecast
LN R/S FROM BYE</a:t>
            </a:r>
          </a:p>
        </c:rich>
      </c:tx>
      <c:layout>
        <c:manualLayout>
          <c:xMode val="edge"/>
          <c:yMode val="edge"/>
          <c:x val="0.387249996117349"/>
          <c:y val="0.028099117818606"/>
        </c:manualLayout>
      </c:layout>
      <c:overlay val="0"/>
      <c:spPr>
        <a:noFill/>
        <a:ln w="25400">
          <a:noFill/>
        </a:ln>
      </c:spPr>
    </c:title>
    <c:autoTitleDeleted val="0"/>
    <c:plotArea>
      <c:layout>
        <c:manualLayout>
          <c:layoutTarget val="inner"/>
          <c:xMode val="edge"/>
          <c:yMode val="edge"/>
          <c:x val="0.113341465608087"/>
          <c:y val="0.152066115702479"/>
          <c:w val="0.84297715046015"/>
          <c:h val="0.727272727272727"/>
        </c:manualLayout>
      </c:layout>
      <c:scatterChart>
        <c:scatterStyle val="lineMarker"/>
        <c:varyColors val="0"/>
        <c:ser>
          <c:idx val="0"/>
          <c:order val="0"/>
          <c:tx>
            <c:v>PREDICTED       </c:v>
          </c:tx>
          <c:spPr>
            <a:ln w="3175">
              <a:solidFill>
                <a:srgbClr val="FF0000"/>
              </a:solidFill>
              <a:prstDash val="solid"/>
            </a:ln>
          </c:spPr>
          <c:marker>
            <c:symbol val="none"/>
          </c:marker>
          <c:xVal>
            <c:numRef>
              <c:f>Even!$Y$13:$Y$32</c:f>
              <c:numCache>
                <c:formatCode>0.000_)</c:formatCode>
                <c:ptCount val="20"/>
                <c:pt idx="0">
                  <c:v>1.350722</c:v>
                </c:pt>
                <c:pt idx="1">
                  <c:v>2.01801</c:v>
                </c:pt>
                <c:pt idx="2">
                  <c:v>1.84168</c:v>
                </c:pt>
                <c:pt idx="3">
                  <c:v>1.42317</c:v>
                </c:pt>
                <c:pt idx="4">
                  <c:v>1.15651</c:v>
                </c:pt>
                <c:pt idx="5">
                  <c:v>0.97922</c:v>
                </c:pt>
                <c:pt idx="6">
                  <c:v>0.64118</c:v>
                </c:pt>
                <c:pt idx="7">
                  <c:v>0.95812</c:v>
                </c:pt>
                <c:pt idx="8">
                  <c:v>0.92626</c:v>
                </c:pt>
                <c:pt idx="9">
                  <c:v>1.14501</c:v>
                </c:pt>
                <c:pt idx="10">
                  <c:v>1.67194</c:v>
                </c:pt>
                <c:pt idx="11">
                  <c:v>2.27457</c:v>
                </c:pt>
                <c:pt idx="12">
                  <c:v>4.03186</c:v>
                </c:pt>
                <c:pt idx="13">
                  <c:v>0.96022</c:v>
                </c:pt>
                <c:pt idx="14">
                  <c:v>0.96453</c:v>
                </c:pt>
                <c:pt idx="15">
                  <c:v>1.325852</c:v>
                </c:pt>
                <c:pt idx="16">
                  <c:v>0.555105</c:v>
                </c:pt>
                <c:pt idx="17">
                  <c:v>1.413184</c:v>
                </c:pt>
                <c:pt idx="19">
                  <c:v>1.483336</c:v>
                </c:pt>
              </c:numCache>
            </c:numRef>
          </c:xVal>
          <c:yVal>
            <c:numRef>
              <c:f>Even!$Z$13:$Z$32</c:f>
              <c:numCache>
                <c:formatCode>0.0000_)</c:formatCode>
                <c:ptCount val="20"/>
                <c:pt idx="0">
                  <c:v>1.608106312439987</c:v>
                </c:pt>
                <c:pt idx="1">
                  <c:v>1.784094586066693</c:v>
                </c:pt>
                <c:pt idx="2">
                  <c:v>1.7375899099919</c:v>
                </c:pt>
                <c:pt idx="3">
                  <c:v>1.627213502210682</c:v>
                </c:pt>
                <c:pt idx="4">
                  <c:v>1.556885498342342</c:v>
                </c:pt>
                <c:pt idx="5">
                  <c:v>1.510127635123943</c:v>
                </c:pt>
                <c:pt idx="6">
                  <c:v>1.420974112182167</c:v>
                </c:pt>
                <c:pt idx="7">
                  <c:v>1.5045627926968</c:v>
                </c:pt>
                <c:pt idx="8">
                  <c:v>1.496160144368422</c:v>
                </c:pt>
                <c:pt idx="9">
                  <c:v>1.553852527351245</c:v>
                </c:pt>
                <c:pt idx="10">
                  <c:v>1.692823258163308</c:v>
                </c:pt>
                <c:pt idx="11">
                  <c:v>1.851758850195027</c:v>
                </c:pt>
                <c:pt idx="12">
                  <c:v>2.315220553929357</c:v>
                </c:pt>
                <c:pt idx="13">
                  <c:v>1.505116639573435</c:v>
                </c:pt>
                <c:pt idx="14">
                  <c:v>1.506253344353577</c:v>
                </c:pt>
                <c:pt idx="15">
                  <c:v>1.60154718300098</c:v>
                </c:pt>
                <c:pt idx="16">
                  <c:v>1.398272983655326</c:v>
                </c:pt>
                <c:pt idx="17">
                  <c:v>1.624579828443978</c:v>
                </c:pt>
                <c:pt idx="19">
                  <c:v>1.643081478962886</c:v>
                </c:pt>
              </c:numCache>
            </c:numRef>
          </c:yVal>
          <c:smooth val="0"/>
        </c:ser>
        <c:ser>
          <c:idx val="1"/>
          <c:order val="1"/>
          <c:tx>
            <c:v>ACTUAL</c:v>
          </c:tx>
          <c:spPr>
            <a:ln w="28575">
              <a:noFill/>
            </a:ln>
          </c:spPr>
          <c:marker>
            <c:symbol val="diamond"/>
            <c:size val="5"/>
            <c:spPr>
              <a:solidFill>
                <a:srgbClr val="00FF00"/>
              </a:solidFill>
              <a:ln>
                <a:solidFill>
                  <a:srgbClr val="000000"/>
                </a:solidFill>
                <a:prstDash val="solid"/>
              </a:ln>
            </c:spPr>
          </c:marker>
          <c:dLbls>
            <c:dLbl>
              <c:idx val="0"/>
              <c:tx>
                <c:strRef>
                  <c:f>Even!$AE$13</c:f>
                  <c:strCache>
                    <c:ptCount val="1"/>
                    <c:pt idx="0">
                      <c:v>1960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
              <c:tx>
                <c:strRef>
                  <c:f>Even!$AE$14</c:f>
                  <c:strCache>
                    <c:ptCount val="1"/>
                    <c:pt idx="0">
                      <c:v>1962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2"/>
              <c:tx>
                <c:strRef>
                  <c:f>Even!$AE$15</c:f>
                  <c:strCache>
                    <c:ptCount val="1"/>
                    <c:pt idx="0">
                      <c:v>1964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3"/>
              <c:tx>
                <c:strRef>
                  <c:f>Even!$AE$16</c:f>
                  <c:strCache>
                    <c:ptCount val="1"/>
                    <c:pt idx="0">
                      <c:v>1966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4"/>
              <c:tx>
                <c:strRef>
                  <c:f>Even!$AE$17</c:f>
                  <c:strCache>
                    <c:ptCount val="1"/>
                    <c:pt idx="0">
                      <c:v>1968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5"/>
              <c:tx>
                <c:strRef>
                  <c:f>Even!$AE$18</c:f>
                  <c:strCache>
                    <c:ptCount val="1"/>
                    <c:pt idx="0">
                      <c:v>1970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6"/>
              <c:tx>
                <c:strRef>
                  <c:f>Even!$AE$19</c:f>
                  <c:strCache>
                    <c:ptCount val="1"/>
                    <c:pt idx="0">
                      <c:v>1972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7"/>
              <c:tx>
                <c:strRef>
                  <c:f>Even!$AE$20</c:f>
                  <c:strCache>
                    <c:ptCount val="1"/>
                    <c:pt idx="0">
                      <c:v>1974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8"/>
              <c:tx>
                <c:strRef>
                  <c:f>Even!$AE$21</c:f>
                  <c:strCache>
                    <c:ptCount val="1"/>
                    <c:pt idx="0">
                      <c:v>1976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9"/>
              <c:tx>
                <c:strRef>
                  <c:f>Even!$AE$22</c:f>
                  <c:strCache>
                    <c:ptCount val="1"/>
                    <c:pt idx="0">
                      <c:v>1978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0"/>
              <c:tx>
                <c:strRef>
                  <c:f>Even!$AE$23</c:f>
                  <c:strCache>
                    <c:ptCount val="1"/>
                    <c:pt idx="0">
                      <c:v>1980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1"/>
              <c:tx>
                <c:strRef>
                  <c:f>Even!$AE$24</c:f>
                  <c:strCache>
                    <c:ptCount val="1"/>
                    <c:pt idx="0">
                      <c:v>1982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2"/>
              <c:tx>
                <c:strRef>
                  <c:f>Even!$AE$25</c:f>
                  <c:strCache>
                    <c:ptCount val="1"/>
                    <c:pt idx="0">
                      <c:v>1984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3"/>
              <c:tx>
                <c:strRef>
                  <c:f>Even!$AE$26</c:f>
                  <c:strCache>
                    <c:ptCount val="1"/>
                    <c:pt idx="0">
                      <c:v>1986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4"/>
              <c:tx>
                <c:strRef>
                  <c:f>Even!$AE$27</c:f>
                  <c:strCache>
                    <c:ptCount val="1"/>
                    <c:pt idx="0">
                      <c:v>1988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5"/>
              <c:tx>
                <c:strRef>
                  <c:f>Even!$AE$28</c:f>
                  <c:strCache>
                    <c:ptCount val="1"/>
                    <c:pt idx="0">
                      <c:v>1990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6"/>
              <c:tx>
                <c:strRef>
                  <c:f>Even!$AE$29</c:f>
                  <c:strCache>
                    <c:ptCount val="1"/>
                    <c:pt idx="0">
                      <c:v>1992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7"/>
              <c:tx>
                <c:strRef>
                  <c:f>Even!$AE$30</c:f>
                  <c:strCache>
                    <c:ptCount val="1"/>
                    <c:pt idx="0">
                      <c:v>1994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8"/>
              <c:tx>
                <c:strRef>
                  <c:f>Even!$AE$31</c:f>
                  <c:strCache>
                    <c:ptCount val="1"/>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9"/>
              <c:tx>
                <c:strRef>
                  <c:f>Even!$AE$32</c:f>
                  <c:strCache>
                    <c:ptCount val="1"/>
                    <c:pt idx="0">
                      <c:v>1998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showLegendKey val="0"/>
            <c:showVal val="0"/>
            <c:showCatName val="0"/>
            <c:showSerName val="0"/>
            <c:showPercent val="0"/>
            <c:showBubbleSize val="0"/>
          </c:dLbls>
          <c:xVal>
            <c:numRef>
              <c:f>Even!$Y$13:$Y$32</c:f>
              <c:numCache>
                <c:formatCode>0.000_)</c:formatCode>
                <c:ptCount val="20"/>
                <c:pt idx="0">
                  <c:v>1.350722</c:v>
                </c:pt>
                <c:pt idx="1">
                  <c:v>2.01801</c:v>
                </c:pt>
                <c:pt idx="2">
                  <c:v>1.84168</c:v>
                </c:pt>
                <c:pt idx="3">
                  <c:v>1.42317</c:v>
                </c:pt>
                <c:pt idx="4">
                  <c:v>1.15651</c:v>
                </c:pt>
                <c:pt idx="5">
                  <c:v>0.97922</c:v>
                </c:pt>
                <c:pt idx="6">
                  <c:v>0.64118</c:v>
                </c:pt>
                <c:pt idx="7">
                  <c:v>0.95812</c:v>
                </c:pt>
                <c:pt idx="8">
                  <c:v>0.92626</c:v>
                </c:pt>
                <c:pt idx="9">
                  <c:v>1.14501</c:v>
                </c:pt>
                <c:pt idx="10">
                  <c:v>1.67194</c:v>
                </c:pt>
                <c:pt idx="11">
                  <c:v>2.27457</c:v>
                </c:pt>
                <c:pt idx="12">
                  <c:v>4.03186</c:v>
                </c:pt>
                <c:pt idx="13">
                  <c:v>0.96022</c:v>
                </c:pt>
                <c:pt idx="14">
                  <c:v>0.96453</c:v>
                </c:pt>
                <c:pt idx="15">
                  <c:v>1.325852</c:v>
                </c:pt>
                <c:pt idx="16">
                  <c:v>0.555105</c:v>
                </c:pt>
                <c:pt idx="17">
                  <c:v>1.413184</c:v>
                </c:pt>
                <c:pt idx="19">
                  <c:v>1.483336</c:v>
                </c:pt>
              </c:numCache>
            </c:numRef>
          </c:xVal>
          <c:yVal>
            <c:numRef>
              <c:f>Even!$AA$13:$AA$32</c:f>
              <c:numCache>
                <c:formatCode>General</c:formatCode>
                <c:ptCount val="20"/>
                <c:pt idx="0">
                  <c:v>2.170233118867726</c:v>
                </c:pt>
                <c:pt idx="1">
                  <c:v>1.79982287243761</c:v>
                </c:pt>
                <c:pt idx="2">
                  <c:v>1.386294361119891</c:v>
                </c:pt>
                <c:pt idx="3">
                  <c:v>1.264126727145683</c:v>
                </c:pt>
                <c:pt idx="4">
                  <c:v>1.308383088656941</c:v>
                </c:pt>
                <c:pt idx="5">
                  <c:v>-0.415515443961666</c:v>
                </c:pt>
                <c:pt idx="6">
                  <c:v>0.27002713721306</c:v>
                </c:pt>
                <c:pt idx="7">
                  <c:v>1.367373230191603</c:v>
                </c:pt>
                <c:pt idx="8">
                  <c:v>1.367387497507603</c:v>
                </c:pt>
                <c:pt idx="9">
                  <c:v>2.640050835924384</c:v>
                </c:pt>
                <c:pt idx="10">
                  <c:v>2.821040555372198</c:v>
                </c:pt>
                <c:pt idx="11">
                  <c:v>3.054072547055926</c:v>
                </c:pt>
                <c:pt idx="12">
                  <c:v>1.716309545778278</c:v>
                </c:pt>
                <c:pt idx="13">
                  <c:v>0.569246973100403</c:v>
                </c:pt>
                <c:pt idx="14">
                  <c:v>2.668525697809376</c:v>
                </c:pt>
                <c:pt idx="15">
                  <c:v>0.790138219655746</c:v>
                </c:pt>
                <c:pt idx="16">
                  <c:v>2.251468940810625</c:v>
                </c:pt>
                <c:pt idx="17">
                  <c:v>2.125170716273281</c:v>
                </c:pt>
              </c:numCache>
            </c:numRef>
          </c:yVal>
          <c:smooth val="0"/>
        </c:ser>
        <c:ser>
          <c:idx val="2"/>
          <c:order val="2"/>
          <c:spPr>
            <a:ln w="3175">
              <a:solidFill>
                <a:srgbClr val="0000FF"/>
              </a:solidFill>
              <a:prstDash val="solid"/>
            </a:ln>
          </c:spPr>
          <c:marker>
            <c:symbol val="none"/>
          </c:marker>
          <c:xVal>
            <c:numRef>
              <c:f>Even!$Y$13:$Y$32</c:f>
              <c:numCache>
                <c:formatCode>0.000_)</c:formatCode>
                <c:ptCount val="20"/>
                <c:pt idx="0">
                  <c:v>1.350722</c:v>
                </c:pt>
                <c:pt idx="1">
                  <c:v>2.01801</c:v>
                </c:pt>
                <c:pt idx="2">
                  <c:v>1.84168</c:v>
                </c:pt>
                <c:pt idx="3">
                  <c:v>1.42317</c:v>
                </c:pt>
                <c:pt idx="4">
                  <c:v>1.15651</c:v>
                </c:pt>
                <c:pt idx="5">
                  <c:v>0.97922</c:v>
                </c:pt>
                <c:pt idx="6">
                  <c:v>0.64118</c:v>
                </c:pt>
                <c:pt idx="7">
                  <c:v>0.95812</c:v>
                </c:pt>
                <c:pt idx="8">
                  <c:v>0.92626</c:v>
                </c:pt>
                <c:pt idx="9">
                  <c:v>1.14501</c:v>
                </c:pt>
                <c:pt idx="10">
                  <c:v>1.67194</c:v>
                </c:pt>
                <c:pt idx="11">
                  <c:v>2.27457</c:v>
                </c:pt>
                <c:pt idx="12">
                  <c:v>4.03186</c:v>
                </c:pt>
                <c:pt idx="13">
                  <c:v>0.96022</c:v>
                </c:pt>
                <c:pt idx="14">
                  <c:v>0.96453</c:v>
                </c:pt>
                <c:pt idx="15">
                  <c:v>1.325852</c:v>
                </c:pt>
                <c:pt idx="16">
                  <c:v>0.555105</c:v>
                </c:pt>
                <c:pt idx="17">
                  <c:v>1.413184</c:v>
                </c:pt>
                <c:pt idx="19">
                  <c:v>1.483336</c:v>
                </c:pt>
              </c:numCache>
            </c:numRef>
          </c:xVal>
          <c:yVal>
            <c:numRef>
              <c:f>Even!$AB$13:$AB$32</c:f>
              <c:numCache>
                <c:formatCode>General</c:formatCode>
                <c:ptCount val="20"/>
                <c:pt idx="0">
                  <c:v>0.116206809837267</c:v>
                </c:pt>
                <c:pt idx="1">
                  <c:v>0.292195083463973</c:v>
                </c:pt>
                <c:pt idx="2">
                  <c:v>0.245690407389179</c:v>
                </c:pt>
                <c:pt idx="3">
                  <c:v>0.135313999607962</c:v>
                </c:pt>
                <c:pt idx="4">
                  <c:v>0.0649859957396217</c:v>
                </c:pt>
                <c:pt idx="5">
                  <c:v>0.0182281325212232</c:v>
                </c:pt>
                <c:pt idx="6">
                  <c:v>-0.0709253904205525</c:v>
                </c:pt>
                <c:pt idx="7">
                  <c:v>0.0126632900940802</c:v>
                </c:pt>
                <c:pt idx="8">
                  <c:v>0.00426064176570184</c:v>
                </c:pt>
                <c:pt idx="9">
                  <c:v>0.0619530247485247</c:v>
                </c:pt>
                <c:pt idx="10">
                  <c:v>0.200923755560588</c:v>
                </c:pt>
                <c:pt idx="11">
                  <c:v>0.359859347592307</c:v>
                </c:pt>
                <c:pt idx="12">
                  <c:v>0.823321051326637</c:v>
                </c:pt>
                <c:pt idx="13">
                  <c:v>0.0132171369707152</c:v>
                </c:pt>
                <c:pt idx="14">
                  <c:v>0.0143538417508569</c:v>
                </c:pt>
                <c:pt idx="15">
                  <c:v>0.10964768039826</c:v>
                </c:pt>
                <c:pt idx="16">
                  <c:v>-0.0936265189473935</c:v>
                </c:pt>
                <c:pt idx="17">
                  <c:v>0.132680325841259</c:v>
                </c:pt>
                <c:pt idx="19">
                  <c:v>0.151181976360166</c:v>
                </c:pt>
              </c:numCache>
            </c:numRef>
          </c:yVal>
          <c:smooth val="0"/>
        </c:ser>
        <c:ser>
          <c:idx val="3"/>
          <c:order val="3"/>
          <c:spPr>
            <a:ln w="3175">
              <a:solidFill>
                <a:srgbClr val="FFFF00"/>
              </a:solidFill>
              <a:prstDash val="solid"/>
            </a:ln>
          </c:spPr>
          <c:marker>
            <c:symbol val="none"/>
          </c:marker>
          <c:xVal>
            <c:numRef>
              <c:f>Even!$Y$13:$Y$32</c:f>
              <c:numCache>
                <c:formatCode>0.000_)</c:formatCode>
                <c:ptCount val="20"/>
                <c:pt idx="0">
                  <c:v>1.350722</c:v>
                </c:pt>
                <c:pt idx="1">
                  <c:v>2.01801</c:v>
                </c:pt>
                <c:pt idx="2">
                  <c:v>1.84168</c:v>
                </c:pt>
                <c:pt idx="3">
                  <c:v>1.42317</c:v>
                </c:pt>
                <c:pt idx="4">
                  <c:v>1.15651</c:v>
                </c:pt>
                <c:pt idx="5">
                  <c:v>0.97922</c:v>
                </c:pt>
                <c:pt idx="6">
                  <c:v>0.64118</c:v>
                </c:pt>
                <c:pt idx="7">
                  <c:v>0.95812</c:v>
                </c:pt>
                <c:pt idx="8">
                  <c:v>0.92626</c:v>
                </c:pt>
                <c:pt idx="9">
                  <c:v>1.14501</c:v>
                </c:pt>
                <c:pt idx="10">
                  <c:v>1.67194</c:v>
                </c:pt>
                <c:pt idx="11">
                  <c:v>2.27457</c:v>
                </c:pt>
                <c:pt idx="12">
                  <c:v>4.03186</c:v>
                </c:pt>
                <c:pt idx="13">
                  <c:v>0.96022</c:v>
                </c:pt>
                <c:pt idx="14">
                  <c:v>0.96453</c:v>
                </c:pt>
                <c:pt idx="15">
                  <c:v>1.325852</c:v>
                </c:pt>
                <c:pt idx="16">
                  <c:v>0.555105</c:v>
                </c:pt>
                <c:pt idx="17">
                  <c:v>1.413184</c:v>
                </c:pt>
                <c:pt idx="19">
                  <c:v>1.483336</c:v>
                </c:pt>
              </c:numCache>
            </c:numRef>
          </c:xVal>
          <c:yVal>
            <c:numRef>
              <c:f>Even!$AC$13:$AC$32</c:f>
              <c:numCache>
                <c:formatCode>General</c:formatCode>
                <c:ptCount val="20"/>
                <c:pt idx="0">
                  <c:v>3.100005815042707</c:v>
                </c:pt>
                <c:pt idx="1">
                  <c:v>3.275994088669412</c:v>
                </c:pt>
                <c:pt idx="2">
                  <c:v>3.229489412594619</c:v>
                </c:pt>
                <c:pt idx="3">
                  <c:v>3.119113004813403</c:v>
                </c:pt>
                <c:pt idx="4">
                  <c:v>3.048785000945061</c:v>
                </c:pt>
                <c:pt idx="5">
                  <c:v>3.002027137726663</c:v>
                </c:pt>
                <c:pt idx="6">
                  <c:v>2.912873614784887</c:v>
                </c:pt>
                <c:pt idx="7">
                  <c:v>2.99646229529952</c:v>
                </c:pt>
                <c:pt idx="8">
                  <c:v>2.988059646971142</c:v>
                </c:pt>
                <c:pt idx="9">
                  <c:v>3.045752029953965</c:v>
                </c:pt>
                <c:pt idx="10">
                  <c:v>3.184722760766027</c:v>
                </c:pt>
                <c:pt idx="11">
                  <c:v>3.343658352797747</c:v>
                </c:pt>
                <c:pt idx="12">
                  <c:v>3.807120056532076</c:v>
                </c:pt>
                <c:pt idx="13">
                  <c:v>2.997016142176155</c:v>
                </c:pt>
                <c:pt idx="14">
                  <c:v>2.998152846956297</c:v>
                </c:pt>
                <c:pt idx="15">
                  <c:v>3.0934466856037</c:v>
                </c:pt>
                <c:pt idx="16">
                  <c:v>2.890172486258046</c:v>
                </c:pt>
                <c:pt idx="17">
                  <c:v>3.116479331046698</c:v>
                </c:pt>
                <c:pt idx="19">
                  <c:v>3.134980981565606</c:v>
                </c:pt>
              </c:numCache>
            </c:numRef>
          </c:yVal>
          <c:smooth val="0"/>
        </c:ser>
        <c:ser>
          <c:idx val="4"/>
          <c:order val="4"/>
          <c:tx>
            <c:v>Forecast</c:v>
          </c:tx>
          <c:spPr>
            <a:ln w="3175">
              <a:solidFill>
                <a:srgbClr val="FF00FF"/>
              </a:solidFill>
              <a:prstDash val="solid"/>
            </a:ln>
          </c:spPr>
          <c:marker>
            <c:symbol val="diamond"/>
            <c:size val="5"/>
            <c:spPr>
              <a:noFill/>
              <a:ln>
                <a:solidFill>
                  <a:srgbClr val="FF00FF"/>
                </a:solidFill>
                <a:prstDash val="solid"/>
              </a:ln>
            </c:spPr>
          </c:marker>
          <c:xVal>
            <c:numRef>
              <c:f>Even!$Y$13:$Y$32</c:f>
              <c:numCache>
                <c:formatCode>0.000_)</c:formatCode>
                <c:ptCount val="20"/>
                <c:pt idx="0">
                  <c:v>1.350722</c:v>
                </c:pt>
                <c:pt idx="1">
                  <c:v>2.01801</c:v>
                </c:pt>
                <c:pt idx="2">
                  <c:v>1.84168</c:v>
                </c:pt>
                <c:pt idx="3">
                  <c:v>1.42317</c:v>
                </c:pt>
                <c:pt idx="4">
                  <c:v>1.15651</c:v>
                </c:pt>
                <c:pt idx="5">
                  <c:v>0.97922</c:v>
                </c:pt>
                <c:pt idx="6">
                  <c:v>0.64118</c:v>
                </c:pt>
                <c:pt idx="7">
                  <c:v>0.95812</c:v>
                </c:pt>
                <c:pt idx="8">
                  <c:v>0.92626</c:v>
                </c:pt>
                <c:pt idx="9">
                  <c:v>1.14501</c:v>
                </c:pt>
                <c:pt idx="10">
                  <c:v>1.67194</c:v>
                </c:pt>
                <c:pt idx="11">
                  <c:v>2.27457</c:v>
                </c:pt>
                <c:pt idx="12">
                  <c:v>4.03186</c:v>
                </c:pt>
                <c:pt idx="13">
                  <c:v>0.96022</c:v>
                </c:pt>
                <c:pt idx="14">
                  <c:v>0.96453</c:v>
                </c:pt>
                <c:pt idx="15">
                  <c:v>1.325852</c:v>
                </c:pt>
                <c:pt idx="16">
                  <c:v>0.555105</c:v>
                </c:pt>
                <c:pt idx="17">
                  <c:v>1.413184</c:v>
                </c:pt>
                <c:pt idx="19">
                  <c:v>1.483336</c:v>
                </c:pt>
              </c:numCache>
            </c:numRef>
          </c:xVal>
          <c:yVal>
            <c:numRef>
              <c:f>Even!$AD$13:$AD$32</c:f>
              <c:numCache>
                <c:formatCode>General</c:formatCode>
                <c:ptCount val="20"/>
                <c:pt idx="19">
                  <c:v>1.643081478962886</c:v>
                </c:pt>
              </c:numCache>
            </c:numRef>
          </c:yVal>
          <c:smooth val="0"/>
        </c:ser>
        <c:dLbls>
          <c:showLegendKey val="0"/>
          <c:showVal val="0"/>
          <c:showCatName val="0"/>
          <c:showSerName val="0"/>
          <c:showPercent val="0"/>
          <c:showBubbleSize val="0"/>
        </c:dLbls>
        <c:axId val="2146208792"/>
        <c:axId val="2145904680"/>
      </c:scatterChart>
      <c:valAx>
        <c:axId val="2146208792"/>
        <c:scaling>
          <c:orientation val="minMax"/>
        </c:scaling>
        <c:delete val="0"/>
        <c:axPos val="b"/>
        <c:title>
          <c:tx>
            <c:rich>
              <a:bodyPr/>
              <a:lstStyle/>
              <a:p>
                <a:pPr>
                  <a:defRPr sz="1000" b="0" i="0" u="none" strike="noStrike" baseline="0">
                    <a:solidFill>
                      <a:srgbClr val="000000"/>
                    </a:solidFill>
                    <a:latin typeface="Times New Roman"/>
                    <a:ea typeface="Times New Roman"/>
                    <a:cs typeface="Times New Roman"/>
                  </a:defRPr>
                </a:pPr>
                <a:r>
                  <a:rPr lang="en-US"/>
                  <a:t>BROOD YEAR ESCAPEMENT</a:t>
                </a:r>
              </a:p>
            </c:rich>
          </c:tx>
          <c:layout>
            <c:manualLayout>
              <c:xMode val="edge"/>
              <c:yMode val="edge"/>
              <c:x val="0.435656276693224"/>
              <c:y val="0.930578521434821"/>
            </c:manualLayout>
          </c:layout>
          <c:overlay val="0"/>
          <c:spPr>
            <a:noFill/>
            <a:ln w="25400">
              <a:noFill/>
            </a:ln>
          </c:spPr>
        </c:title>
        <c:numFmt formatCode="0.000_)" sourceLinked="1"/>
        <c:majorTickMark val="in"/>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145904680"/>
        <c:crosses val="autoZero"/>
        <c:crossBetween val="midCat"/>
      </c:valAx>
      <c:valAx>
        <c:axId val="2145904680"/>
        <c:scaling>
          <c:orientation val="minMax"/>
        </c:scaling>
        <c:delete val="0"/>
        <c:axPos val="l"/>
        <c:title>
          <c:tx>
            <c:rich>
              <a:bodyPr/>
              <a:lstStyle/>
              <a:p>
                <a:pPr>
                  <a:defRPr sz="1000" b="0" i="0" u="none" strike="noStrike" baseline="0">
                    <a:solidFill>
                      <a:srgbClr val="000000"/>
                    </a:solidFill>
                    <a:latin typeface="Times New Roman"/>
                    <a:ea typeface="Times New Roman"/>
                    <a:cs typeface="Times New Roman"/>
                  </a:defRPr>
                </a:pPr>
                <a:r>
                  <a:rPr lang="en-US"/>
                  <a:t>LN R/S</a:t>
                </a:r>
              </a:p>
            </c:rich>
          </c:tx>
          <c:layout>
            <c:manualLayout>
              <c:xMode val="edge"/>
              <c:yMode val="edge"/>
              <c:x val="0.0236128531270869"/>
              <c:y val="0.480991724992709"/>
            </c:manualLayout>
          </c:layout>
          <c:overlay val="0"/>
          <c:spPr>
            <a:noFill/>
            <a:ln w="25400">
              <a:noFill/>
            </a:ln>
          </c:spPr>
        </c:title>
        <c:numFmt formatCode="0.0000_)"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146208792"/>
        <c:crosses val="autoZero"/>
        <c:crossBetween val="midCat"/>
      </c:valAx>
      <c:spPr>
        <a:noFill/>
        <a:ln w="3175">
          <a:solidFill>
            <a:srgbClr val="000000"/>
          </a:solidFill>
          <a:prstDash val="solid"/>
        </a:ln>
      </c:spPr>
    </c:plotArea>
    <c:legend>
      <c:legendPos val="r"/>
      <c:layout>
        <c:manualLayout>
          <c:xMode val="edge"/>
          <c:yMode val="edge"/>
          <c:x val="0.179457360729317"/>
          <c:y val="0.61157024642753"/>
          <c:w val="0.149941263259252"/>
          <c:h val="0.175206692913386"/>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Times New Roman"/>
              <a:ea typeface="Times New Roman"/>
              <a:cs typeface="Times New Roman"/>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0" l="0.75" r="0.75" t="1.0" header="0.5" footer="0.5"/>
    <c:pageSetup orientation="landscape"/>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chart" Target="../charts/chart4.xml"/><Relationship Id="rId3"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 Id="rId2"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 Id="rId2"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 Id="rId2"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 Id="rId2"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 Id="rId2"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 Id="rId2"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1.xml"/><Relationship Id="rId2"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26.xml"/><Relationship Id="rId4" Type="http://schemas.openxmlformats.org/officeDocument/2006/relationships/chart" Target="../charts/chart27.xml"/><Relationship Id="rId1" Type="http://schemas.openxmlformats.org/officeDocument/2006/relationships/chart" Target="../charts/chart24.xml"/><Relationship Id="rId2" Type="http://schemas.openxmlformats.org/officeDocument/2006/relationships/chart" Target="../charts/chart25.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8.xml"/><Relationship Id="rId2" Type="http://schemas.openxmlformats.org/officeDocument/2006/relationships/chart" Target="../charts/chart29.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30.xml"/><Relationship Id="rId2" Type="http://schemas.openxmlformats.org/officeDocument/2006/relationships/chart" Target="../charts/chart31.xml"/><Relationship Id="rId3"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4</xdr:col>
      <xdr:colOff>47625</xdr:colOff>
      <xdr:row>11</xdr:row>
      <xdr:rowOff>28575</xdr:rowOff>
    </xdr:from>
    <xdr:to>
      <xdr:col>7</xdr:col>
      <xdr:colOff>390525</xdr:colOff>
      <xdr:row>11</xdr:row>
      <xdr:rowOff>317500</xdr:rowOff>
    </xdr:to>
    <xdr:sp macro="" textlink="">
      <xdr:nvSpPr>
        <xdr:cNvPr id="2" name="AutoShape 7"/>
        <xdr:cNvSpPr>
          <a:spLocks noChangeArrowheads="1"/>
        </xdr:cNvSpPr>
      </xdr:nvSpPr>
      <xdr:spPr bwMode="auto">
        <a:xfrm rot="10800000">
          <a:off x="4152900" y="2238375"/>
          <a:ext cx="2628900" cy="288925"/>
        </a:xfrm>
        <a:prstGeom prst="rightArrow">
          <a:avLst>
            <a:gd name="adj1" fmla="val 50000"/>
            <a:gd name="adj2" fmla="val 53750"/>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9525">
          <a:noFill/>
          <a:miter lim="800000"/>
          <a:headEnd/>
          <a:tailEnd/>
        </a:ln>
        <a:effectLst>
          <a:glow rad="228600">
            <a:schemeClr val="accent2">
              <a:satMod val="175000"/>
              <a:alpha val="40000"/>
            </a:schemeClr>
          </a:glow>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txBody>
        <a:bodyPr/>
        <a:lstStyle/>
        <a:p>
          <a:endParaRPr lang="en-US"/>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533400</xdr:colOff>
      <xdr:row>5</xdr:row>
      <xdr:rowOff>609600</xdr:rowOff>
    </xdr:from>
    <xdr:to>
      <xdr:col>20</xdr:col>
      <xdr:colOff>438150</xdr:colOff>
      <xdr:row>26</xdr:row>
      <xdr:rowOff>133350</xdr:rowOff>
    </xdr:to>
    <xdr:graphicFrame macro="">
      <xdr:nvGraphicFramePr>
        <xdr:cNvPr id="421109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571500</xdr:colOff>
      <xdr:row>26</xdr:row>
      <xdr:rowOff>142875</xdr:rowOff>
    </xdr:from>
    <xdr:to>
      <xdr:col>20</xdr:col>
      <xdr:colOff>466725</xdr:colOff>
      <xdr:row>51</xdr:row>
      <xdr:rowOff>180975</xdr:rowOff>
    </xdr:to>
    <xdr:graphicFrame macro="">
      <xdr:nvGraphicFramePr>
        <xdr:cNvPr id="421109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600075</xdr:colOff>
      <xdr:row>7</xdr:row>
      <xdr:rowOff>47625</xdr:rowOff>
    </xdr:from>
    <xdr:to>
      <xdr:col>17</xdr:col>
      <xdr:colOff>676275</xdr:colOff>
      <xdr:row>22</xdr:row>
      <xdr:rowOff>171450</xdr:rowOff>
    </xdr:to>
    <xdr:graphicFrame macro="">
      <xdr:nvGraphicFramePr>
        <xdr:cNvPr id="836518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619124</xdr:colOff>
      <xdr:row>22</xdr:row>
      <xdr:rowOff>161924</xdr:rowOff>
    </xdr:from>
    <xdr:to>
      <xdr:col>20</xdr:col>
      <xdr:colOff>88899</xdr:colOff>
      <xdr:row>43</xdr:row>
      <xdr:rowOff>126999</xdr:rowOff>
    </xdr:to>
    <xdr:graphicFrame macro="">
      <xdr:nvGraphicFramePr>
        <xdr:cNvPr id="836518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361950</xdr:colOff>
      <xdr:row>7</xdr:row>
      <xdr:rowOff>85725</xdr:rowOff>
    </xdr:from>
    <xdr:to>
      <xdr:col>25</xdr:col>
      <xdr:colOff>219075</xdr:colOff>
      <xdr:row>23</xdr:row>
      <xdr:rowOff>19050</xdr:rowOff>
    </xdr:to>
    <xdr:graphicFrame macro="">
      <xdr:nvGraphicFramePr>
        <xdr:cNvPr id="8365188"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361950</xdr:colOff>
      <xdr:row>6</xdr:row>
      <xdr:rowOff>133350</xdr:rowOff>
    </xdr:from>
    <xdr:to>
      <xdr:col>18</xdr:col>
      <xdr:colOff>438150</xdr:colOff>
      <xdr:row>22</xdr:row>
      <xdr:rowOff>57150</xdr:rowOff>
    </xdr:to>
    <xdr:graphicFrame macro="">
      <xdr:nvGraphicFramePr>
        <xdr:cNvPr id="715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457200</xdr:colOff>
      <xdr:row>22</xdr:row>
      <xdr:rowOff>95250</xdr:rowOff>
    </xdr:from>
    <xdr:to>
      <xdr:col>26</xdr:col>
      <xdr:colOff>723900</xdr:colOff>
      <xdr:row>54</xdr:row>
      <xdr:rowOff>171450</xdr:rowOff>
    </xdr:to>
    <xdr:graphicFrame macro="">
      <xdr:nvGraphicFramePr>
        <xdr:cNvPr id="715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561975</xdr:colOff>
      <xdr:row>4</xdr:row>
      <xdr:rowOff>38100</xdr:rowOff>
    </xdr:from>
    <xdr:to>
      <xdr:col>27</xdr:col>
      <xdr:colOff>409575</xdr:colOff>
      <xdr:row>22</xdr:row>
      <xdr:rowOff>9525</xdr:rowOff>
    </xdr:to>
    <xdr:graphicFrame macro="">
      <xdr:nvGraphicFramePr>
        <xdr:cNvPr id="715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533400</xdr:colOff>
      <xdr:row>5</xdr:row>
      <xdr:rowOff>609600</xdr:rowOff>
    </xdr:from>
    <xdr:to>
      <xdr:col>21</xdr:col>
      <xdr:colOff>438150</xdr:colOff>
      <xdr:row>26</xdr:row>
      <xdr:rowOff>133350</xdr:rowOff>
    </xdr:to>
    <xdr:graphicFrame macro="">
      <xdr:nvGraphicFramePr>
        <xdr:cNvPr id="839688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571500</xdr:colOff>
      <xdr:row>26</xdr:row>
      <xdr:rowOff>142875</xdr:rowOff>
    </xdr:from>
    <xdr:to>
      <xdr:col>21</xdr:col>
      <xdr:colOff>466725</xdr:colOff>
      <xdr:row>52</xdr:row>
      <xdr:rowOff>180975</xdr:rowOff>
    </xdr:to>
    <xdr:graphicFrame macro="">
      <xdr:nvGraphicFramePr>
        <xdr:cNvPr id="839688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60</xdr:row>
      <xdr:rowOff>514350</xdr:rowOff>
    </xdr:from>
    <xdr:to>
      <xdr:col>13</xdr:col>
      <xdr:colOff>774700</xdr:colOff>
      <xdr:row>70</xdr:row>
      <xdr:rowOff>228600</xdr:rowOff>
    </xdr:to>
    <xdr:sp macro="" textlink="">
      <xdr:nvSpPr>
        <xdr:cNvPr id="7482592" name="AutoShape 7"/>
        <xdr:cNvSpPr>
          <a:spLocks noChangeArrowheads="1"/>
        </xdr:cNvSpPr>
      </xdr:nvSpPr>
      <xdr:spPr bwMode="auto">
        <a:xfrm>
          <a:off x="13427075" y="13125450"/>
          <a:ext cx="669925" cy="1365250"/>
        </a:xfrm>
        <a:prstGeom prst="rightArrow">
          <a:avLst>
            <a:gd name="adj1" fmla="val 50000"/>
            <a:gd name="adj2" fmla="val 52759"/>
          </a:avLst>
        </a:prstGeom>
        <a:solidFill>
          <a:srgbClr val="333333"/>
        </a:solidFill>
        <a:ln w="9525">
          <a:solidFill>
            <a:srgbClr val="000000"/>
          </a:solidFill>
          <a:miter lim="800000"/>
          <a:headEnd/>
          <a:tailEnd/>
        </a:ln>
      </xdr:spPr>
    </xdr:sp>
    <xdr:clientData/>
  </xdr:twoCellAnchor>
  <xdr:twoCellAnchor>
    <xdr:from>
      <xdr:col>1</xdr:col>
      <xdr:colOff>323850</xdr:colOff>
      <xdr:row>70</xdr:row>
      <xdr:rowOff>1562100</xdr:rowOff>
    </xdr:from>
    <xdr:to>
      <xdr:col>13</xdr:col>
      <xdr:colOff>276225</xdr:colOff>
      <xdr:row>91</xdr:row>
      <xdr:rowOff>161925</xdr:rowOff>
    </xdr:to>
    <xdr:graphicFrame macro="">
      <xdr:nvGraphicFramePr>
        <xdr:cNvPr id="7482593"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361950</xdr:colOff>
      <xdr:row>91</xdr:row>
      <xdr:rowOff>161925</xdr:rowOff>
    </xdr:from>
    <xdr:to>
      <xdr:col>13</xdr:col>
      <xdr:colOff>295275</xdr:colOff>
      <xdr:row>114</xdr:row>
      <xdr:rowOff>38100</xdr:rowOff>
    </xdr:to>
    <xdr:graphicFrame macro="">
      <xdr:nvGraphicFramePr>
        <xdr:cNvPr id="7482594"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1365250</xdr:colOff>
      <xdr:row>22</xdr:row>
      <xdr:rowOff>282576</xdr:rowOff>
    </xdr:from>
    <xdr:to>
      <xdr:col>9</xdr:col>
      <xdr:colOff>1377950</xdr:colOff>
      <xdr:row>31</xdr:row>
      <xdr:rowOff>247650</xdr:rowOff>
    </xdr:to>
    <xdr:sp macro="" textlink="">
      <xdr:nvSpPr>
        <xdr:cNvPr id="8195" name="Text Box 3"/>
        <xdr:cNvSpPr txBox="1">
          <a:spLocks noChangeArrowheads="1"/>
        </xdr:cNvSpPr>
      </xdr:nvSpPr>
      <xdr:spPr bwMode="auto">
        <a:xfrm>
          <a:off x="7518400" y="6950076"/>
          <a:ext cx="7346950" cy="2708274"/>
        </a:xfrm>
        <a:prstGeom prst="rect">
          <a:avLst/>
        </a:prstGeom>
        <a:solidFill>
          <a:srgbClr val="FFFFFF"/>
        </a:solidFill>
        <a:ln w="9525">
          <a:solidFill>
            <a:srgbClr val="000000"/>
          </a:solidFill>
          <a:miter lim="800000"/>
          <a:headEnd/>
          <a:tailEnd/>
        </a:ln>
      </xdr:spPr>
      <xdr:txBody>
        <a:bodyPr vertOverflow="clip" wrap="square" lIns="45720" tIns="41148" rIns="0" bIns="0" anchor="t" upright="1"/>
        <a:lstStyle/>
        <a:p>
          <a:pPr algn="l" rtl="0">
            <a:defRPr sz="1000"/>
          </a:pPr>
          <a:r>
            <a:rPr lang="en-US" sz="2200" b="0" i="0" u="none" strike="noStrike" baseline="0">
              <a:solidFill>
                <a:srgbClr val="000000"/>
              </a:solidFill>
              <a:latin typeface="Times New Roman"/>
              <a:cs typeface="Times New Roman"/>
            </a:rPr>
            <a:t>TO COMPLETE THIS SHEET, SIMPLY GO TO DATA, SOLVER.    THE ONLY THING THAT NEEDS TO BE DONE IS SWITCHING THE "SET TARGET CELL:"  BETWEEN </a:t>
          </a:r>
          <a:r>
            <a:rPr lang="en-US" sz="2200" b="0" i="0" u="sng" strike="noStrike" baseline="0">
              <a:solidFill>
                <a:srgbClr val="000000"/>
              </a:solidFill>
              <a:latin typeface="Times New Roman"/>
              <a:cs typeface="Times New Roman"/>
            </a:rPr>
            <a:t>MEAN ABSOLUTE ERROR </a:t>
          </a:r>
          <a:r>
            <a:rPr lang="en-US" sz="2200" b="0" i="0" u="none" strike="noStrike" baseline="0">
              <a:solidFill>
                <a:srgbClr val="000000"/>
              </a:solidFill>
              <a:latin typeface="Times New Roman"/>
              <a:cs typeface="Times New Roman"/>
            </a:rPr>
            <a:t>AND THEN </a:t>
          </a:r>
          <a:r>
            <a:rPr lang="en-US" sz="2200" b="0" i="0" u="sng" strike="noStrike" baseline="0">
              <a:solidFill>
                <a:srgbClr val="000000"/>
              </a:solidFill>
              <a:latin typeface="Times New Roman"/>
              <a:cs typeface="Times New Roman"/>
            </a:rPr>
            <a:t>MEAN ABSOLUTE PERCENTAGE ERROR</a:t>
          </a:r>
          <a:r>
            <a:rPr lang="en-US" sz="2200" b="0" i="0" u="none" strike="noStrike" baseline="0">
              <a:solidFill>
                <a:srgbClr val="000000"/>
              </a:solidFill>
              <a:latin typeface="Times New Roman"/>
              <a:cs typeface="Times New Roman"/>
            </a:rPr>
            <a:t>.  OBTAIN FORECAST ESTIMATES USING BOTH OF THESE METHODS AND THEN PASTE THESE VALUES INTO THE 'FORECASTS SUMMARY' TAB.</a:t>
          </a:r>
        </a:p>
      </xdr:txBody>
    </xdr:sp>
    <xdr:clientData/>
  </xdr:twoCellAnchor>
  <xdr:twoCellAnchor>
    <xdr:from>
      <xdr:col>10</xdr:col>
      <xdr:colOff>581025</xdr:colOff>
      <xdr:row>6</xdr:row>
      <xdr:rowOff>276225</xdr:rowOff>
    </xdr:from>
    <xdr:to>
      <xdr:col>29</xdr:col>
      <xdr:colOff>733425</xdr:colOff>
      <xdr:row>31</xdr:row>
      <xdr:rowOff>238125</xdr:rowOff>
    </xdr:to>
    <xdr:graphicFrame macro="">
      <xdr:nvGraphicFramePr>
        <xdr:cNvPr id="929284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37</xdr:row>
      <xdr:rowOff>0</xdr:rowOff>
    </xdr:from>
    <xdr:to>
      <xdr:col>28</xdr:col>
      <xdr:colOff>190500</xdr:colOff>
      <xdr:row>61</xdr:row>
      <xdr:rowOff>228600</xdr:rowOff>
    </xdr:to>
    <xdr:graphicFrame macro="">
      <xdr:nvGraphicFramePr>
        <xdr:cNvPr id="929284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371475</xdr:colOff>
      <xdr:row>49</xdr:row>
      <xdr:rowOff>104775</xdr:rowOff>
    </xdr:from>
    <xdr:to>
      <xdr:col>6</xdr:col>
      <xdr:colOff>762000</xdr:colOff>
      <xdr:row>67</xdr:row>
      <xdr:rowOff>76200</xdr:rowOff>
    </xdr:to>
    <xdr:sp macro="" textlink="">
      <xdr:nvSpPr>
        <xdr:cNvPr id="2" name="Text Box 3"/>
        <xdr:cNvSpPr txBox="1">
          <a:spLocks noChangeArrowheads="1"/>
        </xdr:cNvSpPr>
      </xdr:nvSpPr>
      <xdr:spPr bwMode="auto">
        <a:xfrm>
          <a:off x="371475" y="9229725"/>
          <a:ext cx="6981825" cy="3400425"/>
        </a:xfrm>
        <a:prstGeom prst="rect">
          <a:avLst/>
        </a:prstGeom>
        <a:solidFill>
          <a:srgbClr val="FFFFFF"/>
        </a:solidFill>
        <a:ln w="9525">
          <a:solidFill>
            <a:srgbClr val="000000"/>
          </a:solidFill>
          <a:miter lim="800000"/>
          <a:headEnd/>
          <a:tailEnd/>
        </a:ln>
      </xdr:spPr>
      <xdr:txBody>
        <a:bodyPr vertOverflow="clip" wrap="square" lIns="45720" tIns="41148" rIns="0" bIns="0" anchor="t" upright="1"/>
        <a:lstStyle/>
        <a:p>
          <a:pPr algn="l" rtl="0">
            <a:defRPr sz="1000"/>
          </a:pPr>
          <a:r>
            <a:rPr lang="en-US" sz="2200" b="0" i="0" u="none" strike="noStrike" baseline="0">
              <a:solidFill>
                <a:srgbClr val="000000"/>
              </a:solidFill>
              <a:latin typeface="Times New Roman"/>
              <a:cs typeface="Times New Roman"/>
            </a:rPr>
            <a:t>TO COMPLETE THIS SHEET, SIMPLY GO TO TOOLS, SOLVER.    THE ONLY THING THAT NEEDS TO BE DONE IS SWITCHING THE "SET TARGET CELL:"  BETWEEN MEAN ABSOLUTE ERROR AND THEN MEAN ABSOLUTE PERCENTAGE ERROR.  OBTAIN FORECAST ESTIMATES USING BOTH OF THESE METHODS AND THEN PASTE THESE VALUES INTO THE 'FORECASTS SUMMARY' TAB.</a:t>
          </a:r>
        </a:p>
      </xdr:txBody>
    </xdr:sp>
    <xdr:clientData/>
  </xdr:twoCellAnchor>
  <xdr:twoCellAnchor>
    <xdr:from>
      <xdr:col>11</xdr:col>
      <xdr:colOff>85725</xdr:colOff>
      <xdr:row>6</xdr:row>
      <xdr:rowOff>28575</xdr:rowOff>
    </xdr:from>
    <xdr:to>
      <xdr:col>22</xdr:col>
      <xdr:colOff>523875</xdr:colOff>
      <xdr:row>29</xdr:row>
      <xdr:rowOff>152400</xdr:rowOff>
    </xdr:to>
    <xdr:graphicFrame macro="">
      <xdr:nvGraphicFramePr>
        <xdr:cNvPr id="227820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38100</xdr:colOff>
      <xdr:row>34</xdr:row>
      <xdr:rowOff>66675</xdr:rowOff>
    </xdr:from>
    <xdr:to>
      <xdr:col>25</xdr:col>
      <xdr:colOff>495300</xdr:colOff>
      <xdr:row>60</xdr:row>
      <xdr:rowOff>123825</xdr:rowOff>
    </xdr:to>
    <xdr:graphicFrame macro="">
      <xdr:nvGraphicFramePr>
        <xdr:cNvPr id="227820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54</xdr:row>
      <xdr:rowOff>155575</xdr:rowOff>
    </xdr:from>
    <xdr:to>
      <xdr:col>9</xdr:col>
      <xdr:colOff>409575</xdr:colOff>
      <xdr:row>63</xdr:row>
      <xdr:rowOff>95250</xdr:rowOff>
    </xdr:to>
    <xdr:sp macro="" textlink="">
      <xdr:nvSpPr>
        <xdr:cNvPr id="9219" name="Text Box 3"/>
        <xdr:cNvSpPr txBox="1">
          <a:spLocks noChangeArrowheads="1"/>
        </xdr:cNvSpPr>
      </xdr:nvSpPr>
      <xdr:spPr bwMode="auto">
        <a:xfrm>
          <a:off x="0" y="9737725"/>
          <a:ext cx="8943975" cy="1654175"/>
        </a:xfrm>
        <a:prstGeom prst="rect">
          <a:avLst/>
        </a:prstGeom>
        <a:solidFill>
          <a:srgbClr val="FFFFFF"/>
        </a:solidFill>
        <a:ln w="9525">
          <a:solidFill>
            <a:srgbClr val="000000"/>
          </a:solidFill>
          <a:miter lim="800000"/>
          <a:headEnd/>
          <a:tailEnd/>
        </a:ln>
      </xdr:spPr>
      <xdr:txBody>
        <a:bodyPr vertOverflow="clip" wrap="square" lIns="45720" tIns="41148" rIns="0" bIns="0" anchor="t" upright="1"/>
        <a:lstStyle/>
        <a:p>
          <a:pPr algn="l" rtl="0">
            <a:lnSpc>
              <a:spcPts val="2400"/>
            </a:lnSpc>
            <a:defRPr sz="1000"/>
          </a:pPr>
          <a:r>
            <a:rPr lang="en-US" sz="2200" b="0" i="0" u="none" strike="noStrike" baseline="0">
              <a:solidFill>
                <a:srgbClr val="000000"/>
              </a:solidFill>
              <a:latin typeface="Times New Roman"/>
              <a:cs typeface="Times New Roman"/>
            </a:rPr>
            <a:t>TO COMPLETE THIS SHEET, SIMPLY GO TO DATA, SOLVER.    THE ONLY THING THAT NEEDS TO BE DONE IS SWITCHING THE "SET TARGET CELL:"  BETWEEN MEAN ABSOLUTE ERROR AND THEN MEAN ABSOLUTE PERCENTAGE ERROR.  OBTAIN FORECAST ESTIMATES USING BOTH OF THESE METHODS AND THEN PASTE THESE VALUES INTO THE 'FORECASTS SUMMARY' TAB.</a:t>
          </a:r>
        </a:p>
      </xdr:txBody>
    </xdr:sp>
    <xdr:clientData/>
  </xdr:twoCellAnchor>
  <xdr:twoCellAnchor>
    <xdr:from>
      <xdr:col>10</xdr:col>
      <xdr:colOff>438150</xdr:colOff>
      <xdr:row>10</xdr:row>
      <xdr:rowOff>161925</xdr:rowOff>
    </xdr:from>
    <xdr:to>
      <xdr:col>19</xdr:col>
      <xdr:colOff>276225</xdr:colOff>
      <xdr:row>29</xdr:row>
      <xdr:rowOff>171450</xdr:rowOff>
    </xdr:to>
    <xdr:graphicFrame macro="">
      <xdr:nvGraphicFramePr>
        <xdr:cNvPr id="929796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85725</xdr:colOff>
      <xdr:row>35</xdr:row>
      <xdr:rowOff>76200</xdr:rowOff>
    </xdr:from>
    <xdr:to>
      <xdr:col>25</xdr:col>
      <xdr:colOff>495300</xdr:colOff>
      <xdr:row>64</xdr:row>
      <xdr:rowOff>85725</xdr:rowOff>
    </xdr:to>
    <xdr:graphicFrame macro="">
      <xdr:nvGraphicFramePr>
        <xdr:cNvPr id="9297966"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8</xdr:col>
      <xdr:colOff>34925</xdr:colOff>
      <xdr:row>6</xdr:row>
      <xdr:rowOff>12700</xdr:rowOff>
    </xdr:from>
    <xdr:to>
      <xdr:col>18</xdr:col>
      <xdr:colOff>171450</xdr:colOff>
      <xdr:row>27</xdr:row>
      <xdr:rowOff>53975</xdr:rowOff>
    </xdr:to>
    <xdr:graphicFrame macro="">
      <xdr:nvGraphicFramePr>
        <xdr:cNvPr id="254926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27</xdr:row>
      <xdr:rowOff>142875</xdr:rowOff>
    </xdr:from>
    <xdr:to>
      <xdr:col>18</xdr:col>
      <xdr:colOff>123825</xdr:colOff>
      <xdr:row>48</xdr:row>
      <xdr:rowOff>180975</xdr:rowOff>
    </xdr:to>
    <xdr:graphicFrame macro="">
      <xdr:nvGraphicFramePr>
        <xdr:cNvPr id="254926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219075</xdr:colOff>
      <xdr:row>5</xdr:row>
      <xdr:rowOff>638175</xdr:rowOff>
    </xdr:from>
    <xdr:to>
      <xdr:col>18</xdr:col>
      <xdr:colOff>123825</xdr:colOff>
      <xdr:row>26</xdr:row>
      <xdr:rowOff>161925</xdr:rowOff>
    </xdr:to>
    <xdr:graphicFrame macro="">
      <xdr:nvGraphicFramePr>
        <xdr:cNvPr id="1193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219075</xdr:colOff>
      <xdr:row>27</xdr:row>
      <xdr:rowOff>0</xdr:rowOff>
    </xdr:from>
    <xdr:to>
      <xdr:col>18</xdr:col>
      <xdr:colOff>114300</xdr:colOff>
      <xdr:row>48</xdr:row>
      <xdr:rowOff>38100</xdr:rowOff>
    </xdr:to>
    <xdr:graphicFrame macro="">
      <xdr:nvGraphicFramePr>
        <xdr:cNvPr id="11939"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114300</xdr:colOff>
      <xdr:row>76</xdr:row>
      <xdr:rowOff>85725</xdr:rowOff>
    </xdr:from>
    <xdr:to>
      <xdr:col>16</xdr:col>
      <xdr:colOff>647700</xdr:colOff>
      <xdr:row>83</xdr:row>
      <xdr:rowOff>95250</xdr:rowOff>
    </xdr:to>
    <xdr:sp macro="" textlink="">
      <xdr:nvSpPr>
        <xdr:cNvPr id="1054" name="Text Box 30"/>
        <xdr:cNvSpPr txBox="1">
          <a:spLocks noChangeArrowheads="1"/>
        </xdr:cNvSpPr>
      </xdr:nvSpPr>
      <xdr:spPr bwMode="auto">
        <a:xfrm>
          <a:off x="819150" y="15449550"/>
          <a:ext cx="11391900" cy="14097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US" sz="1200" b="0" i="0" u="none" strike="noStrike" baseline="0">
              <a:solidFill>
                <a:srgbClr val="000000"/>
              </a:solidFill>
              <a:latin typeface="Times New Roman"/>
              <a:cs typeface="Times New Roman"/>
            </a:rPr>
            <a:t>Steve Moffitt 11/7/00</a:t>
          </a:r>
        </a:p>
        <a:p>
          <a:pPr algn="l" rtl="0">
            <a:defRPr sz="1000"/>
          </a:pPr>
          <a:r>
            <a:rPr lang="en-US" sz="1200" b="0" i="0" u="none" strike="noStrike" baseline="0">
              <a:solidFill>
                <a:srgbClr val="000000"/>
              </a:solidFill>
              <a:latin typeface="Times New Roman"/>
              <a:cs typeface="Times New Roman"/>
            </a:rPr>
            <a:t>Forecast to be the average harvest, 1992-2001 and the ???% Prediction interval.  This should be refered to as a prediction interval rather than a confidence interval because we are not interested in estimating a population parameter (mean), but in the prediction of a single future observation (a random variable).   The prediction interval should be interpreted to mean :  the limits within which we can say with a given degree of confidence (100(1-</a:t>
          </a:r>
          <a:r>
            <a:rPr lang="en-US" sz="1200" b="0" i="0" u="none" strike="noStrike" baseline="0">
              <a:solidFill>
                <a:srgbClr val="000000"/>
              </a:solidFill>
              <a:latin typeface="Arial MT"/>
            </a:rPr>
            <a:t> </a:t>
          </a:r>
          <a:r>
            <a:rPr lang="en-US" sz="1200" b="0" i="0" u="none" strike="noStrike" baseline="0">
              <a:solidFill>
                <a:srgbClr val="000000"/>
              </a:solidFill>
              <a:latin typeface="Symbol"/>
            </a:rPr>
            <a:t>a</a:t>
          </a:r>
          <a:r>
            <a:rPr lang="en-US" sz="1200" b="0" i="0" u="none" strike="noStrike" baseline="0">
              <a:solidFill>
                <a:srgbClr val="000000"/>
              </a:solidFill>
              <a:latin typeface="Times New Roman"/>
              <a:cs typeface="Times New Roman"/>
            </a:rPr>
            <a:t>)% confidence) that they will contain a future observation ; or if we add new observations (new harvest totals)  and recalculate the prediction interval,  in the long run the resulting intervals will contain the future values 100(1- </a:t>
          </a:r>
          <a:r>
            <a:rPr lang="en-US" sz="1200" b="0" i="0" u="none" strike="noStrike" baseline="0">
              <a:solidFill>
                <a:srgbClr val="000000"/>
              </a:solidFill>
              <a:latin typeface="Symbol"/>
            </a:rPr>
            <a:t>a</a:t>
          </a:r>
          <a:r>
            <a:rPr lang="en-US" sz="1200" b="0" i="0" u="none" strike="noStrike" baseline="0">
              <a:solidFill>
                <a:srgbClr val="000000"/>
              </a:solidFill>
              <a:latin typeface="Times New Roman"/>
              <a:cs typeface="Times New Roman"/>
            </a:rPr>
            <a:t>)% of the time.</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0" i="0" u="none" strike="noStrike" baseline="0">
              <a:solidFill>
                <a:srgbClr val="000000"/>
              </a:solidFill>
              <a:latin typeface="Times New Roman"/>
              <a:cs typeface="Times New Roman"/>
            </a:rPr>
            <a:t>See Devore pg 482 or Freund pg 420 for explanation of prediction intervals in a linear regression context.</a:t>
          </a:r>
        </a:p>
      </xdr:txBody>
    </xdr:sp>
    <xdr:clientData fPrintsWithSheet="0"/>
  </xdr:twoCellAnchor>
  <xdr:twoCellAnchor>
    <xdr:from>
      <xdr:col>3</xdr:col>
      <xdr:colOff>114300</xdr:colOff>
      <xdr:row>63</xdr:row>
      <xdr:rowOff>152400</xdr:rowOff>
    </xdr:from>
    <xdr:to>
      <xdr:col>5</xdr:col>
      <xdr:colOff>409575</xdr:colOff>
      <xdr:row>76</xdr:row>
      <xdr:rowOff>142875</xdr:rowOff>
    </xdr:to>
    <xdr:sp macro="" textlink="">
      <xdr:nvSpPr>
        <xdr:cNvPr id="7384301" name="Line 31"/>
        <xdr:cNvSpPr>
          <a:spLocks noChangeShapeType="1"/>
        </xdr:cNvSpPr>
      </xdr:nvSpPr>
      <xdr:spPr bwMode="auto">
        <a:xfrm flipH="1" flipV="1">
          <a:off x="2276475" y="12868275"/>
          <a:ext cx="1762125" cy="26384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fPrintsWithSheet="0"/>
  </xdr:twoCellAnchor>
  <xdr:twoCellAnchor>
    <xdr:from>
      <xdr:col>18</xdr:col>
      <xdr:colOff>628650</xdr:colOff>
      <xdr:row>41</xdr:row>
      <xdr:rowOff>28575</xdr:rowOff>
    </xdr:from>
    <xdr:to>
      <xdr:col>31</xdr:col>
      <xdr:colOff>228600</xdr:colOff>
      <xdr:row>75</xdr:row>
      <xdr:rowOff>133350</xdr:rowOff>
    </xdr:to>
    <xdr:graphicFrame macro="">
      <xdr:nvGraphicFramePr>
        <xdr:cNvPr id="7384302"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171450</xdr:rowOff>
    </xdr:from>
    <xdr:to>
      <xdr:col>11</xdr:col>
      <xdr:colOff>581025</xdr:colOff>
      <xdr:row>34</xdr:row>
      <xdr:rowOff>142875</xdr:rowOff>
    </xdr:to>
    <xdr:graphicFrame macro="">
      <xdr:nvGraphicFramePr>
        <xdr:cNvPr id="5422679"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38</xdr:row>
      <xdr:rowOff>66675</xdr:rowOff>
    </xdr:from>
    <xdr:to>
      <xdr:col>7</xdr:col>
      <xdr:colOff>723900</xdr:colOff>
      <xdr:row>61</xdr:row>
      <xdr:rowOff>28575</xdr:rowOff>
    </xdr:to>
    <xdr:graphicFrame macro="">
      <xdr:nvGraphicFramePr>
        <xdr:cNvPr id="5422680"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152400</xdr:colOff>
      <xdr:row>62</xdr:row>
      <xdr:rowOff>114300</xdr:rowOff>
    </xdr:from>
    <xdr:to>
      <xdr:col>15</xdr:col>
      <xdr:colOff>295275</xdr:colOff>
      <xdr:row>97</xdr:row>
      <xdr:rowOff>85725</xdr:rowOff>
    </xdr:to>
    <xdr:graphicFrame macro="">
      <xdr:nvGraphicFramePr>
        <xdr:cNvPr id="542268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142875</xdr:colOff>
      <xdr:row>38</xdr:row>
      <xdr:rowOff>85725</xdr:rowOff>
    </xdr:from>
    <xdr:to>
      <xdr:col>15</xdr:col>
      <xdr:colOff>447675</xdr:colOff>
      <xdr:row>61</xdr:row>
      <xdr:rowOff>28575</xdr:rowOff>
    </xdr:to>
    <xdr:graphicFrame macro="">
      <xdr:nvGraphicFramePr>
        <xdr:cNvPr id="542268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18</xdr:col>
      <xdr:colOff>781050</xdr:colOff>
      <xdr:row>43</xdr:row>
      <xdr:rowOff>171450</xdr:rowOff>
    </xdr:from>
    <xdr:to>
      <xdr:col>31</xdr:col>
      <xdr:colOff>800100</xdr:colOff>
      <xdr:row>67</xdr:row>
      <xdr:rowOff>152400</xdr:rowOff>
    </xdr:to>
    <xdr:graphicFrame macro="">
      <xdr:nvGraphicFramePr>
        <xdr:cNvPr id="286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44</xdr:row>
      <xdr:rowOff>19050</xdr:rowOff>
    </xdr:from>
    <xdr:to>
      <xdr:col>12</xdr:col>
      <xdr:colOff>57150</xdr:colOff>
      <xdr:row>62</xdr:row>
      <xdr:rowOff>104775</xdr:rowOff>
    </xdr:to>
    <xdr:graphicFrame macro="">
      <xdr:nvGraphicFramePr>
        <xdr:cNvPr id="2869"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161925</xdr:colOff>
      <xdr:row>38</xdr:row>
      <xdr:rowOff>38100</xdr:rowOff>
    </xdr:from>
    <xdr:to>
      <xdr:col>7</xdr:col>
      <xdr:colOff>542925</xdr:colOff>
      <xdr:row>56</xdr:row>
      <xdr:rowOff>123825</xdr:rowOff>
    </xdr:to>
    <xdr:graphicFrame macro="">
      <xdr:nvGraphicFramePr>
        <xdr:cNvPr id="780819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161925</xdr:colOff>
      <xdr:row>38</xdr:row>
      <xdr:rowOff>38100</xdr:rowOff>
    </xdr:from>
    <xdr:to>
      <xdr:col>17</xdr:col>
      <xdr:colOff>542925</xdr:colOff>
      <xdr:row>56</xdr:row>
      <xdr:rowOff>123825</xdr:rowOff>
    </xdr:to>
    <xdr:graphicFrame macro="">
      <xdr:nvGraphicFramePr>
        <xdr:cNvPr id="780819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161925</xdr:colOff>
      <xdr:row>38</xdr:row>
      <xdr:rowOff>38100</xdr:rowOff>
    </xdr:from>
    <xdr:to>
      <xdr:col>27</xdr:col>
      <xdr:colOff>542925</xdr:colOff>
      <xdr:row>65</xdr:row>
      <xdr:rowOff>123825</xdr:rowOff>
    </xdr:to>
    <xdr:graphicFrame macro="">
      <xdr:nvGraphicFramePr>
        <xdr:cNvPr id="780819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9.vml"/><Relationship Id="rId3"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 Id="rId2" Type="http://schemas.openxmlformats.org/officeDocument/2006/relationships/vmlDrawing" Target="../drawings/vmlDrawing11.vml"/><Relationship Id="rId3"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 Id="rId2" Type="http://schemas.openxmlformats.org/officeDocument/2006/relationships/vmlDrawing" Target="../drawings/vmlDrawing12.vml"/><Relationship Id="rId3"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 Id="rId2" Type="http://schemas.openxmlformats.org/officeDocument/2006/relationships/vmlDrawing" Target="../drawings/vmlDrawing13.vml"/><Relationship Id="rId3"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 Id="rId2" Type="http://schemas.openxmlformats.org/officeDocument/2006/relationships/vmlDrawing" Target="../drawings/vmlDrawing14.vml"/><Relationship Id="rId3"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 Id="rId2" Type="http://schemas.openxmlformats.org/officeDocument/2006/relationships/vmlDrawing" Target="../drawings/vmlDrawing15.vml"/><Relationship Id="rId3" Type="http://schemas.openxmlformats.org/officeDocument/2006/relationships/comments" Target="../comments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0.xml"/><Relationship Id="rId2" Type="http://schemas.openxmlformats.org/officeDocument/2006/relationships/vmlDrawing" Target="../drawings/vmlDrawing16.vml"/><Relationship Id="rId3" Type="http://schemas.openxmlformats.org/officeDocument/2006/relationships/comments" Target="../comments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1.xml"/><Relationship Id="rId2" Type="http://schemas.openxmlformats.org/officeDocument/2006/relationships/vmlDrawing" Target="../drawings/vmlDrawing17.vml"/><Relationship Id="rId3" Type="http://schemas.openxmlformats.org/officeDocument/2006/relationships/comments" Target="../comments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2.xml"/><Relationship Id="rId2" Type="http://schemas.openxmlformats.org/officeDocument/2006/relationships/vmlDrawing" Target="../drawings/vmlDrawing18.vml"/><Relationship Id="rId3" Type="http://schemas.openxmlformats.org/officeDocument/2006/relationships/comments" Target="../comments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tabColor rgb="FF00B050"/>
  </sheetPr>
  <dimension ref="A1:I71"/>
  <sheetViews>
    <sheetView workbookViewId="0">
      <selection activeCell="F13" sqref="F13"/>
    </sheetView>
  </sheetViews>
  <sheetFormatPr baseColWidth="10" defaultColWidth="8.625" defaultRowHeight="16" x14ac:dyDescent="0"/>
  <cols>
    <col min="3" max="3" width="21.125" customWidth="1"/>
  </cols>
  <sheetData>
    <row r="1" spans="1:9">
      <c r="A1" s="46" t="s">
        <v>391</v>
      </c>
    </row>
    <row r="2" spans="1:9">
      <c r="A2" s="46" t="s">
        <v>200</v>
      </c>
    </row>
    <row r="3" spans="1:9">
      <c r="A3" s="46"/>
    </row>
    <row r="4" spans="1:9" s="46" customFormat="1">
      <c r="A4" s="46" t="s">
        <v>199</v>
      </c>
    </row>
    <row r="6" spans="1:9">
      <c r="A6" s="257" t="s">
        <v>202</v>
      </c>
      <c r="B6" s="257"/>
      <c r="C6" s="257"/>
      <c r="D6" s="257"/>
      <c r="E6" s="257"/>
      <c r="F6" s="257"/>
      <c r="G6" s="257"/>
      <c r="H6" s="257"/>
      <c r="I6" s="257"/>
    </row>
    <row r="7" spans="1:9">
      <c r="A7" s="256" t="str">
        <f>"Tabs in RED were not used to generate a forecast for " &amp; Forecast_Year &amp;". I apologize to anyone who is colorblind."</f>
        <v>Tabs in RED were not used to generate a forecast for 2015. I apologize to anyone who is colorblind.</v>
      </c>
      <c r="B7" s="256"/>
      <c r="C7" s="256"/>
      <c r="D7" s="256"/>
      <c r="E7" s="256"/>
      <c r="F7" s="256"/>
      <c r="G7" s="256"/>
      <c r="H7" s="256"/>
      <c r="I7" s="256"/>
    </row>
    <row r="8" spans="1:9" s="939" customFormat="1"/>
    <row r="9" spans="1:9">
      <c r="A9" s="46" t="s">
        <v>373</v>
      </c>
    </row>
    <row r="10" spans="1:9">
      <c r="A10" s="46"/>
      <c r="B10" t="s">
        <v>374</v>
      </c>
    </row>
    <row r="11" spans="1:9" ht="17" thickBot="1">
      <c r="A11" s="46"/>
    </row>
    <row r="12" spans="1:9" ht="27" thickBot="1">
      <c r="A12" s="46"/>
      <c r="B12" s="940" t="s">
        <v>372</v>
      </c>
      <c r="D12" s="918">
        <v>2015</v>
      </c>
    </row>
    <row r="13" spans="1:9">
      <c r="A13" s="46"/>
    </row>
    <row r="14" spans="1:9">
      <c r="A14" s="46"/>
    </row>
    <row r="15" spans="1:9">
      <c r="A15" s="46" t="s">
        <v>367</v>
      </c>
    </row>
    <row r="18" spans="2:2"/>
    <row r="36" spans="1:4">
      <c r="A36" t="s">
        <v>201</v>
      </c>
    </row>
    <row r="37" spans="1:4">
      <c r="A37" t="s">
        <v>203</v>
      </c>
    </row>
    <row r="38" spans="1:4">
      <c r="B38" t="s">
        <v>204</v>
      </c>
    </row>
    <row r="41" spans="1:4">
      <c r="A41" t="s">
        <v>228</v>
      </c>
    </row>
    <row r="42" spans="1:4">
      <c r="A42" t="s">
        <v>230</v>
      </c>
    </row>
    <row r="43" spans="1:4">
      <c r="B43" t="s">
        <v>210</v>
      </c>
    </row>
    <row r="44" spans="1:4">
      <c r="A44" t="s">
        <v>229</v>
      </c>
    </row>
    <row r="47" spans="1:4">
      <c r="B47" s="300"/>
    </row>
    <row r="48" spans="1:4">
      <c r="B48" s="300"/>
    </row>
    <row r="49" spans="2:2">
      <c r="B49" s="300"/>
    </row>
    <row r="50" spans="2:2">
      <c r="B50" s="300"/>
    </row>
    <row r="51" spans="2:2">
      <c r="B51" s="300"/>
    </row>
    <row r="52" spans="2:2">
      <c r="B52" s="300"/>
    </row>
    <row r="53" spans="2:2">
      <c r="B53" s="300"/>
    </row>
    <row r="54" spans="2:2">
      <c r="B54" s="300"/>
    </row>
    <row r="55" spans="2:2">
      <c r="B55" s="300"/>
    </row>
    <row r="56" spans="2:2">
      <c r="B56" s="300"/>
    </row>
    <row r="57" spans="2:2">
      <c r="B57" s="300"/>
    </row>
    <row r="58" spans="2:2">
      <c r="B58" s="300"/>
    </row>
    <row r="59" spans="2:2">
      <c r="B59" s="300"/>
    </row>
    <row r="60" spans="2:2">
      <c r="B60" s="300"/>
    </row>
    <row r="61" spans="2:2">
      <c r="B61" s="300"/>
    </row>
    <row r="62" spans="2:2">
      <c r="B62" s="300"/>
    </row>
    <row r="63" spans="2:2">
      <c r="B63" s="300"/>
    </row>
    <row r="64" spans="2:2">
      <c r="B64" s="300"/>
    </row>
    <row r="65" spans="2:2">
      <c r="B65" s="300"/>
    </row>
    <row r="66" spans="2:2">
      <c r="B66" s="300"/>
    </row>
    <row r="67" spans="2:2">
      <c r="B67" s="300"/>
    </row>
    <row r="68" spans="2:2">
      <c r="B68" s="300"/>
    </row>
    <row r="69" spans="2:2">
      <c r="B69" s="300"/>
    </row>
    <row r="70" spans="2:2">
      <c r="B70" s="300"/>
    </row>
    <row r="71" spans="2:2">
      <c r="B71" s="300"/>
    </row>
  </sheetData>
  <phoneticPr fontId="23"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00B050"/>
  </sheetPr>
  <dimension ref="A1:AD179"/>
  <sheetViews>
    <sheetView tabSelected="1" zoomScale="85" zoomScaleNormal="85" zoomScalePageLayoutView="85" workbookViewId="0">
      <pane ySplit="9" topLeftCell="A82" activePane="bottomLeft" state="frozen"/>
      <selection pane="bottomLeft" activeCell="L82" sqref="L82:L128"/>
    </sheetView>
  </sheetViews>
  <sheetFormatPr baseColWidth="10" defaultColWidth="8.875" defaultRowHeight="16" x14ac:dyDescent="0"/>
  <cols>
    <col min="1" max="1" width="7.125" style="356" customWidth="1"/>
    <col min="2" max="2" width="6.625" style="356" customWidth="1"/>
    <col min="3" max="3" width="11.5" style="356" customWidth="1"/>
    <col min="4" max="4" width="9" style="356" customWidth="1"/>
    <col min="5" max="5" width="21.5" style="356" customWidth="1"/>
    <col min="6" max="6" width="13.375" style="356" customWidth="1"/>
    <col min="7" max="7" width="12.125" style="356" customWidth="1"/>
    <col min="8" max="8" width="11.125" style="356" customWidth="1"/>
    <col min="9" max="9" width="1.875" style="356" customWidth="1"/>
    <col min="10" max="10" width="12.875" style="356" customWidth="1"/>
    <col min="11" max="11" width="10.875" style="356" customWidth="1"/>
    <col min="12" max="12" width="18" style="356" customWidth="1"/>
    <col min="13" max="13" width="12.125" style="356" customWidth="1"/>
    <col min="14" max="14" width="8.875" style="356"/>
    <col min="15" max="15" width="16.125" style="356" customWidth="1"/>
    <col min="16" max="16" width="11.625" style="356" customWidth="1"/>
    <col min="17" max="17" width="13.125" style="356" customWidth="1"/>
    <col min="18" max="19" width="8.875" style="356"/>
    <col min="20" max="20" width="11.875" style="356" customWidth="1"/>
    <col min="21" max="21" width="8.875" style="356"/>
    <col min="22" max="22" width="12" style="356" customWidth="1"/>
    <col min="23" max="23" width="14.125" style="356" customWidth="1"/>
    <col min="24" max="26" width="8.875" style="356"/>
    <col min="27" max="28" width="11.125" style="356" customWidth="1"/>
    <col min="29" max="16384" width="8.875" style="356"/>
  </cols>
  <sheetData>
    <row r="1" spans="1:26">
      <c r="A1" s="355" t="str">
        <f ca="1">CELL("filename",A1)</f>
        <v>NWCLM04072996:Users:eric.ward:Documents:NCEAS-covariation:data:salmon data:[2015_PWS_Pink_Wild_forecast-FINAL.xlsm]Database</v>
      </c>
    </row>
    <row r="2" spans="1:26" ht="61.5" customHeight="1">
      <c r="A2" s="355"/>
      <c r="D2" s="917"/>
      <c r="F2" s="919"/>
      <c r="G2" s="1035">
        <f>Forecast_Year</f>
        <v>2015</v>
      </c>
    </row>
    <row r="3" spans="1:26" ht="21">
      <c r="A3" s="1036" t="str">
        <f>"Estimated WILD pink salmon forecasts and actual total run to Prince William Sound, 1960-" &amp;(G2-1)</f>
        <v>Estimated WILD pink salmon forecasts and actual total run to Prince William Sound, 1960-2014</v>
      </c>
    </row>
    <row r="4" spans="1:26" ht="17" thickBot="1">
      <c r="A4" s="893">
        <v>1</v>
      </c>
      <c r="B4" s="893">
        <v>2</v>
      </c>
      <c r="C4" s="893">
        <v>3</v>
      </c>
      <c r="D4" s="893">
        <v>4</v>
      </c>
      <c r="E4" s="893">
        <v>5</v>
      </c>
      <c r="F4" s="893">
        <v>6</v>
      </c>
      <c r="G4" s="893">
        <v>7</v>
      </c>
      <c r="H4" s="893">
        <v>8</v>
      </c>
      <c r="I4" s="893">
        <v>9</v>
      </c>
      <c r="J4" s="893">
        <v>10</v>
      </c>
      <c r="K4" s="893">
        <v>11</v>
      </c>
      <c r="L4" s="893">
        <v>12</v>
      </c>
      <c r="M4" s="893">
        <v>13</v>
      </c>
      <c r="N4" s="893">
        <v>14</v>
      </c>
      <c r="O4" s="893">
        <v>15</v>
      </c>
      <c r="P4" s="893">
        <v>16</v>
      </c>
      <c r="Q4" s="893">
        <v>17</v>
      </c>
      <c r="R4" s="893">
        <v>18</v>
      </c>
      <c r="S4" s="893">
        <v>19</v>
      </c>
      <c r="T4" s="893">
        <v>20</v>
      </c>
    </row>
    <row r="5" spans="1:26" ht="17" thickBot="1">
      <c r="A5" s="360"/>
      <c r="B5" s="360"/>
      <c r="C5" s="360"/>
      <c r="D5" s="426"/>
      <c r="E5" s="390"/>
      <c r="F5" s="391" t="s">
        <v>264</v>
      </c>
      <c r="G5" s="392">
        <v>0.436</v>
      </c>
      <c r="H5" s="415"/>
      <c r="I5" s="393"/>
      <c r="J5" s="393"/>
      <c r="K5" s="360"/>
    </row>
    <row r="6" spans="1:26" ht="17" thickBot="1">
      <c r="A6" s="360"/>
      <c r="B6" s="360"/>
      <c r="C6" s="360"/>
      <c r="D6" s="407"/>
      <c r="E6" s="408"/>
      <c r="F6" s="409"/>
      <c r="G6" s="427" t="s">
        <v>271</v>
      </c>
      <c r="H6" s="425">
        <v>0.8</v>
      </c>
      <c r="I6" s="393"/>
      <c r="J6" s="393"/>
      <c r="K6" s="360"/>
    </row>
    <row r="7" spans="1:26" ht="26" thickBot="1">
      <c r="A7" s="358"/>
      <c r="B7" s="361"/>
      <c r="C7" s="389" t="s">
        <v>392</v>
      </c>
      <c r="D7" s="389"/>
      <c r="E7" s="389"/>
      <c r="F7" s="389"/>
      <c r="G7" s="389"/>
      <c r="H7" s="389"/>
      <c r="I7" s="389"/>
      <c r="J7" s="389"/>
      <c r="K7" s="389"/>
    </row>
    <row r="8" spans="1:26">
      <c r="A8" s="413"/>
      <c r="B8" s="364"/>
      <c r="C8" s="357" t="s">
        <v>268</v>
      </c>
      <c r="D8" s="394"/>
      <c r="E8" s="394"/>
      <c r="F8" s="389" t="s">
        <v>393</v>
      </c>
      <c r="G8" s="359"/>
      <c r="H8" s="422"/>
      <c r="I8" s="382"/>
      <c r="J8" s="639" t="s">
        <v>405</v>
      </c>
      <c r="K8" s="640"/>
      <c r="L8" s="424"/>
      <c r="O8" s="898" t="s">
        <v>364</v>
      </c>
      <c r="P8" s="415"/>
    </row>
    <row r="9" spans="1:26" ht="97" thickBot="1">
      <c r="A9" s="668" t="s">
        <v>268</v>
      </c>
      <c r="B9" s="669" t="s">
        <v>303</v>
      </c>
      <c r="C9" s="372" t="s">
        <v>190</v>
      </c>
      <c r="D9" s="362" t="s">
        <v>191</v>
      </c>
      <c r="E9" s="1051" t="s">
        <v>383</v>
      </c>
      <c r="F9" s="1079" t="s">
        <v>382</v>
      </c>
      <c r="G9" s="428" t="s">
        <v>420</v>
      </c>
      <c r="H9" s="429" t="s">
        <v>273</v>
      </c>
      <c r="I9" s="362"/>
      <c r="J9" s="479" t="s">
        <v>278</v>
      </c>
      <c r="K9" s="479" t="s">
        <v>270</v>
      </c>
      <c r="L9" s="892" t="s">
        <v>272</v>
      </c>
      <c r="N9" s="742" t="s">
        <v>331</v>
      </c>
      <c r="O9" s="899" t="s">
        <v>257</v>
      </c>
      <c r="P9" s="900" t="s">
        <v>365</v>
      </c>
      <c r="Q9" s="1034"/>
      <c r="S9" s="363" t="s">
        <v>16</v>
      </c>
      <c r="T9" s="1034" t="s">
        <v>381</v>
      </c>
      <c r="U9" s="363" t="s">
        <v>16</v>
      </c>
      <c r="V9" s="1034" t="s">
        <v>381</v>
      </c>
      <c r="W9" s="363" t="s">
        <v>259</v>
      </c>
      <c r="X9" s="356" t="s">
        <v>234</v>
      </c>
      <c r="Z9" s="356" t="s">
        <v>16</v>
      </c>
    </row>
    <row r="10" spans="1:26">
      <c r="A10" s="363">
        <v>1896</v>
      </c>
      <c r="B10" s="1130"/>
      <c r="C10" s="1129">
        <v>308180</v>
      </c>
      <c r="D10" s="372"/>
      <c r="E10" s="1051"/>
      <c r="F10" s="1079"/>
      <c r="G10" s="1131"/>
      <c r="H10" s="1051"/>
      <c r="I10" s="372"/>
      <c r="J10" s="1051"/>
      <c r="K10" s="1051"/>
      <c r="L10" s="1132"/>
      <c r="N10" s="742"/>
      <c r="O10" s="1131"/>
      <c r="P10" s="1131"/>
      <c r="Q10" s="1034"/>
      <c r="S10" s="363"/>
      <c r="T10" s="1034"/>
      <c r="U10" s="363"/>
      <c r="V10" s="1034"/>
      <c r="W10" s="363"/>
    </row>
    <row r="11" spans="1:26">
      <c r="A11" s="363">
        <v>1897</v>
      </c>
      <c r="B11" s="1130"/>
      <c r="C11" s="1129">
        <v>302290</v>
      </c>
      <c r="D11" s="372"/>
      <c r="E11" s="1051"/>
      <c r="F11" s="1079"/>
      <c r="G11" s="1131"/>
      <c r="H11" s="1051"/>
      <c r="I11" s="372"/>
      <c r="J11" s="1051"/>
      <c r="K11" s="1051"/>
      <c r="L11" s="1132"/>
      <c r="N11" s="742"/>
      <c r="O11" s="1131"/>
      <c r="P11" s="1131"/>
      <c r="Q11" s="1034"/>
      <c r="S11" s="363"/>
      <c r="T11" s="1034"/>
      <c r="U11" s="363"/>
      <c r="V11" s="1034"/>
      <c r="W11" s="363"/>
    </row>
    <row r="12" spans="1:26">
      <c r="A12" s="363">
        <v>1898</v>
      </c>
      <c r="B12" s="1130"/>
      <c r="C12" s="1129">
        <v>375246</v>
      </c>
      <c r="D12" s="372"/>
      <c r="E12" s="1051"/>
      <c r="F12" s="1079"/>
      <c r="G12" s="1131"/>
      <c r="H12" s="1051"/>
      <c r="I12" s="372"/>
      <c r="J12" s="1051"/>
      <c r="K12" s="1051"/>
      <c r="L12" s="1132"/>
      <c r="N12" s="742"/>
      <c r="O12" s="1131"/>
      <c r="P12" s="1131"/>
      <c r="Q12" s="1034"/>
      <c r="S12" s="363"/>
      <c r="T12" s="1034"/>
      <c r="U12" s="363"/>
      <c r="V12" s="1034"/>
      <c r="W12" s="363"/>
    </row>
    <row r="13" spans="1:26">
      <c r="A13" s="363">
        <v>1899</v>
      </c>
      <c r="B13" s="1130"/>
      <c r="C13" s="1129">
        <v>212907</v>
      </c>
      <c r="D13" s="372"/>
      <c r="E13" s="1051"/>
      <c r="F13" s="1079"/>
      <c r="G13" s="1131"/>
      <c r="H13" s="1051"/>
      <c r="I13" s="372"/>
      <c r="J13" s="1051"/>
      <c r="K13" s="1051"/>
      <c r="L13" s="1132"/>
      <c r="N13" s="742"/>
      <c r="O13" s="1131"/>
      <c r="P13" s="1131"/>
      <c r="Q13" s="1034"/>
      <c r="S13" s="363"/>
      <c r="T13" s="1034"/>
      <c r="U13" s="363"/>
      <c r="V13" s="1034"/>
      <c r="W13" s="363"/>
    </row>
    <row r="14" spans="1:26">
      <c r="A14" s="363">
        <v>1900</v>
      </c>
      <c r="B14" s="1130"/>
      <c r="C14" s="1129">
        <v>50565</v>
      </c>
      <c r="D14" s="372"/>
      <c r="E14" s="1051"/>
      <c r="F14" s="1079"/>
      <c r="G14" s="1131"/>
      <c r="H14" s="1051"/>
      <c r="I14" s="372"/>
      <c r="J14" s="1051"/>
      <c r="K14" s="1051"/>
      <c r="L14" s="1132"/>
      <c r="N14" s="742"/>
      <c r="O14" s="1131"/>
      <c r="P14" s="1131"/>
      <c r="Q14" s="1034"/>
      <c r="S14" s="363"/>
      <c r="T14" s="1034"/>
      <c r="U14" s="363"/>
      <c r="V14" s="1034"/>
      <c r="W14" s="363"/>
    </row>
    <row r="15" spans="1:26">
      <c r="A15" s="363">
        <v>1901</v>
      </c>
      <c r="B15" s="1130"/>
      <c r="C15" s="1129">
        <v>313806</v>
      </c>
      <c r="D15" s="372"/>
      <c r="E15" s="1051"/>
      <c r="F15" s="1079"/>
      <c r="G15" s="1131"/>
      <c r="H15" s="1051"/>
      <c r="I15" s="372"/>
      <c r="J15" s="1051"/>
      <c r="K15" s="1051"/>
      <c r="L15" s="1132"/>
      <c r="N15" s="742"/>
      <c r="O15" s="1131"/>
      <c r="P15" s="1131"/>
      <c r="Q15" s="1034"/>
      <c r="S15" s="363"/>
      <c r="T15" s="1034"/>
      <c r="U15" s="363"/>
      <c r="V15" s="1034"/>
      <c r="W15" s="363"/>
    </row>
    <row r="16" spans="1:26">
      <c r="A16" s="363">
        <v>1902</v>
      </c>
      <c r="B16" s="1130"/>
      <c r="C16" s="1129">
        <v>375408</v>
      </c>
      <c r="D16" s="372"/>
      <c r="E16" s="1051"/>
      <c r="F16" s="1079"/>
      <c r="G16" s="1131"/>
      <c r="H16" s="1051"/>
      <c r="I16" s="372"/>
      <c r="J16" s="1051"/>
      <c r="K16" s="1051"/>
      <c r="L16" s="1132"/>
      <c r="N16" s="742"/>
      <c r="O16" s="1131"/>
      <c r="P16" s="1131"/>
      <c r="Q16" s="1034"/>
      <c r="S16" s="363"/>
      <c r="T16" s="1034"/>
      <c r="U16" s="363"/>
      <c r="V16" s="1034"/>
      <c r="W16" s="363"/>
    </row>
    <row r="17" spans="1:23">
      <c r="A17" s="363">
        <v>1903</v>
      </c>
      <c r="B17" s="1130"/>
      <c r="C17" s="1129">
        <v>398926</v>
      </c>
      <c r="D17" s="372"/>
      <c r="E17" s="1051"/>
      <c r="F17" s="1079"/>
      <c r="G17" s="1131"/>
      <c r="H17" s="1051"/>
      <c r="I17" s="372"/>
      <c r="J17" s="1051"/>
      <c r="K17" s="1051"/>
      <c r="L17" s="1132"/>
      <c r="N17" s="742"/>
      <c r="O17" s="1131"/>
      <c r="P17" s="1131"/>
      <c r="Q17" s="1034"/>
      <c r="S17" s="363"/>
      <c r="T17" s="1034"/>
      <c r="U17" s="363"/>
      <c r="V17" s="1034"/>
      <c r="W17" s="363"/>
    </row>
    <row r="18" spans="1:23">
      <c r="A18" s="363">
        <v>1904</v>
      </c>
      <c r="B18" s="1130"/>
      <c r="C18" s="1129">
        <v>573967</v>
      </c>
      <c r="D18" s="372"/>
      <c r="E18" s="1051"/>
      <c r="F18" s="1079"/>
      <c r="G18" s="1131"/>
      <c r="H18" s="1051"/>
      <c r="I18" s="372"/>
      <c r="J18" s="1051"/>
      <c r="K18" s="1051"/>
      <c r="L18" s="1132"/>
      <c r="N18" s="742"/>
      <c r="O18" s="1131"/>
      <c r="P18" s="1131"/>
      <c r="Q18" s="1034"/>
      <c r="S18" s="363"/>
      <c r="T18" s="1034"/>
      <c r="U18" s="363"/>
      <c r="V18" s="1034"/>
      <c r="W18" s="363"/>
    </row>
    <row r="19" spans="1:23">
      <c r="A19" s="363">
        <v>1905</v>
      </c>
      <c r="B19" s="1130"/>
      <c r="C19" s="1129"/>
      <c r="D19" s="372"/>
      <c r="E19" s="1051"/>
      <c r="F19" s="1079"/>
      <c r="G19" s="1131"/>
      <c r="H19" s="1051"/>
      <c r="I19" s="372"/>
      <c r="J19" s="1051"/>
      <c r="K19" s="1051"/>
      <c r="L19" s="1132"/>
      <c r="N19" s="742"/>
      <c r="O19" s="1131"/>
      <c r="P19" s="1131"/>
      <c r="Q19" s="1034"/>
      <c r="S19" s="363"/>
      <c r="T19" s="1034"/>
      <c r="U19" s="363"/>
      <c r="V19" s="1034"/>
      <c r="W19" s="363"/>
    </row>
    <row r="20" spans="1:23">
      <c r="A20" s="363">
        <v>1906</v>
      </c>
      <c r="B20" s="1130"/>
      <c r="C20" s="1129"/>
      <c r="D20" s="372"/>
      <c r="E20" s="1051"/>
      <c r="F20" s="1079"/>
      <c r="G20" s="1131"/>
      <c r="H20" s="1051"/>
      <c r="I20" s="372"/>
      <c r="J20" s="1051"/>
      <c r="K20" s="1051"/>
      <c r="L20" s="1132"/>
      <c r="N20" s="742"/>
      <c r="O20" s="1131"/>
      <c r="P20" s="1131"/>
      <c r="Q20" s="1034"/>
      <c r="S20" s="363"/>
      <c r="T20" s="1034"/>
      <c r="U20" s="363"/>
      <c r="V20" s="1034"/>
      <c r="W20" s="363"/>
    </row>
    <row r="21" spans="1:23">
      <c r="A21" s="363">
        <v>1907</v>
      </c>
      <c r="B21" s="1130"/>
      <c r="C21" s="1129">
        <v>252373</v>
      </c>
      <c r="D21" s="372"/>
      <c r="E21" s="1051"/>
      <c r="F21" s="1079"/>
      <c r="G21" s="1131"/>
      <c r="H21" s="1051"/>
      <c r="I21" s="372"/>
      <c r="J21" s="1051"/>
      <c r="K21" s="1051"/>
      <c r="L21" s="1132"/>
      <c r="N21" s="742"/>
      <c r="O21" s="1131"/>
      <c r="P21" s="1131"/>
      <c r="Q21" s="1034"/>
      <c r="S21" s="363"/>
      <c r="T21" s="1034"/>
      <c r="U21" s="363"/>
      <c r="V21" s="1034"/>
      <c r="W21" s="363"/>
    </row>
    <row r="22" spans="1:23">
      <c r="A22" s="363">
        <v>1908</v>
      </c>
      <c r="B22" s="1130"/>
      <c r="C22" s="1129">
        <v>18018</v>
      </c>
      <c r="D22" s="372"/>
      <c r="E22" s="1051"/>
      <c r="F22" s="1079"/>
      <c r="G22" s="1131"/>
      <c r="H22" s="1051"/>
      <c r="I22" s="372"/>
      <c r="J22" s="1051"/>
      <c r="K22" s="1051"/>
      <c r="L22" s="1132"/>
      <c r="N22" s="742"/>
      <c r="O22" s="1131"/>
      <c r="P22" s="1131"/>
      <c r="Q22" s="1034"/>
      <c r="S22" s="363"/>
      <c r="T22" s="1034"/>
      <c r="U22" s="363"/>
      <c r="V22" s="1034"/>
      <c r="W22" s="363"/>
    </row>
    <row r="23" spans="1:23">
      <c r="A23" s="363">
        <v>1909</v>
      </c>
      <c r="B23" s="1130"/>
      <c r="C23" s="1129"/>
      <c r="D23" s="372"/>
      <c r="E23" s="1051"/>
      <c r="F23" s="1079"/>
      <c r="G23" s="1131"/>
      <c r="H23" s="1051"/>
      <c r="I23" s="372"/>
      <c r="J23" s="1051"/>
      <c r="K23" s="1051"/>
      <c r="L23" s="1132"/>
      <c r="N23" s="742"/>
      <c r="O23" s="1131"/>
      <c r="P23" s="1131"/>
      <c r="Q23" s="1034"/>
      <c r="S23" s="363"/>
      <c r="T23" s="1034"/>
      <c r="U23" s="363"/>
      <c r="V23" s="1034"/>
      <c r="W23" s="363"/>
    </row>
    <row r="24" spans="1:23">
      <c r="A24" s="363">
        <v>1910</v>
      </c>
      <c r="B24" s="1130"/>
      <c r="C24" s="1129">
        <v>196871</v>
      </c>
      <c r="D24" s="372"/>
      <c r="E24" s="1051"/>
      <c r="F24" s="1079"/>
      <c r="G24" s="1131"/>
      <c r="H24" s="1051"/>
      <c r="I24" s="372"/>
      <c r="J24" s="1051"/>
      <c r="K24" s="1051"/>
      <c r="L24" s="1132"/>
      <c r="N24" s="742"/>
      <c r="O24" s="1131"/>
      <c r="P24" s="1131"/>
      <c r="Q24" s="1034"/>
      <c r="S24" s="363"/>
      <c r="T24" s="1034"/>
      <c r="U24" s="363"/>
      <c r="V24" s="1034"/>
      <c r="W24" s="363"/>
    </row>
    <row r="25" spans="1:23">
      <c r="A25" s="363">
        <v>1911</v>
      </c>
      <c r="B25" s="1130"/>
      <c r="C25" s="1129">
        <v>156349</v>
      </c>
      <c r="D25" s="372"/>
      <c r="E25" s="1051"/>
      <c r="F25" s="1079"/>
      <c r="G25" s="1131"/>
      <c r="H25" s="1051"/>
      <c r="I25" s="372"/>
      <c r="J25" s="1051"/>
      <c r="K25" s="1051"/>
      <c r="L25" s="1132"/>
      <c r="N25" s="742"/>
      <c r="O25" s="1131"/>
      <c r="P25" s="1131"/>
      <c r="Q25" s="1034"/>
      <c r="S25" s="363"/>
      <c r="T25" s="1034"/>
      <c r="U25" s="363"/>
      <c r="V25" s="1034"/>
      <c r="W25" s="363"/>
    </row>
    <row r="26" spans="1:23">
      <c r="A26" s="363">
        <v>1912</v>
      </c>
      <c r="B26" s="1130"/>
      <c r="C26" s="1129">
        <v>401892</v>
      </c>
      <c r="D26" s="372"/>
      <c r="E26" s="1051"/>
      <c r="F26" s="1079"/>
      <c r="G26" s="1131"/>
      <c r="H26" s="1051"/>
      <c r="I26" s="372"/>
      <c r="J26" s="1051"/>
      <c r="K26" s="1051"/>
      <c r="L26" s="1132"/>
      <c r="N26" s="742"/>
      <c r="O26" s="1131"/>
      <c r="P26" s="1131"/>
      <c r="Q26" s="1034"/>
      <c r="S26" s="363"/>
      <c r="T26" s="1034"/>
      <c r="U26" s="363"/>
      <c r="V26" s="1034"/>
      <c r="W26" s="363"/>
    </row>
    <row r="27" spans="1:23">
      <c r="A27" s="363">
        <v>1913</v>
      </c>
      <c r="B27" s="1130"/>
      <c r="C27" s="1129">
        <v>425574</v>
      </c>
      <c r="D27" s="372"/>
      <c r="E27" s="1051"/>
      <c r="F27" s="1079"/>
      <c r="G27" s="1131"/>
      <c r="H27" s="1051"/>
      <c r="I27" s="372"/>
      <c r="J27" s="1051"/>
      <c r="K27" s="1051"/>
      <c r="L27" s="1132"/>
      <c r="N27" s="742"/>
      <c r="O27" s="1131"/>
      <c r="P27" s="1131"/>
      <c r="Q27" s="1034"/>
      <c r="S27" s="363"/>
      <c r="T27" s="1034"/>
      <c r="U27" s="363"/>
      <c r="V27" s="1034"/>
      <c r="W27" s="363"/>
    </row>
    <row r="28" spans="1:23">
      <c r="A28" s="363">
        <v>1914</v>
      </c>
      <c r="B28" s="1130"/>
      <c r="C28" s="1129">
        <v>224906</v>
      </c>
      <c r="D28" s="372"/>
      <c r="E28" s="1051"/>
      <c r="F28" s="1079"/>
      <c r="G28" s="1131"/>
      <c r="H28" s="1051"/>
      <c r="I28" s="372"/>
      <c r="J28" s="1051"/>
      <c r="K28" s="1051"/>
      <c r="L28" s="1132"/>
      <c r="N28" s="742"/>
      <c r="O28" s="1131"/>
      <c r="P28" s="1131"/>
      <c r="Q28" s="1034"/>
      <c r="S28" s="363"/>
      <c r="T28" s="1034"/>
      <c r="U28" s="363"/>
      <c r="V28" s="1034"/>
      <c r="W28" s="363"/>
    </row>
    <row r="29" spans="1:23">
      <c r="A29" s="363">
        <v>1915</v>
      </c>
      <c r="B29" s="1130"/>
      <c r="C29" s="1129">
        <v>449174</v>
      </c>
      <c r="D29" s="372"/>
      <c r="E29" s="1051"/>
      <c r="F29" s="1079"/>
      <c r="G29" s="1131"/>
      <c r="H29" s="1051"/>
      <c r="I29" s="372"/>
      <c r="J29" s="1051"/>
      <c r="K29" s="1051"/>
      <c r="L29" s="1132"/>
      <c r="N29" s="742"/>
      <c r="O29" s="1131"/>
      <c r="P29" s="1131"/>
      <c r="Q29" s="1034"/>
      <c r="S29" s="363"/>
      <c r="T29" s="1034"/>
      <c r="U29" s="363"/>
      <c r="V29" s="1034"/>
      <c r="W29" s="363"/>
    </row>
    <row r="30" spans="1:23">
      <c r="A30" s="363">
        <v>1916</v>
      </c>
      <c r="B30" s="1130"/>
      <c r="C30" s="1129">
        <v>3270282</v>
      </c>
      <c r="D30" s="372"/>
      <c r="E30" s="1051"/>
      <c r="F30" s="1079"/>
      <c r="G30" s="1131"/>
      <c r="H30" s="1051"/>
      <c r="I30" s="372"/>
      <c r="J30" s="1051"/>
      <c r="K30" s="1051"/>
      <c r="L30" s="1132"/>
      <c r="N30" s="742"/>
      <c r="O30" s="1131"/>
      <c r="P30" s="1131"/>
      <c r="Q30" s="1034"/>
      <c r="S30" s="363"/>
      <c r="T30" s="1034"/>
      <c r="U30" s="363"/>
      <c r="V30" s="1034"/>
      <c r="W30" s="363"/>
    </row>
    <row r="31" spans="1:23">
      <c r="A31" s="363">
        <v>1917</v>
      </c>
      <c r="B31" s="1130"/>
      <c r="C31" s="1129">
        <v>2590563</v>
      </c>
      <c r="D31" s="372"/>
      <c r="E31" s="1051"/>
      <c r="F31" s="1079"/>
      <c r="G31" s="1131"/>
      <c r="H31" s="1051"/>
      <c r="I31" s="372"/>
      <c r="J31" s="1051"/>
      <c r="K31" s="1051"/>
      <c r="L31" s="1132"/>
      <c r="N31" s="742"/>
      <c r="O31" s="1131"/>
      <c r="P31" s="1131"/>
      <c r="Q31" s="1034"/>
      <c r="S31" s="363"/>
      <c r="T31" s="1034"/>
      <c r="U31" s="363"/>
      <c r="V31" s="1034"/>
      <c r="W31" s="363"/>
    </row>
    <row r="32" spans="1:23">
      <c r="A32" s="363">
        <v>1918</v>
      </c>
      <c r="B32" s="1130"/>
      <c r="C32" s="1129">
        <v>4302646</v>
      </c>
      <c r="D32" s="372"/>
      <c r="E32" s="1051"/>
      <c r="F32" s="1079"/>
      <c r="G32" s="1131"/>
      <c r="H32" s="1051"/>
      <c r="I32" s="372"/>
      <c r="J32" s="1051"/>
      <c r="K32" s="1051"/>
      <c r="L32" s="1132"/>
      <c r="N32" s="742"/>
      <c r="O32" s="1131"/>
      <c r="P32" s="1131"/>
      <c r="Q32" s="1034"/>
      <c r="S32" s="363"/>
      <c r="T32" s="1034"/>
      <c r="U32" s="363"/>
      <c r="V32" s="1034"/>
      <c r="W32" s="363"/>
    </row>
    <row r="33" spans="1:23">
      <c r="A33" s="363">
        <v>1919</v>
      </c>
      <c r="B33" s="1130"/>
      <c r="C33" s="1129">
        <v>1008312</v>
      </c>
      <c r="D33" s="372"/>
      <c r="E33" s="1051"/>
      <c r="F33" s="1079"/>
      <c r="G33" s="1131"/>
      <c r="H33" s="1051"/>
      <c r="I33" s="372"/>
      <c r="J33" s="1051"/>
      <c r="K33" s="1051"/>
      <c r="L33" s="1132"/>
      <c r="N33" s="742"/>
      <c r="O33" s="1131"/>
      <c r="P33" s="1131"/>
      <c r="Q33" s="1034"/>
      <c r="S33" s="363"/>
      <c r="T33" s="1034"/>
      <c r="U33" s="363"/>
      <c r="V33" s="1034"/>
      <c r="W33" s="363"/>
    </row>
    <row r="34" spans="1:23">
      <c r="A34" s="363">
        <v>1920</v>
      </c>
      <c r="B34" s="1130"/>
      <c r="C34" s="1129">
        <v>5314747</v>
      </c>
      <c r="D34" s="372"/>
      <c r="E34" s="1051"/>
      <c r="F34" s="1079"/>
      <c r="G34" s="1131"/>
      <c r="H34" s="1051"/>
      <c r="I34" s="372"/>
      <c r="J34" s="1051"/>
      <c r="K34" s="1051"/>
      <c r="L34" s="1132"/>
      <c r="N34" s="742"/>
      <c r="O34" s="1131"/>
      <c r="P34" s="1131"/>
      <c r="Q34" s="1034"/>
      <c r="S34" s="363"/>
      <c r="T34" s="1034"/>
      <c r="U34" s="363"/>
      <c r="V34" s="1034"/>
      <c r="W34" s="363"/>
    </row>
    <row r="35" spans="1:23">
      <c r="A35" s="363">
        <v>1921</v>
      </c>
      <c r="B35" s="1130"/>
      <c r="C35" s="1129">
        <v>12644</v>
      </c>
      <c r="D35" s="372"/>
      <c r="E35" s="1051"/>
      <c r="F35" s="1079"/>
      <c r="G35" s="1131"/>
      <c r="H35" s="1051"/>
      <c r="I35" s="372"/>
      <c r="J35" s="1051"/>
      <c r="K35" s="1051"/>
      <c r="L35" s="1132"/>
      <c r="N35" s="742"/>
      <c r="O35" s="1131"/>
      <c r="P35" s="1131"/>
      <c r="Q35" s="1034"/>
      <c r="S35" s="363"/>
      <c r="T35" s="1034"/>
      <c r="U35" s="363"/>
      <c r="V35" s="1034"/>
      <c r="W35" s="363"/>
    </row>
    <row r="36" spans="1:23">
      <c r="A36" s="363">
        <v>1922</v>
      </c>
      <c r="B36" s="1130"/>
      <c r="C36" s="1129">
        <v>2421272</v>
      </c>
      <c r="D36" s="372"/>
      <c r="E36" s="1051"/>
      <c r="F36" s="1079"/>
      <c r="G36" s="1131"/>
      <c r="H36" s="1051"/>
      <c r="I36" s="372"/>
      <c r="J36" s="1051"/>
      <c r="K36" s="1051"/>
      <c r="L36" s="1132"/>
      <c r="N36" s="742"/>
      <c r="O36" s="1131"/>
      <c r="P36" s="1131"/>
      <c r="Q36" s="1034"/>
      <c r="S36" s="363"/>
      <c r="T36" s="1034"/>
      <c r="U36" s="363"/>
      <c r="V36" s="1034"/>
      <c r="W36" s="363"/>
    </row>
    <row r="37" spans="1:23">
      <c r="A37" s="363">
        <v>1923</v>
      </c>
      <c r="B37" s="1130"/>
      <c r="C37" s="1129">
        <v>2447006</v>
      </c>
      <c r="D37" s="372"/>
      <c r="E37" s="1051"/>
      <c r="F37" s="1079"/>
      <c r="G37" s="1131"/>
      <c r="H37" s="1051"/>
      <c r="I37" s="372"/>
      <c r="J37" s="1051"/>
      <c r="K37" s="1051"/>
      <c r="L37" s="1132"/>
      <c r="N37" s="742"/>
      <c r="O37" s="1131"/>
      <c r="P37" s="1131"/>
      <c r="Q37" s="1034"/>
      <c r="S37" s="363"/>
      <c r="T37" s="1034"/>
      <c r="U37" s="363"/>
      <c r="V37" s="1034"/>
      <c r="W37" s="363"/>
    </row>
    <row r="38" spans="1:23">
      <c r="A38" s="363">
        <v>1924</v>
      </c>
      <c r="B38" s="1130"/>
      <c r="C38" s="1129">
        <v>8395901</v>
      </c>
      <c r="D38" s="372"/>
      <c r="E38" s="1051"/>
      <c r="F38" s="1079"/>
      <c r="G38" s="1131"/>
      <c r="H38" s="1051"/>
      <c r="I38" s="372"/>
      <c r="J38" s="1051"/>
      <c r="K38" s="1051"/>
      <c r="L38" s="1132"/>
      <c r="N38" s="742"/>
      <c r="O38" s="1131"/>
      <c r="P38" s="1131"/>
      <c r="Q38" s="1034"/>
      <c r="S38" s="363"/>
      <c r="T38" s="1034"/>
      <c r="U38" s="363"/>
      <c r="V38" s="1034"/>
      <c r="W38" s="363"/>
    </row>
    <row r="39" spans="1:23">
      <c r="A39" s="363">
        <v>1925</v>
      </c>
      <c r="B39" s="1130"/>
      <c r="C39" s="1129">
        <v>4085084</v>
      </c>
      <c r="D39" s="372"/>
      <c r="E39" s="1051"/>
      <c r="F39" s="1079"/>
      <c r="G39" s="1131"/>
      <c r="H39" s="1051"/>
      <c r="I39" s="372"/>
      <c r="J39" s="1051"/>
      <c r="K39" s="1051"/>
      <c r="L39" s="1132"/>
      <c r="N39" s="742"/>
      <c r="O39" s="1131"/>
      <c r="P39" s="1131"/>
      <c r="Q39" s="1034"/>
      <c r="S39" s="363"/>
      <c r="T39" s="1034"/>
      <c r="U39" s="363"/>
      <c r="V39" s="1034"/>
      <c r="W39" s="363"/>
    </row>
    <row r="40" spans="1:23">
      <c r="A40" s="363">
        <v>1926</v>
      </c>
      <c r="B40" s="1130"/>
      <c r="C40" s="1129">
        <v>11153663</v>
      </c>
      <c r="D40" s="372"/>
      <c r="E40" s="1051"/>
      <c r="F40" s="1079"/>
      <c r="G40" s="1131"/>
      <c r="H40" s="1051"/>
      <c r="I40" s="372"/>
      <c r="J40" s="1051"/>
      <c r="K40" s="1051"/>
      <c r="L40" s="1132"/>
      <c r="N40" s="742"/>
      <c r="O40" s="1131"/>
      <c r="P40" s="1131"/>
      <c r="Q40" s="1034"/>
      <c r="S40" s="363"/>
      <c r="T40" s="1034"/>
      <c r="U40" s="363"/>
      <c r="V40" s="1034"/>
      <c r="W40" s="363"/>
    </row>
    <row r="41" spans="1:23">
      <c r="A41" s="363">
        <v>1927</v>
      </c>
      <c r="B41" s="1130"/>
      <c r="C41" s="1129">
        <v>6124911</v>
      </c>
      <c r="D41" s="372"/>
      <c r="E41" s="1051"/>
      <c r="F41" s="1079"/>
      <c r="G41" s="1131"/>
      <c r="H41" s="1051"/>
      <c r="I41" s="372"/>
      <c r="J41" s="1051"/>
      <c r="K41" s="1051"/>
      <c r="L41" s="1132"/>
      <c r="N41" s="742"/>
      <c r="O41" s="1131"/>
      <c r="P41" s="1131"/>
      <c r="Q41" s="1034"/>
      <c r="S41" s="363"/>
      <c r="T41" s="1034"/>
      <c r="U41" s="363"/>
      <c r="V41" s="1034"/>
      <c r="W41" s="363"/>
    </row>
    <row r="42" spans="1:23">
      <c r="A42" s="363">
        <v>1928</v>
      </c>
      <c r="B42" s="1130"/>
      <c r="C42" s="1129">
        <v>8034200</v>
      </c>
      <c r="D42" s="372"/>
      <c r="E42" s="1051"/>
      <c r="F42" s="1079"/>
      <c r="G42" s="1131"/>
      <c r="H42" s="1051"/>
      <c r="I42" s="372"/>
      <c r="J42" s="1051"/>
      <c r="K42" s="1051"/>
      <c r="L42" s="1132"/>
      <c r="N42" s="742"/>
      <c r="O42" s="1131"/>
      <c r="P42" s="1131"/>
      <c r="Q42" s="1034"/>
      <c r="S42" s="363"/>
      <c r="T42" s="1034"/>
      <c r="U42" s="363"/>
      <c r="V42" s="1034"/>
      <c r="W42" s="363"/>
    </row>
    <row r="43" spans="1:23">
      <c r="A43" s="363">
        <v>1929</v>
      </c>
      <c r="B43" s="1130"/>
      <c r="C43" s="1129">
        <v>9613500</v>
      </c>
      <c r="D43" s="372"/>
      <c r="E43" s="1051"/>
      <c r="F43" s="1079"/>
      <c r="G43" s="1131"/>
      <c r="H43" s="1051"/>
      <c r="I43" s="372"/>
      <c r="J43" s="1051"/>
      <c r="K43" s="1051"/>
      <c r="L43" s="1132"/>
      <c r="N43" s="742"/>
      <c r="O43" s="1131"/>
      <c r="P43" s="1131"/>
      <c r="Q43" s="1034"/>
      <c r="S43" s="363"/>
      <c r="T43" s="1034"/>
      <c r="U43" s="363"/>
      <c r="V43" s="1034"/>
      <c r="W43" s="363"/>
    </row>
    <row r="44" spans="1:23">
      <c r="A44" s="363">
        <v>1930</v>
      </c>
      <c r="B44" s="1130"/>
      <c r="C44" s="1129">
        <v>6776860</v>
      </c>
      <c r="D44" s="372"/>
      <c r="E44" s="1051"/>
      <c r="F44" s="1079"/>
      <c r="G44" s="1131"/>
      <c r="H44" s="1051"/>
      <c r="I44" s="372"/>
      <c r="J44" s="1051"/>
      <c r="K44" s="1051"/>
      <c r="L44" s="1132"/>
      <c r="N44" s="742"/>
      <c r="O44" s="1131"/>
      <c r="P44" s="1131"/>
      <c r="Q44" s="1034"/>
      <c r="S44" s="363"/>
      <c r="T44" s="1034"/>
      <c r="U44" s="363"/>
      <c r="V44" s="1034"/>
      <c r="W44" s="363"/>
    </row>
    <row r="45" spans="1:23">
      <c r="A45" s="363">
        <v>1931</v>
      </c>
      <c r="B45" s="1130"/>
      <c r="C45" s="1129">
        <v>6415800</v>
      </c>
      <c r="D45" s="372"/>
      <c r="E45" s="1051"/>
      <c r="F45" s="1079"/>
      <c r="G45" s="1131"/>
      <c r="H45" s="1051"/>
      <c r="I45" s="372"/>
      <c r="J45" s="1051"/>
      <c r="K45" s="1051"/>
      <c r="L45" s="1132"/>
      <c r="N45" s="742"/>
      <c r="O45" s="1131"/>
      <c r="P45" s="1131"/>
      <c r="Q45" s="1034"/>
      <c r="S45" s="363"/>
      <c r="T45" s="1034"/>
      <c r="U45" s="363"/>
      <c r="V45" s="1034"/>
      <c r="W45" s="363"/>
    </row>
    <row r="46" spans="1:23">
      <c r="A46" s="363">
        <v>1932</v>
      </c>
      <c r="B46" s="1130"/>
      <c r="C46" s="1129">
        <v>3272180</v>
      </c>
      <c r="D46" s="372"/>
      <c r="E46" s="1051"/>
      <c r="F46" s="1079"/>
      <c r="G46" s="1131"/>
      <c r="H46" s="1051"/>
      <c r="I46" s="372"/>
      <c r="J46" s="1051"/>
      <c r="K46" s="1051"/>
      <c r="L46" s="1132"/>
      <c r="N46" s="742"/>
      <c r="O46" s="1131"/>
      <c r="P46" s="1131"/>
      <c r="Q46" s="1034"/>
      <c r="S46" s="363"/>
      <c r="T46" s="1034"/>
      <c r="U46" s="363"/>
      <c r="V46" s="1034"/>
      <c r="W46" s="363"/>
    </row>
    <row r="47" spans="1:23">
      <c r="A47" s="363">
        <v>1933</v>
      </c>
      <c r="B47" s="1130"/>
      <c r="C47" s="1129">
        <v>3016300</v>
      </c>
      <c r="D47" s="372"/>
      <c r="E47" s="1051"/>
      <c r="F47" s="1079"/>
      <c r="G47" s="1131"/>
      <c r="H47" s="1051"/>
      <c r="I47" s="372"/>
      <c r="J47" s="1051"/>
      <c r="K47" s="1051"/>
      <c r="L47" s="1132"/>
      <c r="N47" s="742"/>
      <c r="O47" s="1131"/>
      <c r="P47" s="1131"/>
      <c r="Q47" s="1034"/>
      <c r="S47" s="363"/>
      <c r="T47" s="1034"/>
      <c r="U47" s="363"/>
      <c r="V47" s="1034"/>
      <c r="W47" s="363"/>
    </row>
    <row r="48" spans="1:23">
      <c r="A48" s="363">
        <v>1934</v>
      </c>
      <c r="B48" s="1130"/>
      <c r="C48" s="1129">
        <v>6546960</v>
      </c>
      <c r="D48" s="372"/>
      <c r="E48" s="1051"/>
      <c r="F48" s="1079"/>
      <c r="G48" s="1131"/>
      <c r="H48" s="1051"/>
      <c r="I48" s="372"/>
      <c r="J48" s="1051"/>
      <c r="K48" s="1051"/>
      <c r="L48" s="1132"/>
      <c r="N48" s="742"/>
      <c r="O48" s="1131"/>
      <c r="P48" s="1131"/>
      <c r="Q48" s="1034"/>
      <c r="S48" s="363"/>
      <c r="T48" s="1034"/>
      <c r="U48" s="363"/>
      <c r="V48" s="1034"/>
      <c r="W48" s="363"/>
    </row>
    <row r="49" spans="1:23">
      <c r="A49" s="363">
        <v>1935</v>
      </c>
      <c r="B49" s="1130"/>
      <c r="C49" s="1129">
        <v>3430600</v>
      </c>
      <c r="D49" s="372"/>
      <c r="E49" s="1051"/>
      <c r="F49" s="1079"/>
      <c r="G49" s="1131"/>
      <c r="H49" s="1051"/>
      <c r="I49" s="372"/>
      <c r="J49" s="1051"/>
      <c r="K49" s="1051"/>
      <c r="L49" s="1132"/>
      <c r="N49" s="742"/>
      <c r="O49" s="1131"/>
      <c r="P49" s="1131"/>
      <c r="Q49" s="1034"/>
      <c r="S49" s="363"/>
      <c r="T49" s="1034"/>
      <c r="U49" s="363"/>
      <c r="V49" s="1034"/>
      <c r="W49" s="363"/>
    </row>
    <row r="50" spans="1:23">
      <c r="A50" s="363">
        <v>1936</v>
      </c>
      <c r="B50" s="1130"/>
      <c r="C50" s="1129">
        <v>9659150</v>
      </c>
      <c r="D50" s="372"/>
      <c r="E50" s="1051"/>
      <c r="F50" s="1079"/>
      <c r="G50" s="1131"/>
      <c r="H50" s="1051"/>
      <c r="I50" s="372"/>
      <c r="J50" s="1051"/>
      <c r="K50" s="1051"/>
      <c r="L50" s="1132"/>
      <c r="N50" s="742"/>
      <c r="O50" s="1131"/>
      <c r="P50" s="1131"/>
      <c r="Q50" s="1034"/>
      <c r="S50" s="363"/>
      <c r="T50" s="1034"/>
      <c r="U50" s="363"/>
      <c r="V50" s="1034"/>
      <c r="W50" s="363"/>
    </row>
    <row r="51" spans="1:23">
      <c r="A51" s="363">
        <v>1937</v>
      </c>
      <c r="B51" s="1130"/>
      <c r="C51" s="1129">
        <v>3764897</v>
      </c>
      <c r="D51" s="372"/>
      <c r="E51" s="1051"/>
      <c r="F51" s="1079"/>
      <c r="G51" s="1131"/>
      <c r="H51" s="1051"/>
      <c r="I51" s="372"/>
      <c r="J51" s="1051"/>
      <c r="K51" s="1051"/>
      <c r="L51" s="1132"/>
      <c r="N51" s="742"/>
      <c r="O51" s="1131"/>
      <c r="P51" s="1131"/>
      <c r="Q51" s="1034"/>
      <c r="S51" s="363"/>
      <c r="T51" s="1034"/>
      <c r="U51" s="363"/>
      <c r="V51" s="1034"/>
      <c r="W51" s="363"/>
    </row>
    <row r="52" spans="1:23">
      <c r="A52" s="363">
        <v>1938</v>
      </c>
      <c r="B52" s="1130"/>
      <c r="C52" s="1129">
        <v>7838938</v>
      </c>
      <c r="D52" s="372"/>
      <c r="E52" s="1051"/>
      <c r="F52" s="1079"/>
      <c r="G52" s="1131"/>
      <c r="H52" s="1051"/>
      <c r="I52" s="372"/>
      <c r="J52" s="1051"/>
      <c r="K52" s="1051"/>
      <c r="L52" s="1132"/>
      <c r="N52" s="742"/>
      <c r="O52" s="1131"/>
      <c r="P52" s="1131"/>
      <c r="Q52" s="1034"/>
      <c r="S52" s="363"/>
      <c r="T52" s="1034"/>
      <c r="U52" s="363"/>
      <c r="V52" s="1034"/>
      <c r="W52" s="363"/>
    </row>
    <row r="53" spans="1:23">
      <c r="A53" s="363">
        <v>1939</v>
      </c>
      <c r="B53" s="1130"/>
      <c r="C53" s="1129">
        <v>2162500</v>
      </c>
      <c r="D53" s="372"/>
      <c r="E53" s="1051"/>
      <c r="F53" s="1079"/>
      <c r="G53" s="1131"/>
      <c r="H53" s="1051"/>
      <c r="I53" s="372"/>
      <c r="J53" s="1051"/>
      <c r="K53" s="1051"/>
      <c r="L53" s="1132"/>
      <c r="N53" s="742"/>
      <c r="O53" s="1131"/>
      <c r="P53" s="1131"/>
      <c r="Q53" s="1034"/>
      <c r="S53" s="363"/>
      <c r="T53" s="1034"/>
      <c r="U53" s="363"/>
      <c r="V53" s="1034"/>
      <c r="W53" s="363"/>
    </row>
    <row r="54" spans="1:23">
      <c r="A54" s="363">
        <v>1940</v>
      </c>
      <c r="B54" s="1130"/>
      <c r="C54" s="1129">
        <v>11217518</v>
      </c>
      <c r="D54" s="372"/>
      <c r="E54" s="1051"/>
      <c r="F54" s="1079"/>
      <c r="G54" s="1131"/>
      <c r="H54" s="1051"/>
      <c r="I54" s="372"/>
      <c r="J54" s="1051"/>
      <c r="K54" s="1051"/>
      <c r="L54" s="1132"/>
      <c r="N54" s="742"/>
      <c r="O54" s="1131"/>
      <c r="P54" s="1131"/>
      <c r="Q54" s="1034"/>
      <c r="S54" s="363"/>
      <c r="T54" s="1034"/>
      <c r="U54" s="363"/>
      <c r="V54" s="1034"/>
      <c r="W54" s="363"/>
    </row>
    <row r="55" spans="1:23">
      <c r="A55" s="363">
        <v>1941</v>
      </c>
      <c r="B55" s="1130"/>
      <c r="C55" s="1129">
        <v>3341908</v>
      </c>
      <c r="D55" s="372"/>
      <c r="E55" s="1051"/>
      <c r="F55" s="1079"/>
      <c r="G55" s="1131"/>
      <c r="H55" s="1051"/>
      <c r="I55" s="372"/>
      <c r="J55" s="1051"/>
      <c r="K55" s="1051"/>
      <c r="L55" s="1132"/>
      <c r="N55" s="742"/>
      <c r="O55" s="1131"/>
      <c r="P55" s="1131"/>
      <c r="Q55" s="1034"/>
      <c r="S55" s="363"/>
      <c r="T55" s="1034"/>
      <c r="U55" s="363"/>
      <c r="V55" s="1034"/>
      <c r="W55" s="363"/>
    </row>
    <row r="56" spans="1:23">
      <c r="A56" s="363">
        <v>1942</v>
      </c>
      <c r="B56" s="1130"/>
      <c r="C56" s="1129">
        <v>7669569</v>
      </c>
      <c r="D56" s="372"/>
      <c r="E56" s="1051"/>
      <c r="F56" s="1079"/>
      <c r="G56" s="1131"/>
      <c r="H56" s="1051"/>
      <c r="I56" s="372"/>
      <c r="J56" s="1051"/>
      <c r="K56" s="1051"/>
      <c r="L56" s="1132"/>
      <c r="N56" s="742"/>
      <c r="O56" s="1131"/>
      <c r="P56" s="1131"/>
      <c r="Q56" s="1034"/>
      <c r="S56" s="363"/>
      <c r="T56" s="1034"/>
      <c r="U56" s="363"/>
      <c r="V56" s="1034"/>
      <c r="W56" s="363"/>
    </row>
    <row r="57" spans="1:23">
      <c r="A57" s="363">
        <v>1943</v>
      </c>
      <c r="B57" s="1130"/>
      <c r="C57" s="1129">
        <v>11259996</v>
      </c>
      <c r="D57" s="372"/>
      <c r="E57" s="1051"/>
      <c r="F57" s="1079"/>
      <c r="G57" s="1131"/>
      <c r="H57" s="1051"/>
      <c r="I57" s="372"/>
      <c r="J57" s="1051"/>
      <c r="K57" s="1051"/>
      <c r="L57" s="1132"/>
      <c r="N57" s="742"/>
      <c r="O57" s="1131"/>
      <c r="P57" s="1131"/>
      <c r="Q57" s="1034"/>
      <c r="S57" s="363"/>
      <c r="T57" s="1034"/>
      <c r="U57" s="363"/>
      <c r="V57" s="1034"/>
      <c r="W57" s="363"/>
    </row>
    <row r="58" spans="1:23">
      <c r="A58" s="363">
        <v>1944</v>
      </c>
      <c r="B58" s="1130"/>
      <c r="C58" s="1129">
        <v>8670423</v>
      </c>
      <c r="D58" s="372"/>
      <c r="E58" s="1051"/>
      <c r="F58" s="1079"/>
      <c r="G58" s="1131"/>
      <c r="H58" s="1051"/>
      <c r="I58" s="372"/>
      <c r="J58" s="1051"/>
      <c r="K58" s="1051"/>
      <c r="L58" s="1132"/>
      <c r="N58" s="742"/>
      <c r="O58" s="1131"/>
      <c r="P58" s="1131"/>
      <c r="Q58" s="1034"/>
      <c r="S58" s="363"/>
      <c r="T58" s="1034"/>
      <c r="U58" s="363"/>
      <c r="V58" s="1034"/>
      <c r="W58" s="363"/>
    </row>
    <row r="59" spans="1:23">
      <c r="A59" s="363">
        <v>1945</v>
      </c>
      <c r="B59" s="1130"/>
      <c r="C59" s="1129">
        <v>12139224</v>
      </c>
      <c r="D59" s="372"/>
      <c r="E59" s="1051"/>
      <c r="F59" s="1079"/>
      <c r="G59" s="1131"/>
      <c r="H59" s="1051"/>
      <c r="I59" s="372"/>
      <c r="J59" s="1051"/>
      <c r="K59" s="1051"/>
      <c r="L59" s="1132"/>
      <c r="N59" s="742"/>
      <c r="O59" s="1131"/>
      <c r="P59" s="1131"/>
      <c r="Q59" s="1034"/>
      <c r="S59" s="363"/>
      <c r="T59" s="1034"/>
      <c r="U59" s="363"/>
      <c r="V59" s="1034"/>
      <c r="W59" s="363"/>
    </row>
    <row r="60" spans="1:23">
      <c r="A60" s="363">
        <v>1946</v>
      </c>
      <c r="B60" s="1130"/>
      <c r="C60" s="1129">
        <v>8504417</v>
      </c>
      <c r="D60" s="372"/>
      <c r="E60" s="1051"/>
      <c r="F60" s="1079"/>
      <c r="G60" s="1131"/>
      <c r="H60" s="1051"/>
      <c r="I60" s="372"/>
      <c r="J60" s="1051"/>
      <c r="K60" s="1051"/>
      <c r="L60" s="1132"/>
      <c r="N60" s="742"/>
      <c r="O60" s="1131"/>
      <c r="P60" s="1131"/>
      <c r="Q60" s="1034"/>
      <c r="S60" s="363"/>
      <c r="T60" s="1034"/>
      <c r="U60" s="363"/>
      <c r="V60" s="1034"/>
      <c r="W60" s="363"/>
    </row>
    <row r="61" spans="1:23">
      <c r="A61" s="363">
        <v>1947</v>
      </c>
      <c r="B61" s="1130"/>
      <c r="C61" s="1129">
        <v>8398398</v>
      </c>
      <c r="D61" s="372"/>
      <c r="E61" s="1051"/>
      <c r="F61" s="1079"/>
      <c r="G61" s="1131"/>
      <c r="H61" s="1051"/>
      <c r="I61" s="372"/>
      <c r="J61" s="1051"/>
      <c r="K61" s="1051"/>
      <c r="L61" s="1132"/>
      <c r="N61" s="742"/>
      <c r="O61" s="1131"/>
      <c r="P61" s="1131"/>
      <c r="Q61" s="1034"/>
      <c r="S61" s="363"/>
      <c r="T61" s="1034"/>
      <c r="U61" s="363"/>
      <c r="V61" s="1034"/>
      <c r="W61" s="363"/>
    </row>
    <row r="62" spans="1:23">
      <c r="A62" s="363">
        <v>1948</v>
      </c>
      <c r="B62" s="1130"/>
      <c r="C62" s="1129">
        <v>2625076</v>
      </c>
      <c r="D62" s="372"/>
      <c r="E62" s="1051"/>
      <c r="F62" s="1079"/>
      <c r="G62" s="1131"/>
      <c r="H62" s="1051"/>
      <c r="I62" s="372"/>
      <c r="J62" s="1051"/>
      <c r="K62" s="1051"/>
      <c r="L62" s="1132"/>
      <c r="N62" s="742"/>
      <c r="O62" s="1131"/>
      <c r="P62" s="1131"/>
      <c r="Q62" s="1034"/>
      <c r="S62" s="363"/>
      <c r="T62" s="1034"/>
      <c r="U62" s="363"/>
      <c r="V62" s="1034"/>
      <c r="W62" s="363"/>
    </row>
    <row r="63" spans="1:23">
      <c r="A63" s="363">
        <v>1949</v>
      </c>
      <c r="B63" s="1130"/>
      <c r="C63" s="1129">
        <v>6180384</v>
      </c>
      <c r="D63" s="372"/>
      <c r="E63" s="1051"/>
      <c r="F63" s="1079"/>
      <c r="G63" s="1131"/>
      <c r="H63" s="1051"/>
      <c r="I63" s="372"/>
      <c r="J63" s="1051"/>
      <c r="K63" s="1051"/>
      <c r="L63" s="1132"/>
      <c r="N63" s="742"/>
      <c r="O63" s="1131"/>
      <c r="P63" s="1131"/>
      <c r="Q63" s="1034"/>
      <c r="S63" s="363"/>
      <c r="T63" s="1034"/>
      <c r="U63" s="363"/>
      <c r="V63" s="1034"/>
      <c r="W63" s="363"/>
    </row>
    <row r="64" spans="1:23">
      <c r="A64" s="363">
        <v>1950</v>
      </c>
      <c r="B64" s="1130"/>
      <c r="C64" s="1129">
        <v>1793330</v>
      </c>
      <c r="D64" s="372"/>
      <c r="E64" s="1051"/>
      <c r="F64" s="1079"/>
      <c r="G64" s="1131"/>
      <c r="H64" s="1051"/>
      <c r="I64" s="372"/>
      <c r="J64" s="1051"/>
      <c r="K64" s="1051"/>
      <c r="L64" s="1132"/>
      <c r="N64" s="742"/>
      <c r="O64" s="1131"/>
      <c r="P64" s="1131"/>
      <c r="Q64" s="1034"/>
      <c r="S64" s="363"/>
      <c r="T64" s="1034"/>
      <c r="U64" s="363"/>
      <c r="V64" s="1034"/>
      <c r="W64" s="363"/>
    </row>
    <row r="65" spans="1:29">
      <c r="A65" s="363">
        <v>1951</v>
      </c>
      <c r="B65" s="1130"/>
      <c r="C65" s="1129">
        <v>802892</v>
      </c>
      <c r="D65" s="372"/>
      <c r="E65" s="1051"/>
      <c r="F65" s="1079"/>
      <c r="G65" s="1131"/>
      <c r="H65" s="1051"/>
      <c r="I65" s="372"/>
      <c r="J65" s="1051"/>
      <c r="K65" s="1051"/>
      <c r="L65" s="1132"/>
      <c r="N65" s="742"/>
      <c r="O65" s="1131"/>
      <c r="P65" s="1131"/>
      <c r="Q65" s="1034"/>
      <c r="S65" s="363"/>
      <c r="T65" s="1034"/>
      <c r="U65" s="363"/>
      <c r="V65" s="1034"/>
      <c r="W65" s="363"/>
    </row>
    <row r="66" spans="1:29">
      <c r="A66" s="363">
        <v>1952</v>
      </c>
      <c r="B66" s="1130"/>
      <c r="C66" s="1129">
        <v>2161556</v>
      </c>
      <c r="D66" s="372"/>
      <c r="E66" s="1051"/>
      <c r="F66" s="1079"/>
      <c r="G66" s="1131"/>
      <c r="H66" s="1051"/>
      <c r="I66" s="372"/>
      <c r="J66" s="1051"/>
      <c r="K66" s="1051"/>
      <c r="L66" s="1132"/>
      <c r="N66" s="742"/>
      <c r="O66" s="1131"/>
      <c r="P66" s="1131"/>
      <c r="Q66" s="1034"/>
      <c r="S66" s="363"/>
      <c r="T66" s="1034"/>
      <c r="U66" s="363"/>
      <c r="V66" s="1034"/>
      <c r="W66" s="363"/>
    </row>
    <row r="67" spans="1:29">
      <c r="A67" s="363">
        <v>1953</v>
      </c>
      <c r="B67" s="1130"/>
      <c r="C67" s="1129">
        <v>1996413</v>
      </c>
      <c r="D67" s="372"/>
      <c r="E67" s="1051"/>
      <c r="F67" s="1079"/>
      <c r="G67" s="1131"/>
      <c r="H67" s="1051"/>
      <c r="I67" s="372"/>
      <c r="J67" s="1051"/>
      <c r="K67" s="1051"/>
      <c r="L67" s="1132"/>
      <c r="N67" s="742"/>
      <c r="O67" s="1131"/>
      <c r="P67" s="1131"/>
      <c r="Q67" s="1034"/>
      <c r="S67" s="363"/>
      <c r="T67" s="1034"/>
      <c r="U67" s="363"/>
      <c r="V67" s="1034"/>
      <c r="W67" s="363"/>
    </row>
    <row r="68" spans="1:29">
      <c r="A68" s="363">
        <v>1954</v>
      </c>
      <c r="B68" s="1130"/>
      <c r="C68" s="1129">
        <v>12142</v>
      </c>
      <c r="D68" s="372"/>
      <c r="E68" s="1051"/>
      <c r="F68" s="1079"/>
      <c r="G68" s="1131"/>
      <c r="H68" s="1051"/>
      <c r="I68" s="372"/>
      <c r="J68" s="1051"/>
      <c r="K68" s="1051"/>
      <c r="L68" s="1132"/>
      <c r="N68" s="742"/>
      <c r="O68" s="1131"/>
      <c r="P68" s="1131"/>
      <c r="Q68" s="1034"/>
      <c r="S68" s="363"/>
      <c r="T68" s="1034"/>
      <c r="U68" s="363"/>
      <c r="V68" s="1034"/>
      <c r="W68" s="363"/>
    </row>
    <row r="69" spans="1:29">
      <c r="A69" s="363">
        <v>1955</v>
      </c>
      <c r="B69" s="1130"/>
      <c r="C69" s="1129">
        <v>26873</v>
      </c>
      <c r="D69" s="372"/>
      <c r="E69" s="1051"/>
      <c r="F69" s="1079"/>
      <c r="G69" s="1131"/>
      <c r="H69" s="1051"/>
      <c r="I69" s="372"/>
      <c r="J69" s="1051"/>
      <c r="K69" s="1051"/>
      <c r="L69" s="1132"/>
      <c r="N69" s="742"/>
      <c r="O69" s="1131"/>
      <c r="P69" s="1131"/>
      <c r="Q69" s="1034"/>
      <c r="S69" s="363"/>
      <c r="T69" s="1034"/>
      <c r="U69" s="363"/>
      <c r="V69" s="1034"/>
      <c r="W69" s="363"/>
    </row>
    <row r="70" spans="1:29">
      <c r="A70" s="363">
        <v>1956</v>
      </c>
      <c r="B70" s="1130"/>
      <c r="C70" s="1129">
        <v>4525408</v>
      </c>
      <c r="D70" s="372"/>
      <c r="E70" s="1051"/>
      <c r="F70" s="1079"/>
      <c r="G70" s="1131"/>
      <c r="H70" s="1051"/>
      <c r="I70" s="372"/>
      <c r="J70" s="1051"/>
      <c r="K70" s="1051"/>
      <c r="L70" s="1132"/>
      <c r="N70" s="742"/>
      <c r="O70" s="1131"/>
      <c r="P70" s="1131"/>
      <c r="Q70" s="1034"/>
      <c r="S70" s="363"/>
      <c r="T70" s="1034"/>
      <c r="U70" s="363"/>
      <c r="V70" s="1034"/>
      <c r="W70" s="363"/>
    </row>
    <row r="71" spans="1:29">
      <c r="A71" s="363">
        <v>1957</v>
      </c>
      <c r="B71" s="1130"/>
      <c r="C71" s="1129">
        <v>649001</v>
      </c>
      <c r="D71" s="372"/>
      <c r="E71" s="1051"/>
      <c r="F71" s="1079"/>
      <c r="G71" s="1131"/>
      <c r="H71" s="1051"/>
      <c r="I71" s="372"/>
      <c r="J71" s="1051"/>
      <c r="K71" s="1051"/>
      <c r="L71" s="1132"/>
      <c r="N71" s="742"/>
      <c r="O71" s="1131"/>
      <c r="P71" s="1131"/>
      <c r="Q71" s="1034"/>
      <c r="S71" s="363"/>
      <c r="T71" s="1034"/>
      <c r="U71" s="1158" t="s">
        <v>421</v>
      </c>
      <c r="V71" s="1158"/>
      <c r="W71" s="1158"/>
      <c r="X71" s="1158"/>
      <c r="Z71" s="1158" t="s">
        <v>422</v>
      </c>
      <c r="AA71" s="1158"/>
      <c r="AB71" s="1158"/>
      <c r="AC71" s="1158"/>
    </row>
    <row r="72" spans="1:29">
      <c r="A72" s="363">
        <v>1958</v>
      </c>
      <c r="B72" s="1130"/>
      <c r="C72" s="1129">
        <v>6289924</v>
      </c>
      <c r="D72" s="372"/>
      <c r="E72" s="1051"/>
      <c r="F72" s="1079"/>
      <c r="G72" s="1131"/>
      <c r="H72" s="1051"/>
      <c r="I72" s="372"/>
      <c r="J72" s="1051"/>
      <c r="K72" s="1051"/>
      <c r="L72" s="1132"/>
      <c r="N72" s="742"/>
      <c r="O72" s="1131"/>
      <c r="P72" s="1131"/>
      <c r="Q72" s="1034"/>
      <c r="S72" s="363"/>
      <c r="T72" s="1034"/>
      <c r="U72" s="363"/>
      <c r="V72" s="1034"/>
      <c r="W72" s="363"/>
    </row>
    <row r="73" spans="1:29" ht="17" thickBot="1">
      <c r="A73" s="363">
        <v>1959</v>
      </c>
      <c r="B73" s="1130"/>
      <c r="C73" s="1129">
        <v>229</v>
      </c>
      <c r="D73" s="372"/>
      <c r="E73" s="1051"/>
      <c r="F73" s="1079"/>
      <c r="G73" s="1131"/>
      <c r="H73" s="1051"/>
      <c r="I73" s="372"/>
      <c r="J73" s="1051"/>
      <c r="K73" s="1051"/>
      <c r="L73" s="1132"/>
      <c r="N73" s="742"/>
      <c r="O73" s="1131"/>
      <c r="P73" s="1131"/>
      <c r="Q73" s="1034"/>
      <c r="S73" s="363"/>
      <c r="T73" s="1034"/>
      <c r="U73" s="363"/>
      <c r="V73" s="1034"/>
      <c r="W73" s="363"/>
    </row>
    <row r="74" spans="1:29">
      <c r="A74" s="363">
        <v>1960</v>
      </c>
      <c r="B74" s="365" t="s">
        <v>177</v>
      </c>
      <c r="C74" s="373">
        <v>1841896</v>
      </c>
      <c r="D74" s="367" t="s">
        <v>262</v>
      </c>
      <c r="E74" s="367" t="s">
        <v>262</v>
      </c>
      <c r="F74" s="373">
        <v>1350722</v>
      </c>
      <c r="G74" s="371">
        <f t="shared" ref="G74:G79" si="0">F74/$G$5</f>
        <v>3097986.2385321101</v>
      </c>
      <c r="H74" s="371">
        <f>G74/$H$6</f>
        <v>3872482.7981651374</v>
      </c>
      <c r="I74" s="371"/>
      <c r="J74" s="371">
        <f t="shared" ref="J74:J105" si="1">SUM(F74,E74,D74,C74)</f>
        <v>3192618</v>
      </c>
      <c r="K74" s="371">
        <f t="shared" ref="K74:K105" si="2">SUM(G74,E74,D74,C74)</f>
        <v>4939882.2385321101</v>
      </c>
      <c r="L74" s="371">
        <f t="shared" ref="L74:L105" si="3">SUM(H74,E74,D74,C74)</f>
        <v>5714378.7981651369</v>
      </c>
      <c r="R74" s="356">
        <f>RANK(L74,$L$74:$L$127)</f>
        <v>39</v>
      </c>
      <c r="S74" s="363">
        <v>1960</v>
      </c>
      <c r="T74" s="371">
        <f>SUM(C74:D74)</f>
        <v>1841896</v>
      </c>
      <c r="U74" s="363">
        <v>1960</v>
      </c>
      <c r="V74" s="371">
        <f>VLOOKUP(U74,$S$74:$T$128,2,FALSE)</f>
        <v>1841896</v>
      </c>
      <c r="W74" s="371">
        <f t="shared" ref="W74:W98" si="4">VLOOKUP($U74,$A$74:$J$128,10,FALSE)</f>
        <v>3192618</v>
      </c>
      <c r="X74" s="1148">
        <f>RANK(W74,$W$74:$W$106)</f>
        <v>20</v>
      </c>
    </row>
    <row r="75" spans="1:29">
      <c r="A75" s="363">
        <v>1961</v>
      </c>
      <c r="B75" s="365" t="s">
        <v>263</v>
      </c>
      <c r="C75" s="374">
        <v>2298218</v>
      </c>
      <c r="D75" s="367" t="s">
        <v>262</v>
      </c>
      <c r="E75" s="367" t="s">
        <v>262</v>
      </c>
      <c r="F75" s="374">
        <v>2198980</v>
      </c>
      <c r="G75" s="371">
        <f t="shared" si="0"/>
        <v>5043532.1100917431</v>
      </c>
      <c r="H75" s="371">
        <f t="shared" ref="H75:H105" si="5">G75/$H$6</f>
        <v>6304415.1376146786</v>
      </c>
      <c r="I75" s="371"/>
      <c r="J75" s="371">
        <f t="shared" si="1"/>
        <v>4497198</v>
      </c>
      <c r="K75" s="371">
        <f t="shared" si="2"/>
        <v>7341750.1100917431</v>
      </c>
      <c r="L75" s="371">
        <f t="shared" si="3"/>
        <v>8602633.1376146786</v>
      </c>
      <c r="N75" s="355"/>
      <c r="O75" s="897"/>
      <c r="P75" s="897"/>
      <c r="R75" s="356">
        <f t="shared" ref="R75:R126" si="6">RANK(L75,$L$74:$L$127)</f>
        <v>26</v>
      </c>
      <c r="S75" s="1037">
        <f>S74+1</f>
        <v>1961</v>
      </c>
      <c r="T75" s="371">
        <f t="shared" ref="T75:T126" si="7">SUM(C75:D75)</f>
        <v>2298218</v>
      </c>
      <c r="U75" s="1037">
        <f>U74+2</f>
        <v>1962</v>
      </c>
      <c r="V75" s="371">
        <f t="shared" ref="V75:V99" si="8">VLOOKUP(U75,$S$74:$T$128,2,FALSE)</f>
        <v>6742316</v>
      </c>
      <c r="W75" s="371">
        <f t="shared" si="4"/>
        <v>8760326</v>
      </c>
      <c r="X75" s="1148">
        <f t="shared" ref="X75:X100" si="9">RANK(W75,$W$74:$W$106)</f>
        <v>5</v>
      </c>
      <c r="Z75" s="1149">
        <f>S75</f>
        <v>1961</v>
      </c>
      <c r="AA75" s="371">
        <f>VLOOKUP(Z75,$S$74:$T$128,2,FALSE)</f>
        <v>2298218</v>
      </c>
      <c r="AB75" s="371">
        <f>VLOOKUP($Z75,$A$74:$J$128,10,FALSE)</f>
        <v>4497198</v>
      </c>
      <c r="AC75" s="1148">
        <f>RANK(AB75,$AB$75:$AB$107)</f>
        <v>21</v>
      </c>
    </row>
    <row r="76" spans="1:29">
      <c r="A76" s="363">
        <v>1962</v>
      </c>
      <c r="B76" s="365" t="s">
        <v>177</v>
      </c>
      <c r="C76" s="369">
        <v>6742316</v>
      </c>
      <c r="D76" s="367" t="s">
        <v>262</v>
      </c>
      <c r="E76" s="367" t="s">
        <v>262</v>
      </c>
      <c r="F76" s="376">
        <v>2018010</v>
      </c>
      <c r="G76" s="371">
        <f t="shared" si="0"/>
        <v>4628463.3027522936</v>
      </c>
      <c r="H76" s="371">
        <f t="shared" si="5"/>
        <v>5785579.1284403671</v>
      </c>
      <c r="I76" s="371"/>
      <c r="J76" s="371">
        <f t="shared" si="1"/>
        <v>8760326</v>
      </c>
      <c r="K76" s="371">
        <f t="shared" si="2"/>
        <v>11370779.302752294</v>
      </c>
      <c r="L76" s="371">
        <f t="shared" si="3"/>
        <v>12527895.128440367</v>
      </c>
      <c r="M76" s="366"/>
      <c r="N76" s="355">
        <f>L76/H74</f>
        <v>3.2351067212942413</v>
      </c>
      <c r="O76" s="897"/>
      <c r="P76" s="897"/>
      <c r="R76" s="356">
        <f t="shared" si="6"/>
        <v>17</v>
      </c>
      <c r="S76" s="1037">
        <f t="shared" ref="S76:S129" si="10">S75+1</f>
        <v>1962</v>
      </c>
      <c r="T76" s="371">
        <f t="shared" si="7"/>
        <v>6742316</v>
      </c>
      <c r="U76" s="1037">
        <f t="shared" ref="U76:U101" si="11">U75+2</f>
        <v>1964</v>
      </c>
      <c r="V76" s="371">
        <f t="shared" si="8"/>
        <v>4206896</v>
      </c>
      <c r="W76" s="371">
        <f t="shared" si="4"/>
        <v>6048576</v>
      </c>
      <c r="X76" s="1148">
        <f t="shared" si="9"/>
        <v>7</v>
      </c>
      <c r="Z76" s="1149">
        <f>Z75+2</f>
        <v>1963</v>
      </c>
      <c r="AA76" s="371">
        <f t="shared" ref="AA76:AA101" si="12">VLOOKUP(Z76,$S$74:$T$128,2,FALSE)</f>
        <v>5295378</v>
      </c>
      <c r="AB76" s="371">
        <f t="shared" ref="AB76:AB101" si="13">VLOOKUP($Z76,$A$74:$J$128,10,FALSE)</f>
        <v>6651118</v>
      </c>
      <c r="AC76" s="1148">
        <f t="shared" ref="AC76:AC101" si="14">RANK(AB76,$AB$75:$AB$107)</f>
        <v>17</v>
      </c>
    </row>
    <row r="77" spans="1:29">
      <c r="A77" s="363">
        <v>1963</v>
      </c>
      <c r="B77" s="365" t="s">
        <v>263</v>
      </c>
      <c r="C77" s="369">
        <v>5295378</v>
      </c>
      <c r="D77" s="367" t="s">
        <v>262</v>
      </c>
      <c r="E77" s="367" t="s">
        <v>262</v>
      </c>
      <c r="F77" s="377">
        <v>1355740</v>
      </c>
      <c r="G77" s="371">
        <f t="shared" si="0"/>
        <v>3109495.4128440367</v>
      </c>
      <c r="H77" s="371">
        <f t="shared" si="5"/>
        <v>3886869.2660550456</v>
      </c>
      <c r="I77" s="371"/>
      <c r="J77" s="371">
        <f t="shared" si="1"/>
        <v>6651118</v>
      </c>
      <c r="K77" s="371">
        <f t="shared" si="2"/>
        <v>8404873.4128440358</v>
      </c>
      <c r="L77" s="371">
        <f t="shared" si="3"/>
        <v>9182247.2660550456</v>
      </c>
      <c r="N77" s="355">
        <f t="shared" ref="N77:N126" si="15">L77/H75</f>
        <v>1.4564788430999827</v>
      </c>
      <c r="O77" s="897"/>
      <c r="P77" s="897"/>
      <c r="R77" s="356">
        <f t="shared" si="6"/>
        <v>23</v>
      </c>
      <c r="S77" s="1037">
        <f t="shared" si="10"/>
        <v>1963</v>
      </c>
      <c r="T77" s="371">
        <f t="shared" si="7"/>
        <v>5295378</v>
      </c>
      <c r="U77" s="1037">
        <f t="shared" si="11"/>
        <v>1966</v>
      </c>
      <c r="V77" s="371">
        <f t="shared" si="8"/>
        <v>2699418</v>
      </c>
      <c r="W77" s="371">
        <f t="shared" si="4"/>
        <v>4122588</v>
      </c>
      <c r="X77" s="1148">
        <f t="shared" si="9"/>
        <v>15</v>
      </c>
      <c r="Z77" s="1149">
        <f t="shared" ref="Z77:Z102" si="16">Z76+2</f>
        <v>1965</v>
      </c>
      <c r="AA77" s="371">
        <f t="shared" si="12"/>
        <v>2460471</v>
      </c>
      <c r="AB77" s="371">
        <f t="shared" si="13"/>
        <v>3436427</v>
      </c>
      <c r="AC77" s="1148">
        <f t="shared" si="14"/>
        <v>24</v>
      </c>
    </row>
    <row r="78" spans="1:29">
      <c r="A78" s="363">
        <v>1964</v>
      </c>
      <c r="B78" s="365" t="s">
        <v>177</v>
      </c>
      <c r="C78" s="369">
        <v>4206896</v>
      </c>
      <c r="D78" s="367" t="s">
        <v>262</v>
      </c>
      <c r="E78" s="367" t="s">
        <v>262</v>
      </c>
      <c r="F78" s="377">
        <v>1841680</v>
      </c>
      <c r="G78" s="371">
        <f t="shared" si="0"/>
        <v>4224036.6972477064</v>
      </c>
      <c r="H78" s="371">
        <f t="shared" si="5"/>
        <v>5280045.8715596329</v>
      </c>
      <c r="I78" s="371"/>
      <c r="J78" s="371">
        <f t="shared" si="1"/>
        <v>6048576</v>
      </c>
      <c r="K78" s="371">
        <f t="shared" si="2"/>
        <v>8430932.6972477064</v>
      </c>
      <c r="L78" s="371">
        <f t="shared" si="3"/>
        <v>9486941.8715596329</v>
      </c>
      <c r="N78" s="355">
        <f t="shared" si="15"/>
        <v>1.6397566537331332</v>
      </c>
      <c r="O78" s="897"/>
      <c r="P78" s="897"/>
      <c r="R78" s="356">
        <f t="shared" si="6"/>
        <v>22</v>
      </c>
      <c r="S78" s="1037">
        <f t="shared" si="10"/>
        <v>1964</v>
      </c>
      <c r="T78" s="371">
        <f t="shared" si="7"/>
        <v>4206896</v>
      </c>
      <c r="U78" s="1037">
        <f t="shared" si="11"/>
        <v>1968</v>
      </c>
      <c r="V78" s="371">
        <f t="shared" si="8"/>
        <v>2452168</v>
      </c>
      <c r="W78" s="371">
        <f t="shared" si="4"/>
        <v>3608678</v>
      </c>
      <c r="X78" s="1148">
        <f t="shared" si="9"/>
        <v>18</v>
      </c>
      <c r="Z78" s="1149">
        <f t="shared" si="16"/>
        <v>1967</v>
      </c>
      <c r="AA78" s="371">
        <f t="shared" si="12"/>
        <v>2626340</v>
      </c>
      <c r="AB78" s="371">
        <f t="shared" si="13"/>
        <v>3468600</v>
      </c>
      <c r="AC78" s="1148">
        <f t="shared" si="14"/>
        <v>23</v>
      </c>
    </row>
    <row r="79" spans="1:29">
      <c r="A79" s="363">
        <v>1965</v>
      </c>
      <c r="B79" s="365" t="s">
        <v>263</v>
      </c>
      <c r="C79" s="369">
        <v>2460471</v>
      </c>
      <c r="D79" s="367" t="s">
        <v>262</v>
      </c>
      <c r="E79" s="367" t="s">
        <v>262</v>
      </c>
      <c r="F79" s="369">
        <v>975956</v>
      </c>
      <c r="G79" s="371">
        <f t="shared" si="0"/>
        <v>2238431.1926605506</v>
      </c>
      <c r="H79" s="371">
        <f t="shared" si="5"/>
        <v>2798038.990825688</v>
      </c>
      <c r="I79" s="371"/>
      <c r="J79" s="371">
        <f t="shared" si="1"/>
        <v>3436427</v>
      </c>
      <c r="K79" s="371">
        <f t="shared" si="2"/>
        <v>4698902.1926605506</v>
      </c>
      <c r="L79" s="371">
        <f t="shared" si="3"/>
        <v>5258509.9908256885</v>
      </c>
      <c r="N79" s="355">
        <f t="shared" si="15"/>
        <v>1.3528908823225694</v>
      </c>
      <c r="O79" s="897"/>
      <c r="P79" s="897"/>
      <c r="R79" s="356">
        <f t="shared" si="6"/>
        <v>44</v>
      </c>
      <c r="S79" s="1037">
        <f t="shared" si="10"/>
        <v>1965</v>
      </c>
      <c r="T79" s="371">
        <f t="shared" si="7"/>
        <v>2460471</v>
      </c>
      <c r="U79" s="1037">
        <f t="shared" si="11"/>
        <v>1970</v>
      </c>
      <c r="V79" s="371">
        <f t="shared" si="8"/>
        <v>2809996</v>
      </c>
      <c r="W79" s="371">
        <f t="shared" si="4"/>
        <v>3789216</v>
      </c>
      <c r="X79" s="1148">
        <f t="shared" si="9"/>
        <v>17</v>
      </c>
      <c r="Z79" s="1149">
        <f t="shared" si="16"/>
        <v>1969</v>
      </c>
      <c r="AA79" s="371">
        <f t="shared" si="12"/>
        <v>4828579</v>
      </c>
      <c r="AB79" s="371">
        <f t="shared" si="13"/>
        <v>5233149</v>
      </c>
      <c r="AC79" s="1148">
        <f t="shared" si="14"/>
        <v>19</v>
      </c>
    </row>
    <row r="80" spans="1:29">
      <c r="A80" s="363">
        <v>1966</v>
      </c>
      <c r="B80" s="365" t="s">
        <v>177</v>
      </c>
      <c r="C80" s="369">
        <v>2699418</v>
      </c>
      <c r="D80" s="367" t="s">
        <v>262</v>
      </c>
      <c r="E80" s="367" t="s">
        <v>262</v>
      </c>
      <c r="F80" s="369">
        <v>1423170</v>
      </c>
      <c r="G80" s="371">
        <f t="shared" ref="G80:G123" si="17">F80/$G$5</f>
        <v>3264151.3761467892</v>
      </c>
      <c r="H80" s="371">
        <f t="shared" si="5"/>
        <v>4080189.2201834861</v>
      </c>
      <c r="I80" s="371"/>
      <c r="J80" s="371">
        <f t="shared" si="1"/>
        <v>4122588</v>
      </c>
      <c r="K80" s="371">
        <f t="shared" si="2"/>
        <v>5963569.3761467896</v>
      </c>
      <c r="L80" s="371">
        <f t="shared" si="3"/>
        <v>6779607.2201834861</v>
      </c>
      <c r="N80" s="355">
        <f t="shared" si="15"/>
        <v>1.2840053637982711</v>
      </c>
      <c r="O80" s="897"/>
      <c r="P80" s="897"/>
      <c r="R80" s="356">
        <f t="shared" si="6"/>
        <v>33</v>
      </c>
      <c r="S80" s="1037">
        <f t="shared" si="10"/>
        <v>1966</v>
      </c>
      <c r="T80" s="371">
        <f t="shared" si="7"/>
        <v>2699418</v>
      </c>
      <c r="U80" s="1037">
        <f t="shared" si="11"/>
        <v>1972</v>
      </c>
      <c r="V80" s="371">
        <f t="shared" si="8"/>
        <v>54783</v>
      </c>
      <c r="W80" s="371">
        <f t="shared" si="4"/>
        <v>695963</v>
      </c>
      <c r="X80" s="1148">
        <f t="shared" si="9"/>
        <v>28</v>
      </c>
      <c r="Z80" s="1149">
        <f t="shared" si="16"/>
        <v>1971</v>
      </c>
      <c r="AA80" s="371">
        <f t="shared" si="12"/>
        <v>7310964</v>
      </c>
      <c r="AB80" s="371">
        <f t="shared" si="13"/>
        <v>8423514</v>
      </c>
      <c r="AC80" s="1148">
        <f t="shared" si="14"/>
        <v>14</v>
      </c>
    </row>
    <row r="81" spans="1:30">
      <c r="A81" s="363">
        <v>1967</v>
      </c>
      <c r="B81" s="365" t="s">
        <v>263</v>
      </c>
      <c r="C81" s="369">
        <v>2626340</v>
      </c>
      <c r="D81" s="367" t="s">
        <v>262</v>
      </c>
      <c r="E81" s="367" t="s">
        <v>262</v>
      </c>
      <c r="F81" s="369">
        <v>842260</v>
      </c>
      <c r="G81" s="371">
        <f t="shared" si="17"/>
        <v>1931788.990825688</v>
      </c>
      <c r="H81" s="371">
        <f t="shared" si="5"/>
        <v>2414736.2385321097</v>
      </c>
      <c r="I81" s="371"/>
      <c r="J81" s="371">
        <f t="shared" si="1"/>
        <v>3468600</v>
      </c>
      <c r="K81" s="371">
        <f t="shared" si="2"/>
        <v>4558128.9908256885</v>
      </c>
      <c r="L81" s="371">
        <f t="shared" si="3"/>
        <v>5041076.2385321092</v>
      </c>
      <c r="N81" s="355">
        <f t="shared" si="15"/>
        <v>1.8016461725733535</v>
      </c>
      <c r="O81" s="897"/>
      <c r="P81" s="897"/>
      <c r="R81" s="356">
        <f t="shared" si="6"/>
        <v>46</v>
      </c>
      <c r="S81" s="1037">
        <f t="shared" si="10"/>
        <v>1967</v>
      </c>
      <c r="T81" s="371">
        <f t="shared" si="7"/>
        <v>2626340</v>
      </c>
      <c r="U81" s="1037">
        <f t="shared" si="11"/>
        <v>1974</v>
      </c>
      <c r="V81" s="371">
        <f t="shared" si="8"/>
        <v>54783</v>
      </c>
      <c r="W81" s="371">
        <f t="shared" si="4"/>
        <v>1012903</v>
      </c>
      <c r="X81" s="1148">
        <f t="shared" si="9"/>
        <v>27</v>
      </c>
      <c r="Z81" s="1149">
        <f t="shared" si="16"/>
        <v>1973</v>
      </c>
      <c r="AA81" s="371">
        <f t="shared" si="12"/>
        <v>7310964</v>
      </c>
      <c r="AB81" s="371">
        <f t="shared" si="13"/>
        <v>8535974</v>
      </c>
      <c r="AC81" s="1148">
        <f t="shared" si="14"/>
        <v>13</v>
      </c>
    </row>
    <row r="82" spans="1:30">
      <c r="A82" s="363">
        <v>1968</v>
      </c>
      <c r="B82" s="365" t="s">
        <v>177</v>
      </c>
      <c r="C82" s="369">
        <v>2452168</v>
      </c>
      <c r="D82" s="367" t="s">
        <v>262</v>
      </c>
      <c r="E82" s="367" t="s">
        <v>262</v>
      </c>
      <c r="F82" s="369">
        <v>1156510</v>
      </c>
      <c r="G82" s="371">
        <f t="shared" si="17"/>
        <v>2652545.8715596329</v>
      </c>
      <c r="H82" s="371">
        <f t="shared" si="5"/>
        <v>3315682.3394495412</v>
      </c>
      <c r="I82" s="371"/>
      <c r="J82" s="371">
        <f t="shared" si="1"/>
        <v>3608678</v>
      </c>
      <c r="K82" s="371">
        <f t="shared" si="2"/>
        <v>5104713.8715596329</v>
      </c>
      <c r="L82" s="371">
        <f t="shared" si="3"/>
        <v>5767850.3394495416</v>
      </c>
      <c r="N82" s="355">
        <f t="shared" si="15"/>
        <v>1.4136232483821329</v>
      </c>
      <c r="O82" s="897"/>
      <c r="P82" s="897"/>
      <c r="R82" s="356">
        <f t="shared" si="6"/>
        <v>38</v>
      </c>
      <c r="S82" s="1037">
        <f t="shared" si="10"/>
        <v>1968</v>
      </c>
      <c r="T82" s="371">
        <f t="shared" si="7"/>
        <v>2452168</v>
      </c>
      <c r="U82" s="1037">
        <f t="shared" si="11"/>
        <v>1976</v>
      </c>
      <c r="V82" s="371">
        <f t="shared" si="8"/>
        <v>448773</v>
      </c>
      <c r="W82" s="371">
        <f t="shared" si="4"/>
        <v>1161051</v>
      </c>
      <c r="X82" s="1148">
        <f t="shared" si="9"/>
        <v>26</v>
      </c>
      <c r="Z82" s="1149">
        <f t="shared" si="16"/>
        <v>1975</v>
      </c>
      <c r="AA82" s="371">
        <f t="shared" si="12"/>
        <v>2056878</v>
      </c>
      <c r="AB82" s="371">
        <f t="shared" si="13"/>
        <v>3322438</v>
      </c>
      <c r="AC82" s="1148">
        <f t="shared" si="14"/>
        <v>25</v>
      </c>
      <c r="AD82" s="1148">
        <f>RANK(AB82,$AB$82:$AB$102)</f>
        <v>18</v>
      </c>
    </row>
    <row r="83" spans="1:30">
      <c r="A83" s="363">
        <v>1969</v>
      </c>
      <c r="B83" s="365" t="s">
        <v>263</v>
      </c>
      <c r="C83" s="369">
        <v>4828579</v>
      </c>
      <c r="D83" s="367" t="s">
        <v>262</v>
      </c>
      <c r="E83" s="367" t="s">
        <v>262</v>
      </c>
      <c r="F83" s="369">
        <v>404570</v>
      </c>
      <c r="G83" s="371">
        <f t="shared" si="17"/>
        <v>927912.84403669729</v>
      </c>
      <c r="H83" s="371">
        <f t="shared" si="5"/>
        <v>1159891.0550458715</v>
      </c>
      <c r="I83" s="371"/>
      <c r="J83" s="371">
        <f t="shared" si="1"/>
        <v>5233149</v>
      </c>
      <c r="K83" s="371">
        <f t="shared" si="2"/>
        <v>5756491.8440366974</v>
      </c>
      <c r="L83" s="371">
        <f t="shared" si="3"/>
        <v>5988470.0550458711</v>
      </c>
      <c r="N83" s="355">
        <f t="shared" si="15"/>
        <v>2.479968602569278</v>
      </c>
      <c r="O83" s="897"/>
      <c r="P83" s="897"/>
      <c r="R83" s="356">
        <f t="shared" si="6"/>
        <v>37</v>
      </c>
      <c r="S83" s="1037">
        <f t="shared" si="10"/>
        <v>1969</v>
      </c>
      <c r="T83" s="371">
        <f t="shared" si="7"/>
        <v>4828579</v>
      </c>
      <c r="U83" s="1037">
        <f t="shared" si="11"/>
        <v>1978</v>
      </c>
      <c r="V83" s="371">
        <f t="shared" si="8"/>
        <v>3169697</v>
      </c>
      <c r="W83" s="371">
        <f t="shared" si="4"/>
        <v>3925083</v>
      </c>
      <c r="X83" s="1148">
        <f t="shared" si="9"/>
        <v>16</v>
      </c>
      <c r="Z83" s="1149">
        <f t="shared" si="16"/>
        <v>1977</v>
      </c>
      <c r="AA83" s="371">
        <f t="shared" si="12"/>
        <v>4298734</v>
      </c>
      <c r="AB83" s="371">
        <f t="shared" si="13"/>
        <v>5816401</v>
      </c>
      <c r="AC83" s="1148">
        <f t="shared" si="14"/>
        <v>18</v>
      </c>
      <c r="AD83" s="1148">
        <f t="shared" ref="AD83:AD102" si="18">RANK(AB83,$AB$82:$AB$102)</f>
        <v>15</v>
      </c>
    </row>
    <row r="84" spans="1:30">
      <c r="A84" s="363">
        <v>1970</v>
      </c>
      <c r="B84" s="365" t="s">
        <v>177</v>
      </c>
      <c r="C84" s="369">
        <v>2809996</v>
      </c>
      <c r="D84" s="367" t="s">
        <v>262</v>
      </c>
      <c r="E84" s="367" t="s">
        <v>262</v>
      </c>
      <c r="F84" s="369">
        <v>979220</v>
      </c>
      <c r="G84" s="371">
        <f t="shared" si="17"/>
        <v>2245917.4311926607</v>
      </c>
      <c r="H84" s="371">
        <f t="shared" si="5"/>
        <v>2807396.7889908259</v>
      </c>
      <c r="I84" s="371"/>
      <c r="J84" s="371">
        <f t="shared" si="1"/>
        <v>3789216</v>
      </c>
      <c r="K84" s="371">
        <f t="shared" si="2"/>
        <v>5055913.4311926607</v>
      </c>
      <c r="L84" s="371">
        <f t="shared" si="3"/>
        <v>5617392.7889908254</v>
      </c>
      <c r="N84" s="355">
        <f t="shared" si="15"/>
        <v>1.694189072986831</v>
      </c>
      <c r="O84" s="897"/>
      <c r="P84" s="897"/>
      <c r="R84" s="356">
        <f t="shared" si="6"/>
        <v>41</v>
      </c>
      <c r="S84" s="1037">
        <f t="shared" si="10"/>
        <v>1970</v>
      </c>
      <c r="T84" s="371">
        <f>SUM(C84:D84)</f>
        <v>2809996</v>
      </c>
      <c r="U84" s="1037">
        <f t="shared" si="11"/>
        <v>1980</v>
      </c>
      <c r="V84" s="371">
        <f t="shared" si="8"/>
        <v>12918874</v>
      </c>
      <c r="W84" s="371">
        <f t="shared" si="4"/>
        <v>14013916</v>
      </c>
      <c r="X84" s="1148">
        <f t="shared" si="9"/>
        <v>3</v>
      </c>
      <c r="Z84" s="1149">
        <f t="shared" si="16"/>
        <v>1979</v>
      </c>
      <c r="AA84" s="371">
        <f t="shared" si="12"/>
        <v>14433526</v>
      </c>
      <c r="AB84" s="371">
        <f t="shared" si="13"/>
        <v>17335503</v>
      </c>
      <c r="AC84" s="1148">
        <f t="shared" si="14"/>
        <v>4</v>
      </c>
      <c r="AD84" s="1148">
        <f t="shared" si="18"/>
        <v>4</v>
      </c>
    </row>
    <row r="85" spans="1:30">
      <c r="A85" s="363">
        <v>1971</v>
      </c>
      <c r="B85" s="365" t="s">
        <v>263</v>
      </c>
      <c r="C85" s="369">
        <v>7310964</v>
      </c>
      <c r="D85" s="367" t="s">
        <v>262</v>
      </c>
      <c r="E85" s="367" t="s">
        <v>262</v>
      </c>
      <c r="F85" s="369">
        <v>1112550</v>
      </c>
      <c r="G85" s="371">
        <f t="shared" si="17"/>
        <v>2551720.1834862386</v>
      </c>
      <c r="H85" s="371">
        <f t="shared" si="5"/>
        <v>3189650.2293577981</v>
      </c>
      <c r="I85" s="371"/>
      <c r="J85" s="371">
        <f t="shared" si="1"/>
        <v>8423514</v>
      </c>
      <c r="K85" s="371">
        <f t="shared" si="2"/>
        <v>9862684.1834862381</v>
      </c>
      <c r="L85" s="371">
        <f t="shared" si="3"/>
        <v>10500614.229357798</v>
      </c>
      <c r="N85" s="355">
        <f t="shared" si="15"/>
        <v>9.0531038959883325</v>
      </c>
      <c r="O85" s="897"/>
      <c r="P85" s="897"/>
      <c r="R85" s="356">
        <f t="shared" si="6"/>
        <v>20</v>
      </c>
      <c r="S85" s="1037">
        <f t="shared" si="10"/>
        <v>1971</v>
      </c>
      <c r="T85" s="371">
        <f t="shared" si="7"/>
        <v>7310964</v>
      </c>
      <c r="U85" s="1037">
        <f t="shared" si="11"/>
        <v>1982</v>
      </c>
      <c r="V85" s="371">
        <f t="shared" si="8"/>
        <v>14945199</v>
      </c>
      <c r="W85" s="371">
        <f t="shared" si="4"/>
        <v>16794317</v>
      </c>
      <c r="X85" s="1148">
        <f t="shared" si="9"/>
        <v>2</v>
      </c>
      <c r="Z85" s="1149">
        <f t="shared" si="16"/>
        <v>1981</v>
      </c>
      <c r="AA85" s="371">
        <f t="shared" si="12"/>
        <v>17402547</v>
      </c>
      <c r="AB85" s="371">
        <f t="shared" si="13"/>
        <v>19568866</v>
      </c>
      <c r="AC85" s="1148">
        <f t="shared" si="14"/>
        <v>3</v>
      </c>
      <c r="AD85" s="1148">
        <f t="shared" si="18"/>
        <v>3</v>
      </c>
    </row>
    <row r="86" spans="1:30" ht="17" thickBot="1">
      <c r="A86" s="363">
        <v>1972</v>
      </c>
      <c r="B86" s="365" t="s">
        <v>177</v>
      </c>
      <c r="C86" s="370">
        <v>54783</v>
      </c>
      <c r="D86" s="367" t="s">
        <v>262</v>
      </c>
      <c r="E86" s="367" t="s">
        <v>262</v>
      </c>
      <c r="F86" s="369">
        <v>641180</v>
      </c>
      <c r="G86" s="371">
        <f t="shared" si="17"/>
        <v>1470596.3302752294</v>
      </c>
      <c r="H86" s="371">
        <f t="shared" si="5"/>
        <v>1838245.4128440367</v>
      </c>
      <c r="I86" s="371"/>
      <c r="J86" s="371">
        <f t="shared" si="1"/>
        <v>695963</v>
      </c>
      <c r="K86" s="371">
        <f t="shared" si="2"/>
        <v>1525379.3302752294</v>
      </c>
      <c r="L86" s="371">
        <f t="shared" si="3"/>
        <v>1893028.4128440367</v>
      </c>
      <c r="N86" s="355">
        <f t="shared" si="15"/>
        <v>0.67430027001082493</v>
      </c>
      <c r="O86" s="897"/>
      <c r="P86" s="897"/>
      <c r="R86" s="356">
        <f t="shared" si="6"/>
        <v>54</v>
      </c>
      <c r="S86" s="1037">
        <f t="shared" si="10"/>
        <v>1972</v>
      </c>
      <c r="T86" s="371">
        <f t="shared" si="7"/>
        <v>54783</v>
      </c>
      <c r="U86" s="1037">
        <f t="shared" si="11"/>
        <v>1984</v>
      </c>
      <c r="V86" s="371">
        <f t="shared" si="8"/>
        <v>17631675</v>
      </c>
      <c r="W86" s="371">
        <f t="shared" si="4"/>
        <v>21201513</v>
      </c>
      <c r="X86" s="1148">
        <f t="shared" si="9"/>
        <v>1</v>
      </c>
      <c r="Z86" s="1149">
        <f t="shared" si="16"/>
        <v>1983</v>
      </c>
      <c r="AA86" s="371">
        <f t="shared" si="12"/>
        <v>9564242</v>
      </c>
      <c r="AB86" s="371">
        <f t="shared" si="13"/>
        <v>11567348</v>
      </c>
      <c r="AC86" s="1148">
        <f t="shared" si="14"/>
        <v>8</v>
      </c>
      <c r="AD86" s="1148">
        <f t="shared" si="18"/>
        <v>8</v>
      </c>
    </row>
    <row r="87" spans="1:30">
      <c r="A87" s="363">
        <v>1973</v>
      </c>
      <c r="B87" s="365" t="s">
        <v>263</v>
      </c>
      <c r="C87" s="368">
        <v>7310964</v>
      </c>
      <c r="D87" s="367" t="s">
        <v>262</v>
      </c>
      <c r="E87" s="367" t="s">
        <v>262</v>
      </c>
      <c r="F87" s="369">
        <v>1225010</v>
      </c>
      <c r="G87" s="371">
        <f t="shared" si="17"/>
        <v>2809655.9633027525</v>
      </c>
      <c r="H87" s="371">
        <f t="shared" si="5"/>
        <v>3512069.9541284405</v>
      </c>
      <c r="I87" s="371"/>
      <c r="J87" s="371">
        <f t="shared" si="1"/>
        <v>8535974</v>
      </c>
      <c r="K87" s="371">
        <f t="shared" si="2"/>
        <v>10120619.963302752</v>
      </c>
      <c r="L87" s="371">
        <f t="shared" si="3"/>
        <v>10823033.95412844</v>
      </c>
      <c r="N87" s="355">
        <f t="shared" si="15"/>
        <v>3.393172660284931</v>
      </c>
      <c r="O87" s="897"/>
      <c r="P87" s="897"/>
      <c r="R87" s="356">
        <f t="shared" si="6"/>
        <v>18</v>
      </c>
      <c r="S87" s="1037">
        <f t="shared" si="10"/>
        <v>1973</v>
      </c>
      <c r="T87" s="371">
        <f t="shared" si="7"/>
        <v>7310964</v>
      </c>
      <c r="U87" s="1037">
        <f t="shared" si="11"/>
        <v>1986</v>
      </c>
      <c r="V87" s="371">
        <f t="shared" si="8"/>
        <v>4578023</v>
      </c>
      <c r="W87" s="371">
        <f t="shared" si="4"/>
        <v>5563957</v>
      </c>
      <c r="X87" s="1148">
        <f t="shared" si="9"/>
        <v>8</v>
      </c>
      <c r="Z87" s="1149">
        <f t="shared" si="16"/>
        <v>1985</v>
      </c>
      <c r="AA87" s="371">
        <f t="shared" si="12"/>
        <v>17590108</v>
      </c>
      <c r="AB87" s="371">
        <f t="shared" si="13"/>
        <v>19938105</v>
      </c>
      <c r="AC87" s="1148">
        <f t="shared" si="14"/>
        <v>2</v>
      </c>
      <c r="AD87" s="1148">
        <f t="shared" si="18"/>
        <v>2</v>
      </c>
    </row>
    <row r="88" spans="1:30">
      <c r="A88" s="363">
        <v>1974</v>
      </c>
      <c r="B88" s="365" t="s">
        <v>177</v>
      </c>
      <c r="C88" s="369">
        <v>54783</v>
      </c>
      <c r="D88" s="367" t="s">
        <v>262</v>
      </c>
      <c r="E88" s="367" t="s">
        <v>262</v>
      </c>
      <c r="F88" s="369">
        <v>958120</v>
      </c>
      <c r="G88" s="371">
        <f t="shared" si="17"/>
        <v>2197522.9357798165</v>
      </c>
      <c r="H88" s="371">
        <f t="shared" si="5"/>
        <v>2746903.6697247704</v>
      </c>
      <c r="I88" s="371"/>
      <c r="J88" s="371">
        <f t="shared" si="1"/>
        <v>1012903</v>
      </c>
      <c r="K88" s="371">
        <f t="shared" si="2"/>
        <v>2252305.9357798165</v>
      </c>
      <c r="L88" s="371">
        <f t="shared" si="3"/>
        <v>2801686.6697247704</v>
      </c>
      <c r="N88" s="355">
        <f t="shared" si="15"/>
        <v>1.5241091587385756</v>
      </c>
      <c r="O88" s="897"/>
      <c r="P88" s="897"/>
      <c r="R88" s="356">
        <f t="shared" si="6"/>
        <v>51</v>
      </c>
      <c r="S88" s="1037">
        <f t="shared" si="10"/>
        <v>1974</v>
      </c>
      <c r="T88" s="371">
        <f t="shared" si="7"/>
        <v>54783</v>
      </c>
      <c r="U88" s="1037">
        <f t="shared" si="11"/>
        <v>1988</v>
      </c>
      <c r="V88" s="371">
        <f t="shared" si="8"/>
        <v>795772</v>
      </c>
      <c r="W88" s="371">
        <f t="shared" si="4"/>
        <v>1766936</v>
      </c>
      <c r="X88" s="1148">
        <f t="shared" si="9"/>
        <v>23</v>
      </c>
      <c r="Z88" s="1149">
        <f t="shared" si="16"/>
        <v>1987</v>
      </c>
      <c r="AA88" s="371">
        <f t="shared" si="12"/>
        <v>11694727</v>
      </c>
      <c r="AB88" s="371">
        <f t="shared" si="13"/>
        <v>13066944</v>
      </c>
      <c r="AC88" s="1148">
        <f t="shared" si="14"/>
        <v>7</v>
      </c>
      <c r="AD88" s="1148">
        <f t="shared" si="18"/>
        <v>7</v>
      </c>
    </row>
    <row r="89" spans="1:30">
      <c r="A89" s="363">
        <v>1975</v>
      </c>
      <c r="B89" s="365" t="s">
        <v>263</v>
      </c>
      <c r="C89" s="369">
        <v>2056878</v>
      </c>
      <c r="D89" s="367" t="s">
        <v>262</v>
      </c>
      <c r="E89" s="367" t="s">
        <v>262</v>
      </c>
      <c r="F89" s="369">
        <v>1265560</v>
      </c>
      <c r="G89" s="371">
        <f t="shared" si="17"/>
        <v>2902660.5504587158</v>
      </c>
      <c r="H89" s="371">
        <f t="shared" si="5"/>
        <v>3628325.6880733944</v>
      </c>
      <c r="I89" s="371"/>
      <c r="J89" s="371">
        <f t="shared" si="1"/>
        <v>3322438</v>
      </c>
      <c r="K89" s="371">
        <f t="shared" si="2"/>
        <v>4959538.5504587162</v>
      </c>
      <c r="L89" s="371">
        <f t="shared" si="3"/>
        <v>5685203.6880733948</v>
      </c>
      <c r="N89" s="355">
        <f t="shared" si="15"/>
        <v>1.6187615173753684</v>
      </c>
      <c r="O89" s="897"/>
      <c r="P89" s="897"/>
      <c r="R89" s="356">
        <f t="shared" si="6"/>
        <v>40</v>
      </c>
      <c r="S89" s="1037">
        <f t="shared" si="10"/>
        <v>1975</v>
      </c>
      <c r="T89" s="371">
        <f t="shared" si="7"/>
        <v>2056878</v>
      </c>
      <c r="U89" s="1037">
        <f t="shared" si="11"/>
        <v>1990</v>
      </c>
      <c r="V89" s="371">
        <f t="shared" si="8"/>
        <v>11687757</v>
      </c>
      <c r="W89" s="371">
        <f t="shared" si="4"/>
        <v>12923662</v>
      </c>
      <c r="X89" s="1148">
        <f t="shared" si="9"/>
        <v>4</v>
      </c>
      <c r="Z89" s="1149">
        <f t="shared" si="16"/>
        <v>1989</v>
      </c>
      <c r="AA89" s="371">
        <f t="shared" si="12"/>
        <v>3510074</v>
      </c>
      <c r="AB89" s="371">
        <f t="shared" si="13"/>
        <v>4743750</v>
      </c>
      <c r="AC89" s="1148">
        <f t="shared" si="14"/>
        <v>20</v>
      </c>
      <c r="AD89" s="1148">
        <f t="shared" si="18"/>
        <v>16</v>
      </c>
    </row>
    <row r="90" spans="1:30" ht="17" thickBot="1">
      <c r="A90" s="363">
        <v>1976</v>
      </c>
      <c r="B90" s="365" t="s">
        <v>177</v>
      </c>
      <c r="C90" s="370">
        <v>448773</v>
      </c>
      <c r="D90" s="367" t="s">
        <v>262</v>
      </c>
      <c r="E90" s="367" t="s">
        <v>262</v>
      </c>
      <c r="F90" s="369">
        <v>712278</v>
      </c>
      <c r="G90" s="371">
        <f t="shared" si="17"/>
        <v>1633665.1376146788</v>
      </c>
      <c r="H90" s="371">
        <f t="shared" si="5"/>
        <v>2042081.4220183485</v>
      </c>
      <c r="I90" s="371"/>
      <c r="J90" s="371">
        <f t="shared" si="1"/>
        <v>1161051</v>
      </c>
      <c r="K90" s="371">
        <f t="shared" si="2"/>
        <v>2082438.1376146788</v>
      </c>
      <c r="L90" s="371">
        <f t="shared" si="3"/>
        <v>2490854.4220183482</v>
      </c>
      <c r="N90" s="355">
        <f t="shared" si="15"/>
        <v>0.90678622969982881</v>
      </c>
      <c r="O90" s="897"/>
      <c r="P90" s="897"/>
      <c r="R90" s="356">
        <f t="shared" si="6"/>
        <v>52</v>
      </c>
      <c r="S90" s="1037">
        <f t="shared" si="10"/>
        <v>1976</v>
      </c>
      <c r="T90" s="371">
        <f t="shared" si="7"/>
        <v>448773</v>
      </c>
      <c r="U90" s="1037">
        <f t="shared" si="11"/>
        <v>1992</v>
      </c>
      <c r="V90" s="371">
        <f t="shared" si="8"/>
        <v>862846</v>
      </c>
      <c r="W90" s="371">
        <f t="shared" si="4"/>
        <v>1405383</v>
      </c>
      <c r="X90" s="1148">
        <f t="shared" si="9"/>
        <v>24</v>
      </c>
      <c r="Z90" s="1149">
        <f t="shared" si="16"/>
        <v>1991</v>
      </c>
      <c r="AA90" s="371">
        <f t="shared" si="12"/>
        <v>5818984</v>
      </c>
      <c r="AB90" s="371">
        <f t="shared" si="13"/>
        <v>7544776</v>
      </c>
      <c r="AC90" s="1148">
        <f t="shared" si="14"/>
        <v>15</v>
      </c>
      <c r="AD90" s="1148">
        <f t="shared" si="18"/>
        <v>13</v>
      </c>
    </row>
    <row r="91" spans="1:30">
      <c r="A91" s="363">
        <v>1977</v>
      </c>
      <c r="B91" s="365" t="s">
        <v>263</v>
      </c>
      <c r="C91" s="395">
        <f>M91-F91</f>
        <v>4298734</v>
      </c>
      <c r="D91" s="398">
        <v>0</v>
      </c>
      <c r="E91" s="399">
        <v>0</v>
      </c>
      <c r="F91" s="385">
        <v>1517667</v>
      </c>
      <c r="G91" s="371">
        <f t="shared" si="17"/>
        <v>3480887.6146788993</v>
      </c>
      <c r="H91" s="371">
        <f t="shared" si="5"/>
        <v>4351109.518348624</v>
      </c>
      <c r="I91" s="371"/>
      <c r="J91" s="371">
        <f t="shared" si="1"/>
        <v>5816401</v>
      </c>
      <c r="K91" s="371">
        <f t="shared" si="2"/>
        <v>7779621.6146788988</v>
      </c>
      <c r="L91" s="371">
        <f t="shared" si="3"/>
        <v>8649843.5183486231</v>
      </c>
      <c r="M91" s="368">
        <v>5816401</v>
      </c>
      <c r="N91" s="355">
        <f t="shared" si="15"/>
        <v>2.3839765947090616</v>
      </c>
      <c r="O91" s="894">
        <v>6300000</v>
      </c>
      <c r="P91" s="897"/>
      <c r="R91" s="356">
        <f t="shared" si="6"/>
        <v>25</v>
      </c>
      <c r="S91" s="1037">
        <f t="shared" si="10"/>
        <v>1977</v>
      </c>
      <c r="T91" s="371">
        <f t="shared" si="7"/>
        <v>4298734</v>
      </c>
      <c r="U91" s="1037">
        <f t="shared" si="11"/>
        <v>1994</v>
      </c>
      <c r="V91" s="371">
        <f t="shared" si="8"/>
        <v>3257358</v>
      </c>
      <c r="W91" s="371">
        <f t="shared" si="4"/>
        <v>4666639</v>
      </c>
      <c r="X91" s="1148">
        <f t="shared" si="9"/>
        <v>11</v>
      </c>
      <c r="Z91" s="1149">
        <f t="shared" si="16"/>
        <v>1993</v>
      </c>
      <c r="AA91" s="371">
        <f t="shared" si="12"/>
        <v>477302</v>
      </c>
      <c r="AB91" s="371">
        <f t="shared" si="13"/>
        <v>1542942</v>
      </c>
      <c r="AC91" s="1148">
        <f t="shared" si="14"/>
        <v>28</v>
      </c>
      <c r="AD91" s="1148">
        <f t="shared" si="18"/>
        <v>21</v>
      </c>
    </row>
    <row r="92" spans="1:30">
      <c r="A92" s="363">
        <v>1978</v>
      </c>
      <c r="B92" s="365" t="s">
        <v>177</v>
      </c>
      <c r="C92" s="396">
        <f t="shared" ref="C92:C102" si="19">M92-F92</f>
        <v>3169697</v>
      </c>
      <c r="D92" s="400">
        <v>0</v>
      </c>
      <c r="E92" s="401">
        <v>0</v>
      </c>
      <c r="F92" s="385">
        <v>755386</v>
      </c>
      <c r="G92" s="371">
        <f t="shared" si="17"/>
        <v>1732536.6972477064</v>
      </c>
      <c r="H92" s="371">
        <f t="shared" si="5"/>
        <v>2165670.8715596329</v>
      </c>
      <c r="I92" s="371"/>
      <c r="J92" s="371">
        <f t="shared" si="1"/>
        <v>3925083</v>
      </c>
      <c r="K92" s="371">
        <f t="shared" si="2"/>
        <v>4902233.6972477064</v>
      </c>
      <c r="L92" s="371">
        <f t="shared" si="3"/>
        <v>5335367.8715596329</v>
      </c>
      <c r="M92" s="369">
        <v>3925083</v>
      </c>
      <c r="N92" s="355">
        <f t="shared" si="15"/>
        <v>2.6127106461241256</v>
      </c>
      <c r="O92" s="894">
        <v>4200000</v>
      </c>
      <c r="P92" s="897"/>
      <c r="R92" s="356">
        <f t="shared" si="6"/>
        <v>43</v>
      </c>
      <c r="S92" s="1037">
        <f t="shared" si="10"/>
        <v>1978</v>
      </c>
      <c r="T92" s="371">
        <f t="shared" si="7"/>
        <v>3169697</v>
      </c>
      <c r="U92" s="1037">
        <f t="shared" si="11"/>
        <v>1996</v>
      </c>
      <c r="V92" s="371">
        <f t="shared" si="8"/>
        <v>3016749</v>
      </c>
      <c r="W92" s="371">
        <f t="shared" si="4"/>
        <v>4500085</v>
      </c>
      <c r="X92" s="1148">
        <f t="shared" si="9"/>
        <v>12</v>
      </c>
      <c r="Z92" s="1149">
        <f t="shared" si="16"/>
        <v>1995</v>
      </c>
      <c r="AA92" s="371">
        <f t="shared" si="12"/>
        <v>2744024</v>
      </c>
      <c r="AB92" s="371">
        <f t="shared" si="13"/>
        <v>3934208</v>
      </c>
      <c r="AC92" s="1148">
        <f t="shared" si="14"/>
        <v>22</v>
      </c>
      <c r="AD92" s="1148">
        <f t="shared" si="18"/>
        <v>17</v>
      </c>
    </row>
    <row r="93" spans="1:30">
      <c r="A93" s="363">
        <v>1979</v>
      </c>
      <c r="B93" s="365" t="s">
        <v>263</v>
      </c>
      <c r="C93" s="396">
        <f t="shared" si="19"/>
        <v>14433526</v>
      </c>
      <c r="D93" s="400">
        <v>0</v>
      </c>
      <c r="E93" s="401">
        <v>0</v>
      </c>
      <c r="F93" s="385">
        <v>2901977</v>
      </c>
      <c r="G93" s="371">
        <f t="shared" si="17"/>
        <v>6655910.5504587153</v>
      </c>
      <c r="H93" s="371">
        <f t="shared" si="5"/>
        <v>8319888.1880733939</v>
      </c>
      <c r="I93" s="371"/>
      <c r="J93" s="371">
        <f t="shared" si="1"/>
        <v>17335503</v>
      </c>
      <c r="K93" s="371">
        <f t="shared" si="2"/>
        <v>21089436.550458714</v>
      </c>
      <c r="L93" s="371">
        <f t="shared" si="3"/>
        <v>22753414.188073393</v>
      </c>
      <c r="M93" s="369">
        <v>17335503</v>
      </c>
      <c r="N93" s="355">
        <f t="shared" si="15"/>
        <v>5.229336124986574</v>
      </c>
      <c r="O93" s="894">
        <v>8100000</v>
      </c>
      <c r="P93" s="897"/>
      <c r="R93" s="356">
        <f t="shared" si="6"/>
        <v>6</v>
      </c>
      <c r="S93" s="1037">
        <f t="shared" si="10"/>
        <v>1979</v>
      </c>
      <c r="T93" s="371">
        <f t="shared" si="7"/>
        <v>14433526</v>
      </c>
      <c r="U93" s="1037">
        <f t="shared" si="11"/>
        <v>1998</v>
      </c>
      <c r="V93" s="371">
        <f t="shared" si="8"/>
        <v>3850410.5</v>
      </c>
      <c r="W93" s="371">
        <f t="shared" si="4"/>
        <v>5274275.5</v>
      </c>
      <c r="X93" s="1148">
        <f t="shared" si="9"/>
        <v>9</v>
      </c>
      <c r="Z93" s="1149">
        <f t="shared" si="16"/>
        <v>1997</v>
      </c>
      <c r="AA93" s="371">
        <f t="shared" si="12"/>
        <v>1163052</v>
      </c>
      <c r="AB93" s="371">
        <f t="shared" si="13"/>
        <v>2588682</v>
      </c>
      <c r="AC93" s="1148">
        <f t="shared" si="14"/>
        <v>27</v>
      </c>
      <c r="AD93" s="1148">
        <f t="shared" si="18"/>
        <v>20</v>
      </c>
    </row>
    <row r="94" spans="1:30">
      <c r="A94" s="363">
        <v>1980</v>
      </c>
      <c r="B94" s="365" t="s">
        <v>177</v>
      </c>
      <c r="C94" s="396">
        <f t="shared" si="19"/>
        <v>12918874</v>
      </c>
      <c r="D94" s="400">
        <v>0</v>
      </c>
      <c r="E94" s="401">
        <v>0</v>
      </c>
      <c r="F94" s="385">
        <v>1095042</v>
      </c>
      <c r="G94" s="371">
        <f t="shared" si="17"/>
        <v>2511564.2201834861</v>
      </c>
      <c r="H94" s="371">
        <f t="shared" si="5"/>
        <v>3139455.2752293576</v>
      </c>
      <c r="I94" s="371"/>
      <c r="J94" s="371">
        <f t="shared" si="1"/>
        <v>14013916</v>
      </c>
      <c r="K94" s="371">
        <f t="shared" si="2"/>
        <v>15430438.220183486</v>
      </c>
      <c r="L94" s="371">
        <f t="shared" si="3"/>
        <v>16058329.275229357</v>
      </c>
      <c r="M94" s="369">
        <v>14013916</v>
      </c>
      <c r="N94" s="355">
        <f t="shared" si="15"/>
        <v>7.414944480305433</v>
      </c>
      <c r="O94" s="894">
        <v>5000000</v>
      </c>
      <c r="P94" s="897"/>
      <c r="R94" s="356">
        <f t="shared" si="6"/>
        <v>9</v>
      </c>
      <c r="S94" s="1037">
        <f t="shared" si="10"/>
        <v>1980</v>
      </c>
      <c r="T94" s="371">
        <f t="shared" si="7"/>
        <v>12918874</v>
      </c>
      <c r="U94" s="1037">
        <f t="shared" si="11"/>
        <v>2000</v>
      </c>
      <c r="V94" s="371">
        <f t="shared" si="8"/>
        <v>5730913</v>
      </c>
      <c r="W94" s="371">
        <f t="shared" si="4"/>
        <v>7389941</v>
      </c>
      <c r="X94" s="1148">
        <f t="shared" si="9"/>
        <v>6</v>
      </c>
      <c r="Z94" s="1149">
        <f t="shared" si="16"/>
        <v>1999</v>
      </c>
      <c r="AA94" s="371">
        <f t="shared" si="12"/>
        <v>6939831</v>
      </c>
      <c r="AB94" s="371">
        <f t="shared" si="13"/>
        <v>9405198</v>
      </c>
      <c r="AC94" s="1148">
        <f t="shared" si="14"/>
        <v>11</v>
      </c>
      <c r="AD94" s="1148">
        <f t="shared" si="18"/>
        <v>11</v>
      </c>
    </row>
    <row r="95" spans="1:30">
      <c r="A95" s="363">
        <v>1981</v>
      </c>
      <c r="B95" s="365" t="s">
        <v>263</v>
      </c>
      <c r="C95" s="396">
        <f t="shared" si="19"/>
        <v>17402547</v>
      </c>
      <c r="D95" s="400">
        <v>0</v>
      </c>
      <c r="E95" s="401">
        <v>0</v>
      </c>
      <c r="F95" s="385">
        <v>2166319</v>
      </c>
      <c r="G95" s="371">
        <f t="shared" si="17"/>
        <v>4968621.5596330278</v>
      </c>
      <c r="H95" s="371">
        <f t="shared" si="5"/>
        <v>6210776.9495412847</v>
      </c>
      <c r="I95" s="371"/>
      <c r="J95" s="371">
        <f t="shared" si="1"/>
        <v>19568866</v>
      </c>
      <c r="K95" s="371">
        <f t="shared" si="2"/>
        <v>22371168.559633028</v>
      </c>
      <c r="L95" s="371">
        <f t="shared" si="3"/>
        <v>23613323.949541286</v>
      </c>
      <c r="M95" s="369">
        <v>19568866</v>
      </c>
      <c r="N95" s="355">
        <f t="shared" si="15"/>
        <v>2.8381780398673047</v>
      </c>
      <c r="O95" s="894">
        <v>12100000</v>
      </c>
      <c r="P95" s="897"/>
      <c r="R95" s="356">
        <f t="shared" si="6"/>
        <v>5</v>
      </c>
      <c r="S95" s="1037">
        <f t="shared" si="10"/>
        <v>1981</v>
      </c>
      <c r="T95" s="371">
        <f t="shared" si="7"/>
        <v>17402547</v>
      </c>
      <c r="U95" s="1037">
        <f t="shared" si="11"/>
        <v>2002</v>
      </c>
      <c r="V95" s="371">
        <f t="shared" si="8"/>
        <v>321468.31020259229</v>
      </c>
      <c r="W95" s="371">
        <f t="shared" si="4"/>
        <v>1264645.3102025923</v>
      </c>
      <c r="X95" s="1148">
        <f t="shared" si="9"/>
        <v>25</v>
      </c>
      <c r="Z95" s="1149">
        <f>Z94+2</f>
        <v>2001</v>
      </c>
      <c r="AA95" s="371">
        <f t="shared" si="12"/>
        <v>6854290.9808041956</v>
      </c>
      <c r="AB95" s="371">
        <f t="shared" si="13"/>
        <v>8854676.9808041956</v>
      </c>
      <c r="AC95" s="1148">
        <f t="shared" si="14"/>
        <v>12</v>
      </c>
      <c r="AD95" s="1148">
        <f t="shared" si="18"/>
        <v>12</v>
      </c>
    </row>
    <row r="96" spans="1:30">
      <c r="A96" s="363">
        <v>1982</v>
      </c>
      <c r="B96" s="365" t="s">
        <v>177</v>
      </c>
      <c r="C96" s="396">
        <f>M96-F96</f>
        <v>14945199</v>
      </c>
      <c r="D96" s="400">
        <v>0</v>
      </c>
      <c r="E96" s="401">
        <v>0</v>
      </c>
      <c r="F96" s="385">
        <v>1849118</v>
      </c>
      <c r="G96" s="371">
        <f t="shared" si="17"/>
        <v>4241096.3302752292</v>
      </c>
      <c r="H96" s="371">
        <f t="shared" si="5"/>
        <v>5301370.4128440358</v>
      </c>
      <c r="I96" s="371"/>
      <c r="J96" s="371">
        <f t="shared" si="1"/>
        <v>16794317</v>
      </c>
      <c r="K96" s="371">
        <f t="shared" si="2"/>
        <v>19186295.33027523</v>
      </c>
      <c r="L96" s="371">
        <f t="shared" si="3"/>
        <v>20246569.412844036</v>
      </c>
      <c r="M96" s="369">
        <v>16794317</v>
      </c>
      <c r="N96" s="355">
        <f t="shared" si="15"/>
        <v>6.4490708221237174</v>
      </c>
      <c r="O96" s="894">
        <v>17600000</v>
      </c>
      <c r="P96" s="897"/>
      <c r="R96" s="356">
        <f t="shared" si="6"/>
        <v>7</v>
      </c>
      <c r="S96" s="1037">
        <f t="shared" si="10"/>
        <v>1982</v>
      </c>
      <c r="T96" s="371">
        <f t="shared" si="7"/>
        <v>14945199</v>
      </c>
      <c r="U96" s="1037">
        <f t="shared" si="11"/>
        <v>2004</v>
      </c>
      <c r="V96" s="371">
        <f t="shared" si="8"/>
        <v>2938308.0563474386</v>
      </c>
      <c r="W96" s="371">
        <f t="shared" si="4"/>
        <v>4939431.0563474381</v>
      </c>
      <c r="X96" s="1148">
        <f t="shared" si="9"/>
        <v>10</v>
      </c>
      <c r="Z96" s="1149">
        <f t="shared" si="16"/>
        <v>2003</v>
      </c>
      <c r="AA96" s="371">
        <f t="shared" si="12"/>
        <v>4497779.9398193052</v>
      </c>
      <c r="AB96" s="371">
        <f t="shared" si="13"/>
        <v>7344511.9398193061</v>
      </c>
      <c r="AC96" s="1148">
        <f t="shared" si="14"/>
        <v>16</v>
      </c>
      <c r="AD96" s="1148">
        <f t="shared" si="18"/>
        <v>14</v>
      </c>
    </row>
    <row r="97" spans="1:30">
      <c r="A97" s="363">
        <v>1983</v>
      </c>
      <c r="B97" s="365" t="s">
        <v>263</v>
      </c>
      <c r="C97" s="396">
        <f t="shared" si="19"/>
        <v>9564242</v>
      </c>
      <c r="D97" s="400">
        <v>0</v>
      </c>
      <c r="E97" s="401">
        <v>0</v>
      </c>
      <c r="F97" s="385">
        <v>2003106</v>
      </c>
      <c r="G97" s="371">
        <f t="shared" si="17"/>
        <v>4594279.8165137619</v>
      </c>
      <c r="H97" s="371">
        <f t="shared" si="5"/>
        <v>5742849.7706422023</v>
      </c>
      <c r="I97" s="371"/>
      <c r="J97" s="371">
        <f t="shared" si="1"/>
        <v>11567348</v>
      </c>
      <c r="K97" s="371">
        <f t="shared" si="2"/>
        <v>14158521.816513762</v>
      </c>
      <c r="L97" s="371">
        <f t="shared" si="3"/>
        <v>15307091.770642202</v>
      </c>
      <c r="M97" s="369">
        <v>11567348</v>
      </c>
      <c r="N97" s="355">
        <f t="shared" si="15"/>
        <v>2.4646017551431716</v>
      </c>
      <c r="O97" s="894">
        <v>13700000</v>
      </c>
      <c r="P97" s="897"/>
      <c r="R97" s="356">
        <f t="shared" si="6"/>
        <v>11</v>
      </c>
      <c r="S97" s="1037">
        <f t="shared" si="10"/>
        <v>1983</v>
      </c>
      <c r="T97" s="371">
        <f t="shared" si="7"/>
        <v>9564242</v>
      </c>
      <c r="U97" s="1037">
        <f t="shared" si="11"/>
        <v>2006</v>
      </c>
      <c r="V97" s="371">
        <f t="shared" si="8"/>
        <v>2123901.1744626728</v>
      </c>
      <c r="W97" s="371">
        <f t="shared" si="4"/>
        <v>3314702.7753436686</v>
      </c>
      <c r="X97" s="1148">
        <f t="shared" si="9"/>
        <v>19</v>
      </c>
      <c r="Z97" s="1149">
        <f t="shared" si="16"/>
        <v>2005</v>
      </c>
      <c r="AA97" s="371">
        <f t="shared" si="12"/>
        <v>12296371.828178193</v>
      </c>
      <c r="AB97" s="371">
        <f t="shared" si="13"/>
        <v>17032487.685321052</v>
      </c>
      <c r="AC97" s="1148">
        <f t="shared" si="14"/>
        <v>5</v>
      </c>
      <c r="AD97" s="1148">
        <f t="shared" si="18"/>
        <v>5</v>
      </c>
    </row>
    <row r="98" spans="1:30">
      <c r="A98" s="363">
        <v>1984</v>
      </c>
      <c r="B98" s="365" t="s">
        <v>177</v>
      </c>
      <c r="C98" s="396">
        <f t="shared" si="19"/>
        <v>17631675</v>
      </c>
      <c r="D98" s="400">
        <v>0</v>
      </c>
      <c r="E98" s="401">
        <v>0</v>
      </c>
      <c r="F98" s="385">
        <v>3569838</v>
      </c>
      <c r="G98" s="371">
        <f t="shared" si="17"/>
        <v>8187701.8348623849</v>
      </c>
      <c r="H98" s="371">
        <f t="shared" si="5"/>
        <v>10234627.29357798</v>
      </c>
      <c r="I98" s="371"/>
      <c r="J98" s="371">
        <f t="shared" si="1"/>
        <v>21201513</v>
      </c>
      <c r="K98" s="371">
        <f t="shared" si="2"/>
        <v>25819376.834862385</v>
      </c>
      <c r="L98" s="371">
        <f t="shared" si="3"/>
        <v>27866302.29357798</v>
      </c>
      <c r="M98" s="369">
        <v>21201513</v>
      </c>
      <c r="N98" s="355">
        <f t="shared" si="15"/>
        <v>5.256433737598142</v>
      </c>
      <c r="O98" s="894">
        <v>11800000</v>
      </c>
      <c r="P98" s="897"/>
      <c r="R98" s="356">
        <f t="shared" si="6"/>
        <v>2</v>
      </c>
      <c r="S98" s="1037">
        <f t="shared" si="10"/>
        <v>1984</v>
      </c>
      <c r="T98" s="371">
        <f t="shared" si="7"/>
        <v>17631675</v>
      </c>
      <c r="U98" s="1037">
        <f t="shared" si="11"/>
        <v>2008</v>
      </c>
      <c r="V98" s="371">
        <f t="shared" si="8"/>
        <v>1428273.1656029599</v>
      </c>
      <c r="W98" s="371">
        <f t="shared" si="4"/>
        <v>2290691.6775990888</v>
      </c>
      <c r="X98" s="1148">
        <f t="shared" si="9"/>
        <v>22</v>
      </c>
      <c r="Z98" s="1149">
        <f t="shared" si="16"/>
        <v>2007</v>
      </c>
      <c r="AA98" s="371">
        <f t="shared" si="12"/>
        <v>10017854.632119885</v>
      </c>
      <c r="AB98" s="371">
        <f t="shared" si="13"/>
        <v>11526987.795003444</v>
      </c>
      <c r="AC98" s="1148">
        <f t="shared" si="14"/>
        <v>9</v>
      </c>
      <c r="AD98" s="1148">
        <f t="shared" si="18"/>
        <v>9</v>
      </c>
    </row>
    <row r="99" spans="1:30">
      <c r="A99" s="363">
        <v>1985</v>
      </c>
      <c r="B99" s="365" t="s">
        <v>263</v>
      </c>
      <c r="C99" s="396">
        <f t="shared" si="19"/>
        <v>17590108</v>
      </c>
      <c r="D99" s="400">
        <v>0</v>
      </c>
      <c r="E99" s="401">
        <v>0</v>
      </c>
      <c r="F99" s="385">
        <v>2347997</v>
      </c>
      <c r="G99" s="371">
        <f t="shared" si="17"/>
        <v>5385314.2201834861</v>
      </c>
      <c r="H99" s="371">
        <f t="shared" si="5"/>
        <v>6731642.7752293572</v>
      </c>
      <c r="I99" s="371"/>
      <c r="J99" s="371">
        <f t="shared" si="1"/>
        <v>19938105</v>
      </c>
      <c r="K99" s="371">
        <f t="shared" si="2"/>
        <v>22975422.220183484</v>
      </c>
      <c r="L99" s="371">
        <f t="shared" si="3"/>
        <v>24321750.775229357</v>
      </c>
      <c r="M99" s="369">
        <v>19938105</v>
      </c>
      <c r="N99" s="355">
        <f t="shared" si="15"/>
        <v>4.2351361687299622</v>
      </c>
      <c r="O99" s="894">
        <v>14300000</v>
      </c>
      <c r="P99" s="897"/>
      <c r="R99" s="356">
        <f t="shared" si="6"/>
        <v>4</v>
      </c>
      <c r="S99" s="1037">
        <f t="shared" si="10"/>
        <v>1985</v>
      </c>
      <c r="T99" s="371">
        <f t="shared" si="7"/>
        <v>17590108</v>
      </c>
      <c r="U99" s="1037">
        <f t="shared" si="11"/>
        <v>2010</v>
      </c>
      <c r="V99" s="371">
        <f t="shared" si="8"/>
        <v>2398982.727217237</v>
      </c>
      <c r="W99" s="371">
        <f>VLOOKUP($U99,$A$74:$J$128,10,FALSE)</f>
        <v>4399390.7272172375</v>
      </c>
      <c r="X99" s="1148">
        <f t="shared" si="9"/>
        <v>14</v>
      </c>
      <c r="Z99" s="1149">
        <f t="shared" si="16"/>
        <v>2009</v>
      </c>
      <c r="AA99" s="371">
        <f t="shared" si="12"/>
        <v>994707.99790429964</v>
      </c>
      <c r="AB99" s="371">
        <f t="shared" si="13"/>
        <v>2824330.6070667375</v>
      </c>
      <c r="AC99" s="1148">
        <f t="shared" si="14"/>
        <v>26</v>
      </c>
      <c r="AD99" s="1148">
        <f t="shared" si="18"/>
        <v>19</v>
      </c>
    </row>
    <row r="100" spans="1:30">
      <c r="A100" s="363">
        <v>1986</v>
      </c>
      <c r="B100" s="365" t="s">
        <v>177</v>
      </c>
      <c r="C100" s="396">
        <f t="shared" si="19"/>
        <v>4578023</v>
      </c>
      <c r="D100" s="400">
        <v>0</v>
      </c>
      <c r="E100" s="401">
        <v>0</v>
      </c>
      <c r="F100" s="385">
        <v>985934</v>
      </c>
      <c r="G100" s="371">
        <f t="shared" si="17"/>
        <v>2261316.5137614678</v>
      </c>
      <c r="H100" s="371">
        <f t="shared" si="5"/>
        <v>2826645.6422018344</v>
      </c>
      <c r="I100" s="371"/>
      <c r="J100" s="371">
        <f t="shared" si="1"/>
        <v>5563957</v>
      </c>
      <c r="K100" s="371">
        <f t="shared" si="2"/>
        <v>6839339.5137614682</v>
      </c>
      <c r="L100" s="371">
        <f t="shared" si="3"/>
        <v>7404668.6422018344</v>
      </c>
      <c r="M100" s="369">
        <v>5563957</v>
      </c>
      <c r="N100" s="355">
        <f t="shared" si="15"/>
        <v>0.72349177256783082</v>
      </c>
      <c r="O100" s="894">
        <v>16700000</v>
      </c>
      <c r="P100" s="897"/>
      <c r="R100" s="356">
        <f t="shared" si="6"/>
        <v>29</v>
      </c>
      <c r="S100" s="1037">
        <f t="shared" si="10"/>
        <v>1986</v>
      </c>
      <c r="T100" s="371">
        <f t="shared" si="7"/>
        <v>4578023</v>
      </c>
      <c r="U100" s="1037">
        <f t="shared" si="11"/>
        <v>2012</v>
      </c>
      <c r="V100" s="371">
        <f>VLOOKUP(U100,$S$74:$T$128,2,FALSE)</f>
        <v>3302575.1008471898</v>
      </c>
      <c r="W100" s="371">
        <f t="shared" ref="W100:W101" si="20">VLOOKUP($U100,$A$74:$J$128,10,FALSE)</f>
        <v>4428267.5450134957</v>
      </c>
      <c r="X100" s="1148">
        <f t="shared" si="9"/>
        <v>13</v>
      </c>
      <c r="Z100" s="1149">
        <f t="shared" si="16"/>
        <v>2011</v>
      </c>
      <c r="AA100" s="371">
        <f t="shared" si="12"/>
        <v>5715680</v>
      </c>
      <c r="AB100" s="371">
        <f t="shared" si="13"/>
        <v>9643099</v>
      </c>
      <c r="AC100" s="1148">
        <f t="shared" si="14"/>
        <v>10</v>
      </c>
      <c r="AD100" s="1148">
        <f t="shared" si="18"/>
        <v>10</v>
      </c>
    </row>
    <row r="101" spans="1:30">
      <c r="A101" s="363">
        <v>1987</v>
      </c>
      <c r="B101" s="365" t="s">
        <v>263</v>
      </c>
      <c r="C101" s="396">
        <f>M101-F101</f>
        <v>11694727</v>
      </c>
      <c r="D101" s="400">
        <v>0</v>
      </c>
      <c r="E101" s="401">
        <v>0</v>
      </c>
      <c r="F101" s="385">
        <v>1372217</v>
      </c>
      <c r="G101" s="371">
        <f t="shared" si="17"/>
        <v>3147286.6972477064</v>
      </c>
      <c r="H101" s="371">
        <f t="shared" si="5"/>
        <v>3934108.3715596329</v>
      </c>
      <c r="I101" s="371"/>
      <c r="J101" s="371">
        <f t="shared" si="1"/>
        <v>13066944</v>
      </c>
      <c r="K101" s="371">
        <f>SUM(G101,E101,D101,C101)</f>
        <v>14842013.697247706</v>
      </c>
      <c r="L101" s="371">
        <f t="shared" si="3"/>
        <v>15628835.371559633</v>
      </c>
      <c r="M101" s="369">
        <v>13066944</v>
      </c>
      <c r="N101" s="355">
        <f t="shared" si="15"/>
        <v>2.321697079510749</v>
      </c>
      <c r="O101" s="894">
        <v>8199999.9999999991</v>
      </c>
      <c r="P101" s="897"/>
      <c r="R101" s="356">
        <f t="shared" si="6"/>
        <v>10</v>
      </c>
      <c r="S101" s="1037">
        <f>S100+1</f>
        <v>1987</v>
      </c>
      <c r="T101" s="371">
        <f t="shared" si="7"/>
        <v>11694727</v>
      </c>
      <c r="U101" s="1037">
        <f t="shared" si="11"/>
        <v>2014</v>
      </c>
      <c r="V101" s="371">
        <f>VLOOKUP(U101,$S$74:$T$128,2,FALSE)</f>
        <v>1890021</v>
      </c>
      <c r="W101" s="371">
        <f t="shared" si="20"/>
        <v>2702397</v>
      </c>
      <c r="X101" s="1148">
        <f>RANK(W101,$W$74:$W$106)</f>
        <v>21</v>
      </c>
      <c r="Z101" s="1149">
        <f t="shared" si="16"/>
        <v>2013</v>
      </c>
      <c r="AA101" s="371">
        <f t="shared" si="12"/>
        <v>17281214</v>
      </c>
      <c r="AB101" s="371">
        <f t="shared" si="13"/>
        <v>21965453</v>
      </c>
      <c r="AC101" s="1148">
        <f t="shared" si="14"/>
        <v>1</v>
      </c>
      <c r="AD101" s="1148">
        <f t="shared" si="18"/>
        <v>1</v>
      </c>
    </row>
    <row r="102" spans="1:30" ht="17" thickBot="1">
      <c r="A102" s="363">
        <v>1988</v>
      </c>
      <c r="B102" s="365" t="s">
        <v>177</v>
      </c>
      <c r="C102" s="397">
        <f t="shared" si="19"/>
        <v>795772</v>
      </c>
      <c r="D102" s="400">
        <v>0</v>
      </c>
      <c r="E102" s="401">
        <v>0</v>
      </c>
      <c r="F102" s="385">
        <v>971164</v>
      </c>
      <c r="G102" s="371">
        <f t="shared" si="17"/>
        <v>2227440.3669724772</v>
      </c>
      <c r="H102" s="371">
        <f t="shared" si="5"/>
        <v>2784300.4587155962</v>
      </c>
      <c r="I102" s="371"/>
      <c r="J102" s="371">
        <f t="shared" si="1"/>
        <v>1766936</v>
      </c>
      <c r="K102" s="371">
        <f t="shared" si="2"/>
        <v>3023212.3669724772</v>
      </c>
      <c r="L102" s="371">
        <f t="shared" si="3"/>
        <v>3580072.4587155962</v>
      </c>
      <c r="M102" s="380">
        <v>1766936</v>
      </c>
      <c r="N102" s="355">
        <f t="shared" si="15"/>
        <v>1.2665444883734613</v>
      </c>
      <c r="O102" s="894">
        <v>7210000</v>
      </c>
      <c r="P102" s="897"/>
      <c r="R102" s="356">
        <f t="shared" si="6"/>
        <v>48</v>
      </c>
      <c r="S102" s="1037">
        <f t="shared" si="10"/>
        <v>1988</v>
      </c>
      <c r="T102" s="371">
        <f t="shared" si="7"/>
        <v>795772</v>
      </c>
      <c r="U102" s="1037"/>
      <c r="V102" s="371"/>
      <c r="W102" s="371"/>
      <c r="Z102" s="1149">
        <f t="shared" si="16"/>
        <v>2015</v>
      </c>
      <c r="AB102" s="371">
        <f>VLOOKUP(Z102,$S$74:$T$129,2,FALSE)</f>
        <v>16870000</v>
      </c>
      <c r="AD102" s="1150">
        <f t="shared" si="18"/>
        <v>6</v>
      </c>
    </row>
    <row r="103" spans="1:30">
      <c r="A103" s="363">
        <v>1989</v>
      </c>
      <c r="B103" s="365" t="s">
        <v>263</v>
      </c>
      <c r="C103" s="395">
        <f t="shared" ref="C103:C110" si="21">M103-F103</f>
        <v>3510074</v>
      </c>
      <c r="D103" s="400">
        <v>0</v>
      </c>
      <c r="E103" s="401">
        <v>0</v>
      </c>
      <c r="F103" s="385">
        <v>1233676</v>
      </c>
      <c r="G103" s="371">
        <f t="shared" si="17"/>
        <v>2829532.1100917431</v>
      </c>
      <c r="H103" s="371">
        <f t="shared" si="5"/>
        <v>3536915.1376146786</v>
      </c>
      <c r="I103" s="371"/>
      <c r="J103" s="371">
        <f t="shared" si="1"/>
        <v>4743750</v>
      </c>
      <c r="K103" s="371">
        <f t="shared" si="2"/>
        <v>6339606.1100917431</v>
      </c>
      <c r="L103" s="371">
        <f t="shared" si="3"/>
        <v>7046989.1376146786</v>
      </c>
      <c r="M103" s="378">
        <v>4743750</v>
      </c>
      <c r="N103" s="355">
        <f t="shared" si="15"/>
        <v>1.7912544526120868</v>
      </c>
      <c r="O103" s="894">
        <v>20100000</v>
      </c>
      <c r="P103" s="897"/>
      <c r="R103" s="356">
        <f t="shared" si="6"/>
        <v>32</v>
      </c>
      <c r="S103" s="1037">
        <f t="shared" si="10"/>
        <v>1989</v>
      </c>
      <c r="T103" s="371">
        <f t="shared" si="7"/>
        <v>3510074</v>
      </c>
      <c r="U103" s="1037"/>
    </row>
    <row r="104" spans="1:30">
      <c r="A104" s="363">
        <v>1990</v>
      </c>
      <c r="B104" s="365" t="s">
        <v>177</v>
      </c>
      <c r="C104" s="396">
        <f t="shared" si="21"/>
        <v>11687757</v>
      </c>
      <c r="D104" s="400">
        <v>0</v>
      </c>
      <c r="E104" s="401">
        <v>0</v>
      </c>
      <c r="F104" s="385">
        <v>1235905</v>
      </c>
      <c r="G104" s="371">
        <f t="shared" si="17"/>
        <v>2834644.4954128442</v>
      </c>
      <c r="H104" s="371">
        <f t="shared" si="5"/>
        <v>3543305.6192660551</v>
      </c>
      <c r="I104" s="371"/>
      <c r="J104" s="371">
        <f t="shared" si="1"/>
        <v>12923662</v>
      </c>
      <c r="K104" s="371">
        <f t="shared" si="2"/>
        <v>14522401.495412845</v>
      </c>
      <c r="L104" s="371">
        <f t="shared" si="3"/>
        <v>15231062.619266056</v>
      </c>
      <c r="M104" s="375">
        <v>12923662</v>
      </c>
      <c r="N104" s="355">
        <f t="shared" si="15"/>
        <v>5.4703372876259833</v>
      </c>
      <c r="O104" s="894">
        <v>3800000</v>
      </c>
      <c r="P104" s="897"/>
      <c r="R104" s="356">
        <f t="shared" si="6"/>
        <v>12</v>
      </c>
      <c r="S104" s="1037">
        <f t="shared" si="10"/>
        <v>1990</v>
      </c>
      <c r="T104" s="371">
        <f t="shared" si="7"/>
        <v>11687757</v>
      </c>
      <c r="U104" s="1037"/>
    </row>
    <row r="105" spans="1:30">
      <c r="A105" s="363">
        <v>1991</v>
      </c>
      <c r="B105" s="365" t="s">
        <v>263</v>
      </c>
      <c r="C105" s="396">
        <f t="shared" si="21"/>
        <v>5818984</v>
      </c>
      <c r="D105" s="400">
        <v>0</v>
      </c>
      <c r="E105" s="401">
        <v>0</v>
      </c>
      <c r="F105" s="385">
        <v>1725792</v>
      </c>
      <c r="G105" s="371">
        <f t="shared" si="17"/>
        <v>3958238.5321100918</v>
      </c>
      <c r="H105" s="371">
        <f t="shared" si="5"/>
        <v>4947798.1651376141</v>
      </c>
      <c r="I105" s="371"/>
      <c r="J105" s="371">
        <f t="shared" si="1"/>
        <v>7544776</v>
      </c>
      <c r="K105" s="371">
        <f t="shared" si="2"/>
        <v>9777222.5321100913</v>
      </c>
      <c r="L105" s="371">
        <f t="shared" si="3"/>
        <v>10766782.165137615</v>
      </c>
      <c r="M105" s="375">
        <v>7544776</v>
      </c>
      <c r="N105" s="355">
        <f t="shared" si="15"/>
        <v>3.0441166231652397</v>
      </c>
      <c r="O105" s="894">
        <v>7460000</v>
      </c>
      <c r="P105" s="897"/>
      <c r="R105" s="356">
        <f t="shared" si="6"/>
        <v>19</v>
      </c>
      <c r="S105" s="1037">
        <f t="shared" si="10"/>
        <v>1991</v>
      </c>
      <c r="T105" s="371">
        <f t="shared" si="7"/>
        <v>5818984</v>
      </c>
      <c r="U105" s="1037"/>
    </row>
    <row r="106" spans="1:30">
      <c r="A106" s="363">
        <v>1992</v>
      </c>
      <c r="B106" s="365" t="s">
        <v>177</v>
      </c>
      <c r="C106" s="396">
        <f t="shared" si="21"/>
        <v>862846</v>
      </c>
      <c r="D106" s="400">
        <v>0</v>
      </c>
      <c r="E106" s="401">
        <v>0</v>
      </c>
      <c r="F106" s="385">
        <v>542537</v>
      </c>
      <c r="G106" s="371">
        <f t="shared" si="17"/>
        <v>1244350.9174311927</v>
      </c>
      <c r="H106" s="371">
        <f t="shared" ref="H106:H125" si="22">G106/$H$6</f>
        <v>1555438.6467889908</v>
      </c>
      <c r="I106" s="371"/>
      <c r="J106" s="371">
        <f t="shared" ref="J106:J126" si="23">SUM(F106,E106,D106,C106)</f>
        <v>1405383</v>
      </c>
      <c r="K106" s="371">
        <f t="shared" ref="K106:K126" si="24">SUM(G106,E106,D106,C106)</f>
        <v>2107196.9174311925</v>
      </c>
      <c r="L106" s="371">
        <f t="shared" ref="L106:L126" si="25">SUM(H106,E106,D106,C106)</f>
        <v>2418284.6467889911</v>
      </c>
      <c r="M106" s="375">
        <v>1405383</v>
      </c>
      <c r="N106" s="355">
        <f t="shared" si="15"/>
        <v>0.68249394961586862</v>
      </c>
      <c r="O106" s="894">
        <v>2370000</v>
      </c>
      <c r="P106" s="897"/>
      <c r="R106" s="356">
        <f t="shared" si="6"/>
        <v>53</v>
      </c>
      <c r="S106" s="1037">
        <f t="shared" si="10"/>
        <v>1992</v>
      </c>
      <c r="T106" s="371">
        <f t="shared" si="7"/>
        <v>862846</v>
      </c>
      <c r="U106" s="1037"/>
    </row>
    <row r="107" spans="1:30">
      <c r="A107" s="363">
        <v>1993</v>
      </c>
      <c r="B107" s="365" t="s">
        <v>263</v>
      </c>
      <c r="C107" s="396">
        <f t="shared" si="21"/>
        <v>477302</v>
      </c>
      <c r="D107" s="400">
        <v>0</v>
      </c>
      <c r="E107" s="401">
        <v>0</v>
      </c>
      <c r="F107" s="385">
        <v>1065640</v>
      </c>
      <c r="G107" s="371">
        <f t="shared" si="17"/>
        <v>2444128.4403669727</v>
      </c>
      <c r="H107" s="371">
        <f t="shared" si="22"/>
        <v>3055160.5504587158</v>
      </c>
      <c r="I107" s="371"/>
      <c r="J107" s="371">
        <f t="shared" si="23"/>
        <v>1542942</v>
      </c>
      <c r="K107" s="371">
        <f t="shared" si="24"/>
        <v>2921430.4403669727</v>
      </c>
      <c r="L107" s="371">
        <f t="shared" si="25"/>
        <v>3532462.5504587158</v>
      </c>
      <c r="M107" s="375">
        <v>1542942</v>
      </c>
      <c r="N107" s="355">
        <f t="shared" si="15"/>
        <v>0.7139463722163506</v>
      </c>
      <c r="O107" s="894">
        <v>5410000</v>
      </c>
      <c r="P107" s="897"/>
      <c r="R107" s="356">
        <f t="shared" si="6"/>
        <v>49</v>
      </c>
      <c r="S107" s="1037">
        <f t="shared" si="10"/>
        <v>1993</v>
      </c>
      <c r="T107" s="371">
        <f t="shared" si="7"/>
        <v>477302</v>
      </c>
      <c r="U107" s="363"/>
    </row>
    <row r="108" spans="1:30">
      <c r="A108" s="363">
        <v>1994</v>
      </c>
      <c r="B108" s="365" t="s">
        <v>177</v>
      </c>
      <c r="C108" s="396">
        <f t="shared" si="21"/>
        <v>3257358</v>
      </c>
      <c r="D108" s="400">
        <v>0</v>
      </c>
      <c r="E108" s="401">
        <v>0</v>
      </c>
      <c r="F108" s="385">
        <v>1409281</v>
      </c>
      <c r="G108" s="371">
        <f t="shared" si="17"/>
        <v>3232295.8715596329</v>
      </c>
      <c r="H108" s="371">
        <f t="shared" si="22"/>
        <v>4040369.8394495412</v>
      </c>
      <c r="I108" s="371"/>
      <c r="J108" s="371">
        <f t="shared" si="23"/>
        <v>4666639</v>
      </c>
      <c r="K108" s="371">
        <f t="shared" si="24"/>
        <v>6489653.8715596329</v>
      </c>
      <c r="L108" s="371">
        <f t="shared" si="25"/>
        <v>7297727.8394495416</v>
      </c>
      <c r="M108" s="375">
        <v>4666639</v>
      </c>
      <c r="N108" s="355">
        <f t="shared" si="15"/>
        <v>4.6917490796019443</v>
      </c>
      <c r="O108" s="894">
        <v>1970000</v>
      </c>
      <c r="P108" s="897"/>
      <c r="R108" s="356">
        <f t="shared" si="6"/>
        <v>30</v>
      </c>
      <c r="S108" s="1037">
        <f t="shared" si="10"/>
        <v>1994</v>
      </c>
      <c r="T108" s="371">
        <f t="shared" si="7"/>
        <v>3257358</v>
      </c>
      <c r="U108" s="363"/>
    </row>
    <row r="109" spans="1:30">
      <c r="A109" s="363">
        <v>1995</v>
      </c>
      <c r="B109" s="365" t="s">
        <v>263</v>
      </c>
      <c r="C109" s="396">
        <f t="shared" si="21"/>
        <v>2744024</v>
      </c>
      <c r="D109" s="400">
        <v>0</v>
      </c>
      <c r="E109" s="401">
        <v>0</v>
      </c>
      <c r="F109" s="385">
        <v>1190184</v>
      </c>
      <c r="G109" s="371">
        <f t="shared" si="17"/>
        <v>2729779.8165137614</v>
      </c>
      <c r="H109" s="371">
        <f t="shared" si="22"/>
        <v>3412224.7706422014</v>
      </c>
      <c r="I109" s="371"/>
      <c r="J109" s="371">
        <f t="shared" si="23"/>
        <v>3934208</v>
      </c>
      <c r="K109" s="371">
        <f t="shared" si="24"/>
        <v>5473803.8165137619</v>
      </c>
      <c r="L109" s="371">
        <f t="shared" si="25"/>
        <v>6156248.7706422014</v>
      </c>
      <c r="M109" s="375">
        <v>3934208</v>
      </c>
      <c r="N109" s="355">
        <f t="shared" si="15"/>
        <v>2.0150328170864453</v>
      </c>
      <c r="O109" s="894">
        <v>7700000</v>
      </c>
      <c r="P109" s="897"/>
      <c r="R109" s="356">
        <f t="shared" si="6"/>
        <v>36</v>
      </c>
      <c r="S109" s="1037">
        <f t="shared" si="10"/>
        <v>1995</v>
      </c>
      <c r="T109" s="371">
        <f t="shared" si="7"/>
        <v>2744024</v>
      </c>
      <c r="U109" s="363"/>
    </row>
    <row r="110" spans="1:30" ht="17" thickBot="1">
      <c r="A110" s="363">
        <v>1996</v>
      </c>
      <c r="B110" s="365" t="s">
        <v>177</v>
      </c>
      <c r="C110" s="397">
        <f t="shared" si="21"/>
        <v>3016749</v>
      </c>
      <c r="D110" s="402">
        <v>0</v>
      </c>
      <c r="E110" s="403">
        <v>0</v>
      </c>
      <c r="F110" s="385">
        <v>1483336</v>
      </c>
      <c r="G110" s="371">
        <f t="shared" si="17"/>
        <v>3402146.7889908259</v>
      </c>
      <c r="H110" s="371">
        <f t="shared" si="22"/>
        <v>4252683.4862385318</v>
      </c>
      <c r="I110" s="371"/>
      <c r="J110" s="371">
        <f t="shared" si="23"/>
        <v>4500085</v>
      </c>
      <c r="K110" s="371">
        <f t="shared" si="24"/>
        <v>6418895.7889908254</v>
      </c>
      <c r="L110" s="371">
        <f t="shared" si="25"/>
        <v>7269432.4862385318</v>
      </c>
      <c r="M110" s="375">
        <v>4500085</v>
      </c>
      <c r="N110" s="355">
        <f t="shared" si="15"/>
        <v>1.7991997700955309</v>
      </c>
      <c r="O110" s="894">
        <v>6000000</v>
      </c>
      <c r="P110" s="897"/>
      <c r="R110" s="356">
        <f t="shared" si="6"/>
        <v>31</v>
      </c>
      <c r="S110" s="1037">
        <f t="shared" si="10"/>
        <v>1996</v>
      </c>
      <c r="T110" s="371">
        <f t="shared" si="7"/>
        <v>3016749</v>
      </c>
      <c r="U110" s="363"/>
    </row>
    <row r="111" spans="1:30" ht="17" thickBot="1">
      <c r="A111" s="363">
        <v>1997</v>
      </c>
      <c r="B111" s="365" t="s">
        <v>263</v>
      </c>
      <c r="C111" s="368">
        <v>1088828</v>
      </c>
      <c r="D111" s="387">
        <v>74224</v>
      </c>
      <c r="E111" s="385">
        <v>2942</v>
      </c>
      <c r="F111" s="369">
        <v>1422688</v>
      </c>
      <c r="G111" s="371">
        <f t="shared" si="17"/>
        <v>3263045.8715596329</v>
      </c>
      <c r="H111" s="371">
        <f t="shared" si="22"/>
        <v>4078807.3394495412</v>
      </c>
      <c r="I111" s="371"/>
      <c r="J111" s="371">
        <f t="shared" si="23"/>
        <v>2588682</v>
      </c>
      <c r="K111" s="371">
        <f t="shared" si="24"/>
        <v>4429039.8715596329</v>
      </c>
      <c r="L111" s="371">
        <f t="shared" si="25"/>
        <v>5244801.3394495416</v>
      </c>
      <c r="M111" s="379">
        <v>3688166</v>
      </c>
      <c r="N111" s="355">
        <f t="shared" si="15"/>
        <v>1.5370620905675092</v>
      </c>
      <c r="O111" s="894">
        <v>5200000</v>
      </c>
      <c r="P111" s="897"/>
      <c r="R111" s="356">
        <f t="shared" si="6"/>
        <v>45</v>
      </c>
      <c r="S111" s="1037">
        <f t="shared" si="10"/>
        <v>1997</v>
      </c>
      <c r="T111" s="371">
        <f t="shared" si="7"/>
        <v>1163052</v>
      </c>
      <c r="U111" s="363"/>
    </row>
    <row r="112" spans="1:30">
      <c r="A112" s="363">
        <v>1998</v>
      </c>
      <c r="B112" s="365" t="s">
        <v>177</v>
      </c>
      <c r="C112" s="369">
        <v>3692143</v>
      </c>
      <c r="D112" s="387">
        <v>158267.5</v>
      </c>
      <c r="E112" s="385">
        <v>3760</v>
      </c>
      <c r="F112" s="369">
        <v>1420105</v>
      </c>
      <c r="G112" s="371">
        <f t="shared" si="17"/>
        <v>3257121.5596330278</v>
      </c>
      <c r="H112" s="371">
        <f t="shared" si="22"/>
        <v>4071401.9495412847</v>
      </c>
      <c r="I112" s="371"/>
      <c r="J112" s="371">
        <f t="shared" si="23"/>
        <v>5274275.5</v>
      </c>
      <c r="K112" s="371">
        <f t="shared" si="24"/>
        <v>7111292.0596330278</v>
      </c>
      <c r="L112" s="371">
        <f t="shared" si="25"/>
        <v>7925572.4495412847</v>
      </c>
      <c r="N112" s="355">
        <f t="shared" si="15"/>
        <v>1.8636638431211812</v>
      </c>
      <c r="O112" s="894">
        <v>5900000</v>
      </c>
      <c r="P112" s="897"/>
      <c r="R112" s="356">
        <f t="shared" si="6"/>
        <v>28</v>
      </c>
      <c r="S112" s="1037">
        <f t="shared" si="10"/>
        <v>1998</v>
      </c>
      <c r="T112" s="371">
        <f t="shared" si="7"/>
        <v>3850410.5</v>
      </c>
      <c r="U112" s="363"/>
    </row>
    <row r="113" spans="1:21" ht="17" thickBot="1">
      <c r="A113" s="363">
        <v>1999</v>
      </c>
      <c r="B113" s="365" t="s">
        <v>263</v>
      </c>
      <c r="C113" s="369">
        <v>6793207</v>
      </c>
      <c r="D113" s="388">
        <v>146624</v>
      </c>
      <c r="E113" s="386">
        <v>2505</v>
      </c>
      <c r="F113" s="369">
        <v>2462862</v>
      </c>
      <c r="G113" s="371">
        <f t="shared" si="17"/>
        <v>5648766.055045872</v>
      </c>
      <c r="H113" s="371">
        <f t="shared" si="22"/>
        <v>7060957.5688073393</v>
      </c>
      <c r="I113" s="371"/>
      <c r="J113" s="371">
        <f t="shared" si="23"/>
        <v>9405198</v>
      </c>
      <c r="K113" s="371">
        <f t="shared" si="24"/>
        <v>12591102.055045873</v>
      </c>
      <c r="L113" s="371">
        <f t="shared" si="25"/>
        <v>14003293.568807339</v>
      </c>
      <c r="M113" s="366"/>
      <c r="N113" s="355">
        <f t="shared" si="15"/>
        <v>3.433183380192987</v>
      </c>
      <c r="O113" s="894">
        <v>6800000</v>
      </c>
      <c r="P113" s="894">
        <v>5200000</v>
      </c>
      <c r="R113" s="356">
        <f t="shared" si="6"/>
        <v>14</v>
      </c>
      <c r="S113" s="1037">
        <f t="shared" si="10"/>
        <v>1999</v>
      </c>
      <c r="T113" s="371">
        <f t="shared" si="7"/>
        <v>6939831</v>
      </c>
      <c r="U113" s="363"/>
    </row>
    <row r="114" spans="1:21">
      <c r="A114" s="363">
        <v>2000</v>
      </c>
      <c r="B114" s="365" t="s">
        <v>177</v>
      </c>
      <c r="C114" s="369">
        <v>5660513</v>
      </c>
      <c r="D114" s="384">
        <v>70400</v>
      </c>
      <c r="E114" s="368">
        <v>0</v>
      </c>
      <c r="F114" s="369">
        <v>1659028</v>
      </c>
      <c r="G114" s="371">
        <f t="shared" si="17"/>
        <v>3805110.0917431191</v>
      </c>
      <c r="H114" s="371">
        <f t="shared" si="22"/>
        <v>4756387.6146788988</v>
      </c>
      <c r="I114" s="371"/>
      <c r="J114" s="371">
        <f t="shared" si="23"/>
        <v>7389941</v>
      </c>
      <c r="K114" s="371">
        <f t="shared" si="24"/>
        <v>9536023.0917431191</v>
      </c>
      <c r="L114" s="371">
        <f t="shared" si="25"/>
        <v>10487300.614678899</v>
      </c>
      <c r="N114" s="355">
        <f t="shared" si="15"/>
        <v>2.5758450638509123</v>
      </c>
      <c r="O114" s="894">
        <v>6600000</v>
      </c>
      <c r="P114" s="894">
        <v>5200000</v>
      </c>
      <c r="R114" s="356">
        <f t="shared" si="6"/>
        <v>21</v>
      </c>
      <c r="S114" s="1037">
        <f t="shared" si="10"/>
        <v>2000</v>
      </c>
      <c r="T114" s="371">
        <f t="shared" si="7"/>
        <v>5730913</v>
      </c>
      <c r="U114" s="363"/>
    </row>
    <row r="115" spans="1:21">
      <c r="A115" s="363">
        <v>2001</v>
      </c>
      <c r="B115" s="365" t="s">
        <v>263</v>
      </c>
      <c r="C115" s="369">
        <v>6705936.700407384</v>
      </c>
      <c r="D115" s="385">
        <v>148354.28039681201</v>
      </c>
      <c r="E115" s="369">
        <v>0</v>
      </c>
      <c r="F115" s="369">
        <v>2000386</v>
      </c>
      <c r="G115" s="371">
        <f t="shared" si="17"/>
        <v>4588041.2844036696</v>
      </c>
      <c r="H115" s="371">
        <f t="shared" si="22"/>
        <v>5735051.6055045864</v>
      </c>
      <c r="I115" s="371"/>
      <c r="J115" s="371">
        <f t="shared" si="23"/>
        <v>8854676.9808041956</v>
      </c>
      <c r="K115" s="371">
        <f t="shared" si="24"/>
        <v>11442332.265207864</v>
      </c>
      <c r="L115" s="371">
        <f t="shared" si="25"/>
        <v>12589342.586308781</v>
      </c>
      <c r="N115" s="355">
        <f t="shared" si="15"/>
        <v>1.782951173920627</v>
      </c>
      <c r="O115" s="894">
        <v>4600000</v>
      </c>
      <c r="P115" s="894">
        <v>3200000</v>
      </c>
      <c r="R115" s="356">
        <f t="shared" si="6"/>
        <v>16</v>
      </c>
      <c r="S115" s="1037">
        <f t="shared" si="10"/>
        <v>2001</v>
      </c>
      <c r="T115" s="371">
        <f t="shared" si="7"/>
        <v>6854290.9808041956</v>
      </c>
    </row>
    <row r="116" spans="1:21">
      <c r="A116" s="363">
        <v>2002</v>
      </c>
      <c r="B116" s="365" t="s">
        <v>177</v>
      </c>
      <c r="C116" s="369">
        <v>236842.54556606748</v>
      </c>
      <c r="D116" s="385">
        <v>84625.764636524822</v>
      </c>
      <c r="E116" s="369">
        <v>0</v>
      </c>
      <c r="F116" s="369">
        <v>943177</v>
      </c>
      <c r="G116" s="371">
        <f t="shared" si="17"/>
        <v>2163250</v>
      </c>
      <c r="H116" s="371">
        <f t="shared" si="22"/>
        <v>2704062.5</v>
      </c>
      <c r="I116" s="371"/>
      <c r="J116" s="371">
        <f t="shared" si="23"/>
        <v>1264645.3102025923</v>
      </c>
      <c r="K116" s="371">
        <f t="shared" si="24"/>
        <v>2484718.3102025925</v>
      </c>
      <c r="L116" s="371">
        <f t="shared" si="25"/>
        <v>3025530.8102025925</v>
      </c>
      <c r="N116" s="355">
        <f t="shared" si="15"/>
        <v>0.63609845439538348</v>
      </c>
      <c r="O116" s="894">
        <v>5130000</v>
      </c>
      <c r="P116" s="894">
        <v>3130000</v>
      </c>
      <c r="R116" s="356">
        <f t="shared" si="6"/>
        <v>50</v>
      </c>
      <c r="S116" s="1037">
        <f t="shared" si="10"/>
        <v>2002</v>
      </c>
      <c r="T116" s="371">
        <f t="shared" si="7"/>
        <v>321468.31020259229</v>
      </c>
    </row>
    <row r="117" spans="1:21">
      <c r="A117" s="363">
        <v>2003</v>
      </c>
      <c r="B117" s="365" t="s">
        <v>263</v>
      </c>
      <c r="C117" s="369">
        <v>4493948.7314859722</v>
      </c>
      <c r="D117" s="385">
        <v>3831.208333333333</v>
      </c>
      <c r="E117" s="369">
        <v>0</v>
      </c>
      <c r="F117" s="369">
        <v>2846732</v>
      </c>
      <c r="G117" s="371">
        <f t="shared" si="17"/>
        <v>6529201.8348623849</v>
      </c>
      <c r="H117" s="371">
        <f t="shared" si="22"/>
        <v>8161502.2935779812</v>
      </c>
      <c r="I117" s="371"/>
      <c r="J117" s="371">
        <f t="shared" si="23"/>
        <v>7344511.9398193061</v>
      </c>
      <c r="K117" s="371">
        <f t="shared" si="24"/>
        <v>11026981.774681691</v>
      </c>
      <c r="L117" s="371">
        <f t="shared" si="25"/>
        <v>12659282.233397286</v>
      </c>
      <c r="N117" s="355">
        <f t="shared" si="15"/>
        <v>2.2073528024136211</v>
      </c>
      <c r="O117" s="894">
        <v>4620000</v>
      </c>
      <c r="P117" s="894">
        <v>2620000</v>
      </c>
      <c r="R117" s="356">
        <f t="shared" si="6"/>
        <v>15</v>
      </c>
      <c r="S117" s="1037">
        <f t="shared" si="10"/>
        <v>2003</v>
      </c>
      <c r="T117" s="371">
        <f t="shared" si="7"/>
        <v>4497779.9398193052</v>
      </c>
    </row>
    <row r="118" spans="1:21">
      <c r="A118" s="363">
        <v>2004</v>
      </c>
      <c r="B118" s="365" t="s">
        <v>177</v>
      </c>
      <c r="C118" s="369">
        <v>2870874.2919837157</v>
      </c>
      <c r="D118" s="385">
        <v>67433.764363722701</v>
      </c>
      <c r="E118" s="369">
        <v>0</v>
      </c>
      <c r="F118" s="369">
        <v>2001123</v>
      </c>
      <c r="G118" s="371">
        <f t="shared" si="17"/>
        <v>4589731.6513761468</v>
      </c>
      <c r="H118" s="371">
        <f t="shared" si="22"/>
        <v>5737164.5642201835</v>
      </c>
      <c r="I118" s="371"/>
      <c r="J118" s="371">
        <f t="shared" si="23"/>
        <v>4939431.0563474381</v>
      </c>
      <c r="K118" s="371">
        <f t="shared" si="24"/>
        <v>7528039.7077235859</v>
      </c>
      <c r="L118" s="371">
        <f t="shared" si="25"/>
        <v>8675472.6205676217</v>
      </c>
      <c r="N118" s="355">
        <f t="shared" si="15"/>
        <v>3.2083106882949717</v>
      </c>
      <c r="O118" s="895">
        <v>5480000</v>
      </c>
      <c r="P118" s="894">
        <v>3480000</v>
      </c>
      <c r="R118" s="356">
        <f t="shared" si="6"/>
        <v>24</v>
      </c>
      <c r="S118" s="1037">
        <f t="shared" si="10"/>
        <v>2004</v>
      </c>
      <c r="T118" s="371">
        <f t="shared" si="7"/>
        <v>2938308.0563474386</v>
      </c>
    </row>
    <row r="119" spans="1:21">
      <c r="A119" s="363">
        <v>2005</v>
      </c>
      <c r="B119" s="365" t="s">
        <v>263</v>
      </c>
      <c r="C119" s="369">
        <v>12256106.828178193</v>
      </c>
      <c r="D119" s="385">
        <v>40265</v>
      </c>
      <c r="E119" s="369">
        <v>0</v>
      </c>
      <c r="F119" s="369">
        <v>4736115.8571428573</v>
      </c>
      <c r="G119" s="371">
        <f t="shared" si="17"/>
        <v>10862651.048492791</v>
      </c>
      <c r="H119" s="371">
        <f t="shared" si="22"/>
        <v>13578313.810615988</v>
      </c>
      <c r="I119" s="371"/>
      <c r="J119" s="371">
        <f t="shared" si="23"/>
        <v>17032487.685321052</v>
      </c>
      <c r="K119" s="371">
        <f t="shared" si="24"/>
        <v>23159022.876670986</v>
      </c>
      <c r="L119" s="371">
        <f t="shared" si="25"/>
        <v>25874685.638794184</v>
      </c>
      <c r="N119" s="355">
        <f t="shared" si="15"/>
        <v>3.1703336846641736</v>
      </c>
      <c r="O119" s="895">
        <v>4290000</v>
      </c>
      <c r="P119" s="894">
        <v>2290000</v>
      </c>
      <c r="R119" s="356">
        <f t="shared" si="6"/>
        <v>3</v>
      </c>
      <c r="S119" s="1037">
        <f t="shared" si="10"/>
        <v>2005</v>
      </c>
      <c r="T119" s="371">
        <f t="shared" si="7"/>
        <v>12296371.828178193</v>
      </c>
    </row>
    <row r="120" spans="1:21">
      <c r="A120" s="363">
        <v>2006</v>
      </c>
      <c r="B120" s="365" t="s">
        <v>177</v>
      </c>
      <c r="C120" s="369">
        <v>1983120.7161293393</v>
      </c>
      <c r="D120" s="385">
        <v>140780.45833333334</v>
      </c>
      <c r="E120" s="369">
        <v>0</v>
      </c>
      <c r="F120" s="369">
        <v>1190801.6008809961</v>
      </c>
      <c r="G120" s="371">
        <f t="shared" si="17"/>
        <v>2731196.3322958625</v>
      </c>
      <c r="H120" s="371">
        <f t="shared" si="22"/>
        <v>3413995.4153698278</v>
      </c>
      <c r="I120" s="371"/>
      <c r="J120" s="371">
        <f t="shared" si="23"/>
        <v>3314702.7753436686</v>
      </c>
      <c r="K120" s="371">
        <f t="shared" si="24"/>
        <v>4855097.5067585353</v>
      </c>
      <c r="L120" s="371">
        <f t="shared" si="25"/>
        <v>5537896.5898325006</v>
      </c>
      <c r="N120" s="355">
        <f t="shared" si="15"/>
        <v>0.96526716775209531</v>
      </c>
      <c r="O120" s="894">
        <v>4660000</v>
      </c>
      <c r="P120" s="894">
        <v>2660000</v>
      </c>
      <c r="R120" s="356">
        <f t="shared" si="6"/>
        <v>42</v>
      </c>
      <c r="S120" s="1037">
        <f t="shared" si="10"/>
        <v>2006</v>
      </c>
      <c r="T120" s="371">
        <f t="shared" si="7"/>
        <v>2123901.1744626728</v>
      </c>
    </row>
    <row r="121" spans="1:21" ht="17" thickBot="1">
      <c r="A121" s="363">
        <v>2007</v>
      </c>
      <c r="B121" s="365" t="s">
        <v>263</v>
      </c>
      <c r="C121" s="369">
        <v>9967663.2895603608</v>
      </c>
      <c r="D121" s="385">
        <v>50191.342559523808</v>
      </c>
      <c r="E121" s="369">
        <v>0</v>
      </c>
      <c r="F121" s="369">
        <v>1509133.1628835602</v>
      </c>
      <c r="G121" s="371">
        <f t="shared" si="17"/>
        <v>3461314.5937696332</v>
      </c>
      <c r="H121" s="371">
        <f t="shared" si="22"/>
        <v>4326643.2422120413</v>
      </c>
      <c r="I121" s="371"/>
      <c r="J121" s="371">
        <f t="shared" si="23"/>
        <v>11526987.795003444</v>
      </c>
      <c r="K121" s="371">
        <f t="shared" si="24"/>
        <v>13479169.225889519</v>
      </c>
      <c r="L121" s="371">
        <f t="shared" si="25"/>
        <v>14344497.874331925</v>
      </c>
      <c r="N121" s="355">
        <f t="shared" si="15"/>
        <v>1.0564270405296501</v>
      </c>
      <c r="O121" s="894">
        <v>12900000</v>
      </c>
      <c r="P121" s="894">
        <v>10900000</v>
      </c>
      <c r="R121" s="356">
        <f t="shared" si="6"/>
        <v>13</v>
      </c>
      <c r="S121" s="1037">
        <f t="shared" si="10"/>
        <v>2007</v>
      </c>
      <c r="T121" s="371">
        <f t="shared" si="7"/>
        <v>10017854.632119885</v>
      </c>
    </row>
    <row r="122" spans="1:21">
      <c r="A122" s="363">
        <v>2008</v>
      </c>
      <c r="B122" s="365" t="s">
        <v>177</v>
      </c>
      <c r="C122" s="369">
        <v>1371156.4260196264</v>
      </c>
      <c r="D122" s="385">
        <v>57116.739583333489</v>
      </c>
      <c r="E122" s="368">
        <v>0</v>
      </c>
      <c r="F122" s="369">
        <v>862418.51199612883</v>
      </c>
      <c r="G122" s="371">
        <f t="shared" si="17"/>
        <v>1978024.1100828643</v>
      </c>
      <c r="H122" s="371">
        <f t="shared" si="22"/>
        <v>2472530.13760358</v>
      </c>
      <c r="I122" s="371"/>
      <c r="J122" s="371">
        <f t="shared" si="23"/>
        <v>2290691.6775990888</v>
      </c>
      <c r="K122" s="371">
        <f t="shared" si="24"/>
        <v>3406297.2756858245</v>
      </c>
      <c r="L122" s="371">
        <f t="shared" si="25"/>
        <v>3900803.3032065397</v>
      </c>
      <c r="N122" s="355">
        <f t="shared" si="15"/>
        <v>1.1425918399436332</v>
      </c>
      <c r="O122" s="894">
        <v>3510000</v>
      </c>
      <c r="P122" s="894">
        <v>1510000</v>
      </c>
      <c r="R122" s="356">
        <f t="shared" si="6"/>
        <v>47</v>
      </c>
      <c r="S122" s="1037">
        <f t="shared" si="10"/>
        <v>2008</v>
      </c>
      <c r="T122" s="371">
        <f t="shared" si="7"/>
        <v>1428273.1656029599</v>
      </c>
    </row>
    <row r="123" spans="1:21" ht="17" thickBot="1">
      <c r="A123" s="363">
        <v>2009</v>
      </c>
      <c r="B123" s="365" t="s">
        <v>263</v>
      </c>
      <c r="C123" s="370">
        <v>910000.69957974285</v>
      </c>
      <c r="D123" s="386">
        <v>84707.298324556832</v>
      </c>
      <c r="E123" s="370">
        <v>0</v>
      </c>
      <c r="F123" s="370">
        <v>1829622.6091624377</v>
      </c>
      <c r="G123" s="371">
        <f t="shared" si="17"/>
        <v>4196382.1311065089</v>
      </c>
      <c r="H123" s="371">
        <f t="shared" si="22"/>
        <v>5245477.6638831357</v>
      </c>
      <c r="I123" s="371"/>
      <c r="J123" s="371">
        <f t="shared" si="23"/>
        <v>2824330.6070667375</v>
      </c>
      <c r="K123" s="371">
        <f t="shared" si="24"/>
        <v>5191090.1290108087</v>
      </c>
      <c r="L123" s="371">
        <f t="shared" si="25"/>
        <v>6240185.6617874354</v>
      </c>
      <c r="N123" s="355">
        <f t="shared" si="15"/>
        <v>1.442269517603461</v>
      </c>
      <c r="O123" s="894">
        <v>14280000</v>
      </c>
      <c r="P123" s="894">
        <v>12280000</v>
      </c>
      <c r="R123" s="356">
        <f t="shared" si="6"/>
        <v>35</v>
      </c>
      <c r="S123" s="1037">
        <f t="shared" si="10"/>
        <v>2009</v>
      </c>
      <c r="T123" s="371">
        <f t="shared" si="7"/>
        <v>994707.99790429964</v>
      </c>
    </row>
    <row r="124" spans="1:21">
      <c r="A124" s="363">
        <v>2010</v>
      </c>
      <c r="B124" s="365" t="s">
        <v>177</v>
      </c>
      <c r="C124" s="417">
        <v>2325412.6096819355</v>
      </c>
      <c r="D124" s="417">
        <v>73570.117535301673</v>
      </c>
      <c r="E124" s="417">
        <v>0</v>
      </c>
      <c r="F124" s="432">
        <v>2000408</v>
      </c>
      <c r="G124" s="371">
        <f>F124/$G$5</f>
        <v>4588091.7431192659</v>
      </c>
      <c r="H124" s="371">
        <f t="shared" si="22"/>
        <v>5735114.6788990824</v>
      </c>
      <c r="I124" s="371"/>
      <c r="J124" s="371">
        <f t="shared" si="23"/>
        <v>4399390.7272172375</v>
      </c>
      <c r="K124" s="371">
        <f t="shared" si="24"/>
        <v>6987074.4703365024</v>
      </c>
      <c r="L124" s="371">
        <f t="shared" si="25"/>
        <v>8134097.4061163198</v>
      </c>
      <c r="N124" s="355">
        <f t="shared" si="15"/>
        <v>3.2897869604938492</v>
      </c>
      <c r="O124" s="894">
        <v>2801000</v>
      </c>
      <c r="P124" s="894">
        <v>801000</v>
      </c>
      <c r="R124" s="356">
        <f t="shared" si="6"/>
        <v>27</v>
      </c>
      <c r="S124" s="1037">
        <f t="shared" si="10"/>
        <v>2010</v>
      </c>
      <c r="T124" s="371">
        <f t="shared" si="7"/>
        <v>2398982.727217237</v>
      </c>
    </row>
    <row r="125" spans="1:21">
      <c r="A125" s="363">
        <v>2011</v>
      </c>
      <c r="B125" s="365" t="s">
        <v>263</v>
      </c>
      <c r="C125" s="1052">
        <v>5564873</v>
      </c>
      <c r="D125" s="1052">
        <v>150807</v>
      </c>
      <c r="E125" s="1052">
        <v>0</v>
      </c>
      <c r="F125" s="1052">
        <v>3927419</v>
      </c>
      <c r="G125" s="1053">
        <f>F125/$G$5</f>
        <v>9007841.7431192659</v>
      </c>
      <c r="H125" s="1053">
        <f t="shared" si="22"/>
        <v>11259802.178899081</v>
      </c>
      <c r="I125" s="1053"/>
      <c r="J125" s="1053">
        <f t="shared" si="23"/>
        <v>9643099</v>
      </c>
      <c r="K125" s="1053">
        <f t="shared" si="24"/>
        <v>14723521.743119266</v>
      </c>
      <c r="L125" s="1053">
        <f t="shared" si="25"/>
        <v>16975482.17889908</v>
      </c>
      <c r="N125" s="355">
        <f t="shared" si="15"/>
        <v>3.2362128421174949</v>
      </c>
      <c r="O125" s="1054">
        <v>5550000</v>
      </c>
      <c r="P125" s="1054">
        <v>3550000</v>
      </c>
      <c r="R125" s="356">
        <f t="shared" si="6"/>
        <v>8</v>
      </c>
      <c r="S125" s="1037">
        <f>S124+1</f>
        <v>2011</v>
      </c>
      <c r="T125" s="371">
        <f t="shared" si="7"/>
        <v>5715680</v>
      </c>
    </row>
    <row r="126" spans="1:21">
      <c r="A126" s="363">
        <v>2012</v>
      </c>
      <c r="B126" s="365" t="s">
        <v>177</v>
      </c>
      <c r="C126" s="417">
        <v>3288580.30084719</v>
      </c>
      <c r="D126" s="417">
        <v>13994.8</v>
      </c>
      <c r="E126" s="417">
        <v>0</v>
      </c>
      <c r="F126" s="417">
        <v>1125692.4441663059</v>
      </c>
      <c r="G126" s="1053">
        <f t="shared" ref="G126" si="26">F126/$G$5</f>
        <v>2581863.4040511604</v>
      </c>
      <c r="H126" s="1053">
        <f t="shared" ref="H126" si="27">G126/$H$6</f>
        <v>3227329.2550639505</v>
      </c>
      <c r="I126" s="371"/>
      <c r="J126" s="371">
        <f t="shared" si="23"/>
        <v>4428267.5450134957</v>
      </c>
      <c r="K126" s="371">
        <f t="shared" si="24"/>
        <v>5884438.5048983507</v>
      </c>
      <c r="L126" s="371">
        <f t="shared" si="25"/>
        <v>6529904.3559111403</v>
      </c>
      <c r="N126" s="355">
        <f t="shared" si="15"/>
        <v>1.1385830487289621</v>
      </c>
      <c r="O126" s="1054">
        <v>4400000</v>
      </c>
      <c r="P126" s="1054">
        <v>3210000</v>
      </c>
      <c r="R126" s="356">
        <f t="shared" si="6"/>
        <v>34</v>
      </c>
      <c r="S126" s="1037">
        <f t="shared" si="10"/>
        <v>2012</v>
      </c>
      <c r="T126" s="371">
        <f t="shared" si="7"/>
        <v>3302575.1008471898</v>
      </c>
    </row>
    <row r="127" spans="1:21">
      <c r="A127" s="363">
        <v>2013</v>
      </c>
      <c r="B127" s="365" t="s">
        <v>263</v>
      </c>
      <c r="C127" s="417">
        <v>17267227</v>
      </c>
      <c r="D127" s="417">
        <v>13987</v>
      </c>
      <c r="E127" s="417">
        <v>0</v>
      </c>
      <c r="F127" s="417">
        <v>4684239</v>
      </c>
      <c r="G127" s="1053">
        <f>F127/$G$5</f>
        <v>10743667.431192661</v>
      </c>
      <c r="H127" s="1053">
        <f>G127/$H$6</f>
        <v>13429584.288990825</v>
      </c>
      <c r="I127" s="371"/>
      <c r="J127" s="371">
        <f>SUM(F127,E127,D127,C127)</f>
        <v>21965453</v>
      </c>
      <c r="K127" s="371">
        <f>SUM(G127,E127,D127,C127)</f>
        <v>28024881.431192659</v>
      </c>
      <c r="L127" s="371">
        <f>SUM(H127,E127,D127,C127)</f>
        <v>30710798.288990825</v>
      </c>
      <c r="N127" s="355">
        <f>L127/H125</f>
        <v>2.727472277136715</v>
      </c>
      <c r="O127" s="1054">
        <v>6233715</v>
      </c>
      <c r="P127" s="1054">
        <v>4751000</v>
      </c>
      <c r="R127" s="356">
        <f>RANK(L127:L128,$L$74:$L$128)</f>
        <v>1</v>
      </c>
      <c r="S127" s="1037">
        <f t="shared" si="10"/>
        <v>2013</v>
      </c>
      <c r="T127" s="371">
        <f>SUM(C127:D127)</f>
        <v>17281214</v>
      </c>
    </row>
    <row r="128" spans="1:21">
      <c r="A128" s="363">
        <v>2014</v>
      </c>
      <c r="B128" s="365" t="s">
        <v>177</v>
      </c>
      <c r="C128" s="417">
        <v>1884365</v>
      </c>
      <c r="D128" s="417">
        <v>5656</v>
      </c>
      <c r="E128" s="417"/>
      <c r="F128" s="417">
        <v>812376</v>
      </c>
      <c r="G128" s="371">
        <f>F128/$G$5</f>
        <v>1863247.7064220184</v>
      </c>
      <c r="H128" s="371">
        <f>G128/$H$6</f>
        <v>2329059.6330275228</v>
      </c>
      <c r="I128" s="371"/>
      <c r="J128" s="371">
        <f>SUM(F128,E128,D128,C128)</f>
        <v>2702397</v>
      </c>
      <c r="K128" s="371">
        <f>SUM(G128,E128,D128,C128)</f>
        <v>3753268.7064220184</v>
      </c>
      <c r="L128" s="371">
        <f>SUM(H128,E128,D128,C128)</f>
        <v>4219080.6330275228</v>
      </c>
      <c r="N128" s="355"/>
      <c r="O128" s="356">
        <v>4288849</v>
      </c>
      <c r="P128" s="356">
        <v>3140000</v>
      </c>
      <c r="R128" s="356">
        <f>RANK(L128,$L$74:$L$128)</f>
        <v>47</v>
      </c>
      <c r="S128" s="1037">
        <f t="shared" si="10"/>
        <v>2014</v>
      </c>
      <c r="T128" s="371">
        <f t="shared" ref="T128" si="28">SUM(C128:D128)</f>
        <v>1890021</v>
      </c>
    </row>
    <row r="129" spans="1:20">
      <c r="A129" s="363">
        <v>2015</v>
      </c>
      <c r="B129" s="365" t="s">
        <v>263</v>
      </c>
      <c r="C129" s="417"/>
      <c r="D129" s="417"/>
      <c r="E129" s="417"/>
      <c r="F129" s="417"/>
      <c r="G129" s="371"/>
      <c r="H129" s="371"/>
      <c r="I129" s="371"/>
      <c r="J129" s="371"/>
      <c r="K129" s="371"/>
      <c r="L129" s="371"/>
      <c r="S129" s="1037">
        <f t="shared" si="10"/>
        <v>2015</v>
      </c>
      <c r="T129" s="371">
        <f>'Lag1_Exp_smooth_Total Run Odd'!H51</f>
        <v>16870000</v>
      </c>
    </row>
    <row r="130" spans="1:20">
      <c r="A130" s="363"/>
      <c r="B130" s="365"/>
      <c r="C130" s="417"/>
      <c r="D130" s="417"/>
      <c r="E130" s="417"/>
      <c r="F130" s="417"/>
      <c r="G130" s="371"/>
      <c r="H130" s="371"/>
      <c r="I130" s="371"/>
      <c r="J130" s="371"/>
      <c r="K130" s="371"/>
      <c r="L130" s="371"/>
    </row>
    <row r="131" spans="1:20">
      <c r="A131" s="363"/>
      <c r="B131" s="365"/>
      <c r="C131" s="417"/>
      <c r="D131" s="417"/>
      <c r="E131" s="417"/>
      <c r="F131" s="417"/>
      <c r="G131" s="371"/>
      <c r="H131" s="371"/>
      <c r="I131" s="371"/>
      <c r="J131" s="371"/>
      <c r="K131" s="371"/>
      <c r="L131" s="371"/>
    </row>
    <row r="132" spans="1:20" ht="18.75" customHeight="1">
      <c r="A132" s="363"/>
      <c r="B132" s="365"/>
      <c r="C132" s="366"/>
      <c r="D132" s="366"/>
      <c r="E132" s="366"/>
      <c r="F132" s="366"/>
      <c r="G132" s="366"/>
      <c r="H132" s="366"/>
      <c r="I132" s="366"/>
      <c r="J132" s="366"/>
      <c r="K132" s="371"/>
    </row>
    <row r="133" spans="1:20" ht="17.25" customHeight="1">
      <c r="B133" s="365"/>
      <c r="C133" s="366"/>
      <c r="D133" s="366"/>
      <c r="E133" s="366"/>
      <c r="F133" s="366"/>
      <c r="G133" s="366"/>
      <c r="H133" s="366"/>
      <c r="I133" s="366"/>
      <c r="J133" s="366"/>
      <c r="K133" s="371"/>
    </row>
    <row r="134" spans="1:20">
      <c r="A134" s="902"/>
      <c r="B134" s="903" t="s">
        <v>245</v>
      </c>
      <c r="C134" s="901">
        <f>COUNT(C74:C132)</f>
        <v>55</v>
      </c>
      <c r="D134" s="901">
        <f t="shared" ref="D134:H134" si="29">COUNT(D74:D132)</f>
        <v>38</v>
      </c>
      <c r="E134" s="901">
        <f t="shared" si="29"/>
        <v>37</v>
      </c>
      <c r="F134" s="901">
        <f t="shared" si="29"/>
        <v>55</v>
      </c>
      <c r="G134" s="901">
        <f t="shared" si="29"/>
        <v>55</v>
      </c>
      <c r="H134" s="901">
        <f t="shared" si="29"/>
        <v>55</v>
      </c>
      <c r="I134" s="904"/>
      <c r="J134" s="901">
        <f>COUNT(J74:J132)</f>
        <v>55</v>
      </c>
      <c r="K134" s="901">
        <f>COUNT(K74:K132)</f>
        <v>55</v>
      </c>
      <c r="L134" s="901">
        <f>COUNT(L74:L132)</f>
        <v>55</v>
      </c>
      <c r="M134" s="901"/>
      <c r="N134" s="901"/>
      <c r="O134" s="901">
        <f>COUNT(O74:O132)</f>
        <v>38</v>
      </c>
      <c r="P134" s="901">
        <f>COUNT(P74:P132)</f>
        <v>16</v>
      </c>
    </row>
    <row r="135" spans="1:20">
      <c r="A135" s="405"/>
      <c r="B135" s="381" t="s">
        <v>127</v>
      </c>
      <c r="C135" s="410">
        <f>AVERAGE(C74:C132)</f>
        <v>5531960.6934443554</v>
      </c>
      <c r="D135" s="410">
        <f t="shared" ref="D135:H135" si="30">AVERAGE(D74:D132)</f>
        <v>36443.059843853742</v>
      </c>
      <c r="E135" s="410">
        <f t="shared" si="30"/>
        <v>248.83783783783784</v>
      </c>
      <c r="F135" s="410">
        <f>AVERAGE(F74:F132)</f>
        <v>1623962.8942951325</v>
      </c>
      <c r="G135" s="410">
        <f t="shared" si="30"/>
        <v>3724685.5373741579</v>
      </c>
      <c r="H135" s="410">
        <f t="shared" si="30"/>
        <v>4655856.9217176968</v>
      </c>
      <c r="I135" s="360"/>
      <c r="J135" s="410">
        <f>AVERAGE(J74:J132)</f>
        <v>7181269.82908615</v>
      </c>
      <c r="K135" s="410">
        <f>AVERAGE(K74:K132)</f>
        <v>9281992.4721651729</v>
      </c>
      <c r="L135" s="410">
        <f>AVERAGE(L74:L132)</f>
        <v>10213163.856508715</v>
      </c>
      <c r="M135" s="410"/>
      <c r="N135" s="410"/>
      <c r="O135" s="410">
        <f>AVERAGE(O74:O132)</f>
        <v>7559567.4736842103</v>
      </c>
      <c r="P135" s="410">
        <f>AVERAGE(P74:P132)</f>
        <v>4245125</v>
      </c>
    </row>
    <row r="136" spans="1:20">
      <c r="A136" s="360"/>
      <c r="B136" s="381" t="s">
        <v>265</v>
      </c>
      <c r="C136" s="410">
        <f>MEDIAN(C74:C132)</f>
        <v>3510074</v>
      </c>
      <c r="D136" s="410">
        <f t="shared" ref="D136:H136" si="31">MEDIAN(D74:D132)</f>
        <v>0</v>
      </c>
      <c r="E136" s="410">
        <f t="shared" si="31"/>
        <v>0</v>
      </c>
      <c r="F136" s="410">
        <f>MEDIAN(F74:F132)</f>
        <v>1372217</v>
      </c>
      <c r="G136" s="410">
        <f t="shared" si="31"/>
        <v>3147286.6972477064</v>
      </c>
      <c r="H136" s="410">
        <f t="shared" si="31"/>
        <v>3934108.3715596329</v>
      </c>
      <c r="I136" s="360"/>
      <c r="J136" s="410">
        <f>MEDIAN(J74:J132)</f>
        <v>4939431.0563474381</v>
      </c>
      <c r="K136" s="410">
        <f>MEDIAN(K74:K132)</f>
        <v>6987074.4703365024</v>
      </c>
      <c r="L136" s="410">
        <f>MEDIAN(L74:L132)</f>
        <v>7925572.4495412847</v>
      </c>
      <c r="M136" s="410"/>
      <c r="N136" s="410"/>
      <c r="O136" s="410">
        <f>MEDIAN(O74:O132)</f>
        <v>5950000</v>
      </c>
      <c r="P136" s="410">
        <f>MEDIAN(P74:P132)</f>
        <v>3205000</v>
      </c>
    </row>
    <row r="137" spans="1:20">
      <c r="A137" s="360"/>
      <c r="B137" s="381" t="s">
        <v>238</v>
      </c>
      <c r="C137" s="410">
        <f>STDEV(C74:C132)</f>
        <v>5033559.2680192823</v>
      </c>
      <c r="D137" s="410">
        <f t="shared" ref="D137:H137" si="32">STDEV(D74:D132)</f>
        <v>52826.440562130629</v>
      </c>
      <c r="E137" s="410">
        <f t="shared" si="32"/>
        <v>862.4406425151019</v>
      </c>
      <c r="F137" s="410">
        <f>STDEV(F74:F132)</f>
        <v>926393.73833313654</v>
      </c>
      <c r="G137" s="410">
        <f t="shared" si="32"/>
        <v>2124756.2805805849</v>
      </c>
      <c r="H137" s="410">
        <f t="shared" si="32"/>
        <v>2655945.3507257332</v>
      </c>
      <c r="I137" s="360"/>
      <c r="J137" s="410">
        <f>STDEV(J74:J132)</f>
        <v>5635340.6737346854</v>
      </c>
      <c r="K137" s="410">
        <f>STDEV(K74:K132)</f>
        <v>6533370.3528439198</v>
      </c>
      <c r="L137" s="410">
        <f>STDEV(L74:L132)</f>
        <v>6960428.0239264918</v>
      </c>
      <c r="M137" s="410"/>
      <c r="N137" s="410"/>
      <c r="O137" s="410">
        <f>STDEV(O74:O132)</f>
        <v>4528422.9539862797</v>
      </c>
      <c r="P137" s="410">
        <f>STDEV(P74:P132)</f>
        <v>3108507.9137747101</v>
      </c>
    </row>
    <row r="138" spans="1:20">
      <c r="A138" s="360"/>
      <c r="B138" s="381" t="s">
        <v>266</v>
      </c>
      <c r="C138" s="410">
        <f>MIN(C74:C132)</f>
        <v>54783</v>
      </c>
      <c r="D138" s="410">
        <f t="shared" ref="D138:H138" si="33">MIN(D74:D132)</f>
        <v>0</v>
      </c>
      <c r="E138" s="410">
        <f t="shared" si="33"/>
        <v>0</v>
      </c>
      <c r="F138" s="410">
        <f>MIN(F74:F132)</f>
        <v>404570</v>
      </c>
      <c r="G138" s="410">
        <f t="shared" si="33"/>
        <v>927912.84403669729</v>
      </c>
      <c r="H138" s="410">
        <f t="shared" si="33"/>
        <v>1159891.0550458715</v>
      </c>
      <c r="I138" s="360"/>
      <c r="J138" s="410">
        <f>MIN(J74:J132)</f>
        <v>695963</v>
      </c>
      <c r="K138" s="410">
        <f>MIN(K74:K132)</f>
        <v>1525379.3302752294</v>
      </c>
      <c r="L138" s="410">
        <f>MIN(L74:L132)</f>
        <v>1893028.4128440367</v>
      </c>
      <c r="M138" s="410"/>
      <c r="N138" s="410"/>
      <c r="O138" s="410">
        <f>MIN(O74:O132)</f>
        <v>1970000</v>
      </c>
      <c r="P138" s="410">
        <f>MIN(P74:P132)</f>
        <v>801000</v>
      </c>
    </row>
    <row r="139" spans="1:20">
      <c r="A139" s="905"/>
      <c r="B139" s="383" t="s">
        <v>267</v>
      </c>
      <c r="C139" s="906">
        <f>MAX(C74:C132)</f>
        <v>17631675</v>
      </c>
      <c r="D139" s="906">
        <f t="shared" ref="D139:H139" si="34">MAX(D74:D132)</f>
        <v>158267.5</v>
      </c>
      <c r="E139" s="906">
        <f t="shared" si="34"/>
        <v>3760</v>
      </c>
      <c r="F139" s="906">
        <f>MAX(F74:F132)</f>
        <v>4736115.8571428573</v>
      </c>
      <c r="G139" s="906">
        <f t="shared" si="34"/>
        <v>10862651.048492791</v>
      </c>
      <c r="H139" s="906">
        <f t="shared" si="34"/>
        <v>13578313.810615988</v>
      </c>
      <c r="I139" s="905"/>
      <c r="J139" s="906">
        <f>MAX(J74:J132)</f>
        <v>21965453</v>
      </c>
      <c r="K139" s="906">
        <f>MAX(K74:K132)</f>
        <v>28024881.431192659</v>
      </c>
      <c r="L139" s="906">
        <f>MAX(L74:L132)</f>
        <v>30710798.288990825</v>
      </c>
      <c r="M139" s="906"/>
      <c r="N139" s="906"/>
      <c r="O139" s="906">
        <f>MAX(O74:O132)</f>
        <v>20100000</v>
      </c>
      <c r="P139" s="906">
        <f>MAX(P74:P132)</f>
        <v>12280000</v>
      </c>
    </row>
    <row r="140" spans="1:20" ht="17" thickBot="1"/>
    <row r="141" spans="1:20">
      <c r="G141" s="414" t="s">
        <v>127</v>
      </c>
      <c r="H141" s="423"/>
      <c r="I141" s="404"/>
      <c r="J141" s="896">
        <f>AVERAGE(J123,J121)</f>
        <v>7175659.2010350907</v>
      </c>
      <c r="K141" s="415"/>
    </row>
    <row r="142" spans="1:20">
      <c r="G142" s="416" t="s">
        <v>269</v>
      </c>
      <c r="H142" s="419"/>
      <c r="I142" s="360"/>
      <c r="J142" s="410">
        <f>STDEV(J123,J121)</f>
        <v>6153707.9119318947</v>
      </c>
      <c r="K142" s="418"/>
    </row>
    <row r="143" spans="1:20">
      <c r="G143" s="406"/>
      <c r="H143" s="360"/>
      <c r="I143" s="360"/>
      <c r="J143" s="410">
        <f>1.96*J142</f>
        <v>12061267.507386513</v>
      </c>
      <c r="K143" s="418"/>
    </row>
    <row r="144" spans="1:20">
      <c r="C144" s="355"/>
      <c r="G144" s="416" t="s">
        <v>32</v>
      </c>
      <c r="H144" s="419"/>
      <c r="I144" s="360"/>
      <c r="J144" s="419" t="s">
        <v>55</v>
      </c>
      <c r="K144" s="420" t="s">
        <v>33</v>
      </c>
    </row>
    <row r="145" spans="3:11" ht="17" thickBot="1">
      <c r="G145" s="397">
        <f>J145-J143</f>
        <v>-4885608.3063514223</v>
      </c>
      <c r="H145" s="421"/>
      <c r="I145" s="408"/>
      <c r="J145" s="411">
        <f>J141</f>
        <v>7175659.2010350907</v>
      </c>
      <c r="K145" s="412">
        <f>J145+J143</f>
        <v>19236926.708421603</v>
      </c>
    </row>
    <row r="150" spans="3:11">
      <c r="C150" s="1079"/>
    </row>
    <row r="151" spans="3:11">
      <c r="C151" s="1129"/>
    </row>
    <row r="152" spans="3:11">
      <c r="C152" s="1129"/>
    </row>
    <row r="153" spans="3:11">
      <c r="C153" s="1129"/>
    </row>
    <row r="154" spans="3:11">
      <c r="C154" s="1129"/>
    </row>
    <row r="155" spans="3:11">
      <c r="C155" s="1129"/>
    </row>
    <row r="156" spans="3:11">
      <c r="C156" s="1129"/>
    </row>
    <row r="157" spans="3:11">
      <c r="C157" s="1129"/>
    </row>
    <row r="158" spans="3:11">
      <c r="C158" s="1129"/>
    </row>
    <row r="159" spans="3:11">
      <c r="C159" s="1129"/>
    </row>
    <row r="160" spans="3:11">
      <c r="C160" s="1129"/>
    </row>
    <row r="161" spans="3:3">
      <c r="C161" s="1129"/>
    </row>
    <row r="162" spans="3:3">
      <c r="C162" s="1129"/>
    </row>
    <row r="163" spans="3:3">
      <c r="C163" s="1129"/>
    </row>
    <row r="164" spans="3:3">
      <c r="C164" s="1129"/>
    </row>
    <row r="165" spans="3:3">
      <c r="C165" s="1129"/>
    </row>
    <row r="166" spans="3:3">
      <c r="C166" s="1129"/>
    </row>
    <row r="167" spans="3:3">
      <c r="C167" s="1129"/>
    </row>
    <row r="168" spans="3:3">
      <c r="C168" s="1129"/>
    </row>
    <row r="169" spans="3:3">
      <c r="C169" s="1129"/>
    </row>
    <row r="170" spans="3:3">
      <c r="C170" s="1129"/>
    </row>
    <row r="171" spans="3:3">
      <c r="C171" s="1129"/>
    </row>
    <row r="172" spans="3:3">
      <c r="C172" s="1129"/>
    </row>
    <row r="173" spans="3:3">
      <c r="C173" s="1129"/>
    </row>
    <row r="174" spans="3:3">
      <c r="C174" s="1129"/>
    </row>
    <row r="175" spans="3:3">
      <c r="C175" s="1129"/>
    </row>
    <row r="176" spans="3:3">
      <c r="C176" s="1129"/>
    </row>
    <row r="177" spans="3:3">
      <c r="C177" s="1129"/>
    </row>
    <row r="179" spans="3:3">
      <c r="C179" s="366"/>
    </row>
  </sheetData>
  <mergeCells count="2">
    <mergeCell ref="U71:X71"/>
    <mergeCell ref="Z71:AC71"/>
  </mergeCells>
  <phoneticPr fontId="56" type="noConversion"/>
  <pageMargins left="0.75" right="0.75" top="1" bottom="1" header="0.5" footer="0.5"/>
  <pageSetup orientation="portrait" verticalDpi="0"/>
  <headerFooter alignWithMargins="0"/>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FF0000"/>
  </sheetPr>
  <dimension ref="A1:O52"/>
  <sheetViews>
    <sheetView view="pageBreakPreview" zoomScale="75" zoomScaleNormal="85" zoomScaleSheetLayoutView="75" zoomScalePageLayoutView="85" workbookViewId="0"/>
  </sheetViews>
  <sheetFormatPr baseColWidth="10" defaultColWidth="8.625" defaultRowHeight="16" x14ac:dyDescent="0"/>
  <cols>
    <col min="1" max="1" width="25.125" customWidth="1"/>
    <col min="2" max="2" width="10.875" customWidth="1"/>
    <col min="3" max="3" width="9.625" customWidth="1"/>
    <col min="4" max="4" width="10.875" customWidth="1"/>
    <col min="5" max="5" width="8.5" customWidth="1"/>
    <col min="6" max="6" width="8.375" customWidth="1"/>
    <col min="7" max="7" width="10.875" customWidth="1"/>
    <col min="8" max="8" width="4.125" customWidth="1"/>
    <col min="9" max="9" width="25.875" customWidth="1"/>
    <col min="10" max="12" width="10.875" customWidth="1"/>
    <col min="13" max="13" width="5.875" customWidth="1"/>
    <col min="14" max="14" width="7.625" customWidth="1"/>
    <col min="15" max="15" width="10.625" customWidth="1"/>
  </cols>
  <sheetData>
    <row r="1" spans="1:15">
      <c r="A1" s="768" t="str">
        <f ca="1">CELL("filename",A1)</f>
        <v>NWCLM04072996:Users:eric.ward:Documents:NCEAS-covariation:data:salmon data:[2015_PWS_Pink_Wild_forecast-FINAL.xlsm]Forecasts_Sum_Even</v>
      </c>
      <c r="B1" s="109"/>
      <c r="C1" s="109"/>
      <c r="D1" s="109"/>
      <c r="E1" s="109"/>
      <c r="F1" s="109"/>
      <c r="G1" s="109"/>
      <c r="H1" s="109"/>
      <c r="I1" s="768" t="str">
        <f ca="1">CELL("filename",I1)</f>
        <v>NWCLM04072996:Users:eric.ward:Documents:NCEAS-covariation:data:salmon data:[2015_PWS_Pink_Wild_forecast-FINAL.xlsm]Forecasts_Sum_Even</v>
      </c>
      <c r="J1" s="109"/>
      <c r="K1" s="109"/>
      <c r="L1" s="109"/>
      <c r="M1" s="109"/>
      <c r="N1" s="109"/>
      <c r="O1" s="109"/>
    </row>
    <row r="2" spans="1:15" ht="8.25" customHeight="1">
      <c r="A2" s="179"/>
      <c r="B2" s="109"/>
      <c r="C2" s="109"/>
      <c r="D2" s="109"/>
      <c r="E2" s="109"/>
      <c r="F2" s="109"/>
      <c r="G2" s="109"/>
      <c r="H2" s="109"/>
      <c r="I2" s="179"/>
      <c r="J2" s="109"/>
      <c r="K2" s="109"/>
      <c r="L2" s="109"/>
      <c r="M2" s="109"/>
      <c r="N2" s="109"/>
      <c r="O2" s="109"/>
    </row>
    <row r="3" spans="1:15">
      <c r="A3" s="767" t="s">
        <v>369</v>
      </c>
      <c r="B3" s="109"/>
      <c r="C3" s="109"/>
      <c r="D3" s="109"/>
      <c r="E3" s="109"/>
      <c r="G3" s="109"/>
      <c r="H3" s="109"/>
      <c r="I3" s="767" t="s">
        <v>369</v>
      </c>
      <c r="J3" s="109"/>
      <c r="K3" s="109"/>
      <c r="L3" s="109"/>
      <c r="M3" s="109"/>
      <c r="N3" s="109"/>
      <c r="O3" s="109"/>
    </row>
    <row r="4" spans="1:15">
      <c r="A4" s="109"/>
      <c r="B4" s="109"/>
      <c r="C4" s="109"/>
      <c r="D4" s="109"/>
      <c r="E4" s="109"/>
      <c r="F4" s="109"/>
      <c r="G4" s="109"/>
      <c r="H4" s="109"/>
      <c r="I4" s="109"/>
      <c r="J4" s="109"/>
      <c r="K4" s="109"/>
      <c r="L4" s="109"/>
      <c r="M4" s="109"/>
      <c r="N4" s="109"/>
      <c r="O4" s="109"/>
    </row>
    <row r="5" spans="1:15" ht="15" customHeight="1">
      <c r="A5" s="176" t="s">
        <v>322</v>
      </c>
      <c r="B5" s="941">
        <f>Forecast_Year</f>
        <v>2015</v>
      </c>
      <c r="C5" s="109"/>
      <c r="D5" s="109"/>
      <c r="E5" s="109"/>
      <c r="F5" s="109"/>
      <c r="G5" s="109"/>
      <c r="H5" s="109"/>
      <c r="I5" s="176" t="s">
        <v>322</v>
      </c>
      <c r="J5" s="741">
        <f>Forecast_Year</f>
        <v>2015</v>
      </c>
      <c r="K5" s="109"/>
      <c r="L5" s="109"/>
      <c r="M5" s="109"/>
      <c r="N5" s="109"/>
      <c r="O5" s="109"/>
    </row>
    <row r="6" spans="1:15" ht="16.5" customHeight="1">
      <c r="A6" s="176"/>
      <c r="B6" s="287"/>
      <c r="C6" s="109"/>
      <c r="D6" s="109"/>
      <c r="E6" s="109"/>
      <c r="F6" s="109"/>
      <c r="G6" s="109"/>
      <c r="H6" s="109"/>
      <c r="I6" s="176"/>
      <c r="J6" s="287"/>
      <c r="K6" s="109"/>
      <c r="L6" s="109"/>
      <c r="M6" s="109"/>
      <c r="N6" s="109"/>
      <c r="O6" s="109"/>
    </row>
    <row r="7" spans="1:15">
      <c r="A7" s="754"/>
      <c r="B7" s="1159" t="s">
        <v>259</v>
      </c>
      <c r="C7" s="1159"/>
      <c r="D7" s="1159"/>
      <c r="E7" s="754"/>
      <c r="F7" s="754"/>
      <c r="G7" s="754"/>
      <c r="H7" s="109"/>
      <c r="I7" s="754"/>
      <c r="J7" s="1159" t="s">
        <v>259</v>
      </c>
      <c r="K7" s="1159"/>
      <c r="L7" s="1159"/>
      <c r="M7" s="754"/>
      <c r="N7" s="754"/>
      <c r="O7" s="754"/>
    </row>
    <row r="8" spans="1:15">
      <c r="A8" s="755" t="s">
        <v>320</v>
      </c>
      <c r="B8" s="755" t="s">
        <v>321</v>
      </c>
      <c r="C8" s="831" t="s">
        <v>323</v>
      </c>
      <c r="D8" s="831" t="s">
        <v>324</v>
      </c>
      <c r="E8" s="755" t="s">
        <v>236</v>
      </c>
      <c r="F8" s="755" t="s">
        <v>325</v>
      </c>
      <c r="G8" s="755" t="s">
        <v>327</v>
      </c>
      <c r="I8" s="755" t="s">
        <v>320</v>
      </c>
      <c r="J8" s="755" t="s">
        <v>321</v>
      </c>
      <c r="K8" s="831" t="s">
        <v>323</v>
      </c>
      <c r="L8" s="831" t="s">
        <v>324</v>
      </c>
      <c r="M8" s="755" t="s">
        <v>236</v>
      </c>
      <c r="N8" s="755" t="s">
        <v>325</v>
      </c>
      <c r="O8" s="755" t="s">
        <v>327</v>
      </c>
    </row>
    <row r="9" spans="1:15">
      <c r="A9" s="757" t="s">
        <v>342</v>
      </c>
      <c r="B9" s="924"/>
      <c r="C9" s="176"/>
      <c r="D9" s="176"/>
      <c r="E9" s="176"/>
      <c r="F9" s="176"/>
      <c r="G9" s="176"/>
      <c r="I9" s="757" t="s">
        <v>342</v>
      </c>
      <c r="J9" s="176"/>
      <c r="K9" s="176"/>
      <c r="L9" s="176"/>
      <c r="M9" s="176"/>
      <c r="N9" s="176"/>
      <c r="O9" s="176"/>
    </row>
    <row r="10" spans="1:15" ht="15" customHeight="1">
      <c r="A10" s="737" t="s">
        <v>217</v>
      </c>
      <c r="B10" s="925">
        <f>Evaluation_TOTAL_ODD_EVEN!H63</f>
        <v>21965453</v>
      </c>
      <c r="C10" s="200">
        <f>IF($B10-(Performance!$G$59*Forecasts_Sum_Even!$B10)&lt;0,0,$B10-(Performance!$G$59*Forecasts_Sum_Even!$B10))</f>
        <v>8929663.938229531</v>
      </c>
      <c r="D10" s="200">
        <f>$B10+(Performance!$G$59*Forecasts_Sum_Even!$B10)</f>
        <v>35001242.061770469</v>
      </c>
      <c r="E10" s="200">
        <f>Evaluation_TOTAL_ODD_EVEN!BZ$62</f>
        <v>26</v>
      </c>
      <c r="F10" s="740">
        <f>Evaluation_TOTAL_ODD_EVEN!BZ61</f>
        <v>1.1778760830660404</v>
      </c>
      <c r="G10" s="874">
        <f>Evaluation_TOTAL_ODD_EVEN!BZ63</f>
        <v>1.9124891323288822</v>
      </c>
      <c r="H10" s="109"/>
      <c r="I10" s="737" t="s">
        <v>217</v>
      </c>
      <c r="J10" s="1103">
        <f t="shared" ref="J10:L15" si="0">MROUND(B10,10000)</f>
        <v>21970000</v>
      </c>
      <c r="K10" s="1103">
        <f t="shared" si="0"/>
        <v>8930000</v>
      </c>
      <c r="L10" s="1103">
        <f t="shared" si="0"/>
        <v>35000000</v>
      </c>
      <c r="M10" s="1103">
        <f>E10</f>
        <v>26</v>
      </c>
      <c r="N10" s="1104">
        <f>F10</f>
        <v>1.1778760830660404</v>
      </c>
      <c r="O10" s="1104">
        <f>G10</f>
        <v>1.9124891323288822</v>
      </c>
    </row>
    <row r="11" spans="1:15" ht="15" customHeight="1">
      <c r="A11" s="737" t="s">
        <v>219</v>
      </c>
      <c r="B11" s="925">
        <f>Evaluation_TOTAL_ODD_EVEN!I63</f>
        <v>15804276</v>
      </c>
      <c r="C11" s="200">
        <f>IF($B11-(Performance!$G$59*Forecasts_Sum_Even!$B11)&lt;0,0,$B11-(Performance!$G$59*Forecasts_Sum_Even!$B11))</f>
        <v>6424947.0961070769</v>
      </c>
      <c r="D11" s="200">
        <f>$B11+(Performance!$G$59*Forecasts_Sum_Even!$B11)</f>
        <v>25183604.903892923</v>
      </c>
      <c r="E11" s="200">
        <f>Evaluation_TOTAL_ODD_EVEN!CA$62</f>
        <v>25</v>
      </c>
      <c r="F11" s="740">
        <f>Evaluation_TOTAL_ODD_EVEN!CA61</f>
        <v>1.2319481928298417</v>
      </c>
      <c r="G11" s="874">
        <f>Evaluation_TOTAL_ODD_EVEN!CA63</f>
        <v>1.7049492467062384</v>
      </c>
      <c r="H11" s="109"/>
      <c r="I11" s="737" t="s">
        <v>219</v>
      </c>
      <c r="J11" s="1103">
        <f t="shared" si="0"/>
        <v>15800000</v>
      </c>
      <c r="K11" s="1103">
        <f t="shared" si="0"/>
        <v>6420000</v>
      </c>
      <c r="L11" s="1103">
        <f t="shared" si="0"/>
        <v>25180000</v>
      </c>
      <c r="M11" s="1103">
        <f t="shared" ref="M11:O21" si="1">E11</f>
        <v>25</v>
      </c>
      <c r="N11" s="1104">
        <f t="shared" si="1"/>
        <v>1.2319481928298417</v>
      </c>
      <c r="O11" s="1104">
        <f t="shared" si="1"/>
        <v>1.7049492467062384</v>
      </c>
    </row>
    <row r="12" spans="1:15" ht="15" customHeight="1">
      <c r="A12" s="737" t="s">
        <v>220</v>
      </c>
      <c r="B12" s="925">
        <f>Evaluation_TOTAL_ODD_EVEN!J63</f>
        <v>11477627.535688912</v>
      </c>
      <c r="C12" s="200">
        <f>IF($B12-(Performance!$G$59*Forecasts_Sum_Even!$B12)&lt;0,0,$B12-(Performance!$G$59*Forecasts_Sum_Even!$B12))</f>
        <v>4666025.1760740634</v>
      </c>
      <c r="D12" s="200">
        <f>$B12+(Performance!$G$59*Forecasts_Sum_Even!$B12)</f>
        <v>18289229.895303763</v>
      </c>
      <c r="E12" s="200">
        <f>Evaluation_TOTAL_ODD_EVEN!CB62</f>
        <v>24</v>
      </c>
      <c r="F12" s="740">
        <f>Evaluation_TOTAL_ODD_EVEN!CB61</f>
        <v>1.2583860738316457</v>
      </c>
      <c r="G12" s="874">
        <f>Evaluation_TOTAL_ODD_EVEN!CB63</f>
        <v>1.7752354365850385</v>
      </c>
      <c r="H12" s="109"/>
      <c r="I12" s="737" t="s">
        <v>220</v>
      </c>
      <c r="J12" s="1103">
        <f t="shared" si="0"/>
        <v>11480000</v>
      </c>
      <c r="K12" s="1103">
        <f t="shared" si="0"/>
        <v>4670000</v>
      </c>
      <c r="L12" s="1103">
        <f t="shared" si="0"/>
        <v>18290000</v>
      </c>
      <c r="M12" s="1103">
        <f t="shared" si="1"/>
        <v>24</v>
      </c>
      <c r="N12" s="1104">
        <f t="shared" si="1"/>
        <v>1.2583860738316457</v>
      </c>
      <c r="O12" s="1104">
        <f t="shared" si="1"/>
        <v>1.7752354365850385</v>
      </c>
    </row>
    <row r="13" spans="1:15" ht="15" customHeight="1">
      <c r="A13" s="737" t="s">
        <v>221</v>
      </c>
      <c r="B13" s="925">
        <f>Evaluation_TOTAL_ODD_EVEN!K63</f>
        <v>11489967.600517545</v>
      </c>
      <c r="C13" s="200">
        <f>IF($B13-(Performance!$G$59*Forecasts_Sum_Even!$B13)&lt;0,0,$B13-(Performance!$G$59*Forecasts_Sum_Even!$B13))</f>
        <v>4671041.8097804412</v>
      </c>
      <c r="D13" s="200">
        <f>$B13+(Performance!$G$59*Forecasts_Sum_Even!$B13)</f>
        <v>18308893.391254649</v>
      </c>
      <c r="E13" s="200">
        <f>Evaluation_TOTAL_ODD_EVEN!CC62</f>
        <v>23</v>
      </c>
      <c r="F13" s="740">
        <f>Evaluation_TOTAL_ODD_EVEN!CC61</f>
        <v>1.4359310495829731</v>
      </c>
      <c r="G13" s="874">
        <f>Evaluation_TOTAL_ODD_EVEN!CC63</f>
        <v>2.0709161739542989</v>
      </c>
      <c r="H13" s="109"/>
      <c r="I13" s="737" t="s">
        <v>221</v>
      </c>
      <c r="J13" s="1103">
        <f t="shared" si="0"/>
        <v>11490000</v>
      </c>
      <c r="K13" s="1103">
        <f t="shared" si="0"/>
        <v>4670000</v>
      </c>
      <c r="L13" s="1103">
        <f t="shared" si="0"/>
        <v>18310000</v>
      </c>
      <c r="M13" s="1103">
        <f t="shared" si="1"/>
        <v>23</v>
      </c>
      <c r="N13" s="1104">
        <f t="shared" si="1"/>
        <v>1.4359310495829731</v>
      </c>
      <c r="O13" s="1104">
        <f t="shared" si="1"/>
        <v>2.0709161739542989</v>
      </c>
    </row>
    <row r="14" spans="1:15" ht="15" customHeight="1">
      <c r="A14" s="737" t="s">
        <v>222</v>
      </c>
      <c r="B14" s="925">
        <f>Evaluation_TOTAL_ODD_EVEN!L63</f>
        <v>12598471.617478246</v>
      </c>
      <c r="C14" s="200">
        <f>IF($B14-(Performance!$G$59*Forecasts_Sum_Even!$B14)&lt;0,0,$B14-(Performance!$G$59*Forecasts_Sum_Even!$B14))</f>
        <v>5121684.3868143195</v>
      </c>
      <c r="D14" s="200">
        <f>$B14+(Performance!$G$59*Forecasts_Sum_Even!$B14)</f>
        <v>20075258.848142173</v>
      </c>
      <c r="E14" s="200">
        <f>Evaluation_TOTAL_ODD_EVEN!CD62</f>
        <v>22</v>
      </c>
      <c r="F14" s="740">
        <f>Evaluation_TOTAL_ODD_EVEN!CD61</f>
        <v>1.534170485015484</v>
      </c>
      <c r="G14" s="874">
        <f>Evaluation_TOTAL_ODD_EVEN!CD63</f>
        <v>2.1903548672793103</v>
      </c>
      <c r="H14" s="109"/>
      <c r="I14" s="737" t="s">
        <v>222</v>
      </c>
      <c r="J14" s="1103">
        <f t="shared" si="0"/>
        <v>12600000</v>
      </c>
      <c r="K14" s="1103">
        <f t="shared" si="0"/>
        <v>5120000</v>
      </c>
      <c r="L14" s="1103">
        <f t="shared" si="0"/>
        <v>20080000</v>
      </c>
      <c r="M14" s="1103">
        <f t="shared" si="1"/>
        <v>22</v>
      </c>
      <c r="N14" s="1104">
        <f t="shared" si="1"/>
        <v>1.534170485015484</v>
      </c>
      <c r="O14" s="1104">
        <f t="shared" si="1"/>
        <v>2.1903548672793103</v>
      </c>
    </row>
    <row r="15" spans="1:15" ht="15" customHeight="1">
      <c r="A15" s="737" t="s">
        <v>244</v>
      </c>
      <c r="B15" s="925">
        <f>Evaluation_TOTAL_ODD_EVEN!M63</f>
        <v>9511963.500801472</v>
      </c>
      <c r="C15" s="200">
        <f>IF($B15-(Performance!$G$59*Forecasts_Sum_Even!$B15)&lt;0,0,$B15-(Performance!$G$59*Forecasts_Sum_Even!$B15))</f>
        <v>3866919.4509606715</v>
      </c>
      <c r="D15" s="200">
        <f>$B15+(Performance!$G$59*Forecasts_Sum_Even!$B15)</f>
        <v>15157007.550642272</v>
      </c>
      <c r="E15" s="200">
        <f>Evaluation_TOTAL_ODD_EVEN!CE62</f>
        <v>17</v>
      </c>
      <c r="F15" s="740">
        <f>Evaluation_TOTAL_ODD_EVEN!CE61</f>
        <v>1.1994026453495796</v>
      </c>
      <c r="G15" s="874">
        <f>Evaluation_TOTAL_ODD_EVEN!CE63</f>
        <v>1.5974595348774541</v>
      </c>
      <c r="H15" s="109"/>
      <c r="I15" s="737" t="s">
        <v>244</v>
      </c>
      <c r="J15" s="1103">
        <f t="shared" si="0"/>
        <v>9510000</v>
      </c>
      <c r="K15" s="1103">
        <f t="shared" si="0"/>
        <v>3870000</v>
      </c>
      <c r="L15" s="1103">
        <f t="shared" si="0"/>
        <v>15160000</v>
      </c>
      <c r="M15" s="1103">
        <f t="shared" si="1"/>
        <v>17</v>
      </c>
      <c r="N15" s="1104">
        <f t="shared" si="1"/>
        <v>1.1994026453495796</v>
      </c>
      <c r="O15" s="1104">
        <f t="shared" si="1"/>
        <v>1.5974595348774541</v>
      </c>
    </row>
    <row r="16" spans="1:15" ht="9" customHeight="1">
      <c r="A16" s="109"/>
      <c r="B16" s="109"/>
      <c r="C16" s="200"/>
      <c r="D16" s="109"/>
      <c r="E16" s="109"/>
      <c r="F16" s="109"/>
      <c r="G16" s="875"/>
      <c r="H16" s="109"/>
      <c r="I16" s="109"/>
      <c r="J16" s="1108"/>
      <c r="K16" s="1103"/>
      <c r="L16" s="1108"/>
      <c r="M16" s="1103"/>
      <c r="N16" s="1104"/>
      <c r="O16" s="1104"/>
    </row>
    <row r="17" spans="1:15">
      <c r="A17" s="756" t="s">
        <v>328</v>
      </c>
      <c r="B17" s="109"/>
      <c r="C17" s="200"/>
      <c r="D17" s="109"/>
      <c r="E17" s="109"/>
      <c r="F17" s="109"/>
      <c r="G17" s="875"/>
      <c r="H17" s="109"/>
      <c r="I17" s="756" t="s">
        <v>328</v>
      </c>
      <c r="J17" s="1108"/>
      <c r="K17" s="1103"/>
      <c r="L17" s="1108"/>
      <c r="M17" s="1103"/>
      <c r="N17" s="1104"/>
      <c r="O17" s="1104"/>
    </row>
    <row r="18" spans="1:15">
      <c r="A18" s="109" t="s">
        <v>329</v>
      </c>
      <c r="B18" s="200">
        <f>'Exp_smoothing_w_damping_Total R'!C70</f>
        <v>8399050.0346589684</v>
      </c>
      <c r="C18" s="1103">
        <f>IF($B18-(Performance!$G$59*Forecasts_Sum_Even!$B18)&lt;0,0,$B18-(Performance!$G$59*Forecasts_Sum_Even!$B18))</f>
        <v>3414484.2908488931</v>
      </c>
      <c r="D18" s="1103">
        <f>$B18+(Performance!$G$59*Forecasts_Sum_Even!$B18)</f>
        <v>13383615.778469045</v>
      </c>
      <c r="E18" s="1103">
        <f>'Exp_smoothing_w_damping_Total R'!G69</f>
        <v>52</v>
      </c>
      <c r="F18" s="1104">
        <f>'Exp_smoothing_w_damping_Total R'!G72</f>
        <v>1.1469751983987586</v>
      </c>
      <c r="G18" s="1105">
        <f>'Exp_smoothing_w_damping_Total R'!G76</f>
        <v>1.701530874225373</v>
      </c>
      <c r="H18" s="109"/>
      <c r="I18" s="109" t="s">
        <v>329</v>
      </c>
      <c r="J18" s="1103">
        <f t="shared" ref="J18:L21" si="2">MROUND(B18,10000)</f>
        <v>8400000</v>
      </c>
      <c r="K18" s="1103">
        <f t="shared" si="2"/>
        <v>3410000</v>
      </c>
      <c r="L18" s="1103">
        <f t="shared" si="2"/>
        <v>13380000</v>
      </c>
      <c r="M18" s="1103">
        <f t="shared" si="1"/>
        <v>52</v>
      </c>
      <c r="N18" s="1104">
        <f t="shared" si="1"/>
        <v>1.1469751983987586</v>
      </c>
      <c r="O18" s="1104">
        <f t="shared" si="1"/>
        <v>1.701530874225373</v>
      </c>
    </row>
    <row r="19" spans="1:15">
      <c r="A19" s="109" t="s">
        <v>379</v>
      </c>
      <c r="B19" s="200">
        <f>'Exp_smoothing damp_Tot_even'!C43</f>
        <v>4385798.0914238207</v>
      </c>
      <c r="C19" s="1103">
        <f>IF($B19-(Performance!$G$59*Forecasts_Sum_Even!$B19)&lt;0,0,$B19-(Performance!$G$59*Forecasts_Sum_Even!$B19))</f>
        <v>1782968.1480888738</v>
      </c>
      <c r="D19" s="1103">
        <f>$B19+(Performance!$G$59*Forecasts_Sum_Even!$B19)</f>
        <v>6988628.0347587671</v>
      </c>
      <c r="E19" s="200">
        <f>'Exp_smoothing damp_Tot_even'!G42</f>
        <v>22</v>
      </c>
      <c r="F19" s="874">
        <f>'Exp_smoothing damp_Tot_even'!G45</f>
        <v>1.2772932939525947</v>
      </c>
      <c r="G19" s="874">
        <f>'Exp_smoothing damp_Tot_even'!G49</f>
        <v>1.9258995677841422</v>
      </c>
      <c r="H19" s="109"/>
      <c r="I19" s="109" t="s">
        <v>330</v>
      </c>
      <c r="J19" s="1103">
        <f t="shared" si="2"/>
        <v>4390000</v>
      </c>
      <c r="K19" s="1103">
        <f t="shared" si="2"/>
        <v>1780000</v>
      </c>
      <c r="L19" s="1103">
        <f t="shared" si="2"/>
        <v>6990000</v>
      </c>
      <c r="M19" s="1103">
        <f t="shared" si="1"/>
        <v>22</v>
      </c>
      <c r="N19" s="1104">
        <f t="shared" si="1"/>
        <v>1.2772932939525947</v>
      </c>
      <c r="O19" s="1104">
        <f t="shared" si="1"/>
        <v>1.9258995677841422</v>
      </c>
    </row>
    <row r="20" spans="1:15">
      <c r="A20" s="109" t="s">
        <v>347</v>
      </c>
      <c r="B20" s="1103">
        <f>'Lag1_Exp_smoothing_Total Run'!C67</f>
        <v>12074009.154630814</v>
      </c>
      <c r="C20" s="1103">
        <f>IF($B20-(Performance!$G$59*Forecasts_Sum_Even!$B20)&lt;0,0,$B20-(Performance!$G$59*Forecasts_Sum_Even!$B20))</f>
        <v>4908473.5078288624</v>
      </c>
      <c r="D20" s="1103">
        <f>$B20+(Performance!$G$59*Forecasts_Sum_Even!$B20)</f>
        <v>19239544.801432766</v>
      </c>
      <c r="E20" s="1103">
        <f>'Lag1_Exp_smoothing_Total Run'!G66</f>
        <v>51</v>
      </c>
      <c r="F20" s="1104">
        <f>'Lag1_Exp_smoothing_Total Run'!$G69</f>
        <v>1.173689591060582</v>
      </c>
      <c r="G20" s="1105">
        <f>'Lag1_Exp_smoothing_Total Run'!G73</f>
        <v>1.734277627987904</v>
      </c>
      <c r="H20" s="109"/>
      <c r="I20" s="109" t="s">
        <v>347</v>
      </c>
      <c r="J20" s="1103">
        <f t="shared" si="2"/>
        <v>12070000</v>
      </c>
      <c r="K20" s="1103">
        <f t="shared" si="2"/>
        <v>4910000</v>
      </c>
      <c r="L20" s="1103">
        <f t="shared" si="2"/>
        <v>19240000</v>
      </c>
      <c r="M20" s="1103">
        <f t="shared" si="1"/>
        <v>51</v>
      </c>
      <c r="N20" s="1104">
        <f t="shared" si="1"/>
        <v>1.173689591060582</v>
      </c>
      <c r="O20" s="1104">
        <f t="shared" si="1"/>
        <v>1.734277627987904</v>
      </c>
    </row>
    <row r="21" spans="1:15">
      <c r="A21" s="1106" t="s">
        <v>380</v>
      </c>
      <c r="B21" s="1107">
        <f>'Lag1_Exp_smooth_Total Run Even'!C41</f>
        <v>4288849.8779558213</v>
      </c>
      <c r="C21" s="1107">
        <f>IF($B21-(Performance!$G$59*Forecasts_Sum_Even!$B21)&lt;0,0,$B21-(Performance!$G$59*Forecasts_Sum_Even!$B21))</f>
        <v>1743555.5775545454</v>
      </c>
      <c r="D21" s="1107">
        <f>$B21+(Performance!$G$59*Forecasts_Sum_Even!$B21)</f>
        <v>6834144.1783570973</v>
      </c>
      <c r="E21" s="1107">
        <f>'Lag1_Exp_smooth_Total Run Even'!I40</f>
        <v>26</v>
      </c>
      <c r="F21" s="1126">
        <f>'Lag1_Exp_smooth_Total Run Even'!I43</f>
        <v>1.1380569114556678</v>
      </c>
      <c r="G21" s="1126">
        <f>'Lag1_Exp_smooth_Total Run Even'!I47</f>
        <v>1.7372822898252973</v>
      </c>
      <c r="H21" s="109"/>
      <c r="I21" s="835" t="s">
        <v>346</v>
      </c>
      <c r="J21" s="1128">
        <f t="shared" si="2"/>
        <v>4290000</v>
      </c>
      <c r="K21" s="1103">
        <f t="shared" si="2"/>
        <v>1740000</v>
      </c>
      <c r="L21" s="1103">
        <f t="shared" si="2"/>
        <v>6830000</v>
      </c>
      <c r="M21" s="1103">
        <f t="shared" si="1"/>
        <v>26</v>
      </c>
      <c r="N21" s="1127">
        <f t="shared" si="1"/>
        <v>1.1380569114556678</v>
      </c>
      <c r="O21" s="1127">
        <f t="shared" si="1"/>
        <v>1.7372822898252973</v>
      </c>
    </row>
    <row r="22" spans="1:15" ht="9" customHeight="1">
      <c r="A22" s="109"/>
      <c r="B22" s="109"/>
      <c r="C22" s="109"/>
      <c r="D22" s="109"/>
      <c r="E22" s="109"/>
      <c r="F22" s="109"/>
      <c r="G22" s="109"/>
      <c r="H22" s="109"/>
      <c r="I22" s="109"/>
      <c r="J22" s="1108"/>
      <c r="K22" s="1108"/>
      <c r="L22" s="1108"/>
      <c r="M22" s="1108"/>
      <c r="N22" s="1108"/>
      <c r="O22" s="1108"/>
    </row>
    <row r="23" spans="1:15">
      <c r="A23" s="833" t="s">
        <v>343</v>
      </c>
      <c r="B23" s="834"/>
      <c r="C23" s="754"/>
      <c r="D23" s="754"/>
      <c r="E23" s="754"/>
      <c r="F23" s="754"/>
      <c r="G23" s="754"/>
      <c r="H23" s="109"/>
      <c r="I23" s="833" t="s">
        <v>343</v>
      </c>
      <c r="J23" s="1109"/>
      <c r="K23" s="1110"/>
      <c r="L23" s="1110"/>
      <c r="M23" s="1110"/>
      <c r="N23" s="1110"/>
      <c r="O23" s="1110"/>
    </row>
    <row r="24" spans="1:15">
      <c r="A24" s="762"/>
      <c r="B24" s="755" t="s">
        <v>321</v>
      </c>
      <c r="C24" s="763" t="s">
        <v>323</v>
      </c>
      <c r="D24" s="763" t="s">
        <v>324</v>
      </c>
      <c r="E24" s="763" t="s">
        <v>236</v>
      </c>
      <c r="F24" s="763" t="s">
        <v>339</v>
      </c>
      <c r="G24" s="763" t="s">
        <v>153</v>
      </c>
      <c r="H24" s="109"/>
      <c r="I24" s="873"/>
      <c r="J24" s="1111" t="s">
        <v>321</v>
      </c>
      <c r="K24" s="1111" t="s">
        <v>323</v>
      </c>
      <c r="L24" s="1111" t="s">
        <v>324</v>
      </c>
      <c r="M24" s="1111" t="s">
        <v>236</v>
      </c>
      <c r="N24" s="1111" t="s">
        <v>399</v>
      </c>
      <c r="O24" s="1111" t="s">
        <v>153</v>
      </c>
    </row>
    <row r="25" spans="1:15">
      <c r="A25" s="110" t="s">
        <v>344</v>
      </c>
      <c r="B25" s="1021">
        <f>EvenRPS!L3</f>
        <v>5497390.9513097387</v>
      </c>
      <c r="C25" s="1094">
        <f>IF($B25-(Performance!$G$59*Forecasts_Sum_Even!$B25)&lt;0,0,$B25-(Performance!$G$59*Forecasts_Sum_Even!$B25))</f>
        <v>2234866.4392334595</v>
      </c>
      <c r="D25" s="1093">
        <f>$B25+(Performance!$G$59*Forecasts_Sum_Even!$B25)</f>
        <v>8759915.4633860178</v>
      </c>
      <c r="E25" s="1094">
        <f>EvenRPS!M3</f>
        <v>25</v>
      </c>
      <c r="F25" s="1095">
        <f>EvenRPS!N3</f>
        <v>5.9700189960139012E-3</v>
      </c>
      <c r="G25" s="1096">
        <f>EvenRPS!O3</f>
        <v>0.71354411733332213</v>
      </c>
      <c r="H25" s="109"/>
      <c r="I25" s="110" t="s">
        <v>344</v>
      </c>
      <c r="J25" s="1112">
        <f t="shared" ref="J25:L26" si="3">MROUND(B25,10000)</f>
        <v>5500000</v>
      </c>
      <c r="K25" s="1112">
        <f t="shared" si="3"/>
        <v>2230000</v>
      </c>
      <c r="L25" s="1112">
        <f t="shared" si="3"/>
        <v>8760000</v>
      </c>
      <c r="M25" s="1110">
        <f t="shared" ref="M25:O26" si="4">E25</f>
        <v>25</v>
      </c>
      <c r="N25" s="1113">
        <f t="shared" si="4"/>
        <v>5.9700189960139012E-3</v>
      </c>
      <c r="O25" s="1113">
        <f t="shared" si="4"/>
        <v>0.71354411733332213</v>
      </c>
    </row>
    <row r="26" spans="1:15">
      <c r="A26" s="759" t="s">
        <v>345</v>
      </c>
      <c r="B26" s="1114">
        <f>EvenRPS!L4</f>
        <v>3560614.2949919691</v>
      </c>
      <c r="C26" s="1098">
        <f>IF($B26-(Performance!$G$59*Forecasts_Sum_Even!$B26)&lt;0,0,$B26-(Performance!$G$59*Forecasts_Sum_Even!$B26))</f>
        <v>1447504.3636903074</v>
      </c>
      <c r="D26" s="1097">
        <f>$B26+(Performance!$G$59*Forecasts_Sum_Even!$B26)</f>
        <v>5673724.2262936309</v>
      </c>
      <c r="E26" s="1098">
        <f>EvenRPS!M4</f>
        <v>25</v>
      </c>
      <c r="F26" s="1099">
        <f>EvenRPS!N4</f>
        <v>3.0660210458453317E-2</v>
      </c>
      <c r="G26" s="1100">
        <f>EvenRPS!O4</f>
        <v>0.40249328917209171</v>
      </c>
      <c r="H26" s="109"/>
      <c r="I26" s="759" t="s">
        <v>345</v>
      </c>
      <c r="J26" s="1114">
        <f t="shared" si="3"/>
        <v>3560000</v>
      </c>
      <c r="K26" s="1114">
        <f t="shared" si="3"/>
        <v>1450000</v>
      </c>
      <c r="L26" s="1114">
        <f t="shared" si="3"/>
        <v>5670000</v>
      </c>
      <c r="M26" s="1115">
        <f t="shared" si="4"/>
        <v>25</v>
      </c>
      <c r="N26" s="1116">
        <f t="shared" si="4"/>
        <v>3.0660210458453317E-2</v>
      </c>
      <c r="O26" s="1116">
        <f t="shared" si="4"/>
        <v>0.40249328917209171</v>
      </c>
    </row>
    <row r="27" spans="1:15">
      <c r="A27" s="109"/>
      <c r="B27" s="109"/>
      <c r="C27" s="109"/>
      <c r="D27" s="109"/>
      <c r="E27" s="109"/>
      <c r="F27" s="109"/>
      <c r="G27" s="109"/>
      <c r="H27" s="109"/>
      <c r="I27" s="109"/>
      <c r="J27" s="109"/>
      <c r="K27" s="109"/>
      <c r="L27" s="109"/>
      <c r="M27" s="109"/>
      <c r="N27" s="109"/>
      <c r="O27" s="109"/>
    </row>
    <row r="28" spans="1:15">
      <c r="A28" s="109" t="s">
        <v>362</v>
      </c>
      <c r="B28" s="109"/>
      <c r="C28" s="109"/>
      <c r="D28" s="109"/>
      <c r="E28" s="109"/>
      <c r="F28" s="109"/>
      <c r="G28" s="109"/>
      <c r="H28" s="109"/>
      <c r="I28" s="109" t="s">
        <v>362</v>
      </c>
      <c r="J28" s="109"/>
      <c r="K28" s="109"/>
      <c r="L28" s="109"/>
      <c r="M28" s="109"/>
      <c r="N28" s="109"/>
      <c r="O28" s="109"/>
    </row>
    <row r="29" spans="1:15">
      <c r="A29" s="109"/>
      <c r="B29" s="109"/>
      <c r="C29" s="109"/>
      <c r="D29" s="109"/>
      <c r="E29" s="109"/>
      <c r="F29" s="109"/>
      <c r="G29" s="109"/>
      <c r="H29" s="109"/>
      <c r="I29" s="109"/>
      <c r="J29" s="109"/>
      <c r="K29" s="109"/>
      <c r="L29" s="109"/>
      <c r="M29" s="109"/>
      <c r="N29" s="109"/>
      <c r="O29" s="109"/>
    </row>
    <row r="30" spans="1:15">
      <c r="A30" s="109"/>
      <c r="B30" s="109"/>
      <c r="C30" s="942">
        <f>B21-Performance!F59</f>
        <v>-5724960.1179214409</v>
      </c>
      <c r="D30" s="942">
        <f>B21+Performance!F59</f>
        <v>14302659.873833083</v>
      </c>
      <c r="E30" s="109"/>
      <c r="F30" s="109"/>
      <c r="G30" s="109"/>
      <c r="H30" s="109"/>
      <c r="I30" s="109"/>
      <c r="J30" s="109"/>
      <c r="K30" s="109"/>
      <c r="L30" s="109"/>
      <c r="M30" s="109"/>
      <c r="N30" s="109"/>
      <c r="O30" s="109"/>
    </row>
    <row r="31" spans="1:15">
      <c r="A31" s="109"/>
      <c r="B31" s="109"/>
      <c r="C31" s="109"/>
      <c r="D31" s="109"/>
      <c r="E31" s="109"/>
      <c r="F31" s="109"/>
      <c r="G31" s="109"/>
      <c r="H31" s="109"/>
      <c r="I31" s="109"/>
      <c r="J31" s="109"/>
      <c r="K31" s="109"/>
      <c r="L31" s="109"/>
      <c r="M31" s="109"/>
      <c r="N31" s="109"/>
      <c r="O31" s="109"/>
    </row>
    <row r="32" spans="1:15">
      <c r="A32" s="109"/>
      <c r="B32" s="109"/>
      <c r="C32" s="109"/>
      <c r="D32" s="109"/>
      <c r="E32" s="109"/>
      <c r="F32" s="109"/>
      <c r="G32" s="109"/>
      <c r="H32" s="109"/>
      <c r="I32" s="109"/>
      <c r="J32" s="109"/>
      <c r="K32" s="109"/>
      <c r="L32" s="109"/>
      <c r="M32" s="109"/>
      <c r="N32" s="109"/>
      <c r="O32" s="109"/>
    </row>
    <row r="33" spans="1:15">
      <c r="A33" s="109"/>
      <c r="B33" s="109"/>
      <c r="C33" s="109"/>
      <c r="D33" s="109"/>
      <c r="E33" s="109"/>
      <c r="F33" s="109"/>
      <c r="G33" s="109"/>
      <c r="H33" s="109"/>
      <c r="I33" s="109"/>
      <c r="J33" s="109"/>
      <c r="K33" s="109"/>
      <c r="L33" s="109"/>
      <c r="M33" s="109"/>
      <c r="N33" s="109"/>
      <c r="O33" s="109"/>
    </row>
    <row r="34" spans="1:15">
      <c r="A34" s="109"/>
      <c r="B34" s="109"/>
      <c r="C34" s="109"/>
      <c r="D34" s="109"/>
      <c r="E34" s="109"/>
      <c r="F34" s="109"/>
      <c r="G34" s="109"/>
      <c r="H34" s="109"/>
      <c r="I34" s="109"/>
      <c r="J34" s="109"/>
      <c r="K34" s="109"/>
      <c r="L34" s="109"/>
      <c r="M34" s="109"/>
      <c r="N34" s="109"/>
      <c r="O34" s="109"/>
    </row>
    <row r="35" spans="1:15">
      <c r="A35" s="109"/>
      <c r="B35" s="109"/>
      <c r="C35" s="109"/>
      <c r="D35" s="109"/>
      <c r="E35" s="109"/>
      <c r="F35" s="109"/>
      <c r="G35" s="109"/>
      <c r="H35" s="109"/>
      <c r="I35" s="109"/>
      <c r="J35" s="109"/>
      <c r="K35" s="109"/>
      <c r="L35" s="109"/>
      <c r="M35" s="109"/>
      <c r="N35" s="109"/>
      <c r="O35" s="109"/>
    </row>
    <row r="36" spans="1:15">
      <c r="A36" s="109"/>
      <c r="B36" s="109"/>
      <c r="C36" s="109"/>
      <c r="D36" s="109"/>
      <c r="E36" s="109"/>
      <c r="F36" s="109"/>
      <c r="G36" s="109"/>
      <c r="H36" s="109"/>
      <c r="I36" s="109"/>
      <c r="J36" s="109"/>
      <c r="K36" s="109"/>
      <c r="L36" s="109"/>
      <c r="M36" s="109"/>
      <c r="N36" s="109"/>
      <c r="O36" s="109"/>
    </row>
    <row r="37" spans="1:15">
      <c r="A37" s="109"/>
      <c r="B37" s="109"/>
      <c r="C37" s="109"/>
      <c r="D37" s="109"/>
      <c r="E37" s="109"/>
      <c r="F37" s="109"/>
      <c r="G37" s="109"/>
      <c r="H37" s="109"/>
      <c r="I37" s="109"/>
      <c r="J37" s="109"/>
      <c r="K37" s="109"/>
      <c r="L37" s="109"/>
      <c r="M37" s="109"/>
      <c r="N37" s="109"/>
      <c r="O37" s="109"/>
    </row>
    <row r="38" spans="1:15">
      <c r="A38" s="109"/>
      <c r="B38" s="109"/>
      <c r="C38" s="109"/>
      <c r="D38" s="109"/>
      <c r="E38" s="109"/>
      <c r="F38" s="109"/>
      <c r="G38" s="109"/>
      <c r="H38" s="109"/>
      <c r="I38" s="109"/>
      <c r="J38" s="109"/>
      <c r="K38" s="109"/>
      <c r="L38" s="109"/>
      <c r="M38" s="109"/>
      <c r="N38" s="109"/>
      <c r="O38" s="109"/>
    </row>
    <row r="39" spans="1:15">
      <c r="A39" s="109"/>
      <c r="B39" s="109"/>
      <c r="C39" s="109"/>
      <c r="D39" s="109"/>
      <c r="E39" s="109"/>
      <c r="F39" s="109"/>
      <c r="G39" s="109"/>
      <c r="H39" s="109"/>
      <c r="I39" s="109"/>
      <c r="J39" s="109"/>
      <c r="K39" s="109"/>
      <c r="L39" s="109"/>
      <c r="M39" s="109"/>
      <c r="N39" s="109"/>
      <c r="O39" s="109"/>
    </row>
    <row r="40" spans="1:15">
      <c r="A40" s="109"/>
      <c r="B40" s="109"/>
      <c r="C40" s="109"/>
      <c r="D40" s="109"/>
      <c r="E40" s="109"/>
      <c r="F40" s="109"/>
      <c r="G40" s="109"/>
      <c r="H40" s="109"/>
      <c r="I40" s="109"/>
      <c r="J40" s="109"/>
      <c r="K40" s="109"/>
      <c r="L40" s="109"/>
      <c r="M40" s="109"/>
      <c r="N40" s="109"/>
      <c r="O40" s="109"/>
    </row>
    <row r="41" spans="1:15">
      <c r="A41" s="109"/>
      <c r="B41" s="109"/>
      <c r="C41" s="109"/>
      <c r="D41" s="109"/>
      <c r="E41" s="109"/>
      <c r="F41" s="109"/>
      <c r="G41" s="109"/>
      <c r="H41" s="109"/>
      <c r="I41" s="109"/>
      <c r="J41" s="109"/>
      <c r="K41" s="109"/>
      <c r="L41" s="109"/>
      <c r="M41" s="109"/>
      <c r="N41" s="109"/>
      <c r="O41" s="109"/>
    </row>
    <row r="42" spans="1:15">
      <c r="A42" s="109"/>
      <c r="B42" s="109"/>
      <c r="C42" s="109"/>
      <c r="D42" s="109"/>
      <c r="E42" s="109"/>
      <c r="F42" s="109"/>
      <c r="G42" s="109"/>
      <c r="H42" s="109"/>
      <c r="I42" s="109"/>
      <c r="J42" s="109"/>
      <c r="K42" s="109"/>
      <c r="L42" s="109"/>
      <c r="M42" s="109"/>
      <c r="N42" s="109"/>
      <c r="O42" s="109"/>
    </row>
    <row r="43" spans="1:15">
      <c r="A43" s="109"/>
      <c r="B43" s="109"/>
      <c r="C43" s="109"/>
      <c r="D43" s="109"/>
      <c r="E43" s="109"/>
      <c r="F43" s="109"/>
      <c r="G43" s="109"/>
      <c r="H43" s="109"/>
      <c r="I43" s="109"/>
      <c r="J43" s="109"/>
      <c r="K43" s="109"/>
      <c r="L43" s="109"/>
      <c r="M43" s="109"/>
      <c r="N43" s="109"/>
      <c r="O43" s="109"/>
    </row>
    <row r="44" spans="1:15">
      <c r="A44" s="109"/>
      <c r="B44" s="109"/>
      <c r="C44" s="109"/>
      <c r="D44" s="109"/>
      <c r="E44" s="109"/>
      <c r="F44" s="109"/>
      <c r="G44" s="109"/>
      <c r="H44" s="109"/>
      <c r="I44" s="109"/>
      <c r="J44" s="109"/>
      <c r="K44" s="109"/>
      <c r="L44" s="109"/>
      <c r="M44" s="109"/>
      <c r="N44" s="109"/>
      <c r="O44" s="109"/>
    </row>
    <row r="45" spans="1:15">
      <c r="A45" s="109"/>
      <c r="B45" s="109"/>
      <c r="C45" s="109"/>
      <c r="D45" s="109"/>
      <c r="E45" s="109"/>
      <c r="F45" s="109"/>
      <c r="G45" s="109"/>
      <c r="H45" s="109"/>
      <c r="I45" s="109"/>
      <c r="J45" s="109"/>
      <c r="K45" s="109"/>
      <c r="L45" s="109"/>
      <c r="M45" s="109"/>
      <c r="N45" s="109"/>
      <c r="O45" s="109"/>
    </row>
    <row r="46" spans="1:15">
      <c r="A46" s="109"/>
      <c r="B46" s="109"/>
      <c r="C46" s="109"/>
      <c r="D46" s="109"/>
      <c r="E46" s="109"/>
      <c r="F46" s="109"/>
      <c r="G46" s="109"/>
      <c r="H46" s="109"/>
      <c r="I46" s="109"/>
      <c r="J46" s="109"/>
      <c r="K46" s="109"/>
      <c r="L46" s="109"/>
      <c r="M46" s="109"/>
      <c r="N46" s="109"/>
      <c r="O46" s="109"/>
    </row>
    <row r="47" spans="1:15">
      <c r="A47" s="109"/>
      <c r="B47" s="109"/>
      <c r="C47" s="109"/>
      <c r="D47" s="109"/>
      <c r="E47" s="109"/>
      <c r="F47" s="109"/>
      <c r="G47" s="109"/>
      <c r="H47" s="109"/>
      <c r="I47" s="109"/>
      <c r="J47" s="109"/>
      <c r="K47" s="109"/>
      <c r="L47" s="109"/>
      <c r="M47" s="109"/>
      <c r="N47" s="109"/>
      <c r="O47" s="109"/>
    </row>
    <row r="48" spans="1:15">
      <c r="A48" s="109"/>
      <c r="B48" s="109"/>
      <c r="C48" s="109"/>
      <c r="D48" s="109"/>
      <c r="E48" s="109"/>
      <c r="F48" s="109"/>
      <c r="G48" s="109"/>
      <c r="H48" s="109"/>
      <c r="I48" s="109"/>
      <c r="J48" s="109"/>
      <c r="K48" s="109"/>
      <c r="L48" s="109"/>
      <c r="M48" s="109"/>
      <c r="N48" s="109"/>
      <c r="O48" s="109"/>
    </row>
    <row r="49" spans="1:15">
      <c r="A49" s="109"/>
      <c r="B49" s="109"/>
      <c r="C49" s="109"/>
      <c r="D49" s="109"/>
      <c r="E49" s="109"/>
      <c r="F49" s="109"/>
      <c r="G49" s="109"/>
      <c r="H49" s="109"/>
      <c r="I49" s="109"/>
      <c r="J49" s="109"/>
      <c r="K49" s="109"/>
      <c r="L49" s="109"/>
      <c r="M49" s="109"/>
      <c r="N49" s="109"/>
      <c r="O49" s="109"/>
    </row>
    <row r="50" spans="1:15">
      <c r="A50" s="109"/>
      <c r="B50" s="109"/>
      <c r="C50" s="109"/>
      <c r="D50" s="109"/>
      <c r="E50" s="109"/>
      <c r="F50" s="109"/>
      <c r="G50" s="109"/>
      <c r="H50" s="109"/>
      <c r="I50" s="109"/>
      <c r="J50" s="109"/>
      <c r="K50" s="109"/>
      <c r="L50" s="109"/>
      <c r="M50" s="109"/>
      <c r="N50" s="109"/>
      <c r="O50" s="109"/>
    </row>
    <row r="51" spans="1:15">
      <c r="A51" s="109"/>
      <c r="B51" s="109"/>
      <c r="C51" s="109"/>
      <c r="D51" s="109"/>
      <c r="E51" s="109"/>
      <c r="F51" s="109"/>
      <c r="G51" s="109"/>
      <c r="H51" s="109"/>
      <c r="I51" s="109"/>
      <c r="J51" s="109"/>
      <c r="K51" s="109"/>
      <c r="L51" s="109"/>
      <c r="M51" s="109"/>
      <c r="N51" s="109"/>
      <c r="O51" s="109"/>
    </row>
    <row r="52" spans="1:15">
      <c r="A52" s="109"/>
      <c r="B52" s="109"/>
      <c r="C52" s="109"/>
      <c r="D52" s="109"/>
      <c r="E52" s="109"/>
      <c r="F52" s="109"/>
      <c r="G52" s="109"/>
      <c r="H52" s="109"/>
      <c r="I52" s="109"/>
      <c r="J52" s="109"/>
      <c r="K52" s="109"/>
      <c r="L52" s="109"/>
      <c r="M52" s="109"/>
      <c r="N52" s="109"/>
      <c r="O52" s="109"/>
    </row>
  </sheetData>
  <mergeCells count="2">
    <mergeCell ref="B7:D7"/>
    <mergeCell ref="J7:L7"/>
  </mergeCells>
  <printOptions horizontalCentered="1"/>
  <pageMargins left="1" right="1" top="1" bottom="1" header="0.3" footer="0.3"/>
  <pageSetup orientation="landscape"/>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FFFF00"/>
  </sheetPr>
  <dimension ref="A1:O52"/>
  <sheetViews>
    <sheetView view="pageBreakPreview" zoomScale="75" zoomScaleNormal="85" zoomScaleSheetLayoutView="75" zoomScalePageLayoutView="85" workbookViewId="0"/>
  </sheetViews>
  <sheetFormatPr baseColWidth="10" defaultColWidth="8.625" defaultRowHeight="16" x14ac:dyDescent="0"/>
  <cols>
    <col min="1" max="1" width="25.125" customWidth="1"/>
    <col min="2" max="2" width="10.875" customWidth="1"/>
    <col min="3" max="3" width="9.625" customWidth="1"/>
    <col min="4" max="4" width="10.875" customWidth="1"/>
    <col min="5" max="5" width="8.5" customWidth="1"/>
    <col min="6" max="6" width="8.375" customWidth="1"/>
    <col min="7" max="7" width="10.875" customWidth="1"/>
    <col min="8" max="8" width="4.125" customWidth="1"/>
    <col min="9" max="9" width="25.875" customWidth="1"/>
    <col min="10" max="12" width="10.875" customWidth="1"/>
    <col min="13" max="13" width="5.875" customWidth="1"/>
    <col min="14" max="14" width="7.625" customWidth="1"/>
    <col min="15" max="15" width="10.625" customWidth="1"/>
  </cols>
  <sheetData>
    <row r="1" spans="1:15">
      <c r="A1" s="768" t="str">
        <f ca="1">CELL("filename",A1)</f>
        <v>NWCLM04072996:Users:eric.ward:Documents:NCEAS-covariation:data:salmon data:[2015_PWS_Pink_Wild_forecast-FINAL.xlsm]Forecasts_Sum_Odd</v>
      </c>
      <c r="B1" s="109"/>
      <c r="C1" s="109"/>
      <c r="D1" s="109"/>
      <c r="E1" s="109"/>
      <c r="F1" s="109"/>
      <c r="G1" s="109"/>
      <c r="H1" s="109"/>
      <c r="I1" s="768" t="str">
        <f ca="1">CELL("filename",I1)</f>
        <v>NWCLM04072996:Users:eric.ward:Documents:NCEAS-covariation:data:salmon data:[2015_PWS_Pink_Wild_forecast-FINAL.xlsm]Forecasts_Sum_Odd</v>
      </c>
      <c r="J1" s="109"/>
      <c r="K1" s="109"/>
      <c r="L1" s="109"/>
      <c r="M1" s="109"/>
      <c r="N1" s="109"/>
      <c r="O1" s="109"/>
    </row>
    <row r="2" spans="1:15" ht="8.25" customHeight="1">
      <c r="A2" s="179"/>
      <c r="B2" s="109"/>
      <c r="C2" s="109"/>
      <c r="D2" s="109"/>
      <c r="E2" s="109"/>
      <c r="F2" s="109"/>
      <c r="G2" s="109"/>
      <c r="H2" s="109"/>
      <c r="I2" s="179"/>
      <c r="J2" s="109"/>
      <c r="K2" s="109"/>
      <c r="L2" s="109"/>
      <c r="M2" s="109"/>
      <c r="N2" s="109"/>
      <c r="O2" s="109"/>
    </row>
    <row r="3" spans="1:15">
      <c r="A3" s="767" t="s">
        <v>369</v>
      </c>
      <c r="B3" s="109"/>
      <c r="C3" s="109"/>
      <c r="D3" s="109"/>
      <c r="E3" s="109"/>
      <c r="G3" s="109"/>
      <c r="H3" s="109"/>
      <c r="I3" s="767" t="s">
        <v>369</v>
      </c>
      <c r="J3" s="109"/>
      <c r="K3" s="109"/>
      <c r="L3" s="109"/>
      <c r="M3" s="109"/>
      <c r="N3" s="109"/>
      <c r="O3" s="109"/>
    </row>
    <row r="4" spans="1:15">
      <c r="A4" s="109"/>
      <c r="B4" s="109"/>
      <c r="C4" s="109"/>
      <c r="D4" s="109"/>
      <c r="E4" s="109"/>
      <c r="F4" s="109"/>
      <c r="G4" s="109"/>
      <c r="H4" s="109"/>
      <c r="I4" s="109"/>
      <c r="J4" s="109"/>
      <c r="K4" s="109"/>
      <c r="L4" s="109"/>
      <c r="M4" s="109"/>
      <c r="N4" s="109"/>
      <c r="O4" s="109"/>
    </row>
    <row r="5" spans="1:15" ht="15" customHeight="1">
      <c r="A5" s="176" t="s">
        <v>322</v>
      </c>
      <c r="B5" s="941">
        <f>Forecast_Year</f>
        <v>2015</v>
      </c>
      <c r="C5" s="109"/>
      <c r="D5" s="109"/>
      <c r="E5" s="109"/>
      <c r="F5" s="109"/>
      <c r="G5" s="109"/>
      <c r="H5" s="109"/>
      <c r="I5" s="176" t="s">
        <v>322</v>
      </c>
      <c r="J5" s="741">
        <f>Forecast_Year</f>
        <v>2015</v>
      </c>
      <c r="K5" s="109"/>
      <c r="L5" s="109"/>
      <c r="M5" s="109"/>
      <c r="N5" s="109"/>
      <c r="O5" s="109"/>
    </row>
    <row r="6" spans="1:15" ht="16.5" customHeight="1">
      <c r="A6" s="176"/>
      <c r="B6" s="287"/>
      <c r="C6" s="109"/>
      <c r="D6" s="109"/>
      <c r="E6" s="109"/>
      <c r="F6" s="109"/>
      <c r="G6" s="109"/>
      <c r="H6" s="109"/>
      <c r="I6" s="176"/>
      <c r="J6" s="287"/>
      <c r="K6" s="109"/>
      <c r="L6" s="109"/>
      <c r="M6" s="109"/>
      <c r="N6" s="109"/>
      <c r="O6" s="109"/>
    </row>
    <row r="7" spans="1:15">
      <c r="A7" s="754"/>
      <c r="B7" s="1159" t="s">
        <v>259</v>
      </c>
      <c r="C7" s="1159"/>
      <c r="D7" s="1159"/>
      <c r="E7" s="754"/>
      <c r="F7" s="754"/>
      <c r="G7" s="754"/>
      <c r="H7" s="109"/>
      <c r="I7" s="754"/>
      <c r="J7" s="1159" t="s">
        <v>259</v>
      </c>
      <c r="K7" s="1159"/>
      <c r="L7" s="1159"/>
      <c r="M7" s="754"/>
      <c r="N7" s="754"/>
      <c r="O7" s="754"/>
    </row>
    <row r="8" spans="1:15">
      <c r="A8" s="755" t="s">
        <v>320</v>
      </c>
      <c r="B8" s="755" t="s">
        <v>321</v>
      </c>
      <c r="C8" s="831" t="s">
        <v>323</v>
      </c>
      <c r="D8" s="831" t="s">
        <v>324</v>
      </c>
      <c r="E8" s="755" t="s">
        <v>236</v>
      </c>
      <c r="F8" s="755" t="s">
        <v>325</v>
      </c>
      <c r="G8" s="755" t="s">
        <v>327</v>
      </c>
      <c r="I8" s="755" t="s">
        <v>320</v>
      </c>
      <c r="J8" s="755" t="s">
        <v>321</v>
      </c>
      <c r="K8" s="831" t="s">
        <v>323</v>
      </c>
      <c r="L8" s="831" t="s">
        <v>324</v>
      </c>
      <c r="M8" s="755" t="s">
        <v>236</v>
      </c>
      <c r="N8" s="755" t="s">
        <v>325</v>
      </c>
      <c r="O8" s="755" t="s">
        <v>327</v>
      </c>
    </row>
    <row r="9" spans="1:15">
      <c r="A9" s="757" t="s">
        <v>342</v>
      </c>
      <c r="B9" s="924"/>
      <c r="C9" s="176"/>
      <c r="D9" s="176"/>
      <c r="E9" s="176"/>
      <c r="F9" s="176"/>
      <c r="G9" s="176"/>
      <c r="I9" s="757" t="s">
        <v>342</v>
      </c>
      <c r="J9" s="176"/>
      <c r="K9" s="176"/>
      <c r="L9" s="176"/>
      <c r="M9" s="176"/>
      <c r="N9" s="176"/>
      <c r="O9" s="176"/>
    </row>
    <row r="10" spans="1:15" ht="15" customHeight="1">
      <c r="A10" s="737" t="s">
        <v>217</v>
      </c>
      <c r="B10" s="925">
        <f>Evaluation_TOTAL_ODD_EVEN!H63</f>
        <v>21965453</v>
      </c>
      <c r="C10" s="1141">
        <f>IF($B10-(Performance!$G$59*Forecasts_Sum_Odd!$B10)&lt;0,0,$B10-(Performance!$G$59*Forecasts_Sum_Odd!$B10))</f>
        <v>8929663.938229531</v>
      </c>
      <c r="D10" s="1141">
        <f>$B10+(Performance!$G$59*Forecasts_Sum_Odd!$B10)</f>
        <v>35001242.061770469</v>
      </c>
      <c r="E10" s="200">
        <f>Evaluation_TOTAL_ODD_EVEN!BJ62</f>
        <v>26</v>
      </c>
      <c r="F10" s="740">
        <f>Evaluation_TOTAL_ODD_EVEN!BZ61</f>
        <v>1.1778760830660404</v>
      </c>
      <c r="G10" s="874">
        <f>Evaluation_TOTAL_ODD_EVEN!BZ63</f>
        <v>1.9124891323288822</v>
      </c>
      <c r="H10" s="109"/>
      <c r="I10" s="737" t="s">
        <v>217</v>
      </c>
      <c r="J10" s="200">
        <f t="shared" ref="J10:L15" si="0">MROUND(B10,10000)</f>
        <v>21970000</v>
      </c>
      <c r="K10" s="1141">
        <f t="shared" si="0"/>
        <v>8930000</v>
      </c>
      <c r="L10" s="1141">
        <f t="shared" si="0"/>
        <v>35000000</v>
      </c>
      <c r="M10" s="200">
        <f>E10</f>
        <v>26</v>
      </c>
      <c r="N10" s="740">
        <f>F10</f>
        <v>1.1778760830660404</v>
      </c>
      <c r="O10" s="740">
        <f>G10</f>
        <v>1.9124891323288822</v>
      </c>
    </row>
    <row r="11" spans="1:15" ht="15" customHeight="1">
      <c r="A11" s="737" t="s">
        <v>219</v>
      </c>
      <c r="B11" s="925">
        <f>Evaluation_TOTAL_ODD_EVEN!I63</f>
        <v>15804276</v>
      </c>
      <c r="C11" s="1141">
        <f>IF($B11-(Performance!$G$59*Forecasts_Sum_Odd!$B11)&lt;0,0,$B11-(Performance!$G$59*Forecasts_Sum_Odd!$B11))</f>
        <v>6424947.0961070769</v>
      </c>
      <c r="D11" s="1141">
        <f>$B11+(Performance!$G$59*Forecasts_Sum_Odd!$B11)</f>
        <v>25183604.903892923</v>
      </c>
      <c r="E11" s="200">
        <f>Evaluation_TOTAL_ODD_EVEN!BK62</f>
        <v>25</v>
      </c>
      <c r="F11" s="740">
        <f>Evaluation_TOTAL_ODD_EVEN!CA61</f>
        <v>1.2319481928298417</v>
      </c>
      <c r="G11" s="874">
        <f>Evaluation_TOTAL_ODD_EVEN!CA63</f>
        <v>1.7049492467062384</v>
      </c>
      <c r="H11" s="109"/>
      <c r="I11" s="737" t="s">
        <v>219</v>
      </c>
      <c r="J11" s="200">
        <f t="shared" si="0"/>
        <v>15800000</v>
      </c>
      <c r="K11" s="1141">
        <f t="shared" si="0"/>
        <v>6420000</v>
      </c>
      <c r="L11" s="1141">
        <f t="shared" si="0"/>
        <v>25180000</v>
      </c>
      <c r="M11" s="200">
        <f t="shared" ref="M11:M21" si="1">E11</f>
        <v>25</v>
      </c>
      <c r="N11" s="740">
        <f t="shared" ref="N11:N21" si="2">F11</f>
        <v>1.2319481928298417</v>
      </c>
      <c r="O11" s="740">
        <f t="shared" ref="O11:O21" si="3">G11</f>
        <v>1.7049492467062384</v>
      </c>
    </row>
    <row r="12" spans="1:15" ht="15" customHeight="1">
      <c r="A12" s="737" t="s">
        <v>220</v>
      </c>
      <c r="B12" s="925">
        <f>Evaluation_TOTAL_ODD_EVEN!J63</f>
        <v>11477627.535688912</v>
      </c>
      <c r="C12" s="1141">
        <f>IF($B12-(Performance!$G$59*Forecasts_Sum_Odd!$B12)&lt;0,0,$B12-(Performance!$G$59*Forecasts_Sum_Odd!$B12))</f>
        <v>4666025.1760740634</v>
      </c>
      <c r="D12" s="1141">
        <f>$B12+(Performance!$G$59*Forecasts_Sum_Odd!$B12)</f>
        <v>18289229.895303763</v>
      </c>
      <c r="E12" s="200">
        <f>Evaluation_TOTAL_ODD_EVEN!BL62</f>
        <v>24</v>
      </c>
      <c r="F12" s="740">
        <f>Evaluation_TOTAL_ODD_EVEN!CB61</f>
        <v>1.2583860738316457</v>
      </c>
      <c r="G12" s="874">
        <f>Evaluation_TOTAL_ODD_EVEN!CB63</f>
        <v>1.7752354365850385</v>
      </c>
      <c r="H12" s="109"/>
      <c r="I12" s="737" t="s">
        <v>220</v>
      </c>
      <c r="J12" s="200">
        <f t="shared" si="0"/>
        <v>11480000</v>
      </c>
      <c r="K12" s="1141">
        <f t="shared" si="0"/>
        <v>4670000</v>
      </c>
      <c r="L12" s="1141">
        <f t="shared" si="0"/>
        <v>18290000</v>
      </c>
      <c r="M12" s="200">
        <f t="shared" si="1"/>
        <v>24</v>
      </c>
      <c r="N12" s="740">
        <f t="shared" si="2"/>
        <v>1.2583860738316457</v>
      </c>
      <c r="O12" s="740">
        <f t="shared" si="3"/>
        <v>1.7752354365850385</v>
      </c>
    </row>
    <row r="13" spans="1:15" ht="15" customHeight="1">
      <c r="A13" s="737" t="s">
        <v>221</v>
      </c>
      <c r="B13" s="925">
        <f>Evaluation_TOTAL_ODD_EVEN!K63</f>
        <v>11489967.600517545</v>
      </c>
      <c r="C13" s="1141">
        <f>IF($B13-(Performance!$G$59*Forecasts_Sum_Odd!$B13)&lt;0,0,$B13-(Performance!$G$59*Forecasts_Sum_Odd!$B13))</f>
        <v>4671041.8097804412</v>
      </c>
      <c r="D13" s="1141">
        <f>$B13+(Performance!$G$59*Forecasts_Sum_Odd!$B13)</f>
        <v>18308893.391254649</v>
      </c>
      <c r="E13" s="200">
        <f>Evaluation_TOTAL_ODD_EVEN!BM62</f>
        <v>23</v>
      </c>
      <c r="F13" s="740">
        <f>Evaluation_TOTAL_ODD_EVEN!CC61</f>
        <v>1.4359310495829731</v>
      </c>
      <c r="G13" s="874">
        <f>Evaluation_TOTAL_ODD_EVEN!CC63</f>
        <v>2.0709161739542989</v>
      </c>
      <c r="H13" s="109"/>
      <c r="I13" s="737" t="s">
        <v>221</v>
      </c>
      <c r="J13" s="200">
        <f t="shared" si="0"/>
        <v>11490000</v>
      </c>
      <c r="K13" s="1141">
        <f t="shared" si="0"/>
        <v>4670000</v>
      </c>
      <c r="L13" s="1141">
        <f t="shared" si="0"/>
        <v>18310000</v>
      </c>
      <c r="M13" s="200">
        <f t="shared" si="1"/>
        <v>23</v>
      </c>
      <c r="N13" s="740">
        <f t="shared" si="2"/>
        <v>1.4359310495829731</v>
      </c>
      <c r="O13" s="740">
        <f t="shared" si="3"/>
        <v>2.0709161739542989</v>
      </c>
    </row>
    <row r="14" spans="1:15" ht="15" customHeight="1">
      <c r="A14" s="737" t="s">
        <v>222</v>
      </c>
      <c r="B14" s="925">
        <f>Evaluation_TOTAL_ODD_EVEN!L63</f>
        <v>12598471.617478246</v>
      </c>
      <c r="C14" s="1141">
        <f>IF($B14-(Performance!$G$59*Forecasts_Sum_Odd!$B14)&lt;0,0,$B14-(Performance!$G$59*Forecasts_Sum_Odd!$B14))</f>
        <v>5121684.3868143195</v>
      </c>
      <c r="D14" s="1141">
        <f>$B14+(Performance!$G$59*Forecasts_Sum_Odd!$B14)</f>
        <v>20075258.848142173</v>
      </c>
      <c r="E14" s="200">
        <f>Evaluation_TOTAL_ODD_EVEN!BN62</f>
        <v>22</v>
      </c>
      <c r="F14" s="740">
        <f>Evaluation_TOTAL_ODD_EVEN!CD61</f>
        <v>1.534170485015484</v>
      </c>
      <c r="G14" s="874">
        <f>Evaluation_TOTAL_ODD_EVEN!CD63</f>
        <v>2.1903548672793103</v>
      </c>
      <c r="H14" s="109"/>
      <c r="I14" s="737" t="s">
        <v>222</v>
      </c>
      <c r="J14" s="200">
        <f t="shared" si="0"/>
        <v>12600000</v>
      </c>
      <c r="K14" s="1141">
        <f t="shared" si="0"/>
        <v>5120000</v>
      </c>
      <c r="L14" s="1141">
        <f t="shared" si="0"/>
        <v>20080000</v>
      </c>
      <c r="M14" s="200">
        <f t="shared" si="1"/>
        <v>22</v>
      </c>
      <c r="N14" s="740">
        <f t="shared" si="2"/>
        <v>1.534170485015484</v>
      </c>
      <c r="O14" s="740">
        <f t="shared" si="3"/>
        <v>2.1903548672793103</v>
      </c>
    </row>
    <row r="15" spans="1:15" ht="15" customHeight="1">
      <c r="A15" s="737" t="s">
        <v>244</v>
      </c>
      <c r="B15" s="925">
        <f>Evaluation_TOTAL_ODD_EVEN!M63</f>
        <v>9511963.500801472</v>
      </c>
      <c r="C15" s="1141">
        <f>IF($B15-(Performance!$G$59*Forecasts_Sum_Odd!$B15)&lt;0,0,$B15-(Performance!$G$59*Forecasts_Sum_Odd!$B15))</f>
        <v>3866919.4509606715</v>
      </c>
      <c r="D15" s="1141">
        <f>$B15+(Performance!$G$59*Forecasts_Sum_Odd!$B15)</f>
        <v>15157007.550642272</v>
      </c>
      <c r="E15" s="200">
        <f>Evaluation_TOTAL_ODD_EVEN!BO62</f>
        <v>17</v>
      </c>
      <c r="F15" s="740">
        <f>Evaluation_TOTAL_ODD_EVEN!CE61</f>
        <v>1.1994026453495796</v>
      </c>
      <c r="G15" s="874">
        <f>Evaluation_TOTAL_ODD_EVEN!CE63</f>
        <v>1.5974595348774541</v>
      </c>
      <c r="H15" s="109"/>
      <c r="I15" s="737" t="s">
        <v>244</v>
      </c>
      <c r="J15" s="200">
        <f t="shared" si="0"/>
        <v>9510000</v>
      </c>
      <c r="K15" s="1141">
        <f t="shared" si="0"/>
        <v>3870000</v>
      </c>
      <c r="L15" s="1141">
        <f t="shared" si="0"/>
        <v>15160000</v>
      </c>
      <c r="M15" s="200">
        <f t="shared" si="1"/>
        <v>17</v>
      </c>
      <c r="N15" s="740">
        <f t="shared" si="2"/>
        <v>1.1994026453495796</v>
      </c>
      <c r="O15" s="740">
        <f t="shared" si="3"/>
        <v>1.5974595348774541</v>
      </c>
    </row>
    <row r="16" spans="1:15" ht="9" customHeight="1">
      <c r="A16" s="109"/>
      <c r="B16" s="109"/>
      <c r="C16" s="1141"/>
      <c r="D16" s="1142"/>
      <c r="E16" s="109"/>
      <c r="F16" s="109"/>
      <c r="G16" s="875"/>
      <c r="H16" s="109"/>
      <c r="I16" s="109"/>
      <c r="J16" s="109"/>
      <c r="K16" s="1141"/>
      <c r="L16" s="1142"/>
      <c r="M16" s="200"/>
      <c r="N16" s="740"/>
      <c r="O16" s="740"/>
    </row>
    <row r="17" spans="1:15">
      <c r="A17" s="756" t="s">
        <v>328</v>
      </c>
      <c r="B17" s="109"/>
      <c r="C17" s="1141"/>
      <c r="D17" s="1142"/>
      <c r="E17" s="109"/>
      <c r="F17" s="109"/>
      <c r="G17" s="875"/>
      <c r="H17" s="109"/>
      <c r="I17" s="756" t="s">
        <v>328</v>
      </c>
      <c r="J17" s="109"/>
      <c r="K17" s="1141"/>
      <c r="L17" s="1142"/>
      <c r="M17" s="200"/>
      <c r="N17" s="740"/>
      <c r="O17" s="740"/>
    </row>
    <row r="18" spans="1:15">
      <c r="A18" s="109" t="s">
        <v>329</v>
      </c>
      <c r="B18" s="200">
        <f>'Exp_smoothing_w_damping_Total R'!C61</f>
        <v>4984537.0636716783</v>
      </c>
      <c r="C18" s="1141">
        <f>IF($B18-(Performance!$G$59*Forecasts_Sum_Odd!$B18)&lt;0,0,$B18-(Performance!$G$59*Forecasts_Sum_Odd!$B18))</f>
        <v>2026374.8198699798</v>
      </c>
      <c r="D18" s="1141">
        <f>$B18+(Performance!$G$59*Forecasts_Sum_Odd!$B18)</f>
        <v>7942699.3074733764</v>
      </c>
      <c r="E18" s="200">
        <f>'Exp_smoothing_w_damping_Total R'!B69</f>
        <v>53</v>
      </c>
      <c r="F18" s="740">
        <f>'Exp_smoothing_w_damping_Total R'!G72</f>
        <v>1.1469751983987586</v>
      </c>
      <c r="G18" s="874">
        <f>'Exp_smoothing_w_damping_Total R'!G76</f>
        <v>1.701530874225373</v>
      </c>
      <c r="H18" s="109"/>
      <c r="I18" s="109" t="s">
        <v>329</v>
      </c>
      <c r="J18" s="200">
        <f t="shared" ref="J18:L21" si="4">MROUND(B18,10000)</f>
        <v>4980000</v>
      </c>
      <c r="K18" s="1141">
        <f t="shared" si="4"/>
        <v>2030000</v>
      </c>
      <c r="L18" s="1141">
        <f t="shared" si="4"/>
        <v>7940000</v>
      </c>
      <c r="M18" s="200">
        <f t="shared" si="1"/>
        <v>53</v>
      </c>
      <c r="N18" s="740">
        <f t="shared" si="2"/>
        <v>1.1469751983987586</v>
      </c>
      <c r="O18" s="740">
        <f t="shared" si="3"/>
        <v>1.701530874225373</v>
      </c>
    </row>
    <row r="19" spans="1:15">
      <c r="A19" s="109" t="s">
        <v>330</v>
      </c>
      <c r="B19" s="200">
        <f>'Exp_smoothing damp_Tot odd'!C36</f>
        <v>6374428.9045625264</v>
      </c>
      <c r="C19" s="1141">
        <f>IF($B19-(Performance!$G$59*Forecasts_Sum_Odd!$B19)&lt;0,0,$B19-(Performance!$G$59*Forecasts_Sum_Odd!$B19))</f>
        <v>2591410.6080980878</v>
      </c>
      <c r="D19" s="1141">
        <f>$B19+(Performance!$G$59*Forecasts_Sum_Odd!$B19)</f>
        <v>10157447.201026965</v>
      </c>
      <c r="E19" s="200">
        <f>'Exp_smoothing damp_Tot odd'!B41</f>
        <v>27</v>
      </c>
      <c r="F19" s="837">
        <f>'Exp_smoothing damp_Tot odd'!G43</f>
        <v>0.75892056654926343</v>
      </c>
      <c r="G19" s="876">
        <f>'Exp_smoothing damp_Tot odd'!G47</f>
        <v>1.0513490522381406</v>
      </c>
      <c r="H19" s="109"/>
      <c r="I19" s="109" t="s">
        <v>330</v>
      </c>
      <c r="J19" s="200">
        <f t="shared" si="4"/>
        <v>6370000</v>
      </c>
      <c r="K19" s="1141">
        <f t="shared" si="4"/>
        <v>2590000</v>
      </c>
      <c r="L19" s="1141">
        <f t="shared" si="4"/>
        <v>10160000</v>
      </c>
      <c r="M19" s="200">
        <f t="shared" si="1"/>
        <v>27</v>
      </c>
      <c r="N19" s="740">
        <f t="shared" si="2"/>
        <v>0.75892056654926343</v>
      </c>
      <c r="O19" s="740">
        <f t="shared" si="3"/>
        <v>1.0513490522381406</v>
      </c>
    </row>
    <row r="20" spans="1:15">
      <c r="A20" s="109" t="s">
        <v>347</v>
      </c>
      <c r="B20" s="200">
        <f>'Lag1_Exp_smoothing_Total Run'!C57</f>
        <v>4775210.3899469795</v>
      </c>
      <c r="C20" s="1141">
        <f>IF($B20-(Performance!$G$59*Forecasts_Sum_Odd!$B20)&lt;0,0,$B20-(Performance!$G$59*Forecasts_Sum_Odd!$B20))</f>
        <v>1941276.7866234547</v>
      </c>
      <c r="D20" s="1141">
        <f>$B20+(Performance!$G$59*Forecasts_Sum_Odd!$B20)</f>
        <v>7609143.9932705043</v>
      </c>
      <c r="E20" s="200">
        <f>Lag1_Exp_smoothing_Harvest!B63</f>
        <v>52</v>
      </c>
      <c r="F20" s="740">
        <f>'Lag1_Exp_smoothing_Total Run'!$G69</f>
        <v>1.173689591060582</v>
      </c>
      <c r="G20" s="874">
        <f>'Lag1_Exp_smoothing_Total Run'!$G73</f>
        <v>1.734277627987904</v>
      </c>
      <c r="H20" s="109"/>
      <c r="I20" s="109" t="s">
        <v>347</v>
      </c>
      <c r="J20" s="200">
        <f t="shared" si="4"/>
        <v>4780000</v>
      </c>
      <c r="K20" s="1141">
        <f t="shared" si="4"/>
        <v>1940000</v>
      </c>
      <c r="L20" s="1141">
        <f t="shared" si="4"/>
        <v>7610000</v>
      </c>
      <c r="M20" s="200">
        <f t="shared" si="1"/>
        <v>52</v>
      </c>
      <c r="N20" s="740">
        <f t="shared" si="2"/>
        <v>1.173689591060582</v>
      </c>
      <c r="O20" s="740">
        <f t="shared" si="3"/>
        <v>1.734277627987904</v>
      </c>
    </row>
    <row r="21" spans="1:15">
      <c r="A21" s="835" t="s">
        <v>346</v>
      </c>
      <c r="B21" s="836">
        <f>'Lag1_Exp_smooth_Total Run Odd'!C40</f>
        <v>16873383.86445925</v>
      </c>
      <c r="C21" s="1143">
        <f>IF($B21-(Performance!$G$59*Forecasts_Sum_Odd!$B21)&lt;0,0,$B21-(Performance!$G$59*Forecasts_Sum_Odd!$B21))</f>
        <v>6859573.8685819879</v>
      </c>
      <c r="D21" s="1143">
        <f>$B21+(Performance!$G$59*Forecasts_Sum_Odd!$B21)</f>
        <v>26887193.860336512</v>
      </c>
      <c r="E21" s="836">
        <f>'Lag1_Exp_smooth_Total Run Odd'!B39</f>
        <v>27</v>
      </c>
      <c r="F21" s="766">
        <f>'Lag1_Exp_smooth_Total Run Odd'!H42</f>
        <v>0.73700801591718756</v>
      </c>
      <c r="G21" s="877">
        <f>'Lag1_Exp_smooth_Total Run Odd'!H46</f>
        <v>1.0113143584325008</v>
      </c>
      <c r="H21" s="109"/>
      <c r="I21" s="835" t="s">
        <v>346</v>
      </c>
      <c r="J21" s="200">
        <f t="shared" si="4"/>
        <v>16870000</v>
      </c>
      <c r="K21" s="1141">
        <f t="shared" si="4"/>
        <v>6860000</v>
      </c>
      <c r="L21" s="1141">
        <f t="shared" si="4"/>
        <v>26890000</v>
      </c>
      <c r="M21" s="200">
        <f t="shared" si="1"/>
        <v>27</v>
      </c>
      <c r="N21" s="740">
        <f t="shared" si="2"/>
        <v>0.73700801591718756</v>
      </c>
      <c r="O21" s="740">
        <f t="shared" si="3"/>
        <v>1.0113143584325008</v>
      </c>
    </row>
    <row r="22" spans="1:15" ht="9" customHeight="1">
      <c r="A22" s="109"/>
      <c r="B22" s="109"/>
      <c r="C22" s="109"/>
      <c r="D22" s="109"/>
      <c r="E22" s="109"/>
      <c r="F22" s="109"/>
      <c r="G22" s="109"/>
      <c r="H22" s="109"/>
      <c r="I22" s="109"/>
      <c r="J22" s="109"/>
      <c r="K22" s="109"/>
      <c r="L22" s="109"/>
      <c r="M22" s="109"/>
      <c r="N22" s="109"/>
      <c r="O22" s="109"/>
    </row>
    <row r="23" spans="1:15">
      <c r="A23" s="833" t="s">
        <v>343</v>
      </c>
      <c r="B23" s="834"/>
      <c r="C23" s="754"/>
      <c r="D23" s="754"/>
      <c r="E23" s="754"/>
      <c r="F23" s="754"/>
      <c r="G23" s="754"/>
      <c r="H23" s="109"/>
      <c r="I23" s="833" t="s">
        <v>343</v>
      </c>
      <c r="J23" s="834"/>
      <c r="K23" s="754"/>
      <c r="L23" s="754"/>
      <c r="M23" s="754"/>
      <c r="N23" s="754"/>
      <c r="O23" s="754"/>
    </row>
    <row r="24" spans="1:15">
      <c r="A24" s="762"/>
      <c r="B24" s="755" t="s">
        <v>321</v>
      </c>
      <c r="C24" s="763" t="s">
        <v>323</v>
      </c>
      <c r="D24" s="763" t="s">
        <v>324</v>
      </c>
      <c r="E24" s="763" t="s">
        <v>236</v>
      </c>
      <c r="F24" s="763" t="s">
        <v>339</v>
      </c>
      <c r="G24" s="763" t="s">
        <v>153</v>
      </c>
      <c r="H24" s="109"/>
      <c r="I24" s="873"/>
      <c r="J24" s="763" t="s">
        <v>321</v>
      </c>
      <c r="K24" s="763" t="s">
        <v>323</v>
      </c>
      <c r="L24" s="763" t="s">
        <v>324</v>
      </c>
      <c r="M24" s="763" t="s">
        <v>236</v>
      </c>
      <c r="N24" s="763" t="s">
        <v>339</v>
      </c>
      <c r="O24" s="763" t="s">
        <v>153</v>
      </c>
    </row>
    <row r="25" spans="1:15">
      <c r="A25" s="110" t="s">
        <v>344</v>
      </c>
      <c r="B25" s="758">
        <f>OddRPS!L3</f>
        <v>8750754.5992437862</v>
      </c>
      <c r="C25" s="204">
        <f>IF($B25-(Performance!$G$59*Forecasts_Sum_Odd!$B25)&lt;0,0,$B25-(Performance!$G$59*Forecasts_Sum_Odd!$B25))</f>
        <v>3557463.5213379599</v>
      </c>
      <c r="D25" s="758">
        <f>$B25+(Performance!$G$59*Forecasts_Sum_Odd!$B25)</f>
        <v>13944045.677149612</v>
      </c>
      <c r="E25" s="204">
        <f>OddRPS!M3</f>
        <v>24</v>
      </c>
      <c r="F25" s="1095">
        <f>OddRPS!N3</f>
        <v>0.25772921749750888</v>
      </c>
      <c r="G25" s="832">
        <f>OddRPS!O3</f>
        <v>1.132682156810212E-2</v>
      </c>
      <c r="H25" s="109"/>
      <c r="I25" s="110" t="s">
        <v>344</v>
      </c>
      <c r="J25" s="878">
        <f t="shared" ref="J25:L26" si="5">MROUND(B25,10000)</f>
        <v>8750000</v>
      </c>
      <c r="K25" s="878">
        <f t="shared" si="5"/>
        <v>3560000</v>
      </c>
      <c r="L25" s="878">
        <f t="shared" si="5"/>
        <v>13940000</v>
      </c>
      <c r="M25" s="879">
        <f t="shared" ref="M25:O26" si="6">E25</f>
        <v>24</v>
      </c>
      <c r="N25" s="880">
        <f t="shared" si="6"/>
        <v>0.25772921749750888</v>
      </c>
      <c r="O25" s="880">
        <f t="shared" si="6"/>
        <v>1.132682156810212E-2</v>
      </c>
    </row>
    <row r="26" spans="1:15">
      <c r="A26" s="759" t="s">
        <v>345</v>
      </c>
      <c r="B26" s="760">
        <f>OddRPS!L4</f>
        <v>7536851.7598772161</v>
      </c>
      <c r="C26" s="761">
        <f>IF($B26-(Performance!$G$59*Forecasts_Sum_Odd!$B26)&lt;0,0,$B26-(Performance!$G$59*Forecasts_Sum_Odd!$B26))</f>
        <v>3063972.9291245369</v>
      </c>
      <c r="D26" s="760">
        <f>$B26+(Performance!$G$59*Forecasts_Sum_Odd!$B26)</f>
        <v>12009730.590629894</v>
      </c>
      <c r="E26" s="761">
        <f>OddRPS!M4</f>
        <v>24</v>
      </c>
      <c r="F26" s="1099">
        <f>OddRPS!N4</f>
        <v>0.17941754067701285</v>
      </c>
      <c r="G26" s="765">
        <f>OddRPS!O4</f>
        <v>3.9153307457350503E-2</v>
      </c>
      <c r="H26" s="109"/>
      <c r="I26" s="759" t="s">
        <v>345</v>
      </c>
      <c r="J26" s="760">
        <f t="shared" si="5"/>
        <v>7540000</v>
      </c>
      <c r="K26" s="760">
        <f t="shared" si="5"/>
        <v>3060000</v>
      </c>
      <c r="L26" s="760">
        <f t="shared" si="5"/>
        <v>12010000</v>
      </c>
      <c r="M26" s="761">
        <f t="shared" si="6"/>
        <v>24</v>
      </c>
      <c r="N26" s="764">
        <f t="shared" si="6"/>
        <v>0.17941754067701285</v>
      </c>
      <c r="O26" s="764">
        <f t="shared" si="6"/>
        <v>3.9153307457350503E-2</v>
      </c>
    </row>
    <row r="27" spans="1:15">
      <c r="A27" s="109"/>
      <c r="B27" s="109"/>
      <c r="C27" s="109"/>
      <c r="D27" s="109"/>
      <c r="E27" s="109"/>
      <c r="F27" s="109"/>
      <c r="G27" s="109"/>
      <c r="H27" s="109"/>
      <c r="I27" s="109"/>
      <c r="J27" s="109"/>
      <c r="K27" s="109"/>
      <c r="L27" s="109"/>
      <c r="M27" s="109"/>
      <c r="N27" s="109"/>
      <c r="O27" s="109"/>
    </row>
    <row r="28" spans="1:15">
      <c r="A28" s="109" t="s">
        <v>362</v>
      </c>
      <c r="B28" s="109"/>
      <c r="C28" s="109"/>
      <c r="D28" s="109"/>
      <c r="E28" s="109"/>
      <c r="F28" s="109"/>
      <c r="G28" s="109"/>
      <c r="H28" s="109"/>
      <c r="I28" s="109" t="s">
        <v>362</v>
      </c>
      <c r="J28" s="109"/>
      <c r="K28" s="109"/>
      <c r="L28" s="109"/>
      <c r="M28" s="109"/>
      <c r="N28" s="109"/>
      <c r="O28" s="109"/>
    </row>
    <row r="29" spans="1:15">
      <c r="A29" s="109"/>
      <c r="B29" s="109"/>
      <c r="C29" s="109"/>
      <c r="D29" s="109"/>
      <c r="E29" s="109"/>
      <c r="F29" s="109"/>
      <c r="G29" s="109"/>
      <c r="H29" s="109"/>
      <c r="I29" s="109"/>
      <c r="J29" s="109"/>
      <c r="K29" s="109"/>
      <c r="L29" s="109"/>
      <c r="M29" s="109"/>
      <c r="N29" s="109"/>
      <c r="O29" s="109"/>
    </row>
    <row r="30" spans="1:15">
      <c r="A30" s="109"/>
      <c r="B30" s="109"/>
      <c r="C30" s="942">
        <f>B21-Performance!F59</f>
        <v>6859573.8685819879</v>
      </c>
      <c r="D30" s="942">
        <f>B21+Performance!F59</f>
        <v>26887193.860336512</v>
      </c>
      <c r="E30" s="109"/>
      <c r="F30" s="109"/>
      <c r="G30" s="109"/>
      <c r="H30" s="109"/>
      <c r="I30" s="109"/>
      <c r="J30" s="109"/>
      <c r="K30" s="109"/>
      <c r="L30" s="109"/>
      <c r="M30" s="109"/>
      <c r="N30" s="109"/>
      <c r="O30" s="109"/>
    </row>
    <row r="31" spans="1:15">
      <c r="A31" s="109"/>
      <c r="B31" s="109"/>
      <c r="C31" s="109"/>
      <c r="D31" s="109"/>
      <c r="E31" s="109"/>
      <c r="F31" s="109"/>
      <c r="G31" s="109"/>
      <c r="H31" s="109"/>
      <c r="I31" s="109"/>
      <c r="J31" s="109"/>
      <c r="K31" s="109"/>
      <c r="L31" s="109"/>
      <c r="M31" s="109"/>
      <c r="N31" s="109"/>
      <c r="O31" s="109"/>
    </row>
    <row r="32" spans="1:15">
      <c r="A32" s="109"/>
      <c r="B32" s="109"/>
      <c r="C32" s="109"/>
      <c r="D32" s="109"/>
      <c r="E32" s="109"/>
      <c r="F32" s="109"/>
      <c r="G32" s="109"/>
      <c r="H32" s="109"/>
      <c r="I32" s="109"/>
      <c r="J32" s="109"/>
      <c r="K32" s="109"/>
      <c r="L32" s="109"/>
      <c r="M32" s="109"/>
      <c r="N32" s="109"/>
      <c r="O32" s="109"/>
    </row>
    <row r="33" spans="1:15">
      <c r="A33" s="109"/>
      <c r="B33" s="109"/>
      <c r="C33" s="109"/>
      <c r="D33" s="109"/>
      <c r="E33" s="109"/>
      <c r="F33" s="109"/>
      <c r="G33" s="109"/>
      <c r="H33" s="109"/>
      <c r="I33" s="109"/>
      <c r="J33" s="109"/>
      <c r="K33" s="109"/>
      <c r="L33" s="109"/>
      <c r="M33" s="109"/>
      <c r="N33" s="109"/>
      <c r="O33" s="109"/>
    </row>
    <row r="34" spans="1:15">
      <c r="A34" s="109"/>
      <c r="B34" s="109"/>
      <c r="C34" s="109"/>
      <c r="D34" s="109"/>
      <c r="E34" s="109"/>
      <c r="F34" s="109"/>
      <c r="G34" s="109"/>
      <c r="H34" s="109"/>
      <c r="I34" s="109"/>
      <c r="J34" s="109"/>
      <c r="K34" s="109"/>
      <c r="L34" s="109"/>
      <c r="M34" s="109"/>
      <c r="N34" s="109"/>
      <c r="O34" s="109"/>
    </row>
    <row r="35" spans="1:15">
      <c r="A35" s="109"/>
      <c r="B35" s="109"/>
      <c r="C35" s="109"/>
      <c r="D35" s="109"/>
      <c r="E35" s="109"/>
      <c r="F35" s="109"/>
      <c r="G35" s="109"/>
      <c r="H35" s="109"/>
      <c r="I35" s="109"/>
      <c r="J35" s="109"/>
      <c r="K35" s="109"/>
      <c r="L35" s="109"/>
      <c r="M35" s="109"/>
      <c r="N35" s="109"/>
      <c r="O35" s="109"/>
    </row>
    <row r="36" spans="1:15">
      <c r="A36" s="109"/>
      <c r="B36" s="109"/>
      <c r="C36" s="109"/>
      <c r="D36" s="109"/>
      <c r="E36" s="109"/>
      <c r="F36" s="109"/>
      <c r="G36" s="109"/>
      <c r="H36" s="109"/>
      <c r="I36" s="109"/>
      <c r="J36" s="109"/>
      <c r="K36" s="109"/>
      <c r="L36" s="109"/>
      <c r="M36" s="109"/>
      <c r="N36" s="109"/>
      <c r="O36" s="109"/>
    </row>
    <row r="37" spans="1:15">
      <c r="A37" s="109"/>
      <c r="B37" s="109"/>
      <c r="C37" s="109"/>
      <c r="D37" s="109"/>
      <c r="E37" s="109"/>
      <c r="F37" s="109"/>
      <c r="G37" s="109"/>
      <c r="H37" s="109"/>
      <c r="I37" s="109"/>
      <c r="J37" s="109"/>
      <c r="K37" s="109"/>
      <c r="L37" s="109"/>
      <c r="M37" s="109"/>
      <c r="N37" s="109"/>
      <c r="O37" s="109"/>
    </row>
    <row r="38" spans="1:15">
      <c r="A38" s="109"/>
      <c r="B38" s="109"/>
      <c r="C38" s="109"/>
      <c r="D38" s="109"/>
      <c r="E38" s="109"/>
      <c r="F38" s="109"/>
      <c r="G38" s="109"/>
      <c r="H38" s="109"/>
      <c r="I38" s="109"/>
      <c r="J38" s="109"/>
      <c r="K38" s="109"/>
      <c r="L38" s="109"/>
      <c r="M38" s="109"/>
      <c r="N38" s="109"/>
      <c r="O38" s="109"/>
    </row>
    <row r="39" spans="1:15">
      <c r="A39" s="109"/>
      <c r="B39" s="109"/>
      <c r="C39" s="109"/>
      <c r="D39" s="109"/>
      <c r="E39" s="109"/>
      <c r="F39" s="109"/>
      <c r="G39" s="109"/>
      <c r="H39" s="109"/>
      <c r="I39" s="109"/>
      <c r="J39" s="109"/>
      <c r="K39" s="109"/>
      <c r="L39" s="109"/>
      <c r="M39" s="109"/>
      <c r="N39" s="109"/>
      <c r="O39" s="109"/>
    </row>
    <row r="40" spans="1:15">
      <c r="A40" s="109"/>
      <c r="B40" s="109"/>
      <c r="C40" s="109"/>
      <c r="D40" s="109"/>
      <c r="E40" s="109"/>
      <c r="F40" s="109"/>
      <c r="G40" s="109"/>
      <c r="H40" s="109"/>
      <c r="I40" s="109"/>
      <c r="J40" s="109"/>
      <c r="K40" s="109"/>
      <c r="L40" s="109"/>
      <c r="M40" s="109"/>
      <c r="N40" s="109"/>
      <c r="O40" s="109"/>
    </row>
    <row r="41" spans="1:15">
      <c r="A41" s="109"/>
      <c r="B41" s="109"/>
      <c r="C41" s="109"/>
      <c r="D41" s="109"/>
      <c r="E41" s="109"/>
      <c r="F41" s="109"/>
      <c r="G41" s="109"/>
      <c r="H41" s="109"/>
      <c r="I41" s="109"/>
      <c r="J41" s="109"/>
      <c r="K41" s="109"/>
      <c r="L41" s="109"/>
      <c r="M41" s="109"/>
      <c r="N41" s="109"/>
      <c r="O41" s="109"/>
    </row>
    <row r="42" spans="1:15">
      <c r="A42" s="109"/>
      <c r="B42" s="109"/>
      <c r="C42" s="109"/>
      <c r="D42" s="109"/>
      <c r="E42" s="109"/>
      <c r="F42" s="109"/>
      <c r="G42" s="109"/>
      <c r="H42" s="109"/>
      <c r="I42" s="109"/>
      <c r="J42" s="109"/>
      <c r="K42" s="109"/>
      <c r="L42" s="109"/>
      <c r="M42" s="109"/>
      <c r="N42" s="109"/>
      <c r="O42" s="109"/>
    </row>
    <row r="43" spans="1:15">
      <c r="A43" s="109"/>
      <c r="B43" s="109"/>
      <c r="C43" s="109"/>
      <c r="D43" s="109"/>
      <c r="E43" s="109"/>
      <c r="F43" s="109"/>
      <c r="G43" s="109"/>
      <c r="H43" s="109"/>
      <c r="I43" s="109"/>
      <c r="J43" s="109"/>
      <c r="K43" s="109"/>
      <c r="L43" s="109"/>
      <c r="M43" s="109"/>
      <c r="N43" s="109"/>
      <c r="O43" s="109"/>
    </row>
    <row r="44" spans="1:15">
      <c r="A44" s="109"/>
      <c r="B44" s="109"/>
      <c r="C44" s="109"/>
      <c r="D44" s="109"/>
      <c r="E44" s="109"/>
      <c r="F44" s="109"/>
      <c r="G44" s="109"/>
      <c r="H44" s="109"/>
      <c r="I44" s="109"/>
      <c r="J44" s="109"/>
      <c r="K44" s="109"/>
      <c r="L44" s="109"/>
      <c r="M44" s="109"/>
      <c r="N44" s="109"/>
      <c r="O44" s="109"/>
    </row>
    <row r="45" spans="1:15">
      <c r="A45" s="109"/>
      <c r="B45" s="109"/>
      <c r="C45" s="109"/>
      <c r="D45" s="109"/>
      <c r="E45" s="109"/>
      <c r="F45" s="109"/>
      <c r="G45" s="109"/>
      <c r="H45" s="109"/>
      <c r="I45" s="109"/>
      <c r="J45" s="109"/>
      <c r="K45" s="109"/>
      <c r="L45" s="109"/>
      <c r="M45" s="109"/>
      <c r="N45" s="109"/>
      <c r="O45" s="109"/>
    </row>
    <row r="46" spans="1:15">
      <c r="A46" s="109"/>
      <c r="B46" s="109"/>
      <c r="C46" s="109"/>
      <c r="D46" s="109"/>
      <c r="E46" s="109"/>
      <c r="F46" s="109"/>
      <c r="G46" s="109"/>
      <c r="H46" s="109"/>
      <c r="I46" s="109"/>
      <c r="J46" s="109"/>
      <c r="K46" s="109"/>
      <c r="L46" s="109"/>
      <c r="M46" s="109"/>
      <c r="N46" s="109"/>
      <c r="O46" s="109"/>
    </row>
    <row r="47" spans="1:15">
      <c r="A47" s="109"/>
      <c r="B47" s="109"/>
      <c r="C47" s="109"/>
      <c r="D47" s="109"/>
      <c r="E47" s="109"/>
      <c r="F47" s="109"/>
      <c r="G47" s="109"/>
      <c r="H47" s="109"/>
      <c r="I47" s="109"/>
      <c r="J47" s="109"/>
      <c r="K47" s="109"/>
      <c r="L47" s="109"/>
      <c r="M47" s="109"/>
      <c r="N47" s="109"/>
      <c r="O47" s="109"/>
    </row>
    <row r="48" spans="1:15">
      <c r="A48" s="109"/>
      <c r="B48" s="109"/>
      <c r="C48" s="109"/>
      <c r="D48" s="109"/>
      <c r="E48" s="109"/>
      <c r="F48" s="109"/>
      <c r="G48" s="109"/>
      <c r="H48" s="109"/>
      <c r="I48" s="109"/>
      <c r="J48" s="109"/>
      <c r="K48" s="109"/>
      <c r="L48" s="109"/>
      <c r="M48" s="109"/>
      <c r="N48" s="109"/>
      <c r="O48" s="109"/>
    </row>
    <row r="49" spans="1:15">
      <c r="A49" s="109"/>
      <c r="B49" s="109"/>
      <c r="C49" s="109"/>
      <c r="D49" s="109"/>
      <c r="E49" s="109"/>
      <c r="F49" s="109"/>
      <c r="G49" s="109"/>
      <c r="H49" s="109"/>
      <c r="I49" s="109"/>
      <c r="J49" s="109"/>
      <c r="K49" s="109"/>
      <c r="L49" s="109"/>
      <c r="M49" s="109"/>
      <c r="N49" s="109"/>
      <c r="O49" s="109"/>
    </row>
    <row r="50" spans="1:15">
      <c r="A50" s="109"/>
      <c r="B50" s="109"/>
      <c r="C50" s="109"/>
      <c r="D50" s="109"/>
      <c r="E50" s="109"/>
      <c r="F50" s="109"/>
      <c r="G50" s="109"/>
      <c r="H50" s="109"/>
      <c r="I50" s="109"/>
      <c r="J50" s="109"/>
      <c r="K50" s="109"/>
      <c r="L50" s="109"/>
      <c r="M50" s="109"/>
      <c r="N50" s="109"/>
      <c r="O50" s="109"/>
    </row>
    <row r="51" spans="1:15">
      <c r="A51" s="109"/>
      <c r="B51" s="109"/>
      <c r="C51" s="109"/>
      <c r="D51" s="109"/>
      <c r="E51" s="109"/>
      <c r="F51" s="109"/>
      <c r="G51" s="109"/>
      <c r="H51" s="109"/>
      <c r="I51" s="109"/>
      <c r="J51" s="109"/>
      <c r="K51" s="109"/>
      <c r="L51" s="109"/>
      <c r="M51" s="109"/>
      <c r="N51" s="109"/>
      <c r="O51" s="109"/>
    </row>
    <row r="52" spans="1:15">
      <c r="A52" s="109"/>
      <c r="B52" s="109"/>
      <c r="C52" s="109"/>
      <c r="D52" s="109"/>
      <c r="E52" s="109"/>
      <c r="F52" s="109"/>
      <c r="G52" s="109"/>
      <c r="H52" s="109"/>
      <c r="I52" s="109"/>
      <c r="J52" s="109"/>
      <c r="K52" s="109"/>
      <c r="L52" s="109"/>
      <c r="M52" s="109"/>
      <c r="N52" s="109"/>
      <c r="O52" s="109"/>
    </row>
  </sheetData>
  <mergeCells count="2">
    <mergeCell ref="B7:D7"/>
    <mergeCell ref="J7:L7"/>
  </mergeCells>
  <printOptions horizontalCentered="1"/>
  <pageMargins left="1" right="1" top="1" bottom="1" header="0.3" footer="0.3"/>
  <pageSetup orientation="landscape"/>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FF0000"/>
  </sheetPr>
  <dimension ref="A1:N65"/>
  <sheetViews>
    <sheetView zoomScale="75" zoomScaleNormal="75" zoomScalePageLayoutView="75" workbookViewId="0">
      <pane ySplit="13" topLeftCell="A14" activePane="bottomLeft" state="frozen"/>
      <selection pane="bottomLeft"/>
    </sheetView>
  </sheetViews>
  <sheetFormatPr baseColWidth="10" defaultColWidth="8.625" defaultRowHeight="16" x14ac:dyDescent="0"/>
  <cols>
    <col min="3" max="3" width="16.875" customWidth="1"/>
    <col min="4" max="4" width="9.875" bestFit="1" customWidth="1"/>
    <col min="5" max="5" width="12.5" customWidth="1"/>
    <col min="6" max="6" width="17.125" customWidth="1"/>
    <col min="7" max="7" width="11" customWidth="1"/>
    <col min="8" max="9" width="16.5" customWidth="1"/>
    <col min="10" max="10" width="16" customWidth="1"/>
    <col min="11" max="11" width="9.875" bestFit="1" customWidth="1"/>
  </cols>
  <sheetData>
    <row r="1" spans="1:14" ht="18">
      <c r="A1" s="670" t="s">
        <v>304</v>
      </c>
      <c r="B1" s="809" t="str">
        <f ca="1">CELL("filename",G11)</f>
        <v>NWCLM04072996:Users:eric.ward:Documents:NCEAS-covariation:data:salmon data:[2015_PWS_Pink_Wild_forecast-FINAL.xlsm]Performance 2-Yr average</v>
      </c>
      <c r="C1" s="672"/>
      <c r="D1" s="673"/>
      <c r="E1" s="673"/>
      <c r="F1" s="673"/>
      <c r="G1" s="673"/>
      <c r="H1" s="672"/>
      <c r="I1" s="673"/>
      <c r="J1" s="673"/>
      <c r="K1" s="673"/>
      <c r="L1" s="673"/>
      <c r="M1" s="674"/>
      <c r="N1" s="673"/>
    </row>
    <row r="2" spans="1:14" ht="7.5" customHeight="1" thickBot="1">
      <c r="A2" s="801"/>
      <c r="B2" s="809"/>
      <c r="C2" s="672"/>
      <c r="D2" s="673"/>
      <c r="E2" s="673"/>
      <c r="F2" s="673"/>
      <c r="G2" s="673"/>
      <c r="H2" s="672"/>
      <c r="I2" s="673"/>
      <c r="J2" s="673"/>
      <c r="K2" s="673"/>
      <c r="L2" s="673"/>
      <c r="M2" s="674"/>
      <c r="N2" s="673"/>
    </row>
    <row r="3" spans="1:14" ht="18">
      <c r="A3" s="801"/>
      <c r="B3" s="671"/>
      <c r="C3" s="194" t="s">
        <v>192</v>
      </c>
      <c r="D3" s="187">
        <v>80</v>
      </c>
      <c r="E3" s="197" t="s">
        <v>193</v>
      </c>
      <c r="F3" s="194" t="s">
        <v>192</v>
      </c>
      <c r="G3" s="187">
        <v>80</v>
      </c>
      <c r="H3" s="190" t="str">
        <f>E3</f>
        <v>%</v>
      </c>
      <c r="K3" s="673"/>
      <c r="L3" s="673"/>
      <c r="M3" s="674"/>
      <c r="N3" s="673"/>
    </row>
    <row r="4" spans="1:14" ht="18">
      <c r="A4" s="801"/>
      <c r="B4" s="671"/>
      <c r="C4" s="195" t="s">
        <v>195</v>
      </c>
      <c r="D4" s="198">
        <f>(1-D3/100)/2</f>
        <v>9.9999999999999978E-2</v>
      </c>
      <c r="E4" s="97" t="s">
        <v>351</v>
      </c>
      <c r="F4" s="195" t="s">
        <v>195</v>
      </c>
      <c r="G4" s="198">
        <f>(1-G3/100)/2</f>
        <v>9.9999999999999978E-2</v>
      </c>
      <c r="H4" s="191" t="str">
        <f>E4</f>
        <v xml:space="preserve">formula </v>
      </c>
      <c r="K4" s="673"/>
      <c r="L4" s="673"/>
      <c r="M4" s="674"/>
      <c r="N4" s="673"/>
    </row>
    <row r="5" spans="1:14" ht="18">
      <c r="A5" s="801"/>
      <c r="B5" s="671"/>
      <c r="C5" s="195" t="s">
        <v>197</v>
      </c>
      <c r="D5" s="198">
        <f>(1-D4)</f>
        <v>0.9</v>
      </c>
      <c r="E5" s="97" t="s">
        <v>351</v>
      </c>
      <c r="F5" s="195" t="s">
        <v>197</v>
      </c>
      <c r="G5" s="198">
        <f>(1-G4)</f>
        <v>0.9</v>
      </c>
      <c r="H5" s="191" t="str">
        <f>E5</f>
        <v xml:space="preserve">formula </v>
      </c>
      <c r="K5" s="673"/>
      <c r="L5" s="673"/>
      <c r="M5" s="674"/>
      <c r="N5" s="673"/>
    </row>
    <row r="6" spans="1:14" ht="18">
      <c r="A6" s="801"/>
      <c r="B6" s="671"/>
      <c r="C6" s="195" t="s">
        <v>349</v>
      </c>
      <c r="D6" s="803">
        <f>COUNT(G13:G48)-1</f>
        <v>33</v>
      </c>
      <c r="E6" s="804" t="s">
        <v>350</v>
      </c>
      <c r="F6" s="195" t="s">
        <v>349</v>
      </c>
      <c r="G6" s="803">
        <f>COUNT(J13:J48)-1</f>
        <v>11</v>
      </c>
      <c r="H6" s="805" t="s">
        <v>305</v>
      </c>
      <c r="J6" s="807"/>
      <c r="K6" s="673"/>
      <c r="L6" s="673"/>
      <c r="M6" s="674"/>
      <c r="N6" s="673"/>
    </row>
    <row r="7" spans="1:14" ht="19" thickBot="1">
      <c r="A7" s="801"/>
      <c r="B7" s="671"/>
      <c r="C7" s="196" t="s">
        <v>348</v>
      </c>
      <c r="D7" s="199">
        <f>TINV(2*D4,D6)</f>
        <v>1.3077371244508877</v>
      </c>
      <c r="E7" s="192" t="s">
        <v>352</v>
      </c>
      <c r="F7" s="196" t="s">
        <v>348</v>
      </c>
      <c r="G7" s="199">
        <f>TINV(2*G4,G6)</f>
        <v>1.3634303180205409</v>
      </c>
      <c r="H7" s="193" t="str">
        <f>E7</f>
        <v>one tailed</v>
      </c>
      <c r="J7" s="807"/>
      <c r="K7" s="673"/>
      <c r="L7" s="673"/>
      <c r="M7" s="674"/>
      <c r="N7" s="673"/>
    </row>
    <row r="8" spans="1:14">
      <c r="A8" s="673"/>
      <c r="B8" s="673"/>
      <c r="C8" s="672"/>
      <c r="D8" s="673"/>
      <c r="E8" s="673"/>
      <c r="F8" s="673"/>
      <c r="G8" s="673"/>
      <c r="H8" s="672"/>
      <c r="I8" s="693"/>
      <c r="J8" s="802"/>
      <c r="K8" s="693"/>
      <c r="L8" s="672"/>
      <c r="M8" s="675"/>
      <c r="N8" s="673"/>
    </row>
    <row r="9" spans="1:14" ht="18">
      <c r="B9" s="673"/>
      <c r="C9" s="797" t="s">
        <v>318</v>
      </c>
      <c r="D9" s="673"/>
      <c r="E9" s="673"/>
      <c r="F9" s="673"/>
      <c r="G9" s="673"/>
      <c r="H9" s="672"/>
      <c r="I9" s="693"/>
      <c r="J9" s="808"/>
      <c r="K9" s="693"/>
      <c r="L9" s="672"/>
      <c r="M9" s="675"/>
      <c r="N9" s="673"/>
    </row>
    <row r="10" spans="1:14">
      <c r="A10" s="673"/>
      <c r="B10" s="673"/>
      <c r="C10" s="672"/>
      <c r="D10" s="673"/>
      <c r="E10" s="673"/>
      <c r="F10" s="673"/>
      <c r="G10" s="673"/>
      <c r="H10" s="672"/>
      <c r="I10" s="673"/>
      <c r="J10" s="673"/>
      <c r="K10" s="673"/>
      <c r="L10" s="673"/>
      <c r="M10" s="674"/>
      <c r="N10" s="673"/>
    </row>
    <row r="11" spans="1:14">
      <c r="A11" s="719"/>
      <c r="B11" s="719"/>
      <c r="C11" s="720" t="s">
        <v>259</v>
      </c>
      <c r="D11" s="721"/>
      <c r="E11" s="721"/>
      <c r="F11" s="721"/>
      <c r="G11" s="722"/>
      <c r="H11" s="723" t="s">
        <v>305</v>
      </c>
      <c r="I11" s="724"/>
      <c r="J11" s="724"/>
      <c r="K11" s="725"/>
      <c r="L11" s="677"/>
      <c r="M11" s="677"/>
      <c r="N11" s="673"/>
    </row>
    <row r="12" spans="1:14">
      <c r="A12" s="679"/>
      <c r="B12" s="679" t="s">
        <v>233</v>
      </c>
      <c r="C12" s="680"/>
      <c r="D12" s="681"/>
      <c r="E12" s="682"/>
      <c r="F12" s="683" t="s">
        <v>13</v>
      </c>
      <c r="G12" s="683" t="s">
        <v>15</v>
      </c>
      <c r="H12" s="680"/>
      <c r="I12" s="683"/>
      <c r="J12" s="683" t="s">
        <v>13</v>
      </c>
      <c r="K12" s="683" t="s">
        <v>15</v>
      </c>
      <c r="L12" s="684"/>
      <c r="M12" s="685"/>
      <c r="N12" s="686"/>
    </row>
    <row r="13" spans="1:14">
      <c r="A13" s="726" t="s">
        <v>307</v>
      </c>
      <c r="B13" s="726" t="s">
        <v>16</v>
      </c>
      <c r="C13" s="726" t="s">
        <v>75</v>
      </c>
      <c r="D13" s="726" t="s">
        <v>58</v>
      </c>
      <c r="E13" s="727" t="s">
        <v>315</v>
      </c>
      <c r="F13" s="726" t="s">
        <v>31</v>
      </c>
      <c r="G13" s="726" t="s">
        <v>31</v>
      </c>
      <c r="H13" s="726" t="s">
        <v>75</v>
      </c>
      <c r="I13" s="726" t="s">
        <v>58</v>
      </c>
      <c r="J13" s="726" t="s">
        <v>31</v>
      </c>
      <c r="K13" s="726" t="s">
        <v>31</v>
      </c>
      <c r="L13" s="684"/>
      <c r="M13" s="685"/>
      <c r="N13" s="686"/>
    </row>
    <row r="14" spans="1:14">
      <c r="A14" s="708" t="s">
        <v>319</v>
      </c>
      <c r="B14" s="684">
        <v>1977</v>
      </c>
      <c r="C14" s="774">
        <f>VLOOKUP($B14,Evaluation_TOTAL_ODD_EVEN!$B$3:$M$60,8,FALSE)</f>
        <v>5929206</v>
      </c>
      <c r="D14" s="772">
        <f>VLOOKUP($B14,Database!$A$83:$J$133,10,FALSE)</f>
        <v>5816401</v>
      </c>
      <c r="E14" s="711">
        <f>C14-D14</f>
        <v>112805</v>
      </c>
      <c r="F14" s="709">
        <f t="shared" ref="F14:F21" si="0">(D14-C14)^2</f>
        <v>12724968025</v>
      </c>
      <c r="G14" s="687">
        <f>(D14-C14)/D14</f>
        <v>-1.9394295544615994E-2</v>
      </c>
      <c r="H14" s="712"/>
      <c r="I14" s="684"/>
      <c r="J14" s="709"/>
      <c r="K14" s="687"/>
      <c r="L14" s="684"/>
      <c r="M14" s="685"/>
      <c r="N14" s="673"/>
    </row>
    <row r="15" spans="1:14">
      <c r="B15" s="684">
        <v>1978</v>
      </c>
      <c r="C15" s="774">
        <f>VLOOKUP($B15,Evaluation_TOTAL_ODD_EVEN!$B$3:$M$60,8,FALSE)</f>
        <v>1086977</v>
      </c>
      <c r="D15" s="772">
        <f>VLOOKUP($B15,Database!$A$83:$J$133,10,FALSE)</f>
        <v>3925083</v>
      </c>
      <c r="E15" s="711">
        <f t="shared" ref="E15:E47" si="1">C15-D15</f>
        <v>-2838106</v>
      </c>
      <c r="F15" s="709">
        <f t="shared" si="0"/>
        <v>8054845667236</v>
      </c>
      <c r="G15" s="687">
        <f t="shared" ref="G15:G47" si="2">(D15-C15)/D15</f>
        <v>0.72306904083302193</v>
      </c>
      <c r="H15" s="712"/>
      <c r="I15" s="684"/>
      <c r="J15" s="709"/>
      <c r="K15" s="687"/>
      <c r="L15" s="687"/>
      <c r="M15" s="688"/>
      <c r="N15" s="673"/>
    </row>
    <row r="16" spans="1:14">
      <c r="A16" s="678"/>
      <c r="B16" s="684">
        <v>1979</v>
      </c>
      <c r="C16" s="774">
        <f>VLOOKUP($B16,Evaluation_TOTAL_ODD_EVEN!$B$3:$M$60,8,FALSE)</f>
        <v>4569419.5</v>
      </c>
      <c r="D16" s="772">
        <f>VLOOKUP($B16,Database!$A$83:$J$133,10,FALSE)</f>
        <v>17335503</v>
      </c>
      <c r="E16" s="711">
        <f t="shared" si="1"/>
        <v>-12766083.5</v>
      </c>
      <c r="F16" s="709">
        <f t="shared" si="0"/>
        <v>162972887928972.25</v>
      </c>
      <c r="G16" s="687">
        <f t="shared" si="2"/>
        <v>0.73641263827187475</v>
      </c>
      <c r="H16" s="712"/>
      <c r="I16" s="684"/>
      <c r="J16" s="709"/>
      <c r="K16" s="687"/>
      <c r="L16" s="687"/>
      <c r="M16" s="688"/>
      <c r="N16" s="673"/>
    </row>
    <row r="17" spans="1:14">
      <c r="A17" s="678"/>
      <c r="B17" s="684">
        <v>1980</v>
      </c>
      <c r="C17" s="774">
        <f>VLOOKUP($B17,Evaluation_TOTAL_ODD_EVEN!$B$3:$M$60,8,FALSE)</f>
        <v>2543067</v>
      </c>
      <c r="D17" s="772">
        <f>VLOOKUP($B17,Database!$A$83:$J$133,10,FALSE)</f>
        <v>14013916</v>
      </c>
      <c r="E17" s="711">
        <f t="shared" si="1"/>
        <v>-11470849</v>
      </c>
      <c r="F17" s="709">
        <f t="shared" si="0"/>
        <v>131580376780801</v>
      </c>
      <c r="G17" s="687">
        <f t="shared" si="2"/>
        <v>0.81853273560366713</v>
      </c>
      <c r="H17" s="712"/>
      <c r="I17" s="684"/>
      <c r="J17" s="709"/>
      <c r="K17" s="687"/>
      <c r="L17" s="687"/>
      <c r="M17" s="688"/>
      <c r="N17" s="673"/>
    </row>
    <row r="18" spans="1:14">
      <c r="A18" s="684"/>
      <c r="B18" s="684">
        <v>1981</v>
      </c>
      <c r="C18" s="774">
        <f>VLOOKUP($B18,Evaluation_TOTAL_ODD_EVEN!$B$3:$M$60,8,FALSE)</f>
        <v>11575952</v>
      </c>
      <c r="D18" s="772">
        <f>VLOOKUP($B18,Database!$A$83:$J$133,10,FALSE)</f>
        <v>19568866</v>
      </c>
      <c r="E18" s="711">
        <f t="shared" si="1"/>
        <v>-7992914</v>
      </c>
      <c r="F18" s="709">
        <f t="shared" si="0"/>
        <v>63886674211396</v>
      </c>
      <c r="G18" s="687">
        <f t="shared" si="2"/>
        <v>0.40845054588242363</v>
      </c>
      <c r="H18" s="712"/>
      <c r="I18" s="684"/>
      <c r="J18" s="709"/>
      <c r="K18" s="687"/>
      <c r="L18" s="687"/>
      <c r="M18" s="688"/>
      <c r="N18" s="673"/>
    </row>
    <row r="19" spans="1:14">
      <c r="A19" s="706"/>
      <c r="B19" s="684">
        <v>1982</v>
      </c>
      <c r="C19" s="774">
        <f>VLOOKUP($B19,Evaluation_TOTAL_ODD_EVEN!$B$3:$M$60,8,FALSE)</f>
        <v>8969499.5</v>
      </c>
      <c r="D19" s="772">
        <f>VLOOKUP($B19,Database!$A$83:$J$133,10,FALSE)</f>
        <v>16794317</v>
      </c>
      <c r="E19" s="711">
        <f t="shared" si="1"/>
        <v>-7824817.5</v>
      </c>
      <c r="F19" s="709">
        <f t="shared" si="0"/>
        <v>61227768908306.25</v>
      </c>
      <c r="G19" s="687">
        <f t="shared" si="2"/>
        <v>0.46592055514969738</v>
      </c>
      <c r="H19" s="712"/>
      <c r="I19" s="684"/>
      <c r="J19" s="709"/>
      <c r="K19" s="687"/>
      <c r="L19" s="687"/>
      <c r="M19" s="688"/>
      <c r="N19" s="673"/>
    </row>
    <row r="20" spans="1:14">
      <c r="B20" s="684">
        <v>1983</v>
      </c>
      <c r="C20" s="774">
        <f>VLOOKUP($B20,Evaluation_TOTAL_ODD_EVEN!$B$3:$M$60,8,FALSE)</f>
        <v>18452184.5</v>
      </c>
      <c r="D20" s="772">
        <f>VLOOKUP($B20,Database!$A$83:$J$133,10,FALSE)</f>
        <v>11567348</v>
      </c>
      <c r="E20" s="711">
        <f t="shared" si="1"/>
        <v>6884836.5</v>
      </c>
      <c r="F20" s="709">
        <f t="shared" si="0"/>
        <v>47400973631732.25</v>
      </c>
      <c r="G20" s="687">
        <f t="shared" si="2"/>
        <v>-0.59519576137935848</v>
      </c>
      <c r="H20" s="712"/>
      <c r="I20" s="713"/>
      <c r="J20" s="709"/>
      <c r="K20" s="687"/>
      <c r="L20" s="687"/>
      <c r="M20" s="688"/>
      <c r="N20" s="673"/>
    </row>
    <row r="21" spans="1:14">
      <c r="A21" s="698"/>
      <c r="B21" s="684">
        <v>1984</v>
      </c>
      <c r="C21" s="774">
        <f>VLOOKUP($B21,Evaluation_TOTAL_ODD_EVEN!$B$3:$M$60,8,FALSE)</f>
        <v>15404116.5</v>
      </c>
      <c r="D21" s="772">
        <f>VLOOKUP($B21,Database!$A$83:$J$133,10,FALSE)</f>
        <v>21201513</v>
      </c>
      <c r="E21" s="711">
        <f t="shared" si="1"/>
        <v>-5797396.5</v>
      </c>
      <c r="F21" s="709">
        <f t="shared" si="0"/>
        <v>33609806178212.25</v>
      </c>
      <c r="G21" s="687">
        <f t="shared" si="2"/>
        <v>0.27344258402690413</v>
      </c>
      <c r="H21" s="712"/>
      <c r="I21" s="713"/>
      <c r="J21" s="709"/>
      <c r="K21" s="687"/>
      <c r="L21" s="687"/>
      <c r="M21" s="688"/>
      <c r="N21" s="673"/>
    </row>
    <row r="22" spans="1:14">
      <c r="A22" s="698"/>
      <c r="B22" s="684">
        <v>1985</v>
      </c>
      <c r="C22" s="774">
        <f>VLOOKUP($B22,Evaluation_TOTAL_ODD_EVEN!$B$3:$M$60,8,FALSE)</f>
        <v>15568107</v>
      </c>
      <c r="D22" s="772">
        <f>VLOOKUP($B22,Database!$A$83:$J$133,10,FALSE)</f>
        <v>19938105</v>
      </c>
      <c r="E22" s="711">
        <f t="shared" si="1"/>
        <v>-4369998</v>
      </c>
      <c r="F22" s="709">
        <f t="shared" ref="F22:F47" si="3">(D22-C22)^2</f>
        <v>19096882520004</v>
      </c>
      <c r="G22" s="687">
        <f t="shared" si="2"/>
        <v>0.21917820173983435</v>
      </c>
      <c r="H22" s="712"/>
      <c r="I22" s="713"/>
      <c r="J22" s="709"/>
      <c r="K22" s="687"/>
      <c r="L22" s="687"/>
      <c r="M22" s="688"/>
      <c r="N22" s="673"/>
    </row>
    <row r="23" spans="1:14">
      <c r="A23" s="698"/>
      <c r="B23" s="684">
        <v>1986</v>
      </c>
      <c r="C23" s="774">
        <f>VLOOKUP($B23,Evaluation_TOTAL_ODD_EVEN!$B$3:$M$60,8,FALSE)</f>
        <v>18997915</v>
      </c>
      <c r="D23" s="772">
        <f>VLOOKUP($B23,Database!$A$83:$J$133,10,FALSE)</f>
        <v>5563957</v>
      </c>
      <c r="E23" s="711">
        <f t="shared" si="1"/>
        <v>13433958</v>
      </c>
      <c r="F23" s="709">
        <f t="shared" si="3"/>
        <v>180471227545764</v>
      </c>
      <c r="G23" s="687">
        <f t="shared" si="2"/>
        <v>-2.4144611469858592</v>
      </c>
      <c r="H23" s="712"/>
      <c r="I23" s="713"/>
      <c r="J23" s="709"/>
      <c r="K23" s="687"/>
      <c r="L23" s="687"/>
      <c r="M23" s="688"/>
      <c r="N23" s="673"/>
    </row>
    <row r="24" spans="1:14">
      <c r="A24" s="698"/>
      <c r="B24" s="684">
        <v>1987</v>
      </c>
      <c r="C24" s="774">
        <f>VLOOKUP($B24,Evaluation_TOTAL_ODD_EVEN!$B$3:$M$60,8,FALSE)</f>
        <v>15752726.5</v>
      </c>
      <c r="D24" s="772">
        <f>VLOOKUP($B24,Database!$A$83:$J$133,10,FALSE)</f>
        <v>13066944</v>
      </c>
      <c r="E24" s="711">
        <f t="shared" si="1"/>
        <v>2685782.5</v>
      </c>
      <c r="F24" s="709">
        <f t="shared" si="3"/>
        <v>7213427637306.25</v>
      </c>
      <c r="G24" s="687">
        <f t="shared" si="2"/>
        <v>-0.20554021659540286</v>
      </c>
      <c r="H24" s="712"/>
      <c r="I24" s="713"/>
      <c r="J24" s="709"/>
      <c r="K24" s="687"/>
      <c r="L24" s="687"/>
      <c r="M24" s="688"/>
      <c r="N24" s="673"/>
    </row>
    <row r="25" spans="1:14">
      <c r="A25" s="698"/>
      <c r="B25" s="684">
        <v>1988</v>
      </c>
      <c r="C25" s="774">
        <f>VLOOKUP($B25,Evaluation_TOTAL_ODD_EVEN!$B$3:$M$60,8,FALSE)</f>
        <v>13382735</v>
      </c>
      <c r="D25" s="772">
        <f>VLOOKUP($B25,Database!$A$83:$J$133,10,FALSE)</f>
        <v>1766936</v>
      </c>
      <c r="E25" s="711">
        <f t="shared" si="1"/>
        <v>11615799</v>
      </c>
      <c r="F25" s="709">
        <f t="shared" si="3"/>
        <v>134926786408401</v>
      </c>
      <c r="G25" s="687">
        <f t="shared" si="2"/>
        <v>-6.5739783444335282</v>
      </c>
      <c r="H25" s="712"/>
      <c r="I25" s="713"/>
      <c r="J25" s="709"/>
      <c r="K25" s="687"/>
      <c r="L25" s="687"/>
      <c r="M25" s="688"/>
      <c r="N25" s="673"/>
    </row>
    <row r="26" spans="1:14">
      <c r="A26" s="698"/>
      <c r="B26" s="684">
        <v>1989</v>
      </c>
      <c r="C26" s="774">
        <f>VLOOKUP($B26,Evaluation_TOTAL_ODD_EVEN!$B$3:$M$60,8,FALSE)</f>
        <v>16502524.5</v>
      </c>
      <c r="D26" s="772">
        <f>VLOOKUP($B26,Database!$A$83:$J$133,10,FALSE)</f>
        <v>4743750</v>
      </c>
      <c r="E26" s="711">
        <f t="shared" si="1"/>
        <v>11758774.5</v>
      </c>
      <c r="F26" s="709">
        <f t="shared" si="3"/>
        <v>138268777741850.25</v>
      </c>
      <c r="G26" s="687">
        <f t="shared" si="2"/>
        <v>-2.478793043478261</v>
      </c>
      <c r="H26" s="712"/>
      <c r="I26" s="713"/>
      <c r="J26" s="709"/>
      <c r="K26" s="687"/>
      <c r="L26" s="687"/>
      <c r="M26" s="688"/>
      <c r="N26" s="673"/>
    </row>
    <row r="27" spans="1:14">
      <c r="A27" s="698"/>
      <c r="B27" s="684">
        <v>1990</v>
      </c>
      <c r="C27" s="774">
        <f>VLOOKUP($B27,Evaluation_TOTAL_ODD_EVEN!$B$3:$M$60,8,FALSE)</f>
        <v>3665446.5</v>
      </c>
      <c r="D27" s="772">
        <f>VLOOKUP($B27,Database!$A$83:$J$133,10,FALSE)</f>
        <v>12923662</v>
      </c>
      <c r="E27" s="711">
        <f t="shared" si="1"/>
        <v>-9258215.5</v>
      </c>
      <c r="F27" s="709">
        <f t="shared" si="3"/>
        <v>85714554244440.25</v>
      </c>
      <c r="G27" s="687">
        <f t="shared" si="2"/>
        <v>0.71637709961773988</v>
      </c>
      <c r="H27" s="712"/>
      <c r="I27" s="713"/>
      <c r="J27" s="709"/>
      <c r="K27" s="687"/>
      <c r="L27" s="687"/>
      <c r="M27" s="688"/>
      <c r="N27" s="673"/>
    </row>
    <row r="28" spans="1:14">
      <c r="A28" s="698"/>
      <c r="B28" s="684">
        <v>1991</v>
      </c>
      <c r="C28" s="774">
        <f>VLOOKUP($B28,Evaluation_TOTAL_ODD_EVEN!$B$3:$M$60,8,FALSE)</f>
        <v>8905347</v>
      </c>
      <c r="D28" s="772">
        <f>VLOOKUP($B28,Database!$A$83:$J$133,10,FALSE)</f>
        <v>7544776</v>
      </c>
      <c r="E28" s="711">
        <f t="shared" si="1"/>
        <v>1360571</v>
      </c>
      <c r="F28" s="709">
        <f t="shared" si="3"/>
        <v>1851153446041</v>
      </c>
      <c r="G28" s="687">
        <f t="shared" si="2"/>
        <v>-0.18033285547509958</v>
      </c>
      <c r="H28" s="712"/>
      <c r="I28" s="713"/>
      <c r="J28" s="709"/>
      <c r="K28" s="687"/>
      <c r="L28" s="687"/>
      <c r="M28" s="688"/>
      <c r="N28" s="673"/>
    </row>
    <row r="29" spans="1:14">
      <c r="A29" s="698"/>
      <c r="B29" s="684">
        <v>1992</v>
      </c>
      <c r="C29" s="774">
        <f>VLOOKUP($B29,Evaluation_TOTAL_ODD_EVEN!$B$3:$M$60,8,FALSE)</f>
        <v>7345299</v>
      </c>
      <c r="D29" s="772">
        <f>VLOOKUP($B29,Database!$A$83:$J$133,10,FALSE)</f>
        <v>1405383</v>
      </c>
      <c r="E29" s="711">
        <f t="shared" si="1"/>
        <v>5939916</v>
      </c>
      <c r="F29" s="709">
        <f t="shared" si="3"/>
        <v>35282602087056</v>
      </c>
      <c r="G29" s="687">
        <f t="shared" si="2"/>
        <v>-4.2265460732056672</v>
      </c>
      <c r="H29" s="712"/>
      <c r="I29" s="713"/>
      <c r="J29" s="709"/>
      <c r="K29" s="687"/>
      <c r="L29" s="687"/>
      <c r="M29" s="688"/>
      <c r="N29" s="673"/>
    </row>
    <row r="30" spans="1:14">
      <c r="A30" s="698"/>
      <c r="B30" s="684">
        <v>1993</v>
      </c>
      <c r="C30" s="774">
        <f>VLOOKUP($B30,Evaluation_TOTAL_ODD_EVEN!$B$3:$M$60,8,FALSE)</f>
        <v>6144263</v>
      </c>
      <c r="D30" s="772">
        <f>VLOOKUP($B30,Database!$A$83:$J$133,10,FALSE)</f>
        <v>1542942</v>
      </c>
      <c r="E30" s="711">
        <f t="shared" si="1"/>
        <v>4601321</v>
      </c>
      <c r="F30" s="709">
        <f t="shared" si="3"/>
        <v>21172154945041</v>
      </c>
      <c r="G30" s="687">
        <f>(D30-C30)/D30</f>
        <v>-2.9821736656335753</v>
      </c>
      <c r="H30" s="712"/>
      <c r="I30" s="728"/>
      <c r="J30" s="709"/>
      <c r="K30" s="687"/>
      <c r="L30" s="687"/>
      <c r="M30" s="688"/>
      <c r="N30" s="673"/>
    </row>
    <row r="31" spans="1:14">
      <c r="A31" s="698"/>
      <c r="B31" s="684">
        <v>1994</v>
      </c>
      <c r="C31" s="774">
        <f>VLOOKUP($B31,Evaluation_TOTAL_ODD_EVEN!$B$3:$M$60,8,FALSE)</f>
        <v>7164522.5</v>
      </c>
      <c r="D31" s="772">
        <f>VLOOKUP($B31,Database!$A$83:$J$133,10,FALSE)</f>
        <v>4666639</v>
      </c>
      <c r="E31" s="711">
        <f t="shared" si="1"/>
        <v>2497883.5</v>
      </c>
      <c r="F31" s="709">
        <f t="shared" si="3"/>
        <v>6239421979572.25</v>
      </c>
      <c r="G31" s="687">
        <f t="shared" si="2"/>
        <v>-0.53526392335040274</v>
      </c>
      <c r="H31" s="712"/>
      <c r="I31" s="728"/>
      <c r="J31" s="709"/>
      <c r="K31" s="687"/>
      <c r="L31" s="687"/>
      <c r="M31" s="688"/>
      <c r="N31" s="673"/>
    </row>
    <row r="32" spans="1:14">
      <c r="A32" s="698"/>
      <c r="B32" s="684">
        <v>1995</v>
      </c>
      <c r="C32" s="774">
        <f>VLOOKUP($B32,Evaluation_TOTAL_ODD_EVEN!$B$3:$M$60,8,FALSE)</f>
        <v>4543859</v>
      </c>
      <c r="D32" s="772">
        <f>VLOOKUP($B32,Database!$A$83:$J$133,10,FALSE)</f>
        <v>3934208</v>
      </c>
      <c r="E32" s="711">
        <f t="shared" si="1"/>
        <v>609651</v>
      </c>
      <c r="F32" s="709">
        <f t="shared" si="3"/>
        <v>371674341801</v>
      </c>
      <c r="G32" s="687">
        <f t="shared" si="2"/>
        <v>-0.15496155770106715</v>
      </c>
      <c r="H32" s="712"/>
      <c r="I32" s="717"/>
      <c r="J32" s="709"/>
      <c r="K32" s="687"/>
      <c r="L32" s="687"/>
      <c r="M32" s="688"/>
      <c r="N32" s="673"/>
    </row>
    <row r="33" spans="1:14">
      <c r="A33" s="698"/>
      <c r="B33" s="288">
        <v>1996</v>
      </c>
      <c r="C33" s="774">
        <f>VLOOKUP($B33,Evaluation_TOTAL_ODD_EVEN!$B$3:$M$60,8,FALSE)</f>
        <v>3036011</v>
      </c>
      <c r="D33" s="772">
        <f>VLOOKUP($B33,Database!$A$83:$J$133,10,FALSE)</f>
        <v>4500085</v>
      </c>
      <c r="E33" s="711">
        <f t="shared" si="1"/>
        <v>-1464074</v>
      </c>
      <c r="F33" s="709">
        <f t="shared" si="3"/>
        <v>2143512677476</v>
      </c>
      <c r="G33" s="687">
        <f t="shared" si="2"/>
        <v>0.32534363239805469</v>
      </c>
      <c r="H33" s="712"/>
      <c r="I33" s="717"/>
      <c r="J33" s="709"/>
      <c r="K33" s="687"/>
      <c r="L33" s="687"/>
      <c r="M33" s="688"/>
      <c r="N33" s="673"/>
    </row>
    <row r="34" spans="1:14">
      <c r="A34" s="698"/>
      <c r="B34" s="288">
        <v>1997</v>
      </c>
      <c r="C34" s="774">
        <f>VLOOKUP($B34,Evaluation_TOTAL_ODD_EVEN!$B$3:$M$60,8,FALSE)</f>
        <v>2738575</v>
      </c>
      <c r="D34" s="772">
        <f>VLOOKUP($B34,Database!$A$83:$J$133,10,FALSE)</f>
        <v>2588682</v>
      </c>
      <c r="E34" s="711">
        <f t="shared" si="1"/>
        <v>149893</v>
      </c>
      <c r="F34" s="709">
        <f t="shared" si="3"/>
        <v>22467911449</v>
      </c>
      <c r="G34" s="687">
        <f t="shared" si="2"/>
        <v>-5.7903210977632631E-2</v>
      </c>
      <c r="H34" s="712"/>
      <c r="I34" s="717"/>
      <c r="J34" s="709"/>
      <c r="K34" s="687"/>
      <c r="L34" s="687"/>
      <c r="M34" s="688"/>
      <c r="N34" s="673"/>
    </row>
    <row r="35" spans="1:14">
      <c r="A35" s="698"/>
      <c r="B35" s="288">
        <v>1998</v>
      </c>
      <c r="C35" s="774">
        <f>VLOOKUP($B35,Evaluation_TOTAL_ODD_EVEN!$B$3:$M$60,8,FALSE)</f>
        <v>4583362</v>
      </c>
      <c r="D35" s="772">
        <f>VLOOKUP($B35,Database!$A$83:$J$133,10,FALSE)</f>
        <v>5274275.5</v>
      </c>
      <c r="E35" s="711">
        <f t="shared" si="1"/>
        <v>-690913.5</v>
      </c>
      <c r="F35" s="709">
        <f t="shared" si="3"/>
        <v>477361464482.25</v>
      </c>
      <c r="G35" s="687">
        <f t="shared" si="2"/>
        <v>0.13099685444948789</v>
      </c>
      <c r="H35" s="712"/>
      <c r="I35" s="717"/>
      <c r="J35" s="709"/>
      <c r="K35" s="687"/>
      <c r="L35" s="687"/>
      <c r="M35" s="688"/>
      <c r="N35" s="673"/>
    </row>
    <row r="36" spans="1:14">
      <c r="A36" s="698"/>
      <c r="B36" s="288">
        <v>1999</v>
      </c>
      <c r="C36" s="774">
        <f>VLOOKUP($B36,Evaluation_TOTAL_ODD_EVEN!$B$3:$M$60,8,FALSE)</f>
        <v>3261445</v>
      </c>
      <c r="D36" s="772">
        <f>VLOOKUP($B36,Database!$A$83:$J$133,10,FALSE)</f>
        <v>9405198</v>
      </c>
      <c r="E36" s="711">
        <f t="shared" si="1"/>
        <v>-6143753</v>
      </c>
      <c r="F36" s="709">
        <f t="shared" si="3"/>
        <v>37745700925009</v>
      </c>
      <c r="G36" s="687">
        <f t="shared" si="2"/>
        <v>0.65322952265332423</v>
      </c>
      <c r="H36" s="712">
        <v>5200000</v>
      </c>
      <c r="I36" s="773">
        <f>VLOOKUP($B36,Database!$A$74:$C$133,3,FALSE)</f>
        <v>6793207</v>
      </c>
      <c r="J36" s="709">
        <f t="shared" ref="J36:J47" si="4">(I36-H36)^2</f>
        <v>2538308544849</v>
      </c>
      <c r="K36" s="687">
        <f t="shared" ref="K36:K47" si="5">(I36-H36)/I36</f>
        <v>0.23452943506653043</v>
      </c>
      <c r="L36" s="687"/>
      <c r="M36" s="688"/>
      <c r="N36" s="673"/>
    </row>
    <row r="37" spans="1:14">
      <c r="A37" s="698"/>
      <c r="B37" s="288">
        <v>2000</v>
      </c>
      <c r="C37" s="774">
        <f>VLOOKUP($B37,Evaluation_TOTAL_ODD_EVEN!$B$3:$M$60,8,FALSE)</f>
        <v>4887180.25</v>
      </c>
      <c r="D37" s="772">
        <f>VLOOKUP($B37,Database!$A$83:$J$133,10,FALSE)</f>
        <v>7389941</v>
      </c>
      <c r="E37" s="711">
        <f t="shared" si="1"/>
        <v>-2502760.75</v>
      </c>
      <c r="F37" s="709">
        <f t="shared" si="3"/>
        <v>6263811371740.5625</v>
      </c>
      <c r="G37" s="687">
        <f t="shared" si="2"/>
        <v>0.3386712762659404</v>
      </c>
      <c r="H37" s="712">
        <v>5200000</v>
      </c>
      <c r="I37" s="773">
        <f>VLOOKUP($B37,Database!$A$74:$C$133,3,FALSE)</f>
        <v>5660513</v>
      </c>
      <c r="J37" s="709">
        <f t="shared" si="4"/>
        <v>212072223169</v>
      </c>
      <c r="K37" s="687">
        <f t="shared" si="5"/>
        <v>8.1355347121365149E-2</v>
      </c>
      <c r="L37" s="687"/>
      <c r="M37" s="688"/>
      <c r="N37" s="673"/>
    </row>
    <row r="38" spans="1:14">
      <c r="A38" s="698"/>
      <c r="B38" s="288">
        <v>2001</v>
      </c>
      <c r="C38" s="774">
        <f>VLOOKUP($B38,Evaluation_TOTAL_ODD_EVEN!$B$3:$M$60,8,FALSE)</f>
        <v>5996940</v>
      </c>
      <c r="D38" s="772">
        <f>VLOOKUP($B38,Database!$A$83:$J$133,10,FALSE)</f>
        <v>8854676.9808041956</v>
      </c>
      <c r="E38" s="711">
        <f t="shared" si="1"/>
        <v>-2857736.9808041956</v>
      </c>
      <c r="F38" s="709">
        <f t="shared" si="3"/>
        <v>8166660651455.8799</v>
      </c>
      <c r="G38" s="687">
        <f t="shared" si="2"/>
        <v>0.32273757552075621</v>
      </c>
      <c r="H38" s="771">
        <f>C38-1400000</f>
        <v>4596940</v>
      </c>
      <c r="I38" s="773">
        <f>VLOOKUP($B38,Database!$A$74:$C$133,3,FALSE)</f>
        <v>6705936.700407384</v>
      </c>
      <c r="J38" s="709">
        <f t="shared" si="4"/>
        <v>4447867082329.2324</v>
      </c>
      <c r="K38" s="687">
        <f t="shared" si="5"/>
        <v>0.31449695913163972</v>
      </c>
      <c r="L38" s="687"/>
      <c r="M38" s="688"/>
      <c r="N38" s="673"/>
    </row>
    <row r="39" spans="1:14">
      <c r="A39" s="698"/>
      <c r="B39" s="288">
        <v>2002</v>
      </c>
      <c r="C39" s="774">
        <f>VLOOKUP($B39,Evaluation_TOTAL_ODD_EVEN!$B$3:$M$60,8,FALSE)</f>
        <v>6332108.25</v>
      </c>
      <c r="D39" s="772">
        <f>VLOOKUP($B39,Database!$A$83:$J$133,10,FALSE)</f>
        <v>1264645.3102025923</v>
      </c>
      <c r="E39" s="711">
        <f t="shared" si="1"/>
        <v>5067462.9397974079</v>
      </c>
      <c r="F39" s="709">
        <f t="shared" si="3"/>
        <v>25679180646220.188</v>
      </c>
      <c r="G39" s="687">
        <f t="shared" si="2"/>
        <v>-4.0070230750989113</v>
      </c>
      <c r="H39" s="771">
        <f>C39-2000000</f>
        <v>4332108.25</v>
      </c>
      <c r="I39" s="773">
        <f>VLOOKUP($B39,Database!$A$74:$C$133,3,FALSE)</f>
        <v>236842.54556606748</v>
      </c>
      <c r="J39" s="709">
        <f t="shared" si="4"/>
        <v>16771201189912.752</v>
      </c>
      <c r="K39" s="687">
        <f t="shared" si="5"/>
        <v>-17.291089718048795</v>
      </c>
      <c r="L39" s="687"/>
      <c r="M39" s="688"/>
      <c r="N39" s="673"/>
    </row>
    <row r="40" spans="1:14">
      <c r="A40" s="698"/>
      <c r="B40" s="288">
        <v>2003</v>
      </c>
      <c r="C40" s="774">
        <f>VLOOKUP($B40,Evaluation_TOTAL_ODD_EVEN!$B$3:$M$60,8,FALSE)</f>
        <v>9129937.4904020987</v>
      </c>
      <c r="D40" s="772">
        <f>VLOOKUP($B40,Database!$A$83:$J$133,10,FALSE)</f>
        <v>7344511.9398193061</v>
      </c>
      <c r="E40" s="711">
        <f t="shared" si="1"/>
        <v>1785425.5505827926</v>
      </c>
      <c r="F40" s="709">
        <f t="shared" si="3"/>
        <v>3187744396673.8682</v>
      </c>
      <c r="G40" s="687">
        <f t="shared" si="2"/>
        <v>-0.24309655498044144</v>
      </c>
      <c r="H40" s="771">
        <f t="shared" ref="H40:H47" si="6">C40-2000000</f>
        <v>7129937.4904020987</v>
      </c>
      <c r="I40" s="773">
        <f>VLOOKUP($B40,Database!$A$74:$C$133,3,FALSE)</f>
        <v>4493948.7314859722</v>
      </c>
      <c r="J40" s="709">
        <f t="shared" si="4"/>
        <v>6948436737132.1816</v>
      </c>
      <c r="K40" s="687">
        <f t="shared" si="5"/>
        <v>-0.58656404788234173</v>
      </c>
      <c r="L40" s="687"/>
      <c r="M40" s="688"/>
      <c r="N40" s="673"/>
    </row>
    <row r="41" spans="1:14">
      <c r="A41" s="698"/>
      <c r="B41" s="288">
        <v>2004</v>
      </c>
      <c r="C41" s="774">
        <f>VLOOKUP($B41,Evaluation_TOTAL_ODD_EVEN!$B$3:$M$60,8,FALSE)</f>
        <v>4327293.1551012965</v>
      </c>
      <c r="D41" s="772">
        <f>VLOOKUP($B41,Database!$A$83:$J$133,10,FALSE)</f>
        <v>4939431.0563474381</v>
      </c>
      <c r="E41" s="711">
        <f t="shared" si="1"/>
        <v>-612137.90124614164</v>
      </c>
      <c r="F41" s="709">
        <f t="shared" si="3"/>
        <v>374712810142.03107</v>
      </c>
      <c r="G41" s="687">
        <f t="shared" si="2"/>
        <v>0.12392882788788216</v>
      </c>
      <c r="H41" s="771">
        <f t="shared" si="6"/>
        <v>2327293.1551012965</v>
      </c>
      <c r="I41" s="773">
        <f>VLOOKUP($B41,Database!$A$74:$C$133,3,FALSE)</f>
        <v>2870874.2919837157</v>
      </c>
      <c r="J41" s="709">
        <f t="shared" si="4"/>
        <v>295480452374.38342</v>
      </c>
      <c r="K41" s="687">
        <f t="shared" si="5"/>
        <v>0.18934341305025087</v>
      </c>
      <c r="L41" s="687"/>
      <c r="M41" s="688"/>
      <c r="N41" s="673"/>
    </row>
    <row r="42" spans="1:14">
      <c r="A42" s="698"/>
      <c r="B42" s="288">
        <v>2005</v>
      </c>
      <c r="C42" s="774">
        <f>VLOOKUP($B42,Evaluation_TOTAL_ODD_EVEN!$B$3:$M$60,8,FALSE)</f>
        <v>8099594.4603117509</v>
      </c>
      <c r="D42" s="772">
        <f>VLOOKUP($B42,Database!$A$83:$J$133,10,FALSE)</f>
        <v>17032487.685321052</v>
      </c>
      <c r="E42" s="711">
        <f t="shared" si="1"/>
        <v>-8932893.2250092998</v>
      </c>
      <c r="F42" s="709">
        <f t="shared" si="3"/>
        <v>79796581369417.047</v>
      </c>
      <c r="G42" s="687">
        <f t="shared" si="2"/>
        <v>0.52446203925383439</v>
      </c>
      <c r="H42" s="771">
        <f t="shared" si="6"/>
        <v>6099594.4603117509</v>
      </c>
      <c r="I42" s="773">
        <f>VLOOKUP($B42,Database!$A$74:$C$133,3,FALSE)</f>
        <v>12256106.828178193</v>
      </c>
      <c r="J42" s="709">
        <f t="shared" si="4"/>
        <v>37902644535692.469</v>
      </c>
      <c r="K42" s="687">
        <f t="shared" si="5"/>
        <v>0.50232202233354517</v>
      </c>
      <c r="L42" s="687"/>
      <c r="M42" s="688"/>
      <c r="N42" s="673"/>
    </row>
    <row r="43" spans="1:14">
      <c r="A43" s="698"/>
      <c r="B43" s="288">
        <v>2006</v>
      </c>
      <c r="C43" s="774">
        <f>VLOOKUP($B43,Evaluation_TOTAL_ODD_EVEN!$B$3:$M$60,8,FALSE)</f>
        <v>3102038.1832750151</v>
      </c>
      <c r="D43" s="772">
        <f>VLOOKUP($B43,Database!$A$83:$J$133,10,FALSE)</f>
        <v>3314702.7753436686</v>
      </c>
      <c r="E43" s="711">
        <f t="shared" si="1"/>
        <v>-212664.59206865355</v>
      </c>
      <c r="F43" s="709">
        <f t="shared" si="3"/>
        <v>45226228719.726822</v>
      </c>
      <c r="G43" s="687">
        <f t="shared" si="2"/>
        <v>6.4157967239341529E-2</v>
      </c>
      <c r="H43" s="771">
        <f t="shared" si="6"/>
        <v>1102038.1832750151</v>
      </c>
      <c r="I43" s="773">
        <f>VLOOKUP($B43,Database!$A$74:$C$133,3,FALSE)</f>
        <v>1983120.7161293393</v>
      </c>
      <c r="J43" s="709">
        <f t="shared" si="4"/>
        <v>776306429700.99133</v>
      </c>
      <c r="K43" s="687">
        <f t="shared" si="5"/>
        <v>0.44429092273012183</v>
      </c>
      <c r="L43" s="687"/>
      <c r="M43" s="688"/>
      <c r="N43" s="673"/>
    </row>
    <row r="44" spans="1:14">
      <c r="A44" s="698"/>
      <c r="B44" s="288">
        <v>2007</v>
      </c>
      <c r="C44" s="774">
        <f>VLOOKUP($B44,Evaluation_TOTAL_ODD_EVEN!$B$3:$M$60,8,FALSE)</f>
        <v>12188499.812570179</v>
      </c>
      <c r="D44" s="772">
        <f>VLOOKUP($B44,Database!$A$83:$J$133,10,FALSE)</f>
        <v>11526987.795003444</v>
      </c>
      <c r="E44" s="711">
        <f t="shared" si="1"/>
        <v>661512.01756673492</v>
      </c>
      <c r="F44" s="709">
        <f t="shared" si="3"/>
        <v>437598149385.21222</v>
      </c>
      <c r="G44" s="687">
        <f t="shared" si="2"/>
        <v>-5.7388107746021717E-2</v>
      </c>
      <c r="H44" s="771">
        <f t="shared" si="6"/>
        <v>10188499.812570179</v>
      </c>
      <c r="I44" s="773">
        <f>VLOOKUP($B44,Database!$A$74:$C$133,3,FALSE)</f>
        <v>9967663.2895603608</v>
      </c>
      <c r="J44" s="709">
        <f t="shared" si="4"/>
        <v>48768769895.065895</v>
      </c>
      <c r="K44" s="687">
        <f t="shared" si="5"/>
        <v>-2.2155295237662305E-2</v>
      </c>
      <c r="L44" s="687"/>
      <c r="M44" s="688"/>
      <c r="N44" s="673"/>
    </row>
    <row r="45" spans="1:14">
      <c r="A45" s="698"/>
      <c r="B45" s="288">
        <v>2008</v>
      </c>
      <c r="C45" s="774">
        <f>VLOOKUP($B45,Evaluation_TOTAL_ODD_EVEN!$B$3:$M$60,8,FALSE)</f>
        <v>4127066.9158455534</v>
      </c>
      <c r="D45" s="772">
        <f>VLOOKUP($B45,Database!$A$83:$J$133,10,FALSE)</f>
        <v>2290691.6775990888</v>
      </c>
      <c r="E45" s="711">
        <f t="shared" si="1"/>
        <v>1836375.2382464646</v>
      </c>
      <c r="F45" s="709">
        <f t="shared" si="3"/>
        <v>3372274015644.7598</v>
      </c>
      <c r="G45" s="687">
        <f t="shared" si="2"/>
        <v>-0.80166844634944479</v>
      </c>
      <c r="H45" s="771">
        <f t="shared" si="6"/>
        <v>2127066.9158455534</v>
      </c>
      <c r="I45" s="773">
        <f>VLOOKUP($B45,Database!$A$74:$C$133,3,FALSE)</f>
        <v>1371156.4260196264</v>
      </c>
      <c r="J45" s="709">
        <f t="shared" si="4"/>
        <v>571400668628.8728</v>
      </c>
      <c r="K45" s="687">
        <f t="shared" si="5"/>
        <v>-0.55129413061957022</v>
      </c>
      <c r="L45" s="694"/>
      <c r="M45" s="695"/>
      <c r="N45" s="673"/>
    </row>
    <row r="46" spans="1:14">
      <c r="A46" s="698"/>
      <c r="B46" s="288">
        <v>2009</v>
      </c>
      <c r="C46" s="774">
        <f>VLOOKUP($B46,Evaluation_TOTAL_ODD_EVEN!$B$3:$M$60,8,FALSE)</f>
        <v>14279737.740162248</v>
      </c>
      <c r="D46" s="772">
        <f>VLOOKUP($B46,Database!$A$83:$J$133,10,FALSE)</f>
        <v>2824330.6070667375</v>
      </c>
      <c r="E46" s="711">
        <f t="shared" si="1"/>
        <v>11455407.13309551</v>
      </c>
      <c r="F46" s="709">
        <f t="shared" si="3"/>
        <v>131226352584975.5</v>
      </c>
      <c r="G46" s="687">
        <f t="shared" si="2"/>
        <v>-4.0559724504040062</v>
      </c>
      <c r="H46" s="771">
        <f t="shared" si="6"/>
        <v>12279737.740162248</v>
      </c>
      <c r="I46" s="773">
        <f>VLOOKUP($B46,Database!$A$74:$C$133,3,FALSE)</f>
        <v>910000.69957974285</v>
      </c>
      <c r="J46" s="709">
        <f t="shared" si="4"/>
        <v>129270920371993.8</v>
      </c>
      <c r="K46" s="687">
        <f t="shared" si="5"/>
        <v>-12.494206922954326</v>
      </c>
      <c r="L46" s="696"/>
      <c r="M46" s="697"/>
      <c r="N46" s="673"/>
    </row>
    <row r="47" spans="1:14">
      <c r="A47" s="698"/>
      <c r="B47" s="288">
        <v>2010</v>
      </c>
      <c r="C47" s="774">
        <f>VLOOKUP($B47,Evaluation_TOTAL_ODD_EVEN!$B$3:$M$60,8,FALSE)</f>
        <v>2802697.2264713785</v>
      </c>
      <c r="D47" s="772">
        <f>VLOOKUP($B47,Database!$A$83:$J$133,10,FALSE)</f>
        <v>4399390.7272172375</v>
      </c>
      <c r="E47" s="711">
        <f t="shared" si="1"/>
        <v>-1596693.500745859</v>
      </c>
      <c r="F47" s="716">
        <f t="shared" si="3"/>
        <v>2549430135324.0664</v>
      </c>
      <c r="G47" s="687">
        <f t="shared" si="2"/>
        <v>0.362935142556847</v>
      </c>
      <c r="H47" s="771">
        <f t="shared" si="6"/>
        <v>802697.22647137847</v>
      </c>
      <c r="I47" s="773">
        <f>VLOOKUP($B47,Database!$A$74:$C$133,3,FALSE)</f>
        <v>2325412.6096819355</v>
      </c>
      <c r="J47" s="709">
        <f t="shared" si="4"/>
        <v>2318662138266.0737</v>
      </c>
      <c r="K47" s="687">
        <f t="shared" si="5"/>
        <v>0.65481513984687234</v>
      </c>
      <c r="L47" s="700"/>
      <c r="M47" s="701"/>
      <c r="N47" s="673"/>
    </row>
    <row r="48" spans="1:14">
      <c r="A48" s="698" t="s">
        <v>208</v>
      </c>
      <c r="B48" s="730">
        <v>2011</v>
      </c>
      <c r="C48" s="775">
        <f>VLOOKUP($B48,Evaluation_TOTAL_ODD_EVEN!$B$3:$M$60,8,FALSE)</f>
        <v>7175659.2010350907</v>
      </c>
      <c r="D48" s="731"/>
      <c r="E48" s="731"/>
      <c r="F48" s="732"/>
      <c r="G48" s="733"/>
      <c r="H48" s="690">
        <f>C48-2000000</f>
        <v>5175659.2010350907</v>
      </c>
      <c r="I48" s="734"/>
      <c r="J48" s="735"/>
      <c r="K48" s="736"/>
      <c r="L48" s="696"/>
      <c r="M48" s="697"/>
      <c r="N48" s="673"/>
    </row>
    <row r="49" spans="1:14">
      <c r="A49" s="706"/>
      <c r="B49" s="799"/>
      <c r="C49" s="800"/>
      <c r="D49" s="707"/>
      <c r="E49" s="707"/>
      <c r="F49" s="718"/>
      <c r="G49" s="689"/>
      <c r="H49" s="691"/>
      <c r="I49" s="717"/>
      <c r="J49" s="716"/>
      <c r="K49" s="688"/>
      <c r="L49" s="697"/>
      <c r="M49" s="697"/>
      <c r="N49" s="673"/>
    </row>
    <row r="50" spans="1:14">
      <c r="A50" s="706"/>
      <c r="B50" s="799"/>
      <c r="C50" s="800"/>
      <c r="D50" s="707"/>
      <c r="E50" s="707"/>
      <c r="F50" s="718"/>
      <c r="G50" s="689"/>
      <c r="H50" s="691"/>
      <c r="I50" s="717"/>
      <c r="J50" s="716"/>
      <c r="K50" s="688"/>
      <c r="L50" s="694"/>
      <c r="M50" s="695"/>
      <c r="N50" s="673"/>
    </row>
    <row r="51" spans="1:14">
      <c r="A51" s="781"/>
      <c r="B51" s="782"/>
      <c r="C51" s="783"/>
      <c r="D51" s="784"/>
      <c r="E51" s="781"/>
      <c r="F51" s="785"/>
      <c r="G51" s="786"/>
      <c r="H51" s="783"/>
      <c r="I51" s="781"/>
      <c r="J51" s="787"/>
      <c r="K51" s="788"/>
      <c r="L51" s="706"/>
      <c r="M51" s="674"/>
      <c r="N51" s="673"/>
    </row>
    <row r="52" spans="1:14">
      <c r="A52" s="706"/>
      <c r="B52" s="684"/>
      <c r="C52" s="693"/>
      <c r="D52" s="706" t="s">
        <v>309</v>
      </c>
      <c r="E52" s="706"/>
      <c r="F52" s="709">
        <f>SUM(F$43:F50)</f>
        <v>137630881114049.27</v>
      </c>
      <c r="G52" s="700">
        <f>SUM(G$43:G50)</f>
        <v>-4.4879358947032841</v>
      </c>
      <c r="H52" s="693"/>
      <c r="I52" s="706" t="s">
        <v>310</v>
      </c>
      <c r="J52" s="709">
        <f>SUM(J$43:J50)</f>
        <v>132986058378484.81</v>
      </c>
      <c r="K52" s="700">
        <f>SUM(K$43:K50)</f>
        <v>-11.968550286234564</v>
      </c>
      <c r="L52" s="702"/>
      <c r="M52" s="703"/>
      <c r="N52" s="673"/>
    </row>
    <row r="53" spans="1:14">
      <c r="A53" s="706"/>
      <c r="B53" s="684"/>
      <c r="C53" s="693"/>
      <c r="D53" s="706" t="s">
        <v>311</v>
      </c>
      <c r="E53" s="706"/>
      <c r="F53" s="699">
        <f>SQRT(F52/$D$6)</f>
        <v>2042212.7119944671</v>
      </c>
      <c r="G53" s="700">
        <f>G52/COUNTA(G$43:G50)</f>
        <v>-0.89758717894065687</v>
      </c>
      <c r="H53" s="693"/>
      <c r="I53" s="706" t="s">
        <v>311</v>
      </c>
      <c r="J53" s="699">
        <f>SQRT(J52/$G$6)</f>
        <v>3477016.2022589636</v>
      </c>
      <c r="K53" s="700">
        <f>K52/COUNTA(K$43:K50)</f>
        <v>-2.3937100572469125</v>
      </c>
      <c r="L53" s="706"/>
      <c r="M53" s="707"/>
      <c r="N53" s="673"/>
    </row>
    <row r="54" spans="1:14">
      <c r="A54" s="706"/>
      <c r="B54" s="706"/>
      <c r="C54" s="693"/>
      <c r="D54" s="706" t="s">
        <v>312</v>
      </c>
      <c r="E54" s="706"/>
      <c r="F54" s="778"/>
      <c r="G54" s="700">
        <f>G53*0.8</f>
        <v>-0.71806974315252559</v>
      </c>
      <c r="H54" s="693"/>
      <c r="I54" s="706" t="s">
        <v>312</v>
      </c>
      <c r="J54" s="706"/>
      <c r="K54" s="696">
        <f>K53*0.8</f>
        <v>-1.9149680457975302</v>
      </c>
      <c r="L54" s="706"/>
      <c r="M54" s="674"/>
      <c r="N54" s="673"/>
    </row>
    <row r="55" spans="1:14">
      <c r="A55" s="789"/>
      <c r="B55" s="790"/>
      <c r="C55" s="790" t="s">
        <v>313</v>
      </c>
      <c r="D55" s="791" t="s">
        <v>314</v>
      </c>
      <c r="E55" s="791"/>
      <c r="F55" s="792">
        <f>F53*$D$7</f>
        <v>2670677.3795006932</v>
      </c>
      <c r="G55" s="793">
        <f>F55/C48</f>
        <v>0.37218564938472093</v>
      </c>
      <c r="H55" s="794"/>
      <c r="I55" s="789" t="s">
        <v>314</v>
      </c>
      <c r="J55" s="795">
        <f>J53*$G$7</f>
        <v>4740669.3064085124</v>
      </c>
      <c r="K55" s="796">
        <f>J55/H48</f>
        <v>0.91595468756142528</v>
      </c>
      <c r="L55" s="706"/>
      <c r="M55" s="674"/>
      <c r="N55" s="673"/>
    </row>
    <row r="56" spans="1:14">
      <c r="A56" s="706"/>
      <c r="B56" s="684"/>
      <c r="C56" s="693"/>
      <c r="D56" s="706"/>
      <c r="E56" s="706"/>
      <c r="F56" s="779"/>
      <c r="G56" s="780"/>
      <c r="H56" s="693"/>
      <c r="I56" s="706"/>
      <c r="J56" s="706"/>
      <c r="K56" s="694"/>
      <c r="L56" s="706"/>
      <c r="M56" s="674"/>
      <c r="N56" s="673"/>
    </row>
    <row r="57" spans="1:14" ht="17" thickBot="1">
      <c r="A57" s="706"/>
      <c r="B57" s="706"/>
      <c r="C57" s="693"/>
      <c r="D57" s="706"/>
      <c r="E57" s="706"/>
      <c r="F57" s="706"/>
      <c r="G57" s="706"/>
      <c r="H57" s="693"/>
      <c r="I57" s="706"/>
      <c r="J57" s="706"/>
      <c r="K57" s="706"/>
      <c r="L57" s="673"/>
      <c r="M57" s="674"/>
      <c r="N57" s="673"/>
    </row>
    <row r="58" spans="1:14">
      <c r="A58" s="813"/>
      <c r="B58" s="814"/>
      <c r="C58" s="815" t="s">
        <v>259</v>
      </c>
      <c r="D58" s="816"/>
      <c r="E58" s="189"/>
      <c r="F58" s="814"/>
      <c r="G58" s="814"/>
      <c r="H58" s="815" t="s">
        <v>305</v>
      </c>
      <c r="I58" s="816"/>
      <c r="J58" s="817"/>
      <c r="K58" s="818"/>
    </row>
    <row r="59" spans="1:14">
      <c r="A59" s="819"/>
      <c r="B59" s="704" t="s">
        <v>316</v>
      </c>
      <c r="C59" s="704" t="s">
        <v>75</v>
      </c>
      <c r="D59" s="705" t="s">
        <v>317</v>
      </c>
      <c r="E59" s="798" t="s">
        <v>315</v>
      </c>
      <c r="F59" s="820"/>
      <c r="G59" s="704" t="s">
        <v>316</v>
      </c>
      <c r="H59" s="704" t="s">
        <v>75</v>
      </c>
      <c r="I59" s="705" t="s">
        <v>317</v>
      </c>
      <c r="J59" s="705" t="s">
        <v>306</v>
      </c>
      <c r="K59" s="821"/>
    </row>
    <row r="60" spans="1:14">
      <c r="A60" s="749"/>
      <c r="B60" s="97">
        <v>5</v>
      </c>
      <c r="C60" s="699">
        <f>AVERAGE(INDEX(C$14:C49,COUNT($B$14:$B49)-1,0):INDEX(C$14:C49,COUNT($B$14:$B49)-$B60,0))</f>
        <v>7300007.9756648745</v>
      </c>
      <c r="D60" s="699">
        <f>AVERAGE(INDEX(D$14:D49,COUNT($B$14:$B49)-1,0):INDEX(D$14:D48,COUNT($B$14:$B48)-$B60,0))</f>
        <v>4871220.7164460355</v>
      </c>
      <c r="E60" s="699">
        <f>C60-D60</f>
        <v>2428787.259218839</v>
      </c>
      <c r="F60" s="97"/>
      <c r="G60" s="97">
        <v>5</v>
      </c>
      <c r="H60" s="699">
        <f>AVERAGE(INDEX(H$14:H49,COUNT($B$14:$B49)-1,0):INDEX(H$14:H48,COUNT($B$14:$B48)-$B60,0))</f>
        <v>5300007.9756648745</v>
      </c>
      <c r="I60" s="699">
        <f>AVERAGE(INDEX(I$14:I49,COUNT($B$14:$B49)-1,0):INDEX(I$14:I48,COUNT($B$14:$B48)-$B60,0))</f>
        <v>3311470.7481942009</v>
      </c>
      <c r="J60" s="699">
        <f>H60-I60</f>
        <v>1988537.2274706736</v>
      </c>
      <c r="K60" s="191"/>
    </row>
    <row r="61" spans="1:14">
      <c r="A61" s="749"/>
      <c r="B61" s="97">
        <v>10</v>
      </c>
      <c r="C61" s="699">
        <f>AVERAGE(INDEX(C$14:C50,COUNT($B$14:$B50)-1,0):INDEX(C$14:C50,COUNT($B$14:$B50)-$B61,0))</f>
        <v>7038591.3234139513</v>
      </c>
      <c r="D61" s="699">
        <f>AVERAGE(INDEX(D$14:D50,COUNT($B$14:$B50)-1,0):INDEX(D$14:D49,COUNT($B$14:$B49)-$B61,0))</f>
        <v>6379185.655472476</v>
      </c>
      <c r="E61" s="699">
        <f>C61-D61</f>
        <v>659405.66794147529</v>
      </c>
      <c r="F61" s="97"/>
      <c r="G61" s="97">
        <v>10</v>
      </c>
      <c r="H61" s="699">
        <f>AVERAGE(INDEX(H$14:H50,COUNT($B$14:$B50)-1,0):INDEX(H$14:H49,COUNT($B$14:$B49)-$B61,0))</f>
        <v>5098591.3234139513</v>
      </c>
      <c r="I61" s="699">
        <f>AVERAGE(INDEX(I$14:I50,COUNT($B$14:$B50)-1,0):INDEX(I$14:I49,COUNT($B$14:$B49)-$B61,0))</f>
        <v>4312106.2838592334</v>
      </c>
      <c r="J61" s="699">
        <f>H61-I61</f>
        <v>786485.03955471795</v>
      </c>
      <c r="K61" s="191"/>
    </row>
    <row r="62" spans="1:14">
      <c r="A62" s="749"/>
      <c r="B62" s="97">
        <v>20</v>
      </c>
      <c r="C62" s="699">
        <f>AVERAGE(INDEX(C$14:C51,COUNT($B$14:$B51)-1,0):INDEX(C$14:C51,COUNT($B$14:$B51)-$B62,0))</f>
        <v>6149788.8492069775</v>
      </c>
      <c r="D62" s="699">
        <f>AVERAGE(INDEX(D$14:D51,COUNT($B$14:$B51)-1,0):INDEX(D$14:D50,COUNT($B$14:$B50)-$B62,0))</f>
        <v>5602199.3027362386</v>
      </c>
      <c r="E62" s="699">
        <f>C62-D62</f>
        <v>547589.54647073895</v>
      </c>
      <c r="F62" s="97"/>
      <c r="G62" s="97">
        <v>20</v>
      </c>
      <c r="H62" s="699">
        <f>AVERAGE(INDEX(H$14:H51,COUNT($B$14:$B51)-1,0):INDEX(H$14:H50,COUNT($B$14:$B50)-$B62,0))</f>
        <v>5115492.7695116261</v>
      </c>
      <c r="I62" s="699">
        <f>AVERAGE(INDEX(I$14:I51,COUNT($B$14:$B51)-1,0):INDEX(I$14:I50,COUNT($B$14:$B50)-$B62,0))</f>
        <v>4631231.9032160286</v>
      </c>
      <c r="J62" s="699">
        <f>H62-I62</f>
        <v>484260.86629559752</v>
      </c>
      <c r="K62" s="191"/>
    </row>
    <row r="63" spans="1:14" ht="17" thickBot="1">
      <c r="A63" s="751"/>
      <c r="B63" s="192">
        <v>25</v>
      </c>
      <c r="C63" s="812">
        <f>AVERAGE(INDEX(C$14:C52,COUNT($B$14:$B52)-1,0):INDEX(C$14:C52,COUNT($B$14:$B52)-$B63,0))</f>
        <v>7651884.9793655798</v>
      </c>
      <c r="D63" s="812">
        <f>AVERAGE(INDEX(D$14:D52,COUNT($B$14:$B52)-1,0):INDEX(D$14:D51,COUNT($B$14:$B51)-$B63,0))</f>
        <v>6004369.4021889912</v>
      </c>
      <c r="E63" s="812">
        <f>C63-D63</f>
        <v>1647515.5771765886</v>
      </c>
      <c r="F63" s="192"/>
      <c r="G63" s="192">
        <v>25</v>
      </c>
      <c r="H63" s="812">
        <f>AVERAGE(INDEX(H$14:H52,COUNT($B$14:$B52)-1,0):INDEX(H$14:H51,COUNT($B$14:$B51)-$B63,0))</f>
        <v>5115492.7695116261</v>
      </c>
      <c r="I63" s="812">
        <f>AVERAGE(INDEX(I$14:I52,COUNT($B$14:$B52)-1,0):INDEX(I$14:I51,COUNT($B$14:$B51)-$B63,0))</f>
        <v>4631231.9032160286</v>
      </c>
      <c r="J63" s="812">
        <f>H63-I63</f>
        <v>484260.86629559752</v>
      </c>
      <c r="K63" s="193"/>
    </row>
    <row r="64" spans="1:14">
      <c r="C64" s="699"/>
    </row>
    <row r="65" spans="3:3">
      <c r="C65" s="810"/>
    </row>
  </sheetData>
  <pageMargins left="0.7" right="0.7" top="0.75" bottom="0.75" header="0.3" footer="0.3"/>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FFFF00"/>
  </sheetPr>
  <dimension ref="A1:N51"/>
  <sheetViews>
    <sheetView zoomScale="75" zoomScaleNormal="75" zoomScalePageLayoutView="75" workbookViewId="0">
      <pane ySplit="12" topLeftCell="A13" activePane="bottomLeft" state="frozen"/>
      <selection pane="bottomLeft"/>
    </sheetView>
  </sheetViews>
  <sheetFormatPr baseColWidth="10" defaultColWidth="8.625" defaultRowHeight="16" x14ac:dyDescent="0"/>
  <cols>
    <col min="3" max="3" width="16" customWidth="1"/>
    <col min="4" max="4" width="9.875" bestFit="1" customWidth="1"/>
    <col min="5" max="5" width="12.5" customWidth="1"/>
    <col min="6" max="6" width="17.625" customWidth="1"/>
    <col min="7" max="7" width="11" customWidth="1"/>
    <col min="8" max="8" width="14.875" customWidth="1"/>
    <col min="9" max="9" width="16.5" customWidth="1"/>
    <col min="10" max="11" width="12.5" customWidth="1"/>
    <col min="12" max="12" width="17.125" customWidth="1"/>
    <col min="14" max="14" width="16" customWidth="1"/>
  </cols>
  <sheetData>
    <row r="1" spans="1:14" ht="18">
      <c r="A1" s="670" t="s">
        <v>304</v>
      </c>
      <c r="B1" s="809" t="str">
        <f ca="1">CELL("filename",G10)</f>
        <v>NWCLM04072996:Users:eric.ward:Documents:NCEAS-covariation:data:salmon data:[2015_PWS_Pink_Wild_forecast-FINAL.xlsm]Performance Even</v>
      </c>
      <c r="C1" s="672"/>
      <c r="D1" s="673"/>
      <c r="E1" s="673"/>
      <c r="F1" s="673"/>
      <c r="G1" s="673"/>
      <c r="H1" s="672"/>
    </row>
    <row r="2" spans="1:14" ht="7.5" customHeight="1" thickBot="1">
      <c r="G2" s="673"/>
      <c r="H2" s="672"/>
    </row>
    <row r="3" spans="1:14">
      <c r="C3" s="194" t="s">
        <v>192</v>
      </c>
      <c r="D3" s="187">
        <v>80</v>
      </c>
      <c r="E3" s="197" t="s">
        <v>193</v>
      </c>
      <c r="F3" s="194" t="s">
        <v>192</v>
      </c>
      <c r="G3" s="187">
        <v>80</v>
      </c>
      <c r="H3" s="190" t="str">
        <f>E3</f>
        <v>%</v>
      </c>
    </row>
    <row r="4" spans="1:14">
      <c r="C4" s="195" t="s">
        <v>195</v>
      </c>
      <c r="D4" s="198">
        <f>(1-D3/100)/2</f>
        <v>9.9999999999999978E-2</v>
      </c>
      <c r="E4" s="97" t="s">
        <v>351</v>
      </c>
      <c r="F4" s="195" t="s">
        <v>195</v>
      </c>
      <c r="G4" s="198">
        <f>(1-G3/100)/2</f>
        <v>9.9999999999999978E-2</v>
      </c>
      <c r="H4" s="191" t="str">
        <f>E4</f>
        <v xml:space="preserve">formula </v>
      </c>
    </row>
    <row r="5" spans="1:14">
      <c r="C5" s="195" t="s">
        <v>197</v>
      </c>
      <c r="D5" s="198">
        <f>(1-D4)</f>
        <v>0.9</v>
      </c>
      <c r="E5" s="97" t="s">
        <v>351</v>
      </c>
      <c r="F5" s="195" t="s">
        <v>197</v>
      </c>
      <c r="G5" s="198">
        <f>(1-G4)</f>
        <v>0.9</v>
      </c>
      <c r="H5" s="191" t="str">
        <f>E5</f>
        <v xml:space="preserve">formula </v>
      </c>
    </row>
    <row r="6" spans="1:14">
      <c r="C6" s="195" t="s">
        <v>349</v>
      </c>
      <c r="D6" s="803">
        <f>COUNT(F13:F34)-1</f>
        <v>16</v>
      </c>
      <c r="E6" s="804" t="s">
        <v>350</v>
      </c>
      <c r="F6" s="195" t="s">
        <v>349</v>
      </c>
      <c r="G6" s="803">
        <f>COUNT(I13:I34)-1</f>
        <v>5</v>
      </c>
      <c r="H6" s="805" t="s">
        <v>305</v>
      </c>
      <c r="I6" s="807"/>
      <c r="J6" s="198"/>
      <c r="K6" s="97"/>
      <c r="L6" s="807"/>
      <c r="M6" s="198"/>
      <c r="N6" s="97"/>
    </row>
    <row r="7" spans="1:14" ht="17" thickBot="1">
      <c r="A7" s="673"/>
      <c r="B7" s="673"/>
      <c r="C7" s="196" t="s">
        <v>348</v>
      </c>
      <c r="D7" s="199">
        <f>TINV(2*D4,D6)</f>
        <v>1.3367571673273158</v>
      </c>
      <c r="E7" s="192" t="s">
        <v>352</v>
      </c>
      <c r="F7" s="196" t="s">
        <v>348</v>
      </c>
      <c r="G7" s="199">
        <f>TINV(2*G4,G6)</f>
        <v>1.4758840488244818</v>
      </c>
      <c r="H7" s="193" t="str">
        <f>E7</f>
        <v>one tailed</v>
      </c>
      <c r="I7" s="807"/>
      <c r="J7" s="198"/>
      <c r="K7" s="97"/>
      <c r="L7" s="807"/>
      <c r="M7" s="198"/>
      <c r="N7" s="97"/>
    </row>
    <row r="8" spans="1:14">
      <c r="B8" s="673"/>
      <c r="C8" s="672"/>
      <c r="D8" s="673"/>
      <c r="E8" s="673"/>
      <c r="F8" s="673"/>
      <c r="G8" s="673"/>
      <c r="H8" s="672"/>
      <c r="M8" s="675"/>
    </row>
    <row r="9" spans="1:14" ht="18">
      <c r="A9" s="673"/>
      <c r="C9" s="797" t="s">
        <v>318</v>
      </c>
      <c r="D9" s="673"/>
      <c r="E9" s="673"/>
      <c r="F9" s="673"/>
      <c r="G9" s="673"/>
      <c r="H9" s="672"/>
      <c r="I9" s="673"/>
      <c r="J9" s="673"/>
      <c r="K9" s="673"/>
      <c r="L9" s="673"/>
      <c r="M9" s="674"/>
    </row>
    <row r="10" spans="1:14">
      <c r="A10" s="719"/>
      <c r="B10" s="719"/>
      <c r="C10" s="720" t="s">
        <v>259</v>
      </c>
      <c r="D10" s="721"/>
      <c r="E10" s="721"/>
      <c r="F10" s="721"/>
      <c r="G10" s="722"/>
      <c r="H10" s="723" t="s">
        <v>305</v>
      </c>
      <c r="I10" s="724"/>
      <c r="J10" s="724"/>
      <c r="K10" s="725"/>
      <c r="L10" s="676"/>
      <c r="M10" s="677"/>
    </row>
    <row r="11" spans="1:14">
      <c r="A11" s="679"/>
      <c r="B11" s="679" t="s">
        <v>233</v>
      </c>
      <c r="C11" s="680"/>
      <c r="D11" s="681"/>
      <c r="E11" s="682" t="s">
        <v>306</v>
      </c>
      <c r="F11" s="683" t="s">
        <v>13</v>
      </c>
      <c r="G11" s="683" t="s">
        <v>15</v>
      </c>
      <c r="H11" s="680"/>
      <c r="I11" s="683"/>
      <c r="J11" s="683" t="s">
        <v>13</v>
      </c>
      <c r="K11" s="683" t="s">
        <v>15</v>
      </c>
      <c r="L11" s="684"/>
      <c r="M11" s="685"/>
    </row>
    <row r="12" spans="1:14">
      <c r="A12" s="726" t="s">
        <v>307</v>
      </c>
      <c r="B12" s="726" t="s">
        <v>16</v>
      </c>
      <c r="C12" s="726" t="s">
        <v>75</v>
      </c>
      <c r="D12" s="726" t="s">
        <v>58</v>
      </c>
      <c r="E12" s="727" t="s">
        <v>308</v>
      </c>
      <c r="F12" s="726" t="s">
        <v>31</v>
      </c>
      <c r="G12" s="726" t="s">
        <v>31</v>
      </c>
      <c r="H12" s="726" t="s">
        <v>75</v>
      </c>
      <c r="I12" s="726" t="s">
        <v>58</v>
      </c>
      <c r="J12" s="726" t="s">
        <v>31</v>
      </c>
      <c r="K12" s="726" t="s">
        <v>31</v>
      </c>
      <c r="L12" s="684"/>
      <c r="M12" s="685"/>
    </row>
    <row r="13" spans="1:14">
      <c r="A13" s="708" t="s">
        <v>319</v>
      </c>
      <c r="B13" s="684">
        <v>1978</v>
      </c>
      <c r="C13" s="710">
        <v>6300000</v>
      </c>
      <c r="D13" s="772">
        <f>VLOOKUP($B13,Database!$A$83:$J$133,10,FALSE)</f>
        <v>3925083</v>
      </c>
      <c r="E13" s="699">
        <f>C13-D13</f>
        <v>2374917</v>
      </c>
      <c r="F13" s="709">
        <f t="shared" ref="F13:F29" si="0">(D13-C13)^2</f>
        <v>5640230756889</v>
      </c>
      <c r="G13" s="687">
        <f>(D13-C13)/D13</f>
        <v>-0.60506159997126174</v>
      </c>
      <c r="H13" s="712"/>
      <c r="I13" s="684"/>
      <c r="J13" s="709"/>
      <c r="K13" s="687"/>
      <c r="L13" s="684"/>
      <c r="M13" s="685"/>
    </row>
    <row r="14" spans="1:14">
      <c r="A14" s="678"/>
      <c r="B14" s="684">
        <f>B13+2</f>
        <v>1980</v>
      </c>
      <c r="C14" s="710">
        <v>8100000</v>
      </c>
      <c r="D14" s="772">
        <f>VLOOKUP($B14,Database!$A$83:$J$133,10,FALSE)</f>
        <v>14013916</v>
      </c>
      <c r="E14" s="699">
        <f t="shared" ref="E14:E29" si="1">C14-D14</f>
        <v>-5913916</v>
      </c>
      <c r="F14" s="709">
        <f t="shared" si="0"/>
        <v>34974402455056</v>
      </c>
      <c r="G14" s="687">
        <f t="shared" ref="G14:G29" si="2">(D14-C14)/D14</f>
        <v>0.4220031003468267</v>
      </c>
      <c r="H14" s="712"/>
      <c r="I14" s="684"/>
      <c r="J14" s="709"/>
      <c r="K14" s="687"/>
      <c r="L14" s="687"/>
      <c r="M14" s="688"/>
    </row>
    <row r="15" spans="1:14">
      <c r="A15" s="684"/>
      <c r="B15" s="684">
        <f t="shared" ref="B15:B31" si="3">B14+2</f>
        <v>1982</v>
      </c>
      <c r="C15" s="710">
        <v>12100000</v>
      </c>
      <c r="D15" s="772">
        <f>VLOOKUP($B15,Database!$A$83:$J$133,10,FALSE)</f>
        <v>16794317</v>
      </c>
      <c r="E15" s="699">
        <f t="shared" si="1"/>
        <v>-4694317</v>
      </c>
      <c r="F15" s="709">
        <f t="shared" si="0"/>
        <v>22036612096489</v>
      </c>
      <c r="G15" s="687">
        <f t="shared" si="2"/>
        <v>0.27951818463352812</v>
      </c>
      <c r="H15" s="712"/>
      <c r="I15" s="684"/>
      <c r="J15" s="806"/>
      <c r="K15" s="687"/>
      <c r="L15" s="687"/>
      <c r="M15" s="688"/>
    </row>
    <row r="16" spans="1:14">
      <c r="B16" s="684">
        <f t="shared" si="3"/>
        <v>1984</v>
      </c>
      <c r="C16" s="710">
        <v>13700000</v>
      </c>
      <c r="D16" s="772">
        <f>VLOOKUP($B16,Database!$A$83:$J$133,10,FALSE)</f>
        <v>21201513</v>
      </c>
      <c r="E16" s="711">
        <f t="shared" si="1"/>
        <v>-7501513</v>
      </c>
      <c r="F16" s="709">
        <f t="shared" si="0"/>
        <v>56272697289169</v>
      </c>
      <c r="G16" s="687">
        <f t="shared" si="2"/>
        <v>0.3538197014524388</v>
      </c>
      <c r="H16" s="712"/>
      <c r="I16" s="713"/>
      <c r="J16" s="709"/>
      <c r="K16" s="687"/>
      <c r="L16" s="687"/>
      <c r="M16" s="688"/>
    </row>
    <row r="17" spans="1:13">
      <c r="A17" s="698"/>
      <c r="B17" s="684">
        <f t="shared" si="3"/>
        <v>1986</v>
      </c>
      <c r="C17" s="710">
        <v>14300000</v>
      </c>
      <c r="D17" s="772">
        <f>VLOOKUP($B17,Database!$A$83:$J$133,10,FALSE)</f>
        <v>5563957</v>
      </c>
      <c r="E17" s="711">
        <f t="shared" si="1"/>
        <v>8736043</v>
      </c>
      <c r="F17" s="709">
        <f t="shared" si="0"/>
        <v>76318447297849</v>
      </c>
      <c r="G17" s="687">
        <f t="shared" si="2"/>
        <v>-1.5701133204300464</v>
      </c>
      <c r="H17" s="712"/>
      <c r="I17" s="713"/>
      <c r="J17" s="709"/>
      <c r="K17" s="687"/>
      <c r="L17" s="687"/>
      <c r="M17" s="688"/>
    </row>
    <row r="18" spans="1:13">
      <c r="A18" s="698"/>
      <c r="B18" s="684">
        <f t="shared" si="3"/>
        <v>1988</v>
      </c>
      <c r="C18" s="710">
        <v>8199999.9999999991</v>
      </c>
      <c r="D18" s="772">
        <f>VLOOKUP($B18,Database!$A$83:$J$133,10,FALSE)</f>
        <v>1766936</v>
      </c>
      <c r="E18" s="711">
        <f t="shared" si="1"/>
        <v>6433063.9999999991</v>
      </c>
      <c r="F18" s="709">
        <f t="shared" si="0"/>
        <v>41384312428095.984</v>
      </c>
      <c r="G18" s="687">
        <f t="shared" si="2"/>
        <v>-3.6408019305736028</v>
      </c>
      <c r="H18" s="712"/>
      <c r="I18" s="713"/>
      <c r="J18" s="709"/>
      <c r="K18" s="687"/>
      <c r="L18" s="687"/>
      <c r="M18" s="688"/>
    </row>
    <row r="19" spans="1:13">
      <c r="A19" s="698"/>
      <c r="B19" s="684">
        <f t="shared" si="3"/>
        <v>1990</v>
      </c>
      <c r="C19" s="710">
        <v>20100000</v>
      </c>
      <c r="D19" s="772">
        <f>VLOOKUP($B19,Database!$A$83:$J$133,10,FALSE)</f>
        <v>12923662</v>
      </c>
      <c r="E19" s="711">
        <f t="shared" si="1"/>
        <v>7176338</v>
      </c>
      <c r="F19" s="709">
        <f t="shared" si="0"/>
        <v>51499827090244</v>
      </c>
      <c r="G19" s="687">
        <f t="shared" si="2"/>
        <v>-0.5552867291020146</v>
      </c>
      <c r="H19" s="712"/>
      <c r="I19" s="713"/>
      <c r="J19" s="709"/>
      <c r="K19" s="687"/>
      <c r="L19" s="687"/>
      <c r="M19" s="688"/>
    </row>
    <row r="20" spans="1:13">
      <c r="A20" s="698"/>
      <c r="B20" s="684">
        <f t="shared" si="3"/>
        <v>1992</v>
      </c>
      <c r="C20" s="710">
        <v>7460000</v>
      </c>
      <c r="D20" s="772">
        <f>VLOOKUP($B20,Database!$A$83:$J$133,10,FALSE)</f>
        <v>1405383</v>
      </c>
      <c r="E20" s="711">
        <f t="shared" si="1"/>
        <v>6054617</v>
      </c>
      <c r="F20" s="709">
        <f t="shared" si="0"/>
        <v>36658387016689</v>
      </c>
      <c r="G20" s="687">
        <f t="shared" si="2"/>
        <v>-4.3081615474215926</v>
      </c>
      <c r="H20" s="712"/>
      <c r="I20" s="713"/>
      <c r="J20" s="709"/>
      <c r="K20" s="687"/>
      <c r="L20" s="687"/>
      <c r="M20" s="688"/>
    </row>
    <row r="21" spans="1:13">
      <c r="A21" s="698"/>
      <c r="B21" s="684">
        <f t="shared" si="3"/>
        <v>1994</v>
      </c>
      <c r="C21" s="710">
        <v>5410000</v>
      </c>
      <c r="D21" s="772">
        <f>VLOOKUP($B21,Database!$A$83:$J$133,10,FALSE)</f>
        <v>4666639</v>
      </c>
      <c r="E21" s="711">
        <f t="shared" si="1"/>
        <v>743361</v>
      </c>
      <c r="F21" s="709">
        <f t="shared" si="0"/>
        <v>552585576321</v>
      </c>
      <c r="G21" s="687">
        <f>(D21-C21)/D21</f>
        <v>-0.15929258723462433</v>
      </c>
      <c r="H21" s="712"/>
      <c r="I21" s="728"/>
      <c r="J21" s="709"/>
      <c r="K21" s="687"/>
      <c r="L21" s="687"/>
      <c r="M21" s="688"/>
    </row>
    <row r="22" spans="1:13">
      <c r="A22" s="698"/>
      <c r="B22" s="684">
        <f t="shared" si="3"/>
        <v>1996</v>
      </c>
      <c r="C22" s="710">
        <v>7700000</v>
      </c>
      <c r="D22" s="772">
        <f>VLOOKUP($B22,Database!$A$83:$J$133,10,FALSE)</f>
        <v>4500085</v>
      </c>
      <c r="E22" s="711">
        <f t="shared" si="1"/>
        <v>3199915</v>
      </c>
      <c r="F22" s="709">
        <f t="shared" si="0"/>
        <v>10239456007225</v>
      </c>
      <c r="G22" s="687">
        <f t="shared" si="2"/>
        <v>-0.71107879073395275</v>
      </c>
      <c r="H22" s="712"/>
      <c r="I22" s="717"/>
      <c r="J22" s="709"/>
      <c r="K22" s="687"/>
      <c r="L22" s="687"/>
      <c r="M22" s="688"/>
    </row>
    <row r="23" spans="1:13">
      <c r="A23" s="698"/>
      <c r="B23" s="684">
        <f t="shared" si="3"/>
        <v>1998</v>
      </c>
      <c r="C23" s="710">
        <v>5200000</v>
      </c>
      <c r="D23" s="772">
        <f>VLOOKUP($B23,Database!$A$83:$J$133,10,FALSE)</f>
        <v>5274275.5</v>
      </c>
      <c r="E23" s="711">
        <f t="shared" si="1"/>
        <v>-74275.5</v>
      </c>
      <c r="F23" s="709">
        <f t="shared" si="0"/>
        <v>5516849900.25</v>
      </c>
      <c r="G23" s="687">
        <f t="shared" si="2"/>
        <v>1.4082597695171593E-2</v>
      </c>
      <c r="H23" s="712"/>
      <c r="I23" s="717"/>
      <c r="J23" s="709"/>
      <c r="K23" s="687"/>
      <c r="L23" s="687"/>
      <c r="M23" s="688"/>
    </row>
    <row r="24" spans="1:13">
      <c r="A24" s="698"/>
      <c r="B24" s="684">
        <f t="shared" si="3"/>
        <v>2000</v>
      </c>
      <c r="C24" s="714">
        <v>6800000</v>
      </c>
      <c r="D24" s="772">
        <f>VLOOKUP($B24,Database!$A$83:$J$133,10,FALSE)</f>
        <v>7389941</v>
      </c>
      <c r="E24" s="711">
        <f t="shared" si="1"/>
        <v>-589941</v>
      </c>
      <c r="F24" s="709">
        <f t="shared" si="0"/>
        <v>348030383481</v>
      </c>
      <c r="G24" s="687">
        <f t="shared" si="2"/>
        <v>7.9830271987286497E-2</v>
      </c>
      <c r="H24" s="712">
        <v>5200000</v>
      </c>
      <c r="I24" s="773">
        <f>VLOOKUP($B24,Database!$A$74:$C$133,3,FALSE)</f>
        <v>5660513</v>
      </c>
      <c r="J24" s="709">
        <f t="shared" ref="J24:J29" si="4">(I24-H24)^2</f>
        <v>212072223169</v>
      </c>
      <c r="K24" s="687">
        <f t="shared" ref="K24:K29" si="5">(I24-H24)/I24</f>
        <v>8.1355347121365149E-2</v>
      </c>
      <c r="L24" s="687"/>
      <c r="M24" s="688"/>
    </row>
    <row r="25" spans="1:13">
      <c r="A25" s="698"/>
      <c r="B25" s="684">
        <f t="shared" si="3"/>
        <v>2002</v>
      </c>
      <c r="C25" s="714">
        <v>4600000</v>
      </c>
      <c r="D25" s="772">
        <f>VLOOKUP($B25,Database!$A$83:$J$133,10,FALSE)</f>
        <v>1264645.3102025923</v>
      </c>
      <c r="E25" s="711">
        <f t="shared" si="1"/>
        <v>3335354.6897974079</v>
      </c>
      <c r="F25" s="709">
        <f t="shared" si="0"/>
        <v>11124590906753.562</v>
      </c>
      <c r="G25" s="687">
        <f t="shared" si="2"/>
        <v>-2.6373835121114664</v>
      </c>
      <c r="H25" s="712">
        <f>C25-1400000</f>
        <v>3200000</v>
      </c>
      <c r="I25" s="773">
        <f>VLOOKUP($B25,Database!$A$74:$C$133,3,FALSE)</f>
        <v>236842.54556606748</v>
      </c>
      <c r="J25" s="709">
        <f t="shared" si="4"/>
        <v>8780302099767.3828</v>
      </c>
      <c r="K25" s="687">
        <f t="shared" si="5"/>
        <v>-12.511085993235774</v>
      </c>
      <c r="L25" s="687"/>
      <c r="M25" s="688"/>
    </row>
    <row r="26" spans="1:13">
      <c r="A26" s="698"/>
      <c r="B26" s="684">
        <f t="shared" si="3"/>
        <v>2004</v>
      </c>
      <c r="C26" s="714">
        <v>4620000</v>
      </c>
      <c r="D26" s="772">
        <f>VLOOKUP($B26,Database!$A$83:$J$133,10,FALSE)</f>
        <v>4939431.0563474381</v>
      </c>
      <c r="E26" s="711">
        <f t="shared" si="1"/>
        <v>-319431.05634743813</v>
      </c>
      <c r="F26" s="709">
        <f t="shared" si="0"/>
        <v>102036199759.2402</v>
      </c>
      <c r="G26" s="687">
        <f t="shared" si="2"/>
        <v>6.4669605204217162E-2</v>
      </c>
      <c r="H26" s="712">
        <f>C26-2000000</f>
        <v>2620000</v>
      </c>
      <c r="I26" s="773">
        <f>VLOOKUP($B26,Database!$A$74:$C$133,3,FALSE)</f>
        <v>2870874.2919837157</v>
      </c>
      <c r="J26" s="709">
        <f t="shared" si="4"/>
        <v>62937910378.33065</v>
      </c>
      <c r="K26" s="687">
        <f t="shared" si="5"/>
        <v>8.7386024767516626E-2</v>
      </c>
      <c r="L26" s="687"/>
      <c r="M26" s="688"/>
    </row>
    <row r="27" spans="1:13">
      <c r="A27" s="698"/>
      <c r="B27" s="684">
        <f t="shared" si="3"/>
        <v>2006</v>
      </c>
      <c r="C27" s="715">
        <v>4290000</v>
      </c>
      <c r="D27" s="772">
        <f>VLOOKUP($B27,Database!$A$83:$J$133,10,FALSE)</f>
        <v>3314702.7753436686</v>
      </c>
      <c r="E27" s="711">
        <f t="shared" si="1"/>
        <v>975297.22465633135</v>
      </c>
      <c r="F27" s="709">
        <f t="shared" si="0"/>
        <v>951204676422.34253</v>
      </c>
      <c r="G27" s="687">
        <f t="shared" si="2"/>
        <v>-0.29423368873705802</v>
      </c>
      <c r="H27" s="712">
        <f>C27-2000000</f>
        <v>2290000</v>
      </c>
      <c r="I27" s="773">
        <f>VLOOKUP($B27,Database!$A$74:$C$133,3,FALSE)</f>
        <v>1983120.7161293393</v>
      </c>
      <c r="J27" s="709">
        <f t="shared" si="4"/>
        <v>94174894868.969559</v>
      </c>
      <c r="K27" s="687">
        <f t="shared" si="5"/>
        <v>-0.15474563972566863</v>
      </c>
      <c r="L27" s="687"/>
      <c r="M27" s="688"/>
    </row>
    <row r="28" spans="1:13">
      <c r="A28" s="698"/>
      <c r="B28" s="684">
        <f t="shared" si="3"/>
        <v>2008</v>
      </c>
      <c r="C28" s="714">
        <v>12900000</v>
      </c>
      <c r="D28" s="772">
        <f>VLOOKUP($B28,Database!$A$83:$J$133,10,FALSE)</f>
        <v>2290691.6775990888</v>
      </c>
      <c r="E28" s="711">
        <f t="shared" si="1"/>
        <v>10609308.322400911</v>
      </c>
      <c r="F28" s="709">
        <f t="shared" si="0"/>
        <v>112557423079765.23</v>
      </c>
      <c r="G28" s="687">
        <f t="shared" si="2"/>
        <v>-4.6314868238927289</v>
      </c>
      <c r="H28" s="712">
        <f>C28-2000000</f>
        <v>10900000</v>
      </c>
      <c r="I28" s="773">
        <f>VLOOKUP($B28,Database!$A$74:$C$133,3,FALSE)</f>
        <v>1371156.4260196264</v>
      </c>
      <c r="J28" s="709">
        <f t="shared" si="4"/>
        <v>90798859857387.078</v>
      </c>
      <c r="K28" s="687">
        <f t="shared" si="5"/>
        <v>-6.9494941592054209</v>
      </c>
      <c r="L28" s="687"/>
      <c r="M28" s="688"/>
    </row>
    <row r="29" spans="1:13">
      <c r="A29" s="698"/>
      <c r="B29" s="684">
        <f t="shared" si="3"/>
        <v>2010</v>
      </c>
      <c r="C29" s="714">
        <v>14280000</v>
      </c>
      <c r="D29" s="772">
        <f>VLOOKUP($B29,Database!$A$83:$J$133,10,FALSE)</f>
        <v>4399390.7272172375</v>
      </c>
      <c r="E29" s="711">
        <f t="shared" si="1"/>
        <v>9880609.2727827616</v>
      </c>
      <c r="F29" s="709">
        <f t="shared" si="0"/>
        <v>97626439601400.688</v>
      </c>
      <c r="G29" s="687">
        <f t="shared" si="2"/>
        <v>-2.2459040093109848</v>
      </c>
      <c r="H29" s="712">
        <f>C29-2000000</f>
        <v>12280000</v>
      </c>
      <c r="I29" s="773">
        <f>VLOOKUP($B29,Database!$A$74:$C$133,3,FALSE)</f>
        <v>2325412.6096819355</v>
      </c>
      <c r="J29" s="709">
        <f t="shared" si="4"/>
        <v>99093810111479.406</v>
      </c>
      <c r="K29" s="687">
        <f t="shared" si="5"/>
        <v>-4.2807832678260178</v>
      </c>
      <c r="L29" s="696"/>
      <c r="M29" s="697"/>
    </row>
    <row r="30" spans="1:13" s="839" customFormat="1">
      <c r="A30" s="1101"/>
      <c r="B30" s="685">
        <f t="shared" si="3"/>
        <v>2012</v>
      </c>
      <c r="C30" s="691">
        <f>Evaluation_TOTAL_ODD_EVEN!CJ53</f>
        <v>0</v>
      </c>
      <c r="D30" s="707"/>
      <c r="E30" s="707"/>
      <c r="F30" s="718"/>
      <c r="G30" s="689"/>
      <c r="H30" s="691">
        <f>C30-1190000</f>
        <v>-1190000</v>
      </c>
      <c r="I30" s="717"/>
      <c r="J30" s="716"/>
      <c r="K30" s="688"/>
      <c r="L30" s="697"/>
      <c r="M30" s="697"/>
    </row>
    <row r="31" spans="1:13" s="839" customFormat="1">
      <c r="A31" s="1101"/>
      <c r="B31" s="684">
        <f t="shared" si="3"/>
        <v>2014</v>
      </c>
      <c r="C31" s="691"/>
      <c r="D31" s="707"/>
      <c r="E31" s="707"/>
      <c r="F31" s="718"/>
      <c r="G31" s="689"/>
      <c r="H31" s="691"/>
      <c r="I31" s="717"/>
      <c r="J31" s="716"/>
      <c r="K31" s="688"/>
      <c r="L31" s="697"/>
      <c r="M31" s="697"/>
    </row>
    <row r="32" spans="1:13" s="839" customFormat="1">
      <c r="A32" s="1101"/>
      <c r="B32" s="684"/>
      <c r="C32" s="691"/>
      <c r="D32" s="707"/>
      <c r="E32" s="707"/>
      <c r="F32" s="718"/>
      <c r="G32" s="689"/>
      <c r="H32" s="691"/>
      <c r="I32" s="717"/>
      <c r="J32" s="716"/>
      <c r="K32" s="688"/>
      <c r="L32" s="697"/>
      <c r="M32" s="697"/>
    </row>
    <row r="33" spans="1:13" s="839" customFormat="1">
      <c r="A33" s="1101"/>
      <c r="B33" s="685"/>
      <c r="C33" s="691"/>
      <c r="D33" s="707"/>
      <c r="E33" s="707"/>
      <c r="F33" s="718"/>
      <c r="G33" s="689"/>
      <c r="H33" s="691"/>
      <c r="I33" s="717"/>
      <c r="J33" s="716"/>
      <c r="K33" s="688"/>
      <c r="L33" s="697"/>
      <c r="M33" s="697"/>
    </row>
    <row r="34" spans="1:13">
      <c r="A34" s="698"/>
      <c r="B34" s="288"/>
      <c r="C34" s="691"/>
      <c r="D34" s="707"/>
      <c r="E34" s="707"/>
      <c r="F34" s="718"/>
      <c r="G34" s="689"/>
      <c r="H34" s="691"/>
      <c r="I34" s="717"/>
      <c r="J34" s="709"/>
      <c r="K34" s="687"/>
      <c r="L34" s="697"/>
      <c r="M34" s="697"/>
    </row>
    <row r="35" spans="1:13">
      <c r="A35" s="706"/>
      <c r="B35" s="288"/>
      <c r="C35" s="693"/>
      <c r="D35" s="822"/>
      <c r="E35" s="706"/>
      <c r="F35" s="776"/>
      <c r="G35" s="692"/>
      <c r="H35" s="693"/>
      <c r="I35" s="706"/>
      <c r="J35" s="777"/>
      <c r="K35" s="694"/>
      <c r="L35" s="694"/>
      <c r="M35" s="695"/>
    </row>
    <row r="36" spans="1:13">
      <c r="A36" s="781"/>
      <c r="B36" s="823"/>
      <c r="C36" s="783"/>
      <c r="D36" s="781" t="s">
        <v>309</v>
      </c>
      <c r="E36" s="781"/>
      <c r="F36" s="824">
        <f>SUM(F$25:F35)</f>
        <v>222361694464101.06</v>
      </c>
      <c r="G36" s="825">
        <f>SUM(G$25:G35)</f>
        <v>-9.744338428848021</v>
      </c>
      <c r="H36" s="783"/>
      <c r="I36" s="781" t="s">
        <v>310</v>
      </c>
      <c r="J36" s="824">
        <f>SUM(J$13:J35)</f>
        <v>199042157097050.19</v>
      </c>
      <c r="K36" s="826">
        <f>SUM(K$13:K35)</f>
        <v>-23.727367688104</v>
      </c>
      <c r="L36" s="706"/>
      <c r="M36" s="674"/>
    </row>
    <row r="37" spans="1:13">
      <c r="A37" s="706"/>
      <c r="B37" s="684"/>
      <c r="C37" s="693"/>
      <c r="D37" s="706" t="s">
        <v>311</v>
      </c>
      <c r="E37" s="706"/>
      <c r="F37" s="699">
        <f>SQRT(F36/$D$6)</f>
        <v>3727949.2893555188</v>
      </c>
      <c r="G37" s="700">
        <f>G36/COUNTA(G$25:G35)</f>
        <v>-1.9488676857696041</v>
      </c>
      <c r="H37" s="693"/>
      <c r="I37" s="706" t="s">
        <v>311</v>
      </c>
      <c r="J37" s="699">
        <f>SQRT(J36/G6)</f>
        <v>6309392.3177600903</v>
      </c>
      <c r="K37" s="700">
        <f>K36/COUNTA(K$13:K35)</f>
        <v>-3.9545612813506668</v>
      </c>
      <c r="L37" s="702"/>
      <c r="M37" s="703"/>
    </row>
    <row r="38" spans="1:13">
      <c r="A38" s="706"/>
      <c r="B38" s="706"/>
      <c r="C38" s="693"/>
      <c r="D38" s="706" t="s">
        <v>312</v>
      </c>
      <c r="E38" s="706"/>
      <c r="F38" s="778"/>
      <c r="G38" s="700">
        <f>G37*0.8</f>
        <v>-1.5590941486156833</v>
      </c>
      <c r="H38" s="693"/>
      <c r="I38" s="706" t="s">
        <v>312</v>
      </c>
      <c r="J38" s="706"/>
      <c r="K38" s="696">
        <f>K37*0.8</f>
        <v>-3.1636490250805336</v>
      </c>
      <c r="L38" s="706"/>
      <c r="M38" s="707"/>
    </row>
    <row r="39" spans="1:13">
      <c r="A39" s="789"/>
      <c r="B39" s="790"/>
      <c r="C39" s="790" t="s">
        <v>313</v>
      </c>
      <c r="D39" s="791" t="s">
        <v>314</v>
      </c>
      <c r="E39" s="791"/>
      <c r="F39" s="792">
        <f>F37*$D$7</f>
        <v>4983362.9319787631</v>
      </c>
      <c r="G39" s="793" t="e">
        <f>F39/C30</f>
        <v>#DIV/0!</v>
      </c>
      <c r="H39" s="794"/>
      <c r="I39" s="789" t="s">
        <v>314</v>
      </c>
      <c r="J39" s="795">
        <f>J37*$G$7</f>
        <v>9311931.4795578439</v>
      </c>
      <c r="K39" s="796">
        <f>J39/H30</f>
        <v>-7.8251525038301208</v>
      </c>
      <c r="L39" s="706"/>
      <c r="M39" s="674"/>
    </row>
    <row r="40" spans="1:13">
      <c r="A40" s="706"/>
      <c r="B40" s="684"/>
      <c r="C40" s="693"/>
      <c r="D40" s="706"/>
      <c r="E40" s="706"/>
      <c r="F40" s="779"/>
      <c r="G40" s="780"/>
      <c r="H40" s="693"/>
      <c r="I40" s="706"/>
      <c r="J40" s="706"/>
      <c r="K40" s="694"/>
      <c r="L40" s="706"/>
      <c r="M40" s="674"/>
    </row>
    <row r="41" spans="1:13" ht="17" thickBot="1">
      <c r="A41" s="674"/>
      <c r="B41" s="674"/>
      <c r="C41" s="675"/>
      <c r="D41" s="674"/>
      <c r="E41" s="674"/>
      <c r="F41" s="674"/>
      <c r="G41" s="674"/>
      <c r="H41" s="675"/>
      <c r="I41" s="674"/>
      <c r="J41" s="674"/>
      <c r="K41" s="674"/>
      <c r="L41" s="673"/>
      <c r="M41" s="674"/>
    </row>
    <row r="42" spans="1:13">
      <c r="A42" s="841"/>
      <c r="B42" s="842"/>
      <c r="C42" s="843" t="s">
        <v>259</v>
      </c>
      <c r="D42" s="844"/>
      <c r="E42" s="197"/>
      <c r="F42" s="842"/>
      <c r="G42" s="842"/>
      <c r="H42" s="843" t="s">
        <v>305</v>
      </c>
      <c r="I42" s="844"/>
      <c r="J42" s="845"/>
      <c r="K42" s="846"/>
      <c r="L42" s="673"/>
      <c r="M42" s="674"/>
    </row>
    <row r="43" spans="1:13">
      <c r="A43" s="847"/>
      <c r="B43" s="848" t="s">
        <v>316</v>
      </c>
      <c r="C43" s="848" t="s">
        <v>75</v>
      </c>
      <c r="D43" s="849" t="s">
        <v>317</v>
      </c>
      <c r="E43" s="850" t="s">
        <v>315</v>
      </c>
      <c r="F43" s="851"/>
      <c r="G43" s="848" t="s">
        <v>316</v>
      </c>
      <c r="H43" s="848" t="s">
        <v>75</v>
      </c>
      <c r="I43" s="849" t="s">
        <v>317</v>
      </c>
      <c r="J43" s="849" t="s">
        <v>306</v>
      </c>
      <c r="K43" s="852"/>
    </row>
    <row r="44" spans="1:13">
      <c r="A44" s="853"/>
      <c r="B44" s="854">
        <v>5</v>
      </c>
      <c r="C44" s="855">
        <f>IF($B44&lt;COUNT($B$13:$B$35),AVERAGE(INDEX(C$13:C$35,COUNT($B$13:$B$35)-1,0):INDEX(C$13:C$35,COUNT($B$13:$B$35)-$B44,0)),"Use fewer years!")</f>
        <v>7218000</v>
      </c>
      <c r="D44" s="855">
        <f>IF($B44&lt;COUNT($B$13:$B$35),AVERAGE(INDEX(D$13:D$35,COUNT($B$13:$B$35)-1,0):INDEX(D$13:D$35,COUNT($B$13:$B$35)-$B44,0)),"Use fewer years!")</f>
        <v>3736054.0591268586</v>
      </c>
      <c r="E44" s="855">
        <f>C44-D44</f>
        <v>3481945.9408731414</v>
      </c>
      <c r="F44" s="854"/>
      <c r="G44" s="854">
        <v>5</v>
      </c>
      <c r="H44" s="855">
        <f>IF($B44&lt;COUNT(H13:H35),AVERAGE(INDEX(H$13:H35,COUNT($B$13:$B35)-1,0):INDEX(H$13:H35,COUNT($B$13:$B35)-$B44,0)), "Use fewer years!")</f>
        <v>5380000</v>
      </c>
      <c r="I44" s="855">
        <f>IF($B44&lt;COUNT(I13:I35),AVERAGE(INDEX(I$13:I35,COUNT($B$13:$B35)-1,0):INDEX(I$13:I35,COUNT($B$13:$B35)-$B44,0)), "Use fewer years!")</f>
        <v>2137641.0109536541</v>
      </c>
      <c r="J44" s="855">
        <f>H44-I44</f>
        <v>3242358.9890463459</v>
      </c>
      <c r="K44" s="856"/>
    </row>
    <row r="45" spans="1:13">
      <c r="A45" s="853"/>
      <c r="B45" s="854">
        <v>10</v>
      </c>
      <c r="C45" s="855">
        <f>IF($B45&lt;COUNT($B$13:$B$35),AVERAGE(INDEX(C$13:C$35,COUNT($B$13:$B$35)-1,0):INDEX(C$13:C$35,COUNT($B$13:$B$35)-$B45,0)),"Use fewer years!")</f>
        <v>6580000</v>
      </c>
      <c r="D45" s="855">
        <f>IF($B45&lt;COUNT($B$13:$B$35),AVERAGE(INDEX(D$13:D$35,COUNT($B$13:$B$35)-1,0):INDEX(D$13:D$35,COUNT($B$13:$B$35)-$B45,0)),"Use fewer years!")</f>
        <v>4226644.6718566688</v>
      </c>
      <c r="E45" s="855">
        <f>C45-D45</f>
        <v>2353355.3281433312</v>
      </c>
      <c r="F45" s="854"/>
      <c r="G45" s="854">
        <v>10</v>
      </c>
      <c r="H45" s="855" t="str">
        <f>IF($B45&lt;COUNT(H14:H36),AVERAGE(INDEX(H$13:H36,COUNT($B$13:$B36)-1,0):INDEX(H$13:H36,COUNT($B$13:$B36)-$B45,0)), "Use fewer years!")</f>
        <v>Use fewer years!</v>
      </c>
      <c r="I45" s="855" t="str">
        <f>IF($B45&lt;COUNT(I14:I36),AVERAGE(INDEX(I$13:I36,COUNT($B$13:$B36)-1,0):INDEX(I$13:I36,COUNT($B$13:$B36)-$B45,0)), "Use fewer years!")</f>
        <v>Use fewer years!</v>
      </c>
      <c r="J45" s="855" t="e">
        <f>H45-I45</f>
        <v>#VALUE!</v>
      </c>
      <c r="K45" s="856"/>
    </row>
    <row r="46" spans="1:13" ht="17" thickBot="1">
      <c r="A46" s="857"/>
      <c r="B46" s="858">
        <v>15</v>
      </c>
      <c r="C46" s="859">
        <f>IF($B46&lt;COUNT($B$13:$B$35),AVERAGE(INDEX(C$13:C$35,COUNT($B$13:$B$35)-1,0):INDEX(C$13:C$35,COUNT($B$13:$B$35)-$B46,0)),"Use fewer years!")</f>
        <v>8637333.333333334</v>
      </c>
      <c r="D46" s="859">
        <f>IF($B46&lt;COUNT($B$13:$B$35),AVERAGE(INDEX(D$13:D$35,COUNT($B$13:$B$35)-1,0):INDEX(D$13:D$35,COUNT($B$13:$B$35)-$B46,0)),"Use fewer years!")</f>
        <v>5778660.9319078596</v>
      </c>
      <c r="E46" s="859">
        <f>C46-D46</f>
        <v>2858672.4014254743</v>
      </c>
      <c r="F46" s="858"/>
      <c r="G46" s="858">
        <v>20</v>
      </c>
      <c r="H46" s="859" t="str">
        <f>IF($B46&lt;COUNT(H15:H37),AVERAGE(INDEX(H$13:H37,COUNT($B$13:$B37)-1,0):INDEX(H$13:H37,COUNT($B$13:$B37)-$B46,0)), "Use fewer years!")</f>
        <v>Use fewer years!</v>
      </c>
      <c r="I46" s="859" t="str">
        <f>IF($B46&lt;COUNT(I15:I37),AVERAGE(INDEX(I$13:I37,COUNT($B$13:$B37)-1,0):INDEX(I$13:I37,COUNT($B$13:$B37)-$B46,0)), "Use fewer years!")</f>
        <v>Use fewer years!</v>
      </c>
      <c r="J46" s="859" t="e">
        <f>H46-I46</f>
        <v>#VALUE!</v>
      </c>
      <c r="K46" s="860"/>
    </row>
    <row r="47" spans="1:13">
      <c r="A47" s="839"/>
      <c r="B47" s="839"/>
      <c r="C47" s="839"/>
      <c r="D47" s="839"/>
      <c r="E47" s="839"/>
      <c r="F47" s="839"/>
      <c r="G47" s="839"/>
      <c r="H47" s="839"/>
      <c r="I47" s="839"/>
      <c r="J47" s="839"/>
      <c r="K47" s="839"/>
    </row>
    <row r="48" spans="1:13">
      <c r="A48" s="839"/>
      <c r="B48" s="839"/>
      <c r="C48" s="840"/>
      <c r="D48" s="839"/>
      <c r="E48" s="839"/>
      <c r="F48" s="839"/>
      <c r="G48" s="839"/>
      <c r="H48" s="839"/>
      <c r="I48" s="839"/>
      <c r="J48" s="839"/>
      <c r="K48" s="839"/>
    </row>
    <row r="49" spans="1:11">
      <c r="A49" s="839"/>
      <c r="B49" s="839"/>
      <c r="C49" s="840"/>
      <c r="D49" s="839"/>
      <c r="E49" s="839"/>
      <c r="F49" s="839"/>
      <c r="G49" s="839"/>
      <c r="H49" s="839"/>
      <c r="I49" s="839"/>
      <c r="J49" s="839"/>
      <c r="K49" s="839"/>
    </row>
    <row r="50" spans="1:11">
      <c r="A50" s="839"/>
      <c r="B50" s="839"/>
      <c r="C50" s="839"/>
      <c r="D50" s="839"/>
      <c r="E50" s="839"/>
      <c r="F50" s="839"/>
      <c r="G50" s="839"/>
      <c r="H50" s="839"/>
      <c r="I50" s="839"/>
      <c r="J50" s="839"/>
      <c r="K50" s="839"/>
    </row>
    <row r="51" spans="1:11">
      <c r="A51" s="839"/>
      <c r="B51" s="839"/>
      <c r="C51" s="839"/>
      <c r="D51" s="839"/>
      <c r="E51" s="839"/>
      <c r="F51" s="839"/>
      <c r="G51" s="839"/>
      <c r="H51" s="839"/>
      <c r="I51" s="839"/>
      <c r="J51" s="839"/>
      <c r="K51" s="839"/>
    </row>
  </sheetData>
  <pageMargins left="0.7" right="0.7" top="0.75" bottom="0.75" header="0.3" footer="0.3"/>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FF0000"/>
  </sheetPr>
  <dimension ref="A1:N51"/>
  <sheetViews>
    <sheetView zoomScale="75" zoomScaleNormal="75" zoomScalePageLayoutView="75" workbookViewId="0">
      <pane ySplit="12" topLeftCell="A13" activePane="bottomLeft" state="frozen"/>
      <selection pane="bottomLeft"/>
    </sheetView>
  </sheetViews>
  <sheetFormatPr baseColWidth="10" defaultColWidth="8.625" defaultRowHeight="16" x14ac:dyDescent="0"/>
  <cols>
    <col min="3" max="3" width="16" customWidth="1"/>
    <col min="4" max="4" width="9.875" bestFit="1" customWidth="1"/>
    <col min="5" max="5" width="12.5" customWidth="1"/>
    <col min="6" max="6" width="17.625" customWidth="1"/>
    <col min="7" max="7" width="11" customWidth="1"/>
    <col min="8" max="8" width="14.875" customWidth="1"/>
    <col min="9" max="9" width="16.5" customWidth="1"/>
    <col min="10" max="11" width="12.5" customWidth="1"/>
    <col min="12" max="12" width="17.125" customWidth="1"/>
    <col min="14" max="14" width="16" customWidth="1"/>
  </cols>
  <sheetData>
    <row r="1" spans="1:14" ht="18">
      <c r="A1" s="670" t="s">
        <v>304</v>
      </c>
      <c r="B1" s="809" t="str">
        <f ca="1">CELL("filename",G10)</f>
        <v>NWCLM04072996:Users:eric.ward:Documents:NCEAS-covariation:data:salmon data:[2015_PWS_Pink_Wild_forecast-FINAL.xlsm]Performance Odd</v>
      </c>
      <c r="C1" s="672"/>
      <c r="D1" s="673"/>
      <c r="E1" s="673"/>
      <c r="F1" s="673"/>
      <c r="G1" s="673"/>
      <c r="H1" s="672"/>
    </row>
    <row r="2" spans="1:14" ht="7.5" customHeight="1" thickBot="1">
      <c r="G2" s="673"/>
      <c r="H2" s="672"/>
    </row>
    <row r="3" spans="1:14">
      <c r="C3" s="194" t="s">
        <v>192</v>
      </c>
      <c r="D3" s="187">
        <v>80</v>
      </c>
      <c r="E3" s="197" t="s">
        <v>193</v>
      </c>
      <c r="F3" s="194" t="s">
        <v>192</v>
      </c>
      <c r="G3" s="187">
        <v>80</v>
      </c>
      <c r="H3" s="190" t="str">
        <f>E3</f>
        <v>%</v>
      </c>
    </row>
    <row r="4" spans="1:14">
      <c r="C4" s="195" t="s">
        <v>195</v>
      </c>
      <c r="D4" s="198">
        <f>(1-D3/100)/2</f>
        <v>9.9999999999999978E-2</v>
      </c>
      <c r="E4" s="97" t="s">
        <v>351</v>
      </c>
      <c r="F4" s="195" t="s">
        <v>195</v>
      </c>
      <c r="G4" s="198">
        <f>(1-G3/100)/2</f>
        <v>9.9999999999999978E-2</v>
      </c>
      <c r="H4" s="191" t="str">
        <f>E4</f>
        <v xml:space="preserve">formula </v>
      </c>
    </row>
    <row r="5" spans="1:14">
      <c r="C5" s="195" t="s">
        <v>197</v>
      </c>
      <c r="D5" s="198">
        <f>(1-D4)</f>
        <v>0.9</v>
      </c>
      <c r="E5" s="97" t="s">
        <v>351</v>
      </c>
      <c r="F5" s="195" t="s">
        <v>197</v>
      </c>
      <c r="G5" s="198">
        <f>(1-G4)</f>
        <v>0.9</v>
      </c>
      <c r="H5" s="191" t="str">
        <f>E5</f>
        <v xml:space="preserve">formula </v>
      </c>
    </row>
    <row r="6" spans="1:14">
      <c r="C6" s="195" t="s">
        <v>349</v>
      </c>
      <c r="D6" s="803">
        <f>COUNT(F13:F34)-1</f>
        <v>16</v>
      </c>
      <c r="E6" s="804" t="s">
        <v>350</v>
      </c>
      <c r="F6" s="195" t="s">
        <v>349</v>
      </c>
      <c r="G6" s="803">
        <f>COUNT(I13:I34)-1</f>
        <v>5</v>
      </c>
      <c r="H6" s="805" t="s">
        <v>305</v>
      </c>
      <c r="I6" s="807"/>
      <c r="J6" s="198"/>
      <c r="K6" s="97"/>
      <c r="L6" s="807"/>
      <c r="M6" s="198"/>
      <c r="N6" s="97"/>
    </row>
    <row r="7" spans="1:14" ht="17" thickBot="1">
      <c r="A7" s="673"/>
      <c r="B7" s="673"/>
      <c r="C7" s="196" t="s">
        <v>348</v>
      </c>
      <c r="D7" s="199">
        <f>TINV(2*D4,D6)</f>
        <v>1.3367571673273158</v>
      </c>
      <c r="E7" s="192" t="s">
        <v>352</v>
      </c>
      <c r="F7" s="196" t="s">
        <v>348</v>
      </c>
      <c r="G7" s="199">
        <f>TINV(2*G4,G6)</f>
        <v>1.4758840488244818</v>
      </c>
      <c r="H7" s="193" t="str">
        <f>E7</f>
        <v>one tailed</v>
      </c>
      <c r="I7" s="807"/>
      <c r="J7" s="198"/>
      <c r="K7" s="97"/>
      <c r="L7" s="807"/>
      <c r="M7" s="198"/>
      <c r="N7" s="97"/>
    </row>
    <row r="8" spans="1:14">
      <c r="B8" s="673"/>
      <c r="C8" s="672"/>
      <c r="D8" s="673"/>
      <c r="E8" s="673"/>
      <c r="F8" s="673"/>
      <c r="G8" s="673"/>
      <c r="H8" s="672"/>
      <c r="M8" s="675"/>
    </row>
    <row r="9" spans="1:14" ht="18">
      <c r="A9" s="673"/>
      <c r="C9" s="797" t="s">
        <v>318</v>
      </c>
      <c r="D9" s="673"/>
      <c r="E9" s="673"/>
      <c r="F9" s="673"/>
      <c r="G9" s="673"/>
      <c r="H9" s="672"/>
      <c r="I9" s="673"/>
      <c r="J9" s="673"/>
      <c r="K9" s="673"/>
      <c r="L9" s="673"/>
      <c r="M9" s="674"/>
    </row>
    <row r="10" spans="1:14">
      <c r="A10" s="719"/>
      <c r="B10" s="719"/>
      <c r="C10" s="720" t="s">
        <v>259</v>
      </c>
      <c r="D10" s="721"/>
      <c r="E10" s="721"/>
      <c r="F10" s="721"/>
      <c r="G10" s="722"/>
      <c r="H10" s="723" t="s">
        <v>305</v>
      </c>
      <c r="I10" s="724"/>
      <c r="J10" s="724"/>
      <c r="K10" s="725"/>
      <c r="L10" s="676"/>
      <c r="M10" s="677"/>
    </row>
    <row r="11" spans="1:14">
      <c r="A11" s="679"/>
      <c r="B11" s="679" t="s">
        <v>233</v>
      </c>
      <c r="C11" s="680"/>
      <c r="D11" s="681"/>
      <c r="E11" s="682" t="s">
        <v>306</v>
      </c>
      <c r="F11" s="683" t="s">
        <v>13</v>
      </c>
      <c r="G11" s="683" t="s">
        <v>15</v>
      </c>
      <c r="H11" s="680"/>
      <c r="I11" s="683"/>
      <c r="J11" s="683" t="s">
        <v>13</v>
      </c>
      <c r="K11" s="683" t="s">
        <v>15</v>
      </c>
      <c r="L11" s="684"/>
      <c r="M11" s="685"/>
    </row>
    <row r="12" spans="1:14">
      <c r="A12" s="726" t="s">
        <v>307</v>
      </c>
      <c r="B12" s="726" t="s">
        <v>16</v>
      </c>
      <c r="C12" s="726" t="s">
        <v>75</v>
      </c>
      <c r="D12" s="726" t="s">
        <v>58</v>
      </c>
      <c r="E12" s="727" t="s">
        <v>308</v>
      </c>
      <c r="F12" s="726" t="s">
        <v>31</v>
      </c>
      <c r="G12" s="726" t="s">
        <v>31</v>
      </c>
      <c r="H12" s="726" t="s">
        <v>75</v>
      </c>
      <c r="I12" s="726" t="s">
        <v>58</v>
      </c>
      <c r="J12" s="726" t="s">
        <v>31</v>
      </c>
      <c r="K12" s="726" t="s">
        <v>31</v>
      </c>
      <c r="L12" s="684"/>
      <c r="M12" s="685"/>
    </row>
    <row r="13" spans="1:14">
      <c r="A13" s="708" t="s">
        <v>319</v>
      </c>
      <c r="B13" s="684">
        <v>1977</v>
      </c>
      <c r="C13" s="710">
        <v>6300000</v>
      </c>
      <c r="D13" s="772">
        <f>VLOOKUP($B13,Database!$A$83:$J$133,10,FALSE)</f>
        <v>5816401</v>
      </c>
      <c r="E13" s="699">
        <f>C13-D13</f>
        <v>483599</v>
      </c>
      <c r="F13" s="709">
        <f t="shared" ref="F13:F29" si="0">(D13-C13)^2</f>
        <v>233867992801</v>
      </c>
      <c r="G13" s="687">
        <f>(D13-C13)/D13</f>
        <v>-8.3144026692795081E-2</v>
      </c>
      <c r="H13" s="712"/>
      <c r="I13" s="684"/>
      <c r="J13" s="709"/>
      <c r="K13" s="687"/>
      <c r="L13" s="684"/>
      <c r="M13" s="685"/>
    </row>
    <row r="14" spans="1:14">
      <c r="A14" s="678"/>
      <c r="B14" s="684">
        <v>1979</v>
      </c>
      <c r="C14" s="710">
        <v>8100000</v>
      </c>
      <c r="D14" s="772">
        <f>VLOOKUP($B14,Database!$A$83:$J$133,10,FALSE)</f>
        <v>17335503</v>
      </c>
      <c r="E14" s="699">
        <f t="shared" ref="E14:E29" si="1">C14-D14</f>
        <v>-9235503</v>
      </c>
      <c r="F14" s="709">
        <f t="shared" si="0"/>
        <v>85294515663009</v>
      </c>
      <c r="G14" s="687">
        <f t="shared" ref="G14:G29" si="2">(D14-C14)/D14</f>
        <v>0.53275079471302333</v>
      </c>
      <c r="H14" s="712"/>
      <c r="I14" s="684"/>
      <c r="J14" s="709"/>
      <c r="K14" s="687"/>
      <c r="L14" s="687"/>
      <c r="M14" s="688"/>
    </row>
    <row r="15" spans="1:14">
      <c r="A15" s="684"/>
      <c r="B15" s="684">
        <v>1981</v>
      </c>
      <c r="C15" s="710">
        <v>12100000</v>
      </c>
      <c r="D15" s="772">
        <f>VLOOKUP($B15,Database!$A$83:$J$133,10,FALSE)</f>
        <v>19568866</v>
      </c>
      <c r="E15" s="699">
        <f t="shared" si="1"/>
        <v>-7468866</v>
      </c>
      <c r="F15" s="709">
        <f t="shared" si="0"/>
        <v>55783959325956</v>
      </c>
      <c r="G15" s="687">
        <f t="shared" si="2"/>
        <v>0.38167086432090647</v>
      </c>
      <c r="H15" s="712"/>
      <c r="I15" s="684"/>
      <c r="J15" s="806"/>
      <c r="K15" s="687"/>
      <c r="L15" s="687"/>
      <c r="M15" s="688"/>
    </row>
    <row r="16" spans="1:14">
      <c r="B16" s="684">
        <v>1983</v>
      </c>
      <c r="C16" s="710">
        <v>13700000</v>
      </c>
      <c r="D16" s="772">
        <f>VLOOKUP($B16,Database!$A$83:$J$133,10,FALSE)</f>
        <v>11567348</v>
      </c>
      <c r="E16" s="711">
        <f t="shared" si="1"/>
        <v>2132652</v>
      </c>
      <c r="F16" s="709">
        <f t="shared" si="0"/>
        <v>4548204553104</v>
      </c>
      <c r="G16" s="687">
        <f t="shared" si="2"/>
        <v>-0.18436827525202837</v>
      </c>
      <c r="H16" s="712"/>
      <c r="I16" s="713"/>
      <c r="J16" s="709"/>
      <c r="K16" s="687"/>
      <c r="L16" s="687"/>
      <c r="M16" s="688"/>
    </row>
    <row r="17" spans="1:13">
      <c r="A17" s="698"/>
      <c r="B17" s="684">
        <v>1985</v>
      </c>
      <c r="C17" s="710">
        <v>14300000</v>
      </c>
      <c r="D17" s="772">
        <f>VLOOKUP($B17,Database!$A$83:$J$133,10,FALSE)</f>
        <v>19938105</v>
      </c>
      <c r="E17" s="711">
        <f t="shared" si="1"/>
        <v>-5638105</v>
      </c>
      <c r="F17" s="709">
        <f t="shared" si="0"/>
        <v>31788227991025</v>
      </c>
      <c r="G17" s="687">
        <f t="shared" si="2"/>
        <v>0.28278038459522609</v>
      </c>
      <c r="H17" s="712"/>
      <c r="I17" s="713"/>
      <c r="J17" s="709"/>
      <c r="K17" s="687"/>
      <c r="L17" s="687"/>
      <c r="M17" s="688"/>
    </row>
    <row r="18" spans="1:13">
      <c r="A18" s="698"/>
      <c r="B18" s="684">
        <v>1987</v>
      </c>
      <c r="C18" s="710">
        <v>8199999.9999999991</v>
      </c>
      <c r="D18" s="772">
        <f>VLOOKUP($B18,Database!$A$83:$J$133,10,FALSE)</f>
        <v>13066944</v>
      </c>
      <c r="E18" s="711">
        <f t="shared" si="1"/>
        <v>-4866944.0000000009</v>
      </c>
      <c r="F18" s="709">
        <f t="shared" si="0"/>
        <v>23687143899136.008</v>
      </c>
      <c r="G18" s="687">
        <f t="shared" si="2"/>
        <v>0.37246229875937337</v>
      </c>
      <c r="H18" s="712"/>
      <c r="I18" s="713"/>
      <c r="J18" s="709"/>
      <c r="K18" s="687"/>
      <c r="L18" s="687"/>
      <c r="M18" s="688"/>
    </row>
    <row r="19" spans="1:13">
      <c r="A19" s="698"/>
      <c r="B19" s="684">
        <v>1989</v>
      </c>
      <c r="C19" s="710">
        <v>20100000</v>
      </c>
      <c r="D19" s="772">
        <f>VLOOKUP($B19,Database!$A$83:$J$133,10,FALSE)</f>
        <v>4743750</v>
      </c>
      <c r="E19" s="711">
        <f t="shared" si="1"/>
        <v>15356250</v>
      </c>
      <c r="F19" s="709">
        <f t="shared" si="0"/>
        <v>235814414062500</v>
      </c>
      <c r="G19" s="687">
        <f t="shared" si="2"/>
        <v>-3.2371541501976284</v>
      </c>
      <c r="H19" s="712"/>
      <c r="I19" s="713"/>
      <c r="J19" s="709"/>
      <c r="K19" s="687"/>
      <c r="L19" s="687"/>
      <c r="M19" s="688"/>
    </row>
    <row r="20" spans="1:13">
      <c r="A20" s="698"/>
      <c r="B20" s="684">
        <v>1991</v>
      </c>
      <c r="C20" s="710">
        <v>7460000</v>
      </c>
      <c r="D20" s="772">
        <f>VLOOKUP($B20,Database!$A$83:$J$133,10,FALSE)</f>
        <v>7544776</v>
      </c>
      <c r="E20" s="711">
        <f t="shared" si="1"/>
        <v>-84776</v>
      </c>
      <c r="F20" s="709">
        <f t="shared" si="0"/>
        <v>7186970176</v>
      </c>
      <c r="G20" s="687">
        <f t="shared" si="2"/>
        <v>1.1236383956263248E-2</v>
      </c>
      <c r="H20" s="712"/>
      <c r="I20" s="713"/>
      <c r="J20" s="709"/>
      <c r="K20" s="687"/>
      <c r="L20" s="687"/>
      <c r="M20" s="688"/>
    </row>
    <row r="21" spans="1:13">
      <c r="A21" s="698"/>
      <c r="B21" s="684">
        <v>1993</v>
      </c>
      <c r="C21" s="710">
        <v>5410000</v>
      </c>
      <c r="D21" s="772">
        <f>VLOOKUP($B21,Database!$A$83:$J$133,10,FALSE)</f>
        <v>1542942</v>
      </c>
      <c r="E21" s="711">
        <f t="shared" si="1"/>
        <v>3867058</v>
      </c>
      <c r="F21" s="709">
        <f t="shared" si="0"/>
        <v>14954137575364</v>
      </c>
      <c r="G21" s="687">
        <f>(D21-C21)/D21</f>
        <v>-2.506288635606523</v>
      </c>
      <c r="H21" s="712"/>
      <c r="I21" s="728"/>
      <c r="J21" s="709"/>
      <c r="K21" s="687"/>
      <c r="L21" s="687"/>
      <c r="M21" s="688"/>
    </row>
    <row r="22" spans="1:13">
      <c r="A22" s="698"/>
      <c r="B22" s="684">
        <v>1995</v>
      </c>
      <c r="C22" s="710">
        <v>7700000</v>
      </c>
      <c r="D22" s="772">
        <f>VLOOKUP($B22,Database!$A$83:$J$133,10,FALSE)</f>
        <v>3934208</v>
      </c>
      <c r="E22" s="711">
        <f t="shared" si="1"/>
        <v>3765792</v>
      </c>
      <c r="F22" s="709">
        <f t="shared" si="0"/>
        <v>14181189387264</v>
      </c>
      <c r="G22" s="687">
        <f t="shared" si="2"/>
        <v>-0.95719189224362311</v>
      </c>
      <c r="H22" s="712"/>
      <c r="I22" s="717"/>
      <c r="J22" s="709"/>
      <c r="K22" s="687"/>
      <c r="L22" s="687"/>
      <c r="M22" s="688"/>
    </row>
    <row r="23" spans="1:13">
      <c r="A23" s="698"/>
      <c r="B23" s="288">
        <v>1997</v>
      </c>
      <c r="C23" s="710">
        <v>5200000</v>
      </c>
      <c r="D23" s="772">
        <f>VLOOKUP($B23,Database!$A$83:$J$133,10,FALSE)</f>
        <v>2588682</v>
      </c>
      <c r="E23" s="711">
        <f t="shared" si="1"/>
        <v>2611318</v>
      </c>
      <c r="F23" s="709">
        <f t="shared" si="0"/>
        <v>6818981697124</v>
      </c>
      <c r="G23" s="687">
        <f t="shared" si="2"/>
        <v>-1.008744218100176</v>
      </c>
      <c r="H23" s="712"/>
      <c r="I23" s="717"/>
      <c r="J23" s="709"/>
      <c r="K23" s="687"/>
      <c r="L23" s="687"/>
      <c r="M23" s="688"/>
    </row>
    <row r="24" spans="1:13">
      <c r="A24" s="698"/>
      <c r="B24" s="288">
        <v>1999</v>
      </c>
      <c r="C24" s="714">
        <v>6800000</v>
      </c>
      <c r="D24" s="772">
        <f>VLOOKUP($B24,Database!$A$83:$J$133,10,FALSE)</f>
        <v>9405198</v>
      </c>
      <c r="E24" s="711">
        <f t="shared" si="1"/>
        <v>-2605198</v>
      </c>
      <c r="F24" s="709">
        <f t="shared" si="0"/>
        <v>6787056619204</v>
      </c>
      <c r="G24" s="687">
        <f t="shared" si="2"/>
        <v>0.27699555075820836</v>
      </c>
      <c r="H24" s="712">
        <v>5200000</v>
      </c>
      <c r="I24" s="773">
        <f>VLOOKUP($B24,Database!$A$74:$C$133,3,FALSE)</f>
        <v>6793207</v>
      </c>
      <c r="J24" s="709">
        <f t="shared" ref="J24:J29" si="3">(I24-H24)^2</f>
        <v>2538308544849</v>
      </c>
      <c r="K24" s="687">
        <f t="shared" ref="K24:K29" si="4">(I24-H24)/I24</f>
        <v>0.23452943506653043</v>
      </c>
      <c r="L24" s="687"/>
      <c r="M24" s="688"/>
    </row>
    <row r="25" spans="1:13">
      <c r="A25" s="698"/>
      <c r="B25" s="288">
        <v>2001</v>
      </c>
      <c r="C25" s="714">
        <v>4600000</v>
      </c>
      <c r="D25" s="772">
        <f>VLOOKUP($B25,Database!$A$83:$J$133,10,FALSE)</f>
        <v>8854676.9808041956</v>
      </c>
      <c r="E25" s="711">
        <f t="shared" si="1"/>
        <v>-4254676.9808041956</v>
      </c>
      <c r="F25" s="709">
        <f t="shared" si="0"/>
        <v>18102276210985.105</v>
      </c>
      <c r="G25" s="687">
        <f t="shared" si="2"/>
        <v>0.48050052983612951</v>
      </c>
      <c r="H25" s="712">
        <f>C25-1400000</f>
        <v>3200000</v>
      </c>
      <c r="I25" s="773">
        <f>VLOOKUP($B25,Database!$A$74:$C$133,3,FALSE)</f>
        <v>6705936.700407384</v>
      </c>
      <c r="J25" s="709">
        <f t="shared" si="3"/>
        <v>12291592147263.414</v>
      </c>
      <c r="K25" s="687">
        <f t="shared" si="4"/>
        <v>0.52281088489761607</v>
      </c>
      <c r="L25" s="687"/>
      <c r="M25" s="688"/>
    </row>
    <row r="26" spans="1:13">
      <c r="A26" s="698"/>
      <c r="B26" s="288">
        <v>2003</v>
      </c>
      <c r="C26" s="714">
        <v>4620000</v>
      </c>
      <c r="D26" s="772">
        <f>VLOOKUP($B26,Database!$A$83:$J$133,10,FALSE)</f>
        <v>7344511.9398193061</v>
      </c>
      <c r="E26" s="711">
        <f t="shared" si="1"/>
        <v>-2724511.9398193061</v>
      </c>
      <c r="F26" s="709">
        <f t="shared" si="0"/>
        <v>7422965310217.958</v>
      </c>
      <c r="G26" s="687">
        <f t="shared" si="2"/>
        <v>0.37095888224348589</v>
      </c>
      <c r="H26" s="712">
        <f>C26-2000000</f>
        <v>2620000</v>
      </c>
      <c r="I26" s="773">
        <f>VLOOKUP($B26,Database!$A$74:$C$133,3,FALSE)</f>
        <v>4493948.7314859722</v>
      </c>
      <c r="J26" s="709">
        <f t="shared" si="3"/>
        <v>3511683848237.8843</v>
      </c>
      <c r="K26" s="687">
        <f t="shared" si="4"/>
        <v>0.41699379397822611</v>
      </c>
      <c r="L26" s="687"/>
      <c r="M26" s="688"/>
    </row>
    <row r="27" spans="1:13">
      <c r="A27" s="698"/>
      <c r="B27" s="288">
        <v>2005</v>
      </c>
      <c r="C27" s="715">
        <v>4290000</v>
      </c>
      <c r="D27" s="772">
        <f>VLOOKUP($B27,Database!$A$83:$J$133,10,FALSE)</f>
        <v>17032487.685321052</v>
      </c>
      <c r="E27" s="711">
        <f t="shared" si="1"/>
        <v>-12742487.685321052</v>
      </c>
      <c r="F27" s="709">
        <f t="shared" si="0"/>
        <v>162370992410558.66</v>
      </c>
      <c r="G27" s="687">
        <f t="shared" si="2"/>
        <v>0.74812839561321332</v>
      </c>
      <c r="H27" s="712">
        <f>C27-2000000</f>
        <v>2290000</v>
      </c>
      <c r="I27" s="773">
        <f>VLOOKUP($B27,Database!$A$74:$C$133,3,FALSE)</f>
        <v>12256106.828178193</v>
      </c>
      <c r="J27" s="709">
        <f t="shared" si="3"/>
        <v>99323285310660.016</v>
      </c>
      <c r="K27" s="687">
        <f t="shared" si="4"/>
        <v>0.81315437013530045</v>
      </c>
      <c r="L27" s="687"/>
      <c r="M27" s="688"/>
    </row>
    <row r="28" spans="1:13">
      <c r="A28" s="698"/>
      <c r="B28" s="288">
        <v>2007</v>
      </c>
      <c r="C28" s="714">
        <v>12900000</v>
      </c>
      <c r="D28" s="772">
        <f>VLOOKUP($B28,Database!$A$83:$J$133,10,FALSE)</f>
        <v>11526987.795003444</v>
      </c>
      <c r="E28" s="711">
        <f t="shared" si="1"/>
        <v>1373012.204996556</v>
      </c>
      <c r="F28" s="709">
        <f t="shared" si="0"/>
        <v>1885162515069.5049</v>
      </c>
      <c r="G28" s="687">
        <f t="shared" si="2"/>
        <v>-0.11911283584352453</v>
      </c>
      <c r="H28" s="712">
        <f>C28-2000000</f>
        <v>10900000</v>
      </c>
      <c r="I28" s="773">
        <f>VLOOKUP($B28,Database!$A$74:$C$133,3,FALSE)</f>
        <v>9967663.2895603608</v>
      </c>
      <c r="J28" s="709">
        <f t="shared" si="3"/>
        <v>869251741633.40759</v>
      </c>
      <c r="K28" s="687">
        <f t="shared" si="4"/>
        <v>-9.3536136138960738E-2</v>
      </c>
      <c r="L28" s="687"/>
      <c r="M28" s="688"/>
    </row>
    <row r="29" spans="1:13">
      <c r="A29" s="698"/>
      <c r="B29" s="288">
        <v>2009</v>
      </c>
      <c r="C29" s="714">
        <v>14280000</v>
      </c>
      <c r="D29" s="772">
        <f>VLOOKUP($B29,Database!$A$83:$J$133,10,FALSE)</f>
        <v>2824330.6070667375</v>
      </c>
      <c r="E29" s="711">
        <f t="shared" si="1"/>
        <v>11455669.392933263</v>
      </c>
      <c r="F29" s="709">
        <f t="shared" si="0"/>
        <v>131232361240187.94</v>
      </c>
      <c r="G29" s="687">
        <f t="shared" si="2"/>
        <v>-4.0560653077476534</v>
      </c>
      <c r="H29" s="712">
        <f>C29-2000000</f>
        <v>12280000</v>
      </c>
      <c r="I29" s="773">
        <f>VLOOKUP($B29,Database!$A$74:$C$133,3,FALSE)</f>
        <v>910000.69957974285</v>
      </c>
      <c r="J29" s="709">
        <f t="shared" si="3"/>
        <v>129276884091557.12</v>
      </c>
      <c r="K29" s="687">
        <f t="shared" si="4"/>
        <v>-12.494495120356673</v>
      </c>
      <c r="L29" s="696"/>
      <c r="M29" s="697"/>
    </row>
    <row r="30" spans="1:13">
      <c r="A30" s="698"/>
      <c r="B30" s="799">
        <v>2011</v>
      </c>
      <c r="C30" s="691">
        <f>Odd_Even!F74</f>
        <v>15804276</v>
      </c>
      <c r="D30" s="707"/>
      <c r="E30" s="707"/>
      <c r="F30" s="718"/>
      <c r="G30" s="689"/>
      <c r="H30" s="691">
        <f>C30-2000000</f>
        <v>13804276</v>
      </c>
      <c r="I30" s="717"/>
      <c r="J30" s="716"/>
      <c r="K30" s="688"/>
      <c r="L30" s="696"/>
      <c r="M30" s="697"/>
    </row>
    <row r="31" spans="1:13">
      <c r="A31" s="698"/>
      <c r="B31" s="799">
        <v>2013</v>
      </c>
      <c r="C31" s="691"/>
      <c r="D31" s="707"/>
      <c r="E31" s="707"/>
      <c r="F31" s="718"/>
      <c r="G31" s="689"/>
      <c r="H31" s="691"/>
      <c r="I31" s="717"/>
      <c r="J31" s="716"/>
      <c r="K31" s="688"/>
      <c r="L31" s="696"/>
      <c r="M31" s="697"/>
    </row>
    <row r="32" spans="1:13">
      <c r="A32" s="698"/>
      <c r="B32" s="799"/>
      <c r="C32" s="691"/>
      <c r="D32" s="707"/>
      <c r="E32" s="707"/>
      <c r="F32" s="718"/>
      <c r="G32" s="689"/>
      <c r="H32" s="691"/>
      <c r="I32" s="717"/>
      <c r="J32" s="716"/>
      <c r="K32" s="688"/>
      <c r="L32" s="696"/>
      <c r="M32" s="697"/>
    </row>
    <row r="33" spans="1:13">
      <c r="A33" s="698"/>
      <c r="B33" s="799"/>
      <c r="C33" s="691"/>
      <c r="D33" s="707"/>
      <c r="E33" s="707"/>
      <c r="F33" s="718"/>
      <c r="G33" s="689"/>
      <c r="H33" s="691"/>
      <c r="I33" s="717"/>
      <c r="J33" s="716"/>
      <c r="K33" s="688"/>
      <c r="L33" s="696"/>
      <c r="M33" s="697"/>
    </row>
    <row r="34" spans="1:13">
      <c r="A34" s="698"/>
      <c r="B34" s="288"/>
      <c r="C34" s="691"/>
      <c r="D34" s="707"/>
      <c r="E34" s="707"/>
      <c r="F34" s="718"/>
      <c r="G34" s="689"/>
      <c r="H34" s="691"/>
      <c r="I34" s="717"/>
      <c r="J34" s="709"/>
      <c r="K34" s="687"/>
      <c r="L34" s="697"/>
      <c r="M34" s="697"/>
    </row>
    <row r="35" spans="1:13">
      <c r="A35" s="706"/>
      <c r="B35" s="288"/>
      <c r="C35" s="693"/>
      <c r="D35" s="822"/>
      <c r="E35" s="706"/>
      <c r="F35" s="776"/>
      <c r="G35" s="692"/>
      <c r="H35" s="693"/>
      <c r="I35" s="706"/>
      <c r="J35" s="777"/>
      <c r="K35" s="694"/>
      <c r="L35" s="694"/>
      <c r="M35" s="695"/>
    </row>
    <row r="36" spans="1:13">
      <c r="A36" s="781"/>
      <c r="B36" s="823"/>
      <c r="C36" s="783"/>
      <c r="D36" s="781" t="s">
        <v>309</v>
      </c>
      <c r="E36" s="781"/>
      <c r="F36" s="824">
        <f>SUM(F$25:F35)</f>
        <v>321013757687019.12</v>
      </c>
      <c r="G36" s="825">
        <f>SUM(G$25:G35)</f>
        <v>-2.5755903358983492</v>
      </c>
      <c r="H36" s="783"/>
      <c r="I36" s="781" t="s">
        <v>310</v>
      </c>
      <c r="J36" s="824">
        <f>SUM(J$13:J35)</f>
        <v>247811005684200.84</v>
      </c>
      <c r="K36" s="826">
        <f>SUM(K$13:K35)</f>
        <v>-10.60054277241796</v>
      </c>
      <c r="L36" s="706"/>
      <c r="M36" s="674"/>
    </row>
    <row r="37" spans="1:13">
      <c r="A37" s="706"/>
      <c r="B37" s="684"/>
      <c r="C37" s="693"/>
      <c r="D37" s="706" t="s">
        <v>311</v>
      </c>
      <c r="E37" s="706"/>
      <c r="F37" s="699">
        <f>SQRT(F36/$D$6)</f>
        <v>4479214.2006649664</v>
      </c>
      <c r="G37" s="700">
        <f>G36/COUNTA(G$25:G35)</f>
        <v>-0.51511806717966979</v>
      </c>
      <c r="H37" s="693"/>
      <c r="I37" s="706" t="s">
        <v>311</v>
      </c>
      <c r="J37" s="699">
        <f>SQRT(J36/G6)</f>
        <v>7040042.6942483932</v>
      </c>
      <c r="K37" s="700">
        <f>K36/COUNTA(K$13:K35)</f>
        <v>-1.7667571287363266</v>
      </c>
      <c r="L37" s="702"/>
      <c r="M37" s="703"/>
    </row>
    <row r="38" spans="1:13">
      <c r="A38" s="706"/>
      <c r="B38" s="706"/>
      <c r="C38" s="693"/>
      <c r="D38" s="706" t="s">
        <v>312</v>
      </c>
      <c r="E38" s="706"/>
      <c r="F38" s="778"/>
      <c r="G38" s="700">
        <f>G37*0.8</f>
        <v>-0.41209445374373588</v>
      </c>
      <c r="H38" s="693"/>
      <c r="I38" s="706" t="s">
        <v>312</v>
      </c>
      <c r="J38" s="706"/>
      <c r="K38" s="696">
        <f>K37*0.8</f>
        <v>-1.4134057029890614</v>
      </c>
      <c r="L38" s="706"/>
      <c r="M38" s="707"/>
    </row>
    <row r="39" spans="1:13">
      <c r="A39" s="789"/>
      <c r="B39" s="790"/>
      <c r="C39" s="790" t="s">
        <v>313</v>
      </c>
      <c r="D39" s="791" t="s">
        <v>314</v>
      </c>
      <c r="E39" s="791"/>
      <c r="F39" s="792">
        <f>F37*$D$7</f>
        <v>5987621.6867331872</v>
      </c>
      <c r="G39" s="793">
        <f>F39/C30</f>
        <v>0.37886086567541516</v>
      </c>
      <c r="H39" s="794"/>
      <c r="I39" s="789" t="s">
        <v>314</v>
      </c>
      <c r="J39" s="795">
        <f>J37*$G$7</f>
        <v>10390286.715484532</v>
      </c>
      <c r="K39" s="796">
        <f>J39/H30</f>
        <v>0.75268610360184995</v>
      </c>
      <c r="L39" s="706"/>
      <c r="M39" s="674"/>
    </row>
    <row r="40" spans="1:13">
      <c r="A40" s="706"/>
      <c r="B40" s="684"/>
      <c r="C40" s="693"/>
      <c r="D40" s="706"/>
      <c r="E40" s="706"/>
      <c r="F40" s="779"/>
      <c r="G40" s="780"/>
      <c r="H40" s="693"/>
      <c r="I40" s="706"/>
      <c r="J40" s="706"/>
      <c r="K40" s="694"/>
      <c r="L40" s="706"/>
      <c r="M40" s="674"/>
    </row>
    <row r="41" spans="1:13" ht="17" thickBot="1">
      <c r="A41" s="674"/>
      <c r="B41" s="674"/>
      <c r="C41" s="675"/>
      <c r="D41" s="674"/>
      <c r="E41" s="674"/>
      <c r="F41" s="674"/>
      <c r="G41" s="674"/>
      <c r="H41" s="675"/>
      <c r="I41" s="674"/>
      <c r="J41" s="674"/>
      <c r="K41" s="674"/>
      <c r="L41" s="673"/>
      <c r="M41" s="674"/>
    </row>
    <row r="42" spans="1:13">
      <c r="A42" s="841"/>
      <c r="B42" s="842"/>
      <c r="C42" s="843" t="s">
        <v>259</v>
      </c>
      <c r="D42" s="844"/>
      <c r="E42" s="197"/>
      <c r="F42" s="842"/>
      <c r="G42" s="842"/>
      <c r="H42" s="843" t="s">
        <v>305</v>
      </c>
      <c r="I42" s="844"/>
      <c r="J42" s="845"/>
      <c r="K42" s="846"/>
      <c r="L42" s="673"/>
      <c r="M42" s="674"/>
    </row>
    <row r="43" spans="1:13">
      <c r="A43" s="847"/>
      <c r="B43" s="848" t="s">
        <v>316</v>
      </c>
      <c r="C43" s="848" t="s">
        <v>75</v>
      </c>
      <c r="D43" s="849" t="s">
        <v>317</v>
      </c>
      <c r="E43" s="850" t="s">
        <v>315</v>
      </c>
      <c r="F43" s="851"/>
      <c r="G43" s="848" t="s">
        <v>316</v>
      </c>
      <c r="H43" s="848" t="s">
        <v>75</v>
      </c>
      <c r="I43" s="849" t="s">
        <v>317</v>
      </c>
      <c r="J43" s="849" t="s">
        <v>306</v>
      </c>
      <c r="K43" s="852"/>
    </row>
    <row r="44" spans="1:13">
      <c r="A44" s="853"/>
      <c r="B44" s="854">
        <v>5</v>
      </c>
      <c r="C44" s="855">
        <f>IF($B44&lt;COUNT($B$13:$B$35),AVERAGE(INDEX(C$13:C$35,COUNT($B$13:$B$35)-1,0):INDEX(C$13:C$35,COUNT($B$13:$B$35)-$B44,0)),"Use fewer years!")</f>
        <v>10378855.199999999</v>
      </c>
      <c r="D44" s="855">
        <f>IF($B44&lt;COUNT($B$13:$B$35),AVERAGE(INDEX(D$13:D$35,COUNT($B$13:$B$35)-1,0):INDEX(D$13:D$35,COUNT($B$13:$B$35)-$B44,0)),"Use fewer years!")</f>
        <v>9682079.5068026334</v>
      </c>
      <c r="E44" s="855">
        <f>C44-D44</f>
        <v>696775.69319736585</v>
      </c>
      <c r="F44" s="854"/>
      <c r="G44" s="854">
        <v>5</v>
      </c>
      <c r="H44" s="855">
        <f>IF($B44&lt;COUNT(H13:H35),AVERAGE(INDEX(H$13:H35,COUNT($B$13:$B35)-1,0):INDEX(H$13:H35,COUNT($B$13:$B35)-$B44,0)), "Use fewer years!")</f>
        <v>8378855.2000000002</v>
      </c>
      <c r="I44" s="855">
        <f>IF($B44&lt;COUNT(I13:I35),AVERAGE(INDEX(I$13:I35,COUNT($B$13:$B35)-1,0):INDEX(I$13:I35,COUNT($B$13:$B35)-$B44,0)), "Use fewer years!")</f>
        <v>6906929.8872010671</v>
      </c>
      <c r="J44" s="855">
        <f>H44-I44</f>
        <v>1471925.3127989331</v>
      </c>
      <c r="K44" s="856"/>
    </row>
    <row r="45" spans="1:13">
      <c r="A45" s="853"/>
      <c r="B45" s="854">
        <v>10</v>
      </c>
      <c r="C45" s="855">
        <f>IF($B45&lt;COUNT($B$13:$B$35),AVERAGE(INDEX(C$13:C$35,COUNT($B$13:$B$35)-1,0):INDEX(C$13:C$35,COUNT($B$13:$B$35)-$B45,0)),"Use fewer years!")</f>
        <v>8160427.5999999996</v>
      </c>
      <c r="D45" s="855">
        <f>IF($B45&lt;COUNT($B$13:$B$35),AVERAGE(INDEX(D$13:D$35,COUNT($B$13:$B$35)-1,0):INDEX(D$13:D$35,COUNT($B$13:$B$35)-$B45,0)),"Use fewer years!")</f>
        <v>7228225.0008905269</v>
      </c>
      <c r="E45" s="855">
        <f>C45-D45</f>
        <v>932202.59910947271</v>
      </c>
      <c r="F45" s="854"/>
      <c r="G45" s="854">
        <v>10</v>
      </c>
      <c r="H45" s="855" t="str">
        <f>IF($B45&lt;COUNT(H14:H36),AVERAGE(INDEX(H$13:H36,COUNT($B$13:$B36)-1,0):INDEX(H$13:H36,COUNT($B$13:$B36)-$B45,0)), "Use fewer years!")</f>
        <v>Use fewer years!</v>
      </c>
      <c r="I45" s="855" t="str">
        <f>IF($B45&lt;COUNT(I14:I36),AVERAGE(INDEX(I$13:I36,COUNT($B$13:$B36)-1,0):INDEX(I$13:I36,COUNT($B$13:$B36)-$B45,0)), "Use fewer years!")</f>
        <v>Use fewer years!</v>
      </c>
      <c r="J45" s="855" t="e">
        <f>H45-I45</f>
        <v>#VALUE!</v>
      </c>
      <c r="K45" s="856"/>
    </row>
    <row r="46" spans="1:13" ht="17" thickBot="1">
      <c r="A46" s="857"/>
      <c r="B46" s="858">
        <v>15</v>
      </c>
      <c r="C46" s="859">
        <f>IF($B46&lt;COUNT($B$13:$B$35),AVERAGE(INDEX(C$13:C$35,COUNT($B$13:$B$35)-1,0):INDEX(C$13:C$35,COUNT($B$13:$B$35)-$B46,0)),"Use fewer years!")</f>
        <v>9690951.7333333325</v>
      </c>
      <c r="D46" s="859">
        <f>IF($B46&lt;COUNT($B$13:$B$35),AVERAGE(INDEX(D$13:D$35,COUNT($B$13:$B$35)-1,0):INDEX(D$13:D$35,COUNT($B$13:$B$35)-$B46,0)),"Use fewer years!")</f>
        <v>8708210.5720010512</v>
      </c>
      <c r="E46" s="859">
        <f>C46-D46</f>
        <v>982741.16133228131</v>
      </c>
      <c r="F46" s="858"/>
      <c r="G46" s="858">
        <v>20</v>
      </c>
      <c r="H46" s="859" t="str">
        <f>IF($B46&lt;COUNT(H15:H37),AVERAGE(INDEX(H$13:H37,COUNT($B$13:$B37)-1,0):INDEX(H$13:H37,COUNT($B$13:$B37)-$B46,0)), "Use fewer years!")</f>
        <v>Use fewer years!</v>
      </c>
      <c r="I46" s="859" t="str">
        <f>IF($B46&lt;COUNT(I15:I37),AVERAGE(INDEX(I$13:I37,COUNT($B$13:$B37)-1,0):INDEX(I$13:I37,COUNT($B$13:$B37)-$B46,0)), "Use fewer years!")</f>
        <v>Use fewer years!</v>
      </c>
      <c r="J46" s="859" t="e">
        <f>H46-I46</f>
        <v>#VALUE!</v>
      </c>
      <c r="K46" s="860"/>
    </row>
    <row r="47" spans="1:13">
      <c r="A47" s="839"/>
      <c r="B47" s="839"/>
      <c r="C47" s="839"/>
      <c r="D47" s="839"/>
      <c r="E47" s="839"/>
      <c r="F47" s="839"/>
      <c r="G47" s="839"/>
      <c r="H47" s="839"/>
      <c r="I47" s="839"/>
      <c r="J47" s="839"/>
      <c r="K47" s="839"/>
    </row>
    <row r="48" spans="1:13">
      <c r="A48" s="839"/>
      <c r="B48" s="839"/>
      <c r="C48" s="840"/>
      <c r="D48" s="839"/>
      <c r="E48" s="839"/>
      <c r="F48" s="839"/>
      <c r="G48" s="839"/>
      <c r="H48" s="839"/>
      <c r="I48" s="839"/>
      <c r="J48" s="839"/>
      <c r="K48" s="839"/>
    </row>
    <row r="49" spans="1:11">
      <c r="A49" s="839"/>
      <c r="B49" s="839"/>
      <c r="C49" s="840"/>
      <c r="D49" s="839"/>
      <c r="E49" s="839"/>
      <c r="F49" s="839"/>
      <c r="G49" s="839"/>
      <c r="H49" s="839"/>
      <c r="I49" s="839"/>
      <c r="J49" s="839"/>
      <c r="K49" s="839"/>
    </row>
    <row r="50" spans="1:11">
      <c r="A50" s="839"/>
      <c r="B50" s="839"/>
      <c r="C50" s="839"/>
      <c r="D50" s="839"/>
      <c r="E50" s="839"/>
      <c r="F50" s="839"/>
      <c r="G50" s="839"/>
      <c r="H50" s="839"/>
      <c r="I50" s="839"/>
      <c r="J50" s="839"/>
      <c r="K50" s="839"/>
    </row>
    <row r="51" spans="1:11">
      <c r="A51" s="839"/>
      <c r="B51" s="839"/>
      <c r="C51" s="839"/>
      <c r="D51" s="839"/>
      <c r="E51" s="839"/>
      <c r="F51" s="839"/>
      <c r="G51" s="839"/>
      <c r="H51" s="839"/>
      <c r="I51" s="839"/>
      <c r="J51" s="839"/>
      <c r="K51" s="839"/>
    </row>
  </sheetData>
  <pageMargins left="0.7" right="0.7" top="0.75" bottom="0.75" header="0.3" footer="0.3"/>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00B050"/>
  </sheetPr>
  <dimension ref="A1:N70"/>
  <sheetViews>
    <sheetView workbookViewId="0">
      <pane ySplit="13" topLeftCell="A49" activePane="bottomLeft" state="frozen"/>
      <selection pane="bottomLeft" activeCell="C52" sqref="C52"/>
    </sheetView>
  </sheetViews>
  <sheetFormatPr baseColWidth="10" defaultColWidth="8.625" defaultRowHeight="16" x14ac:dyDescent="0"/>
  <cols>
    <col min="3" max="3" width="16" customWidth="1"/>
    <col min="4" max="4" width="9.875" bestFit="1" customWidth="1"/>
    <col min="5" max="5" width="12.5" customWidth="1"/>
    <col min="6" max="6" width="17.625" customWidth="1"/>
    <col min="7" max="7" width="11" customWidth="1"/>
    <col min="8" max="8" width="17.375" customWidth="1"/>
    <col min="9" max="9" width="16.5" customWidth="1"/>
    <col min="10" max="11" width="12.5" customWidth="1"/>
    <col min="12" max="12" width="17.125" customWidth="1"/>
    <col min="14" max="14" width="16" customWidth="1"/>
  </cols>
  <sheetData>
    <row r="1" spans="1:14">
      <c r="A1" s="809" t="str">
        <f ca="1">CELL("filename",G11)</f>
        <v>NWCLM04072996:Users:eric.ward:Documents:NCEAS-covariation:data:salmon data:[2015_PWS_Pink_Wild_forecast-FINAL.xlsm]Performance</v>
      </c>
      <c r="C1" s="672"/>
      <c r="D1" s="673"/>
      <c r="E1" s="673"/>
      <c r="F1" s="673"/>
      <c r="G1" s="673"/>
      <c r="H1" s="672"/>
    </row>
    <row r="2" spans="1:14" ht="14.25" customHeight="1" thickBot="1">
      <c r="G2" s="673"/>
      <c r="H2" s="672"/>
    </row>
    <row r="3" spans="1:14">
      <c r="C3" s="194" t="s">
        <v>192</v>
      </c>
      <c r="D3" s="187">
        <v>80</v>
      </c>
      <c r="E3" s="197" t="s">
        <v>193</v>
      </c>
      <c r="F3" s="194" t="s">
        <v>192</v>
      </c>
      <c r="G3" s="187">
        <v>80</v>
      </c>
      <c r="H3" s="907" t="str">
        <f>E3</f>
        <v>%</v>
      </c>
    </row>
    <row r="4" spans="1:14">
      <c r="C4" s="195" t="s">
        <v>195</v>
      </c>
      <c r="D4" s="198">
        <f>(1-D3/100)/2</f>
        <v>9.9999999999999978E-2</v>
      </c>
      <c r="E4" s="97" t="s">
        <v>351</v>
      </c>
      <c r="F4" s="195" t="s">
        <v>195</v>
      </c>
      <c r="G4" s="198">
        <f>(1-G3/100)/2</f>
        <v>9.9999999999999978E-2</v>
      </c>
      <c r="H4" s="908" t="str">
        <f>E4</f>
        <v xml:space="preserve">formula </v>
      </c>
    </row>
    <row r="5" spans="1:14">
      <c r="C5" s="195" t="s">
        <v>197</v>
      </c>
      <c r="D5" s="198">
        <f>(1-D4)</f>
        <v>0.9</v>
      </c>
      <c r="E5" s="97" t="s">
        <v>351</v>
      </c>
      <c r="F5" s="195" t="s">
        <v>197</v>
      </c>
      <c r="G5" s="198">
        <f>(1-G4)</f>
        <v>0.9</v>
      </c>
      <c r="H5" s="908" t="str">
        <f>E5</f>
        <v xml:space="preserve">formula </v>
      </c>
    </row>
    <row r="6" spans="1:14">
      <c r="C6" s="195" t="s">
        <v>349</v>
      </c>
      <c r="D6" s="803">
        <f>COUNT(F25:F54)-1</f>
        <v>26</v>
      </c>
      <c r="E6" s="804" t="s">
        <v>350</v>
      </c>
      <c r="F6" s="195" t="s">
        <v>349</v>
      </c>
      <c r="G6" s="803">
        <f>COUNT(I14:I54)-1</f>
        <v>15</v>
      </c>
      <c r="H6" s="805" t="s">
        <v>305</v>
      </c>
      <c r="I6" s="807"/>
      <c r="J6" s="198"/>
      <c r="K6" s="97"/>
      <c r="L6" s="807"/>
      <c r="M6" s="198"/>
      <c r="N6" s="97"/>
    </row>
    <row r="7" spans="1:14">
      <c r="C7" s="195" t="s">
        <v>368</v>
      </c>
      <c r="D7" s="1007">
        <v>2</v>
      </c>
      <c r="E7" s="922"/>
      <c r="F7" s="195" t="s">
        <v>368</v>
      </c>
      <c r="G7" s="803">
        <f>D7</f>
        <v>2</v>
      </c>
      <c r="H7" s="923"/>
      <c r="I7" s="807"/>
      <c r="J7" s="198"/>
      <c r="K7" s="97"/>
      <c r="L7" s="807"/>
      <c r="M7" s="198"/>
      <c r="N7" s="97"/>
    </row>
    <row r="8" spans="1:14" ht="17" thickBot="1">
      <c r="A8" s="673"/>
      <c r="B8" s="673"/>
      <c r="C8" s="196" t="s">
        <v>348</v>
      </c>
      <c r="D8" s="199">
        <f>TINV(D7*D4,D6)</f>
        <v>1.3149718642705173</v>
      </c>
      <c r="E8" s="192" t="s">
        <v>352</v>
      </c>
      <c r="F8" s="196" t="s">
        <v>348</v>
      </c>
      <c r="G8" s="199">
        <f>TINV(G7*G4,G6)</f>
        <v>1.3406056078504547</v>
      </c>
      <c r="H8" s="909" t="str">
        <f>E8</f>
        <v>one tailed</v>
      </c>
      <c r="I8" s="807"/>
      <c r="J8" s="198"/>
      <c r="K8" s="97"/>
      <c r="L8" s="807"/>
      <c r="M8" s="198"/>
      <c r="N8" s="97"/>
    </row>
    <row r="9" spans="1:14">
      <c r="B9" s="673"/>
      <c r="C9" s="672"/>
      <c r="D9" s="673"/>
      <c r="E9" s="673"/>
      <c r="F9" s="673"/>
      <c r="G9" s="673"/>
      <c r="H9" s="672"/>
      <c r="M9" s="675"/>
    </row>
    <row r="10" spans="1:14" ht="18">
      <c r="A10" s="673"/>
      <c r="C10" s="797" t="s">
        <v>318</v>
      </c>
      <c r="D10" s="673"/>
      <c r="E10" s="673"/>
      <c r="F10" s="673"/>
      <c r="G10" s="673"/>
      <c r="H10" s="672"/>
      <c r="I10" s="673"/>
      <c r="J10" s="673"/>
      <c r="K10" s="673"/>
      <c r="L10" s="673"/>
      <c r="M10" s="674"/>
    </row>
    <row r="11" spans="1:14">
      <c r="A11" s="719"/>
      <c r="B11" s="719"/>
      <c r="C11" s="720" t="s">
        <v>259</v>
      </c>
      <c r="D11" s="721"/>
      <c r="E11" s="721"/>
      <c r="F11" s="721"/>
      <c r="G11" s="722"/>
      <c r="H11" s="723" t="s">
        <v>305</v>
      </c>
      <c r="I11" s="724"/>
      <c r="J11" s="724"/>
      <c r="K11" s="725"/>
      <c r="L11" s="676"/>
      <c r="M11" s="677"/>
    </row>
    <row r="12" spans="1:14">
      <c r="A12" s="679"/>
      <c r="B12" s="679" t="s">
        <v>233</v>
      </c>
      <c r="C12" s="680"/>
      <c r="D12" s="681"/>
      <c r="E12" s="682" t="s">
        <v>306</v>
      </c>
      <c r="F12" s="683" t="s">
        <v>13</v>
      </c>
      <c r="G12" s="683" t="s">
        <v>15</v>
      </c>
      <c r="H12" s="680"/>
      <c r="I12" s="683"/>
      <c r="J12" s="683" t="s">
        <v>13</v>
      </c>
      <c r="K12" s="683" t="s">
        <v>15</v>
      </c>
      <c r="L12" s="684"/>
      <c r="M12" s="685"/>
    </row>
    <row r="13" spans="1:14">
      <c r="A13" s="726" t="s">
        <v>307</v>
      </c>
      <c r="B13" s="726" t="s">
        <v>16</v>
      </c>
      <c r="C13" s="726" t="s">
        <v>75</v>
      </c>
      <c r="D13" s="726" t="s">
        <v>58</v>
      </c>
      <c r="E13" s="727" t="s">
        <v>308</v>
      </c>
      <c r="F13" s="726" t="s">
        <v>31</v>
      </c>
      <c r="G13" s="726" t="s">
        <v>31</v>
      </c>
      <c r="H13" s="726" t="s">
        <v>75</v>
      </c>
      <c r="I13" s="726" t="s">
        <v>58</v>
      </c>
      <c r="J13" s="726" t="s">
        <v>31</v>
      </c>
      <c r="K13" s="726" t="s">
        <v>31</v>
      </c>
      <c r="L13" s="684"/>
      <c r="M13" s="685"/>
    </row>
    <row r="14" spans="1:14">
      <c r="A14" s="708" t="s">
        <v>319</v>
      </c>
      <c r="B14" s="684">
        <v>1977</v>
      </c>
      <c r="C14" s="774">
        <f>VLOOKUP($B14,Database!$A$74:$P$133,15,FALSE)</f>
        <v>6300000</v>
      </c>
      <c r="D14" s="772">
        <f>VLOOKUP($B14,Database!$A$83:$J$133,10,FALSE)</f>
        <v>5816401</v>
      </c>
      <c r="E14" s="699">
        <f>C14-D14</f>
        <v>483599</v>
      </c>
      <c r="F14" s="709">
        <f t="shared" ref="F14:F21" si="0">(D14-C14)^2</f>
        <v>233867992801</v>
      </c>
      <c r="G14" s="687">
        <f>(D14-C14)/D14</f>
        <v>-8.3144026692795081E-2</v>
      </c>
      <c r="H14" s="712"/>
      <c r="I14" s="910"/>
      <c r="J14" s="735"/>
      <c r="K14" s="736"/>
      <c r="L14" s="684"/>
      <c r="M14" s="685"/>
    </row>
    <row r="15" spans="1:14">
      <c r="B15" s="684">
        <v>1978</v>
      </c>
      <c r="C15" s="774">
        <f>VLOOKUP($B15,Database!$A$74:$P$133,15,FALSE)</f>
        <v>4200000</v>
      </c>
      <c r="D15" s="772">
        <f>VLOOKUP($B15,Database!$A$83:$J$133,10,FALSE)</f>
        <v>3925083</v>
      </c>
      <c r="E15" s="699">
        <f>C15-D15</f>
        <v>274917</v>
      </c>
      <c r="F15" s="709">
        <f t="shared" si="0"/>
        <v>75579356889</v>
      </c>
      <c r="G15" s="687">
        <f t="shared" ref="G15:G47" si="1">(D15-C15)/D15</f>
        <v>-7.0041066647507838E-2</v>
      </c>
      <c r="H15" s="712"/>
      <c r="I15" s="910"/>
      <c r="J15" s="735"/>
      <c r="K15" s="736"/>
      <c r="L15" s="687"/>
      <c r="M15" s="688"/>
    </row>
    <row r="16" spans="1:14">
      <c r="A16" s="678"/>
      <c r="B16" s="684">
        <v>1979</v>
      </c>
      <c r="C16" s="774">
        <f>VLOOKUP($B16,Database!$A$74:$P$133,15,FALSE)</f>
        <v>8100000</v>
      </c>
      <c r="D16" s="772">
        <f>VLOOKUP($B16,Database!$A$83:$J$133,10,FALSE)</f>
        <v>17335503</v>
      </c>
      <c r="E16" s="699">
        <f t="shared" ref="E16:E50" si="2">C16-D16</f>
        <v>-9235503</v>
      </c>
      <c r="F16" s="709">
        <f t="shared" si="0"/>
        <v>85294515663009</v>
      </c>
      <c r="G16" s="687">
        <f t="shared" si="1"/>
        <v>0.53275079471302333</v>
      </c>
      <c r="H16" s="712"/>
      <c r="I16" s="910"/>
      <c r="J16" s="735"/>
      <c r="K16" s="736"/>
      <c r="L16" s="687"/>
      <c r="M16" s="688"/>
    </row>
    <row r="17" spans="1:13">
      <c r="A17" s="678"/>
      <c r="B17" s="684">
        <v>1980</v>
      </c>
      <c r="C17" s="774">
        <f>VLOOKUP($B17,Database!$A$74:$P$133,15,FALSE)</f>
        <v>5000000</v>
      </c>
      <c r="D17" s="772">
        <f>VLOOKUP($B17,Database!$A$83:$J$133,10,FALSE)</f>
        <v>14013916</v>
      </c>
      <c r="E17" s="699">
        <f t="shared" si="2"/>
        <v>-9013916</v>
      </c>
      <c r="F17" s="709">
        <f t="shared" si="0"/>
        <v>81250681655056</v>
      </c>
      <c r="G17" s="687">
        <f t="shared" si="1"/>
        <v>0.64321179033754738</v>
      </c>
      <c r="H17" s="712"/>
      <c r="I17" s="910"/>
      <c r="J17" s="735"/>
      <c r="K17" s="736"/>
      <c r="L17" s="687"/>
      <c r="M17" s="688"/>
    </row>
    <row r="18" spans="1:13">
      <c r="A18" s="684"/>
      <c r="B18" s="684">
        <v>1981</v>
      </c>
      <c r="C18" s="774">
        <f>VLOOKUP($B18,Database!$A$74:$P$133,15,FALSE)</f>
        <v>12100000</v>
      </c>
      <c r="D18" s="772">
        <f>VLOOKUP($B18,Database!$A$83:$J$133,10,FALSE)</f>
        <v>19568866</v>
      </c>
      <c r="E18" s="699">
        <f t="shared" si="2"/>
        <v>-7468866</v>
      </c>
      <c r="F18" s="709">
        <f t="shared" si="0"/>
        <v>55783959325956</v>
      </c>
      <c r="G18" s="687">
        <f t="shared" si="1"/>
        <v>0.38167086432090647</v>
      </c>
      <c r="H18" s="712"/>
      <c r="I18" s="910"/>
      <c r="J18" s="911"/>
      <c r="K18" s="736"/>
      <c r="L18" s="687"/>
      <c r="M18" s="688"/>
    </row>
    <row r="19" spans="1:13">
      <c r="A19" s="706"/>
      <c r="B19" s="684">
        <v>1982</v>
      </c>
      <c r="C19" s="774">
        <f>VLOOKUP($B19,Database!$A$74:$P$133,15,FALSE)</f>
        <v>17600000</v>
      </c>
      <c r="D19" s="772">
        <f>VLOOKUP($B19,Database!$A$83:$J$133,10,FALSE)</f>
        <v>16794317</v>
      </c>
      <c r="E19" s="699">
        <f t="shared" si="2"/>
        <v>805683</v>
      </c>
      <c r="F19" s="709">
        <f t="shared" si="0"/>
        <v>649125096489</v>
      </c>
      <c r="G19" s="687">
        <f t="shared" si="1"/>
        <v>-4.7973549623959104E-2</v>
      </c>
      <c r="H19" s="712"/>
      <c r="I19" s="910"/>
      <c r="J19" s="735"/>
      <c r="K19" s="736"/>
      <c r="L19" s="687"/>
      <c r="M19" s="688"/>
    </row>
    <row r="20" spans="1:13">
      <c r="B20" s="684">
        <v>1983</v>
      </c>
      <c r="C20" s="774">
        <f>VLOOKUP($B20,Database!$A$74:$P$133,15,FALSE)</f>
        <v>13700000</v>
      </c>
      <c r="D20" s="772">
        <f>VLOOKUP($B20,Database!$A$83:$J$133,10,FALSE)</f>
        <v>11567348</v>
      </c>
      <c r="E20" s="711">
        <f t="shared" si="2"/>
        <v>2132652</v>
      </c>
      <c r="F20" s="709">
        <f t="shared" si="0"/>
        <v>4548204553104</v>
      </c>
      <c r="G20" s="687">
        <f t="shared" si="1"/>
        <v>-0.18436827525202837</v>
      </c>
      <c r="H20" s="712"/>
      <c r="I20" s="912"/>
      <c r="J20" s="735"/>
      <c r="K20" s="736"/>
      <c r="L20" s="687"/>
      <c r="M20" s="688"/>
    </row>
    <row r="21" spans="1:13">
      <c r="A21" s="698"/>
      <c r="B21" s="684">
        <v>1984</v>
      </c>
      <c r="C21" s="774">
        <f>VLOOKUP($B21,Database!$A$74:$P$133,15,FALSE)</f>
        <v>11800000</v>
      </c>
      <c r="D21" s="772">
        <f>VLOOKUP($B21,Database!$A$83:$J$133,10,FALSE)</f>
        <v>21201513</v>
      </c>
      <c r="E21" s="711">
        <f t="shared" si="2"/>
        <v>-9401513</v>
      </c>
      <c r="F21" s="709">
        <f t="shared" si="0"/>
        <v>88388446689169</v>
      </c>
      <c r="G21" s="687">
        <f t="shared" si="1"/>
        <v>0.44343594723640711</v>
      </c>
      <c r="H21" s="712"/>
      <c r="I21" s="912"/>
      <c r="J21" s="735"/>
      <c r="K21" s="736"/>
      <c r="L21" s="687"/>
      <c r="M21" s="688"/>
    </row>
    <row r="22" spans="1:13">
      <c r="A22" s="698"/>
      <c r="B22" s="684">
        <v>1985</v>
      </c>
      <c r="C22" s="774">
        <f>VLOOKUP($B22,Database!$A$74:$P$133,15,FALSE)</f>
        <v>14300000</v>
      </c>
      <c r="D22" s="772">
        <f>VLOOKUP($B22,Database!$A$83:$J$133,10,FALSE)</f>
        <v>19938105</v>
      </c>
      <c r="E22" s="711">
        <f t="shared" si="2"/>
        <v>-5638105</v>
      </c>
      <c r="F22" s="709">
        <f t="shared" ref="F22:F47" si="3">(D22-C22)^2</f>
        <v>31788227991025</v>
      </c>
      <c r="G22" s="687">
        <f t="shared" si="1"/>
        <v>0.28278038459522609</v>
      </c>
      <c r="H22" s="712"/>
      <c r="I22" s="912"/>
      <c r="J22" s="735"/>
      <c r="K22" s="736"/>
      <c r="L22" s="687"/>
      <c r="M22" s="688"/>
    </row>
    <row r="23" spans="1:13">
      <c r="A23" s="698"/>
      <c r="B23" s="684">
        <v>1986</v>
      </c>
      <c r="C23" s="774">
        <f>VLOOKUP($B23,Database!$A$74:$P$133,15,FALSE)</f>
        <v>16700000</v>
      </c>
      <c r="D23" s="772">
        <f>VLOOKUP($B23,Database!$A$83:$J$133,10,FALSE)</f>
        <v>5563957</v>
      </c>
      <c r="E23" s="711">
        <f t="shared" si="2"/>
        <v>11136043</v>
      </c>
      <c r="F23" s="709">
        <f t="shared" si="3"/>
        <v>124011453697849</v>
      </c>
      <c r="G23" s="687">
        <f t="shared" si="1"/>
        <v>-2.001461010572152</v>
      </c>
      <c r="H23" s="712"/>
      <c r="I23" s="912"/>
      <c r="J23" s="735"/>
      <c r="K23" s="736"/>
      <c r="L23" s="687"/>
      <c r="M23" s="688"/>
    </row>
    <row r="24" spans="1:13">
      <c r="A24" s="698"/>
      <c r="B24" s="684">
        <v>1987</v>
      </c>
      <c r="C24" s="774">
        <f>VLOOKUP($B24,Database!$A$74:$P$133,15,FALSE)</f>
        <v>8199999.9999999991</v>
      </c>
      <c r="D24" s="772">
        <f>VLOOKUP($B24,Database!$A$83:$J$133,10,FALSE)</f>
        <v>13066944</v>
      </c>
      <c r="E24" s="711">
        <f t="shared" si="2"/>
        <v>-4866944.0000000009</v>
      </c>
      <c r="F24" s="709">
        <f t="shared" si="3"/>
        <v>23687143899136.008</v>
      </c>
      <c r="G24" s="687">
        <f t="shared" si="1"/>
        <v>0.37246229875937337</v>
      </c>
      <c r="H24" s="712"/>
      <c r="I24" s="912"/>
      <c r="J24" s="735"/>
      <c r="K24" s="736"/>
      <c r="L24" s="687"/>
      <c r="M24" s="688"/>
    </row>
    <row r="25" spans="1:13">
      <c r="A25" s="698"/>
      <c r="B25" s="684">
        <v>1988</v>
      </c>
      <c r="C25" s="774">
        <f>VLOOKUP($B25,Database!$A$74:$P$133,15,FALSE)</f>
        <v>7210000</v>
      </c>
      <c r="D25" s="772">
        <f>VLOOKUP($B25,Database!$A$83:$J$133,10,FALSE)</f>
        <v>1766936</v>
      </c>
      <c r="E25" s="711">
        <f t="shared" si="2"/>
        <v>5443064</v>
      </c>
      <c r="F25" s="709">
        <f t="shared" si="3"/>
        <v>29626945708096</v>
      </c>
      <c r="G25" s="687">
        <f t="shared" si="1"/>
        <v>-3.0805099901750825</v>
      </c>
      <c r="H25" s="712"/>
      <c r="I25" s="912"/>
      <c r="J25" s="735"/>
      <c r="K25" s="736"/>
      <c r="L25" s="687"/>
      <c r="M25" s="688"/>
    </row>
    <row r="26" spans="1:13">
      <c r="A26" s="698"/>
      <c r="B26" s="684">
        <v>1989</v>
      </c>
      <c r="C26" s="774">
        <f>VLOOKUP($B26,Database!$A$74:$P$133,15,FALSE)</f>
        <v>20100000</v>
      </c>
      <c r="D26" s="772">
        <f>VLOOKUP($B26,Database!$A$83:$J$133,10,FALSE)</f>
        <v>4743750</v>
      </c>
      <c r="E26" s="711">
        <f t="shared" si="2"/>
        <v>15356250</v>
      </c>
      <c r="F26" s="709">
        <f t="shared" si="3"/>
        <v>235814414062500</v>
      </c>
      <c r="G26" s="687">
        <f t="shared" si="1"/>
        <v>-3.2371541501976284</v>
      </c>
      <c r="H26" s="712"/>
      <c r="I26" s="912"/>
      <c r="J26" s="735"/>
      <c r="K26" s="736"/>
      <c r="L26" s="687"/>
      <c r="M26" s="688"/>
    </row>
    <row r="27" spans="1:13">
      <c r="A27" s="698"/>
      <c r="B27" s="684">
        <v>1990</v>
      </c>
      <c r="C27" s="774">
        <f>VLOOKUP($B27,Database!$A$74:$P$133,15,FALSE)</f>
        <v>3800000</v>
      </c>
      <c r="D27" s="772">
        <f>VLOOKUP($B27,Database!$A$83:$J$133,10,FALSE)</f>
        <v>12923662</v>
      </c>
      <c r="E27" s="711">
        <f t="shared" si="2"/>
        <v>-9123662</v>
      </c>
      <c r="F27" s="709">
        <f t="shared" si="3"/>
        <v>83241208290244</v>
      </c>
      <c r="G27" s="687">
        <f t="shared" si="1"/>
        <v>0.70596569300558931</v>
      </c>
      <c r="H27" s="712"/>
      <c r="I27" s="912"/>
      <c r="J27" s="735"/>
      <c r="K27" s="736"/>
      <c r="L27" s="687"/>
      <c r="M27" s="688"/>
    </row>
    <row r="28" spans="1:13">
      <c r="A28" s="698"/>
      <c r="B28" s="684">
        <v>1991</v>
      </c>
      <c r="C28" s="774">
        <f>VLOOKUP($B28,Database!$A$74:$P$133,15,FALSE)</f>
        <v>7460000</v>
      </c>
      <c r="D28" s="772">
        <f>VLOOKUP($B28,Database!$A$83:$J$133,10,FALSE)</f>
        <v>7544776</v>
      </c>
      <c r="E28" s="711">
        <f t="shared" si="2"/>
        <v>-84776</v>
      </c>
      <c r="F28" s="709">
        <f t="shared" si="3"/>
        <v>7186970176</v>
      </c>
      <c r="G28" s="687">
        <f t="shared" si="1"/>
        <v>1.1236383956263248E-2</v>
      </c>
      <c r="H28" s="712"/>
      <c r="I28" s="912"/>
      <c r="J28" s="735"/>
      <c r="K28" s="736"/>
      <c r="L28" s="687"/>
      <c r="M28" s="688"/>
    </row>
    <row r="29" spans="1:13">
      <c r="A29" s="698"/>
      <c r="B29" s="684">
        <v>1992</v>
      </c>
      <c r="C29" s="774">
        <f>VLOOKUP($B29,Database!$A$74:$P$133,15,FALSE)</f>
        <v>2370000</v>
      </c>
      <c r="D29" s="772">
        <f>VLOOKUP($B29,Database!$A$83:$J$133,10,FALSE)</f>
        <v>1405383</v>
      </c>
      <c r="E29" s="711">
        <f t="shared" si="2"/>
        <v>964617</v>
      </c>
      <c r="F29" s="709">
        <f t="shared" si="3"/>
        <v>930485956689</v>
      </c>
      <c r="G29" s="687">
        <f t="shared" si="1"/>
        <v>-0.68637303852401799</v>
      </c>
      <c r="H29" s="712"/>
      <c r="I29" s="912"/>
      <c r="J29" s="735"/>
      <c r="K29" s="736"/>
      <c r="L29" s="687"/>
      <c r="M29" s="688"/>
    </row>
    <row r="30" spans="1:13">
      <c r="A30" s="698"/>
      <c r="B30" s="684">
        <v>1993</v>
      </c>
      <c r="C30" s="774">
        <f>VLOOKUP($B30,Database!$A$74:$P$133,15,FALSE)</f>
        <v>5410000</v>
      </c>
      <c r="D30" s="772">
        <f>VLOOKUP($B30,Database!$A$83:$J$133,10,FALSE)</f>
        <v>1542942</v>
      </c>
      <c r="E30" s="711">
        <f t="shared" si="2"/>
        <v>3867058</v>
      </c>
      <c r="F30" s="709">
        <f t="shared" si="3"/>
        <v>14954137575364</v>
      </c>
      <c r="G30" s="687">
        <f>(D30-C30)/D30</f>
        <v>-2.506288635606523</v>
      </c>
      <c r="H30" s="712"/>
      <c r="I30" s="912"/>
      <c r="J30" s="735"/>
      <c r="K30" s="736"/>
      <c r="L30" s="687"/>
      <c r="M30" s="688"/>
    </row>
    <row r="31" spans="1:13">
      <c r="A31" s="698"/>
      <c r="B31" s="684">
        <v>1994</v>
      </c>
      <c r="C31" s="774">
        <f>VLOOKUP($B31,Database!$A$74:$P$133,15,FALSE)</f>
        <v>1970000</v>
      </c>
      <c r="D31" s="772">
        <f>VLOOKUP($B31,Database!$A$83:$J$133,10,FALSE)</f>
        <v>4666639</v>
      </c>
      <c r="E31" s="711">
        <f t="shared" si="2"/>
        <v>-2696639</v>
      </c>
      <c r="F31" s="709">
        <f t="shared" si="3"/>
        <v>7271861896321</v>
      </c>
      <c r="G31" s="687">
        <f t="shared" si="1"/>
        <v>0.57785464013822363</v>
      </c>
      <c r="H31" s="712"/>
      <c r="I31" s="912"/>
      <c r="J31" s="735"/>
      <c r="K31" s="736"/>
      <c r="L31" s="687"/>
      <c r="M31" s="688"/>
    </row>
    <row r="32" spans="1:13">
      <c r="A32" s="698"/>
      <c r="B32" s="684">
        <v>1995</v>
      </c>
      <c r="C32" s="774">
        <f>VLOOKUP($B32,Database!$A$74:$P$133,15,FALSE)</f>
        <v>7700000</v>
      </c>
      <c r="D32" s="772">
        <f>VLOOKUP($B32,Database!$A$83:$J$133,10,FALSE)</f>
        <v>3934208</v>
      </c>
      <c r="E32" s="711">
        <f t="shared" si="2"/>
        <v>3765792</v>
      </c>
      <c r="F32" s="709">
        <f t="shared" si="3"/>
        <v>14181189387264</v>
      </c>
      <c r="G32" s="687">
        <f t="shared" si="1"/>
        <v>-0.95719189224362311</v>
      </c>
      <c r="H32" s="712"/>
      <c r="I32" s="734"/>
      <c r="J32" s="735"/>
      <c r="K32" s="736"/>
      <c r="L32" s="687"/>
      <c r="M32" s="688"/>
    </row>
    <row r="33" spans="1:13">
      <c r="A33" s="698"/>
      <c r="B33" s="288">
        <v>1996</v>
      </c>
      <c r="C33" s="774">
        <f>VLOOKUP($B33,Database!$A$74:$P$133,15,FALSE)</f>
        <v>6000000</v>
      </c>
      <c r="D33" s="772">
        <f>VLOOKUP($B33,Database!$A$83:$J$133,10,FALSE)</f>
        <v>4500085</v>
      </c>
      <c r="E33" s="711">
        <f t="shared" si="2"/>
        <v>1499915</v>
      </c>
      <c r="F33" s="709">
        <f t="shared" si="3"/>
        <v>2249745007225</v>
      </c>
      <c r="G33" s="687">
        <f t="shared" si="1"/>
        <v>-0.33330814862385932</v>
      </c>
      <c r="H33" s="712"/>
      <c r="I33" s="734"/>
      <c r="J33" s="735"/>
      <c r="K33" s="736"/>
      <c r="L33" s="687"/>
      <c r="M33" s="688"/>
    </row>
    <row r="34" spans="1:13">
      <c r="A34" s="698"/>
      <c r="B34" s="288">
        <v>1997</v>
      </c>
      <c r="C34" s="774">
        <f>VLOOKUP($B34,Database!$A$74:$P$133,15,FALSE)</f>
        <v>5200000</v>
      </c>
      <c r="D34" s="772">
        <f>VLOOKUP($B34,Database!$A$83:$J$133,10,FALSE)</f>
        <v>2588682</v>
      </c>
      <c r="E34" s="711">
        <f t="shared" si="2"/>
        <v>2611318</v>
      </c>
      <c r="F34" s="709">
        <f t="shared" si="3"/>
        <v>6818981697124</v>
      </c>
      <c r="G34" s="687">
        <f t="shared" si="1"/>
        <v>-1.008744218100176</v>
      </c>
      <c r="H34" s="712"/>
      <c r="I34" s="734"/>
      <c r="J34" s="735"/>
      <c r="K34" s="736"/>
      <c r="L34" s="687"/>
      <c r="M34" s="688"/>
    </row>
    <row r="35" spans="1:13">
      <c r="A35" s="698"/>
      <c r="B35" s="288">
        <v>1998</v>
      </c>
      <c r="C35" s="774">
        <f>VLOOKUP($B35,Database!$A$74:$P$133,15,FALSE)</f>
        <v>5900000</v>
      </c>
      <c r="D35" s="772">
        <f>VLOOKUP($B35,Database!$A$83:$J$133,10,FALSE)</f>
        <v>5274275.5</v>
      </c>
      <c r="E35" s="711">
        <f t="shared" si="2"/>
        <v>625724.5</v>
      </c>
      <c r="F35" s="709">
        <f t="shared" si="3"/>
        <v>391531149900.25</v>
      </c>
      <c r="G35" s="687">
        <f t="shared" si="1"/>
        <v>-0.11863705261509377</v>
      </c>
      <c r="H35" s="712"/>
      <c r="I35" s="734"/>
      <c r="J35" s="735"/>
      <c r="K35" s="736"/>
      <c r="L35" s="687"/>
      <c r="M35" s="688"/>
    </row>
    <row r="36" spans="1:13">
      <c r="A36" s="698"/>
      <c r="B36" s="288">
        <v>1999</v>
      </c>
      <c r="C36" s="774">
        <f>VLOOKUP($B36,Database!$A$74:$P$133,15,FALSE)</f>
        <v>6800000</v>
      </c>
      <c r="D36" s="772">
        <f>VLOOKUP($B36,Database!$A$83:$J$133,10,FALSE)</f>
        <v>9405198</v>
      </c>
      <c r="E36" s="711">
        <f t="shared" si="2"/>
        <v>-2605198</v>
      </c>
      <c r="F36" s="709">
        <f t="shared" si="3"/>
        <v>6787056619204</v>
      </c>
      <c r="G36" s="687">
        <f t="shared" si="1"/>
        <v>0.27699555075820836</v>
      </c>
      <c r="H36" s="774">
        <f>VLOOKUP($B36,Database!$A$74:$P$130,16,FALSE)</f>
        <v>5200000</v>
      </c>
      <c r="I36" s="773">
        <f>VLOOKUP($B36,Database!$A$74:$C$133,3,FALSE)</f>
        <v>6793207</v>
      </c>
      <c r="J36" s="709">
        <f t="shared" ref="J36:J47" si="4">(I36-H36)^2</f>
        <v>2538308544849</v>
      </c>
      <c r="K36" s="687">
        <f t="shared" ref="K36:K47" si="5">(I36-H36)/I36</f>
        <v>0.23452943506653043</v>
      </c>
      <c r="L36" s="687"/>
      <c r="M36" s="688"/>
    </row>
    <row r="37" spans="1:13">
      <c r="A37" s="698"/>
      <c r="B37" s="288">
        <v>2000</v>
      </c>
      <c r="C37" s="774">
        <f>VLOOKUP($B37,Database!$A$74:$P$133,15,FALSE)</f>
        <v>6600000</v>
      </c>
      <c r="D37" s="772">
        <f>VLOOKUP($B37,Database!$A$83:$J$133,10,FALSE)</f>
        <v>7389941</v>
      </c>
      <c r="E37" s="711">
        <f t="shared" si="2"/>
        <v>-789941</v>
      </c>
      <c r="F37" s="709">
        <f t="shared" si="3"/>
        <v>624006783481</v>
      </c>
      <c r="G37" s="687">
        <f t="shared" si="1"/>
        <v>0.10689408751707219</v>
      </c>
      <c r="H37" s="774">
        <f>VLOOKUP($B37,Database!$A$74:$P$130,16,FALSE)</f>
        <v>5200000</v>
      </c>
      <c r="I37" s="773">
        <f>VLOOKUP($B37,Database!$A$74:$C$133,3,FALSE)</f>
        <v>5660513</v>
      </c>
      <c r="J37" s="709">
        <f t="shared" si="4"/>
        <v>212072223169</v>
      </c>
      <c r="K37" s="687">
        <f t="shared" si="5"/>
        <v>8.1355347121365149E-2</v>
      </c>
      <c r="L37" s="687"/>
      <c r="M37" s="688"/>
    </row>
    <row r="38" spans="1:13">
      <c r="A38" s="698"/>
      <c r="B38" s="288">
        <v>2001</v>
      </c>
      <c r="C38" s="774">
        <f>VLOOKUP($B38,Database!$A$74:$P$133,15,FALSE)</f>
        <v>4600000</v>
      </c>
      <c r="D38" s="772">
        <f>VLOOKUP($B38,Database!$A$83:$J$133,10,FALSE)</f>
        <v>8854676.9808041956</v>
      </c>
      <c r="E38" s="711">
        <f t="shared" si="2"/>
        <v>-4254676.9808041956</v>
      </c>
      <c r="F38" s="709">
        <f t="shared" si="3"/>
        <v>18102276210985.105</v>
      </c>
      <c r="G38" s="687">
        <f t="shared" si="1"/>
        <v>0.48050052983612951</v>
      </c>
      <c r="H38" s="774">
        <f>VLOOKUP($B38,Database!$A$74:$P$130,16,FALSE)</f>
        <v>3200000</v>
      </c>
      <c r="I38" s="773">
        <f>VLOOKUP($B38,Database!$A$74:$C$133,3,FALSE)</f>
        <v>6705936.700407384</v>
      </c>
      <c r="J38" s="709">
        <f t="shared" si="4"/>
        <v>12291592147263.414</v>
      </c>
      <c r="K38" s="687">
        <f t="shared" si="5"/>
        <v>0.52281088489761607</v>
      </c>
      <c r="L38" s="687"/>
      <c r="M38" s="688"/>
    </row>
    <row r="39" spans="1:13">
      <c r="A39" s="698"/>
      <c r="B39" s="288">
        <v>2002</v>
      </c>
      <c r="C39" s="774">
        <f>VLOOKUP($B39,Database!$A$74:$P$133,15,FALSE)</f>
        <v>5130000</v>
      </c>
      <c r="D39" s="772">
        <f>VLOOKUP($B39,Database!$A$83:$J$133,10,FALSE)</f>
        <v>1264645.3102025923</v>
      </c>
      <c r="E39" s="711">
        <f t="shared" si="2"/>
        <v>3865354.6897974079</v>
      </c>
      <c r="F39" s="709">
        <f t="shared" si="3"/>
        <v>14940966877938.816</v>
      </c>
      <c r="G39" s="687">
        <f t="shared" si="1"/>
        <v>-3.0564733515503963</v>
      </c>
      <c r="H39" s="774">
        <f>VLOOKUP($B39,Database!$A$74:$P$130,16,FALSE)</f>
        <v>3130000</v>
      </c>
      <c r="I39" s="773">
        <f>VLOOKUP($B39,Database!$A$74:$C$133,3,FALSE)</f>
        <v>236842.54556606748</v>
      </c>
      <c r="J39" s="709">
        <f t="shared" si="4"/>
        <v>8370360056146.6318</v>
      </c>
      <c r="K39" s="687">
        <f t="shared" si="5"/>
        <v>-12.215530987133741</v>
      </c>
      <c r="L39" s="687"/>
      <c r="M39" s="688"/>
    </row>
    <row r="40" spans="1:13">
      <c r="A40" s="698"/>
      <c r="B40" s="288">
        <v>2003</v>
      </c>
      <c r="C40" s="774">
        <f>VLOOKUP($B40,Database!$A$74:$P$133,15,FALSE)</f>
        <v>4620000</v>
      </c>
      <c r="D40" s="772">
        <f>VLOOKUP($B40,Database!$A$83:$J$133,10,FALSE)</f>
        <v>7344511.9398193061</v>
      </c>
      <c r="E40" s="711">
        <f t="shared" si="2"/>
        <v>-2724511.9398193061</v>
      </c>
      <c r="F40" s="709">
        <f t="shared" si="3"/>
        <v>7422965310217.958</v>
      </c>
      <c r="G40" s="687">
        <f t="shared" si="1"/>
        <v>0.37095888224348589</v>
      </c>
      <c r="H40" s="774">
        <f>VLOOKUP($B40,Database!$A$74:$P$130,16,FALSE)</f>
        <v>2620000</v>
      </c>
      <c r="I40" s="773">
        <f>VLOOKUP($B40,Database!$A$74:$C$133,3,FALSE)</f>
        <v>4493948.7314859722</v>
      </c>
      <c r="J40" s="709">
        <f t="shared" si="4"/>
        <v>3511683848237.8843</v>
      </c>
      <c r="K40" s="687">
        <f t="shared" si="5"/>
        <v>0.41699379397822611</v>
      </c>
      <c r="L40" s="687"/>
      <c r="M40" s="688"/>
    </row>
    <row r="41" spans="1:13">
      <c r="A41" s="698"/>
      <c r="B41" s="288">
        <v>2004</v>
      </c>
      <c r="C41" s="774">
        <f>VLOOKUP($B41,Database!$A$74:$P$133,15,FALSE)</f>
        <v>5480000</v>
      </c>
      <c r="D41" s="772">
        <f>VLOOKUP($B41,Database!$A$83:$J$133,10,FALSE)</f>
        <v>4939431.0563474381</v>
      </c>
      <c r="E41" s="711">
        <f t="shared" si="2"/>
        <v>540568.94365256187</v>
      </c>
      <c r="F41" s="709">
        <f t="shared" si="3"/>
        <v>292214782841.64661</v>
      </c>
      <c r="G41" s="687">
        <f t="shared" si="1"/>
        <v>-0.10943951590495454</v>
      </c>
      <c r="H41" s="774">
        <f>VLOOKUP($B41,Database!$A$74:$P$130,16,FALSE)</f>
        <v>3480000</v>
      </c>
      <c r="I41" s="773">
        <f>VLOOKUP($B41,Database!$A$74:$C$133,3,FALSE)</f>
        <v>2870874.2919837157</v>
      </c>
      <c r="J41" s="709">
        <f t="shared" si="4"/>
        <v>371034128166.3396</v>
      </c>
      <c r="K41" s="687">
        <f t="shared" si="5"/>
        <v>-0.21217428771337488</v>
      </c>
      <c r="L41" s="687"/>
      <c r="M41" s="688"/>
    </row>
    <row r="42" spans="1:13" ht="17" thickBot="1">
      <c r="A42" s="698"/>
      <c r="B42" s="288">
        <v>2005</v>
      </c>
      <c r="C42" s="774">
        <f>VLOOKUP($B42,Database!$A$74:$P$133,15,FALSE)</f>
        <v>4290000</v>
      </c>
      <c r="D42" s="772">
        <f>VLOOKUP($B42,Database!$A$83:$J$133,10,FALSE)</f>
        <v>17032487.685321052</v>
      </c>
      <c r="E42" s="711">
        <f t="shared" si="2"/>
        <v>-12742487.685321052</v>
      </c>
      <c r="F42" s="709">
        <f t="shared" si="3"/>
        <v>162370992410558.66</v>
      </c>
      <c r="G42" s="687">
        <f t="shared" si="1"/>
        <v>0.74812839561321332</v>
      </c>
      <c r="H42" s="774">
        <f>VLOOKUP($B42,Database!$A$74:$P$130,16,FALSE)</f>
        <v>2290000</v>
      </c>
      <c r="I42" s="773">
        <f>VLOOKUP($B42,Database!$A$74:$C$133,3,FALSE)</f>
        <v>12256106.828178193</v>
      </c>
      <c r="J42" s="709">
        <f t="shared" si="4"/>
        <v>99323285310660.016</v>
      </c>
      <c r="K42" s="687">
        <f t="shared" si="5"/>
        <v>0.81315437013530045</v>
      </c>
      <c r="L42" s="687"/>
      <c r="M42" s="688"/>
    </row>
    <row r="43" spans="1:13">
      <c r="A43" s="698"/>
      <c r="B43" s="288">
        <v>2006</v>
      </c>
      <c r="C43" s="774">
        <f>VLOOKUP($B43,Database!$A$74:$P$133,15,FALSE)</f>
        <v>4660000</v>
      </c>
      <c r="D43" s="772">
        <f>VLOOKUP($B43,Database!$A$83:$J$133,10,FALSE)</f>
        <v>3314702.7753436686</v>
      </c>
      <c r="E43" s="711">
        <f t="shared" si="2"/>
        <v>1345297.2246563314</v>
      </c>
      <c r="F43" s="881">
        <f t="shared" si="3"/>
        <v>1809824622668.0276</v>
      </c>
      <c r="G43" s="882">
        <f t="shared" si="1"/>
        <v>-0.40585757331344763</v>
      </c>
      <c r="H43" s="774">
        <f>VLOOKUP($B43,Database!$A$74:$P$130,16,FALSE)</f>
        <v>2660000</v>
      </c>
      <c r="I43" s="773">
        <f>VLOOKUP($B43,Database!$A$74:$C$133,3,FALSE)</f>
        <v>1983120.7161293393</v>
      </c>
      <c r="J43" s="881">
        <f t="shared" si="4"/>
        <v>458165564933.25848</v>
      </c>
      <c r="K43" s="882">
        <f t="shared" si="5"/>
        <v>-0.34132026273811289</v>
      </c>
      <c r="L43" s="687"/>
      <c r="M43" s="688"/>
    </row>
    <row r="44" spans="1:13">
      <c r="A44" s="698"/>
      <c r="B44" s="288">
        <v>2007</v>
      </c>
      <c r="C44" s="774">
        <f>VLOOKUP($B44,Database!$A$74:$P$133,15,FALSE)</f>
        <v>12900000</v>
      </c>
      <c r="D44" s="772">
        <f>VLOOKUP($B44,Database!$A$83:$J$133,10,FALSE)</f>
        <v>11526987.795003444</v>
      </c>
      <c r="E44" s="711">
        <f t="shared" si="2"/>
        <v>1373012.204996556</v>
      </c>
      <c r="F44" s="883">
        <f t="shared" si="3"/>
        <v>1885162515069.5049</v>
      </c>
      <c r="G44" s="884">
        <f t="shared" si="1"/>
        <v>-0.11911283584352453</v>
      </c>
      <c r="H44" s="774">
        <f>VLOOKUP($B44,Database!$A$74:$P$130,16,FALSE)</f>
        <v>10900000</v>
      </c>
      <c r="I44" s="773">
        <f>VLOOKUP($B44,Database!$A$74:$C$133,3,FALSE)</f>
        <v>9967663.2895603608</v>
      </c>
      <c r="J44" s="883">
        <f t="shared" si="4"/>
        <v>869251741633.40759</v>
      </c>
      <c r="K44" s="884">
        <f t="shared" si="5"/>
        <v>-9.3536136138960738E-2</v>
      </c>
      <c r="L44" s="687"/>
      <c r="M44" s="688"/>
    </row>
    <row r="45" spans="1:13">
      <c r="A45" s="698"/>
      <c r="B45" s="288">
        <v>2008</v>
      </c>
      <c r="C45" s="774">
        <f>VLOOKUP($B45,Database!$A$74:$P$133,15,FALSE)</f>
        <v>3510000</v>
      </c>
      <c r="D45" s="772">
        <f>VLOOKUP($B45,Database!$A$83:$J$133,10,FALSE)</f>
        <v>2290691.6775990888</v>
      </c>
      <c r="E45" s="711">
        <f t="shared" si="2"/>
        <v>1219308.3224009112</v>
      </c>
      <c r="F45" s="883">
        <f t="shared" si="3"/>
        <v>1486712785076.1245</v>
      </c>
      <c r="G45" s="884">
        <f t="shared" si="1"/>
        <v>-0.53228827533825418</v>
      </c>
      <c r="H45" s="774">
        <f>VLOOKUP($B45,Database!$A$74:$P$130,16,FALSE)</f>
        <v>1510000</v>
      </c>
      <c r="I45" s="773">
        <f>VLOOKUP($B45,Database!$A$74:$C$133,3,FALSE)</f>
        <v>1371156.4260196264</v>
      </c>
      <c r="J45" s="883">
        <f t="shared" si="4"/>
        <v>19277538035.643467</v>
      </c>
      <c r="K45" s="884">
        <f t="shared" si="5"/>
        <v>-0.10126020003671425</v>
      </c>
      <c r="L45" s="694"/>
      <c r="M45" s="695"/>
    </row>
    <row r="46" spans="1:13">
      <c r="A46" s="698"/>
      <c r="B46" s="288">
        <v>2009</v>
      </c>
      <c r="C46" s="774">
        <f>VLOOKUP($B46,Database!$A$74:$P$133,15,FALSE)</f>
        <v>14280000</v>
      </c>
      <c r="D46" s="772">
        <f>VLOOKUP($B46,Database!$A$83:$J$133,10,FALSE)</f>
        <v>2824330.6070667375</v>
      </c>
      <c r="E46" s="711">
        <f t="shared" si="2"/>
        <v>11455669.392933263</v>
      </c>
      <c r="F46" s="883">
        <f t="shared" si="3"/>
        <v>131232361240187.94</v>
      </c>
      <c r="G46" s="884">
        <f t="shared" si="1"/>
        <v>-4.0560653077476534</v>
      </c>
      <c r="H46" s="774">
        <f>VLOOKUP($B46,Database!$A$74:$P$130,16,FALSE)</f>
        <v>12280000</v>
      </c>
      <c r="I46" s="773">
        <f>VLOOKUP($B46,Database!$A$74:$C$133,3,FALSE)</f>
        <v>910000.69957974285</v>
      </c>
      <c r="J46" s="883">
        <f t="shared" si="4"/>
        <v>129276884091557.12</v>
      </c>
      <c r="K46" s="884">
        <f t="shared" si="5"/>
        <v>-12.494495120356673</v>
      </c>
      <c r="L46" s="696"/>
      <c r="M46" s="697"/>
    </row>
    <row r="47" spans="1:13">
      <c r="A47" s="698"/>
      <c r="B47" s="288">
        <v>2010</v>
      </c>
      <c r="C47" s="774">
        <f>VLOOKUP($B47,Database!$A$74:$P$133,15,FALSE)</f>
        <v>2801000</v>
      </c>
      <c r="D47" s="772">
        <f>VLOOKUP($B47,Database!$A$83:$J$133,10,FALSE)</f>
        <v>4399390.7272172375</v>
      </c>
      <c r="E47" s="711">
        <f t="shared" si="2"/>
        <v>-1598390.7272172375</v>
      </c>
      <c r="F47" s="885">
        <f t="shared" si="3"/>
        <v>2554852916854.0493</v>
      </c>
      <c r="G47" s="884">
        <f t="shared" si="1"/>
        <v>0.36332092926610166</v>
      </c>
      <c r="H47" s="774">
        <f>VLOOKUP($B47,Database!$A$74:$P$130,16,FALSE)</f>
        <v>801000</v>
      </c>
      <c r="I47" s="773">
        <f>VLOOKUP($B47,Database!$A$74:$C$133,3,FALSE)</f>
        <v>2325412.6096819355</v>
      </c>
      <c r="J47" s="883">
        <f t="shared" si="4"/>
        <v>2323833804557.2891</v>
      </c>
      <c r="K47" s="884">
        <f t="shared" si="5"/>
        <v>0.65554500020125073</v>
      </c>
      <c r="L47" s="700"/>
      <c r="M47" s="701"/>
    </row>
    <row r="48" spans="1:13" s="839" customFormat="1">
      <c r="A48" s="1101"/>
      <c r="B48" s="799">
        <v>2011</v>
      </c>
      <c r="C48" s="774">
        <f>VLOOKUP($B48,Database!$A$74:$P$133,15,FALSE)</f>
        <v>5550000</v>
      </c>
      <c r="D48" s="800">
        <f>VLOOKUP($B48,Database!$A$83:$J$133,10,FALSE)</f>
        <v>9643099</v>
      </c>
      <c r="E48" s="1102">
        <f t="shared" si="2"/>
        <v>-4093099</v>
      </c>
      <c r="F48" s="883">
        <f t="shared" ref="F48:F50" si="6">(D48-C48)^2</f>
        <v>16753459423801</v>
      </c>
      <c r="G48" s="884">
        <f t="shared" ref="G48:G50" si="7">(D48-C48)/D48</f>
        <v>0.42445887986839087</v>
      </c>
      <c r="H48" s="774">
        <f>VLOOKUP($B48,Database!$A$74:$P$130,16,FALSE)</f>
        <v>3550000</v>
      </c>
      <c r="I48" s="773">
        <f>VLOOKUP($B48,Database!$A$74:$C$133,3,FALSE)</f>
        <v>5564873</v>
      </c>
      <c r="J48" s="883">
        <f t="shared" ref="J48:J50" si="8">(I48-H48)^2</f>
        <v>4059713206129</v>
      </c>
      <c r="K48" s="884">
        <f t="shared" ref="K48:K50" si="9">(I48-H48)/I48</f>
        <v>0.36206989809111545</v>
      </c>
      <c r="L48" s="697"/>
      <c r="M48" s="697"/>
    </row>
    <row r="49" spans="1:13">
      <c r="A49" s="698"/>
      <c r="B49" s="288">
        <v>2012</v>
      </c>
      <c r="C49" s="774">
        <f>VLOOKUP($B49,Database!$A$74:$P$133,15,FALSE)</f>
        <v>4400000</v>
      </c>
      <c r="D49" s="772">
        <f>VLOOKUP($B49,Database!$A$83:$J$133,10,FALSE)</f>
        <v>4428267.5450134957</v>
      </c>
      <c r="E49" s="711">
        <f t="shared" si="2"/>
        <v>-28267.545013495721</v>
      </c>
      <c r="F49" s="885">
        <f t="shared" si="6"/>
        <v>799054101.09000683</v>
      </c>
      <c r="G49" s="884">
        <f t="shared" si="7"/>
        <v>6.383432059186833E-3</v>
      </c>
      <c r="H49" s="774">
        <f>VLOOKUP($B49,Database!$A$74:$P$130,16,FALSE)</f>
        <v>3210000</v>
      </c>
      <c r="I49" s="773">
        <f>VLOOKUP($B49,Database!$A$74:$C$133,3,FALSE)</f>
        <v>3288580.30084719</v>
      </c>
      <c r="J49" s="883">
        <f t="shared" si="8"/>
        <v>6174863681.2348843</v>
      </c>
      <c r="K49" s="884">
        <f t="shared" si="9"/>
        <v>2.3894901038890991E-2</v>
      </c>
      <c r="L49" s="696"/>
      <c r="M49" s="697"/>
    </row>
    <row r="50" spans="1:13">
      <c r="A50" s="698"/>
      <c r="B50" s="288">
        <v>2013</v>
      </c>
      <c r="C50" s="774">
        <f>VLOOKUP($B50,Database!$A$74:$P$133,15,FALSE)</f>
        <v>6233715</v>
      </c>
      <c r="D50" s="772">
        <f>VLOOKUP($B50,Database!$A$83:$J$133,10,FALSE)</f>
        <v>21965453</v>
      </c>
      <c r="E50" s="711">
        <f t="shared" si="2"/>
        <v>-15731738</v>
      </c>
      <c r="F50" s="883">
        <f t="shared" si="6"/>
        <v>247487580500644</v>
      </c>
      <c r="G50" s="884">
        <f t="shared" si="7"/>
        <v>0.71620366764118182</v>
      </c>
      <c r="H50" s="774">
        <f>VLOOKUP($B50,Database!$A$74:$P$130,16,FALSE)</f>
        <v>4751000</v>
      </c>
      <c r="I50" s="773">
        <f>VLOOKUP($B50,Database!$A$74:$C$133,3,FALSE)</f>
        <v>17267227</v>
      </c>
      <c r="J50" s="883">
        <f t="shared" si="8"/>
        <v>156655938315529</v>
      </c>
      <c r="K50" s="884">
        <f t="shared" si="9"/>
        <v>0.72485448879545045</v>
      </c>
      <c r="L50" s="696"/>
      <c r="M50" s="697"/>
    </row>
    <row r="51" spans="1:13">
      <c r="A51" s="698"/>
      <c r="B51" s="288">
        <v>2014</v>
      </c>
      <c r="C51" s="774">
        <f>'Exp_smoothing damp_Tot_even'!C43</f>
        <v>4385798.0914238207</v>
      </c>
      <c r="D51" s="772">
        <f>VLOOKUP($B51,Database!$A$83:$J$133,10,FALSE)</f>
        <v>2702397</v>
      </c>
      <c r="E51" s="711">
        <f t="shared" ref="E51" si="10">C51-D51</f>
        <v>1683401.0914238207</v>
      </c>
      <c r="F51" s="885">
        <f t="shared" ref="F51" si="11">(D51-C51)^2</f>
        <v>2833839234606.9106</v>
      </c>
      <c r="G51" s="884">
        <f t="shared" ref="G51" si="12">(D51-C51)/D51</f>
        <v>-0.62292886331054276</v>
      </c>
      <c r="H51" s="774">
        <f>VLOOKUP($B51,Database!$A$74:$P$130,16,FALSE)</f>
        <v>3140000</v>
      </c>
      <c r="I51" s="773">
        <f>VLOOKUP($B51,Database!$A$74:$C$133,3,FALSE)</f>
        <v>1884365</v>
      </c>
      <c r="J51" s="883">
        <f t="shared" ref="J51" si="13">(I51-H51)^2</f>
        <v>1576619253225</v>
      </c>
      <c r="K51" s="884">
        <f t="shared" ref="K51" si="14">(I51-H51)/I51</f>
        <v>-0.66634383466048241</v>
      </c>
      <c r="L51" s="696"/>
      <c r="M51" s="697"/>
    </row>
    <row r="52" spans="1:13">
      <c r="A52" s="698"/>
      <c r="B52" s="288">
        <v>2015</v>
      </c>
      <c r="C52" s="774">
        <f>'Lag1_Exp_smooth_Total Run Odd'!F51</f>
        <v>16873383.86445925</v>
      </c>
      <c r="D52" s="772"/>
      <c r="E52" s="711"/>
      <c r="F52" s="885"/>
      <c r="G52" s="884"/>
      <c r="H52" s="774">
        <f>VLOOKUP($B52,Database!$A$74:$P$130,16,FALSE)</f>
        <v>0</v>
      </c>
      <c r="I52" s="773"/>
      <c r="J52" s="883"/>
      <c r="K52" s="884"/>
      <c r="L52" s="696"/>
      <c r="M52" s="697"/>
    </row>
    <row r="53" spans="1:13">
      <c r="A53" s="698"/>
      <c r="B53" s="931"/>
      <c r="C53" s="932"/>
      <c r="D53" s="933"/>
      <c r="E53" s="933"/>
      <c r="F53" s="934"/>
      <c r="G53" s="935"/>
      <c r="H53" s="932"/>
      <c r="I53" s="936"/>
      <c r="J53" s="937"/>
      <c r="K53" s="938"/>
      <c r="L53" s="696"/>
      <c r="M53" s="697"/>
    </row>
    <row r="54" spans="1:13">
      <c r="A54" s="698"/>
      <c r="B54" s="288"/>
      <c r="C54" s="691"/>
      <c r="D54" s="707"/>
      <c r="E54" s="707"/>
      <c r="F54" s="886"/>
      <c r="G54" s="887"/>
      <c r="H54" s="691"/>
      <c r="I54" s="717"/>
      <c r="J54" s="883"/>
      <c r="K54" s="884"/>
      <c r="L54" s="697"/>
      <c r="M54" s="697"/>
    </row>
    <row r="55" spans="1:13" ht="17" thickBot="1">
      <c r="A55" s="1160" t="s">
        <v>363</v>
      </c>
      <c r="B55" s="1160"/>
      <c r="C55" s="1160"/>
      <c r="D55" s="1160"/>
      <c r="E55" s="706"/>
      <c r="F55" s="888"/>
      <c r="G55" s="889"/>
      <c r="H55" s="693"/>
      <c r="I55" s="706"/>
      <c r="J55" s="890"/>
      <c r="K55" s="891"/>
      <c r="L55" s="694"/>
      <c r="M55" s="695"/>
    </row>
    <row r="56" spans="1:13">
      <c r="A56" s="781"/>
      <c r="B56" s="823"/>
      <c r="C56" s="783"/>
      <c r="D56" s="781" t="s">
        <v>309</v>
      </c>
      <c r="E56" s="781"/>
      <c r="F56" s="709">
        <f>SUM(F$14:F55)</f>
        <v>1507783964909622</v>
      </c>
      <c r="G56" s="700">
        <f>SUM(G$14:G55)</f>
        <v>-15.772147626017693</v>
      </c>
      <c r="H56" s="783"/>
      <c r="I56" s="781" t="str">
        <f>D56</f>
        <v>Total Squared Error</v>
      </c>
      <c r="J56" s="709">
        <f>SUM(J$43:J55)</f>
        <v>295245858379280.94</v>
      </c>
      <c r="K56" s="696">
        <f>SUM(K$43:K55)</f>
        <v>-11.930591265804233</v>
      </c>
      <c r="L56" s="706"/>
      <c r="M56" s="674"/>
    </row>
    <row r="57" spans="1:13">
      <c r="A57" s="706"/>
      <c r="B57" s="684"/>
      <c r="C57" s="693"/>
      <c r="D57" s="706" t="s">
        <v>375</v>
      </c>
      <c r="E57" s="706"/>
      <c r="F57" s="699">
        <f>SQRT(F56/$D$6)</f>
        <v>7615227.5709963115</v>
      </c>
      <c r="G57" s="700">
        <f>G56/COUNTA(G$43:G55)</f>
        <v>-1.7524608473352992</v>
      </c>
      <c r="H57" s="693"/>
      <c r="I57" s="706" t="str">
        <f>D57</f>
        <v>Mean Squared Error</v>
      </c>
      <c r="J57" s="699">
        <f>SQRT(J56/G6)</f>
        <v>4436559.165083386</v>
      </c>
      <c r="K57" s="700">
        <f>K56/COUNTA(K$43:K55)</f>
        <v>-1.325621251756026</v>
      </c>
      <c r="L57" s="702"/>
      <c r="M57" s="703"/>
    </row>
    <row r="58" spans="1:13">
      <c r="A58" s="706"/>
      <c r="B58" s="706"/>
      <c r="C58" s="693"/>
      <c r="D58" s="706" t="s">
        <v>312</v>
      </c>
      <c r="E58" s="706"/>
      <c r="F58" s="778"/>
      <c r="G58" s="700">
        <f>G57*0.8</f>
        <v>-1.4019686778682394</v>
      </c>
      <c r="H58" s="693"/>
      <c r="I58" s="706" t="s">
        <v>312</v>
      </c>
      <c r="J58" s="706"/>
      <c r="K58" s="696">
        <f>K57*0.8</f>
        <v>-1.0604970014048207</v>
      </c>
      <c r="L58" s="706"/>
      <c r="M58" s="707"/>
    </row>
    <row r="59" spans="1:13">
      <c r="A59" s="789"/>
      <c r="B59" s="790"/>
      <c r="C59" s="790" t="s">
        <v>313</v>
      </c>
      <c r="D59" s="791" t="s">
        <v>314</v>
      </c>
      <c r="E59" s="791"/>
      <c r="F59" s="792">
        <f>F57*$D$8</f>
        <v>10013809.995877262</v>
      </c>
      <c r="G59" s="793">
        <f>F59/C52</f>
        <v>0.5934677997203367</v>
      </c>
      <c r="H59" s="794"/>
      <c r="I59" s="789" t="s">
        <v>314</v>
      </c>
      <c r="J59" s="795">
        <f>J57*$G$8</f>
        <v>5947676.0962711181</v>
      </c>
      <c r="K59" s="796">
        <f>J59/H51</f>
        <v>1.8941643618697828</v>
      </c>
      <c r="L59" s="706"/>
      <c r="M59" s="674"/>
    </row>
    <row r="60" spans="1:13">
      <c r="A60" s="706"/>
      <c r="B60" s="684"/>
      <c r="C60" s="693"/>
      <c r="D60" s="706"/>
      <c r="E60" s="706"/>
      <c r="F60" s="779"/>
      <c r="G60" s="780"/>
      <c r="H60" s="693"/>
      <c r="I60" s="706"/>
      <c r="J60" s="706"/>
      <c r="K60" s="694"/>
      <c r="L60" s="706"/>
      <c r="M60" s="674"/>
    </row>
    <row r="61" spans="1:13" ht="17" thickBot="1">
      <c r="A61" s="673"/>
      <c r="B61" s="673"/>
      <c r="C61" s="672"/>
      <c r="D61" s="673"/>
      <c r="E61" s="673"/>
      <c r="F61" s="673"/>
      <c r="G61" s="673"/>
      <c r="H61" s="672"/>
      <c r="I61" s="673"/>
      <c r="J61" s="673"/>
      <c r="K61" s="673"/>
      <c r="L61" s="673"/>
      <c r="M61" s="674"/>
    </row>
    <row r="62" spans="1:13">
      <c r="A62" s="813"/>
      <c r="B62" s="814"/>
      <c r="C62" s="815" t="s">
        <v>259</v>
      </c>
      <c r="D62" s="816"/>
      <c r="E62" s="189"/>
      <c r="F62" s="814"/>
      <c r="G62" s="814"/>
      <c r="H62" s="815" t="s">
        <v>305</v>
      </c>
      <c r="I62" s="816"/>
      <c r="J62" s="817"/>
      <c r="K62" s="818"/>
      <c r="L62" s="673"/>
      <c r="M62" s="674"/>
    </row>
    <row r="63" spans="1:13">
      <c r="A63" s="819"/>
      <c r="B63" s="704" t="s">
        <v>316</v>
      </c>
      <c r="C63" s="704" t="s">
        <v>75</v>
      </c>
      <c r="D63" s="705" t="s">
        <v>317</v>
      </c>
      <c r="E63" s="798" t="s">
        <v>315</v>
      </c>
      <c r="F63" s="820"/>
      <c r="G63" s="704" t="s">
        <v>316</v>
      </c>
      <c r="H63" s="704" t="s">
        <v>75</v>
      </c>
      <c r="I63" s="705" t="s">
        <v>317</v>
      </c>
      <c r="J63" s="705" t="s">
        <v>306</v>
      </c>
      <c r="K63" s="821"/>
    </row>
    <row r="64" spans="1:13">
      <c r="A64" s="749"/>
      <c r="B64" s="97">
        <v>5</v>
      </c>
      <c r="C64" s="699">
        <f>AVERAGE(INDEX(C$14:C$55,COUNT($B$14:$B$55)-1,0):INDEX(C$14:C$55,COUNT($B$14:$B$55)-$B64,0))</f>
        <v>4674102.6182847638</v>
      </c>
      <c r="D64" s="699">
        <f>AVERAGE(INDEX(D$14:D$55,COUNT($B$14:$B$55)-1,0):INDEX(D$14:D$55,COUNT($B$14:$B$55)-$B64,0))</f>
        <v>8627721.4544461463</v>
      </c>
      <c r="E64" s="711">
        <f>C64-D64</f>
        <v>-3953618.8361613825</v>
      </c>
      <c r="F64" s="97"/>
      <c r="G64" s="97">
        <v>5</v>
      </c>
      <c r="H64" s="699">
        <f>AVERAGE(INDEX(H$14:H$55,COUNT($B$14:$B$55)-1,0):INDEX(H$14:H$55,COUNT($B$14:$B$55)-$B64,0))</f>
        <v>3090400</v>
      </c>
      <c r="I64" s="699">
        <f>AVERAGE(INDEX(I$14:I$55,COUNT($B$14:$B$55)-1,0):INDEX(I$14:I$55,COUNT($B$14:$B$55)-$B64,0))</f>
        <v>6066091.5821058247</v>
      </c>
      <c r="J64" s="711">
        <f>H64-I64</f>
        <v>-2975691.5821058247</v>
      </c>
      <c r="K64" s="191"/>
    </row>
    <row r="65" spans="1:11">
      <c r="A65" s="749"/>
      <c r="B65" s="97">
        <v>10</v>
      </c>
      <c r="C65" s="699">
        <f>AVERAGE(INDEX(C$14:C$55,COUNT($B$14:$B$55)-1,0):INDEX(C$14:C$55,COUNT($B$14:$B$55)-$B65,0))</f>
        <v>6301051.3091423828</v>
      </c>
      <c r="D65" s="699">
        <f>AVERAGE(INDEX(D$14:D$55,COUNT($B$14:$B$55)-1,0):INDEX(D$14:D$55,COUNT($B$14:$B$55)-$B65,0))</f>
        <v>8012780.7812564718</v>
      </c>
      <c r="E65" s="711">
        <f>C65-D65</f>
        <v>-1711729.4721140889</v>
      </c>
      <c r="F65" s="97"/>
      <c r="G65" s="97">
        <v>10</v>
      </c>
      <c r="H65" s="699">
        <f>AVERAGE(INDEX(H$14:H$55,COUNT($B$14:$B$55)-1,0):INDEX(H$14:H$55,COUNT($B$14:$B$55)-$B65,0))</f>
        <v>4509200</v>
      </c>
      <c r="I65" s="699">
        <f>AVERAGE(INDEX(I$14:I$55,COUNT($B$14:$B$55)-1,0):INDEX(I$14:I$55,COUNT($B$14:$B$55)-$B65,0))</f>
        <v>5681850.586999638</v>
      </c>
      <c r="J65" s="711">
        <f>H65-I65</f>
        <v>-1172650.586999638</v>
      </c>
      <c r="K65" s="191"/>
    </row>
    <row r="66" spans="1:11">
      <c r="A66" s="749"/>
      <c r="B66" s="97">
        <v>20</v>
      </c>
      <c r="C66" s="699">
        <f>AVERAGE(INDEX(C$14:C$55,COUNT($B$14:$B$55)-1,0):INDEX(C$14:C$55,COUNT($B$14:$B$55)-$B66,0))</f>
        <v>6052025.6545711914</v>
      </c>
      <c r="D66" s="699">
        <f>AVERAGE(INDEX(D$14:D$55,COUNT($B$14:$B$55)-1,0):INDEX(D$14:D$55,COUNT($B$14:$B$55)-$B66,0))</f>
        <v>6781173.1299869139</v>
      </c>
      <c r="E66" s="711">
        <f>C66-D66</f>
        <v>-729147.47541572247</v>
      </c>
      <c r="F66" s="97"/>
      <c r="G66" s="97">
        <v>20</v>
      </c>
      <c r="H66" s="699">
        <f>AVERAGE(INDEX(H$14:H$55,COUNT($B$14:$B$55)-1,0):INDEX(H$14:H$55,COUNT($B$14:$B$55)-$B66,0))</f>
        <v>4245125</v>
      </c>
      <c r="I66" s="699">
        <f>AVERAGE(INDEX(I$14:I$55,COUNT($B$14:$B$55)-1,0):INDEX(I$14:I$55,COUNT($B$14:$B$55)-$B66,0))</f>
        <v>5223739.2587149702</v>
      </c>
      <c r="J66" s="711">
        <f>H66-I66</f>
        <v>-978614.2587149702</v>
      </c>
      <c r="K66" s="191"/>
    </row>
    <row r="67" spans="1:11" ht="17" thickBot="1">
      <c r="A67" s="751"/>
      <c r="B67" s="192">
        <v>25</v>
      </c>
      <c r="C67" s="812">
        <f>AVERAGE(INDEX(C$14:C$55,COUNT($B$14:$B$55)-1,0):INDEX(C$14:C$55,COUNT($B$14:$B$55)-$B67,0))</f>
        <v>5682020.5236569522</v>
      </c>
      <c r="D67" s="812">
        <f>AVERAGE(INDEX(D$14:D$55,COUNT($B$14:$B$55)-1,0):INDEX(D$14:D$55,COUNT($B$14:$B$55)-$B67,0))</f>
        <v>6548274.5839895299</v>
      </c>
      <c r="E67" s="838">
        <f>C67-D67</f>
        <v>-866254.06033257768</v>
      </c>
      <c r="F67" s="192"/>
      <c r="G67" s="192">
        <v>25</v>
      </c>
      <c r="H67" s="812">
        <f>AVERAGE(INDEX(H$14:H$55,COUNT($B$14:$B$55)-1,0):INDEX(H$14:H$55,COUNT($B$14:$B$55)-$B67,0))</f>
        <v>4245125</v>
      </c>
      <c r="I67" s="812">
        <f>AVERAGE(INDEX(I$14:I$55,COUNT($B$14:$B$55)-1,0):INDEX(I$14:I$55,COUNT($B$14:$B$55)-$B67,0))</f>
        <v>5223739.2587149702</v>
      </c>
      <c r="J67" s="838">
        <f>H67-I67</f>
        <v>-978614.2587149702</v>
      </c>
      <c r="K67" s="193"/>
    </row>
    <row r="69" spans="1:11">
      <c r="C69" s="811"/>
    </row>
    <row r="70" spans="1:11">
      <c r="C70" s="811"/>
    </row>
  </sheetData>
  <mergeCells count="1">
    <mergeCell ref="A55:D55"/>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00B050"/>
    <pageSetUpPr fitToPage="1"/>
  </sheetPr>
  <dimension ref="A1:O72"/>
  <sheetViews>
    <sheetView zoomScale="75" zoomScaleNormal="75" zoomScalePageLayoutView="75" workbookViewId="0">
      <pane ySplit="7" topLeftCell="A32" activePane="bottomLeft" state="frozen"/>
      <selection pane="bottomLeft" activeCell="K56" sqref="K56:O56"/>
    </sheetView>
  </sheetViews>
  <sheetFormatPr baseColWidth="10" defaultColWidth="8.875" defaultRowHeight="16" x14ac:dyDescent="0"/>
  <cols>
    <col min="1" max="1" width="8.875" style="321"/>
    <col min="2" max="2" width="14.875" style="321" customWidth="1"/>
    <col min="3" max="3" width="10.875" style="321" customWidth="1"/>
    <col min="4" max="4" width="11.375" style="321" customWidth="1"/>
    <col min="5" max="5" width="15.5" style="321" customWidth="1"/>
    <col min="6" max="6" width="19.125" style="321" customWidth="1"/>
    <col min="7" max="7" width="14.875" style="321" customWidth="1"/>
    <col min="8" max="8" width="11.5" style="321" customWidth="1"/>
    <col min="9" max="9" width="13" style="321" customWidth="1"/>
    <col min="10" max="16384" width="8.875" style="321"/>
  </cols>
  <sheetData>
    <row r="1" spans="1:15">
      <c r="A1" s="320" t="str">
        <f ca="1">CELL("filename",A1)</f>
        <v>NWCLM04072996:Users:eric.ward:Documents:NCEAS-covariation:data:salmon data:[2015_PWS_Pink_Wild_forecast-FINAL.xlsm]Lag1_Exp_smooth_Total Run Odd</v>
      </c>
    </row>
    <row r="2" spans="1:15" ht="17" thickBot="1"/>
    <row r="3" spans="1:15">
      <c r="A3" s="322" t="s">
        <v>246</v>
      </c>
      <c r="B3" s="322" t="s">
        <v>282</v>
      </c>
      <c r="K3" s="335"/>
      <c r="L3" s="649"/>
      <c r="M3" s="649"/>
      <c r="N3" s="650" t="s">
        <v>290</v>
      </c>
      <c r="O3" s="651">
        <v>0.62421964200490732</v>
      </c>
    </row>
    <row r="4" spans="1:15" ht="17" thickBot="1">
      <c r="A4" s="322"/>
      <c r="B4" s="322" t="s">
        <v>283</v>
      </c>
      <c r="K4" s="652"/>
      <c r="L4" s="653"/>
      <c r="M4" s="653"/>
      <c r="N4" s="654" t="s">
        <v>289</v>
      </c>
      <c r="O4" s="769">
        <f>H42</f>
        <v>0.73700801591718756</v>
      </c>
    </row>
    <row r="5" spans="1:15">
      <c r="A5" s="332"/>
      <c r="B5" s="332"/>
    </row>
    <row r="6" spans="1:15" ht="54.75" customHeight="1">
      <c r="A6" s="325" t="s">
        <v>7</v>
      </c>
      <c r="B6" s="656" t="s">
        <v>259</v>
      </c>
      <c r="C6" s="638" t="s">
        <v>254</v>
      </c>
      <c r="D6" s="638" t="s">
        <v>284</v>
      </c>
      <c r="E6" s="638" t="s">
        <v>255</v>
      </c>
      <c r="F6" s="638"/>
      <c r="G6" s="637" t="s">
        <v>285</v>
      </c>
      <c r="H6" s="636" t="s">
        <v>256</v>
      </c>
    </row>
    <row r="7" spans="1:15">
      <c r="A7" s="330" t="s">
        <v>16</v>
      </c>
      <c r="B7" s="331" t="s">
        <v>258</v>
      </c>
      <c r="C7" s="641"/>
      <c r="D7" s="635"/>
      <c r="E7" s="332"/>
      <c r="F7" s="332"/>
      <c r="G7" s="332"/>
      <c r="H7" s="332"/>
    </row>
    <row r="8" spans="1:15">
      <c r="A8" s="326">
        <v>1961</v>
      </c>
      <c r="B8" s="634">
        <f>VLOOKUP($A8,Database!$A$74:$J$132,10)</f>
        <v>4497198</v>
      </c>
      <c r="C8" s="620"/>
      <c r="D8" s="620"/>
      <c r="E8" s="620"/>
      <c r="F8" s="620"/>
      <c r="H8" s="328"/>
    </row>
    <row r="9" spans="1:15">
      <c r="A9" s="770">
        <f>A8+2</f>
        <v>1963</v>
      </c>
      <c r="B9" s="634">
        <f>VLOOKUP($A9,Database!$A$74:$J$132,10)</f>
        <v>6651118</v>
      </c>
      <c r="C9" s="469">
        <f>$B8</f>
        <v>4497198</v>
      </c>
      <c r="D9" s="341">
        <f>C9-B9</f>
        <v>-2153920</v>
      </c>
      <c r="E9" s="339">
        <f>ABS(C9-$B9)</f>
        <v>2153920</v>
      </c>
      <c r="F9" s="1117">
        <f>(C9-B9)/B9</f>
        <v>-0.3238432997279555</v>
      </c>
      <c r="G9" s="342"/>
      <c r="H9" s="342"/>
    </row>
    <row r="10" spans="1:15">
      <c r="A10" s="770">
        <f t="shared" ref="A10:A33" si="0">A9+2</f>
        <v>1965</v>
      </c>
      <c r="B10" s="634">
        <f>VLOOKUP($A10,Database!$A$74:$J$132,10)</f>
        <v>3436427</v>
      </c>
      <c r="C10" s="339">
        <f t="shared" ref="C10:C32" si="1">$O$3*$B9+(1-$O$3)*$C9</f>
        <v>5841717.1713072099</v>
      </c>
      <c r="D10" s="341">
        <f>C10-B10</f>
        <v>2405290.1713072099</v>
      </c>
      <c r="E10" s="339">
        <f t="shared" ref="E10:E32" si="2">ABS(C10-$B10)</f>
        <v>2405290.1713072099</v>
      </c>
      <c r="F10" s="1117">
        <f t="shared" ref="F10:F32" si="3">(C10-B10)/B10</f>
        <v>0.69993925996600825</v>
      </c>
      <c r="G10" s="342">
        <f>($C10-$B10)/$B10</f>
        <v>0.69993925996600825</v>
      </c>
      <c r="H10" s="342">
        <f t="shared" ref="H10:H34" si="4">ABS($C10-$B10)/$B10</f>
        <v>0.69993925996600825</v>
      </c>
    </row>
    <row r="11" spans="1:15">
      <c r="A11" s="770">
        <f t="shared" si="0"/>
        <v>1967</v>
      </c>
      <c r="B11" s="634">
        <f>VLOOKUP($A11,Database!$A$74:$J$132,10)</f>
        <v>3468600</v>
      </c>
      <c r="C11" s="339">
        <f t="shared" si="1"/>
        <v>4340287.8016559016</v>
      </c>
      <c r="D11" s="341">
        <f t="shared" ref="D11:D32" si="5">C11-B11</f>
        <v>871687.8016559016</v>
      </c>
      <c r="E11" s="339">
        <f t="shared" si="2"/>
        <v>871687.8016559016</v>
      </c>
      <c r="F11" s="1117">
        <f t="shared" si="3"/>
        <v>0.25130825164501575</v>
      </c>
      <c r="G11" s="342">
        <f t="shared" ref="G11:G32" si="6">(C11-B11)/B11</f>
        <v>0.25130825164501575</v>
      </c>
      <c r="H11" s="342">
        <f t="shared" si="4"/>
        <v>0.25130825164501575</v>
      </c>
    </row>
    <row r="12" spans="1:15">
      <c r="A12" s="770">
        <f t="shared" si="0"/>
        <v>1969</v>
      </c>
      <c r="B12" s="634">
        <f>VLOOKUP($A12,Database!$A$74:$J$132,10)</f>
        <v>5233149</v>
      </c>
      <c r="C12" s="339">
        <f t="shared" si="1"/>
        <v>3796163.1541662095</v>
      </c>
      <c r="D12" s="341">
        <f t="shared" si="5"/>
        <v>-1436985.8458337905</v>
      </c>
      <c r="E12" s="339">
        <f t="shared" si="2"/>
        <v>1436985.8458337905</v>
      </c>
      <c r="F12" s="1117">
        <f t="shared" si="3"/>
        <v>-0.27459295461180078</v>
      </c>
      <c r="G12" s="342">
        <f t="shared" si="6"/>
        <v>-0.27459295461180078</v>
      </c>
      <c r="H12" s="342">
        <f t="shared" si="4"/>
        <v>0.27459295461180078</v>
      </c>
    </row>
    <row r="13" spans="1:15">
      <c r="A13" s="770">
        <f t="shared" si="0"/>
        <v>1971</v>
      </c>
      <c r="B13" s="634">
        <f>VLOOKUP($A13,Database!$A$74:$J$132,10)</f>
        <v>8423514</v>
      </c>
      <c r="C13" s="339">
        <f t="shared" si="1"/>
        <v>4693157.9444186967</v>
      </c>
      <c r="D13" s="341">
        <f t="shared" si="5"/>
        <v>-3730356.0555813033</v>
      </c>
      <c r="E13" s="339">
        <f t="shared" si="2"/>
        <v>3730356.0555813033</v>
      </c>
      <c r="F13" s="1117">
        <f t="shared" si="3"/>
        <v>-0.44285034198094803</v>
      </c>
      <c r="G13" s="342">
        <f t="shared" si="6"/>
        <v>-0.44285034198094803</v>
      </c>
      <c r="H13" s="342">
        <f t="shared" si="4"/>
        <v>0.44285034198094803</v>
      </c>
    </row>
    <row r="14" spans="1:15">
      <c r="A14" s="770">
        <f t="shared" si="0"/>
        <v>1973</v>
      </c>
      <c r="B14" s="634">
        <f>VLOOKUP($A14,Database!$A$74:$J$132,10)</f>
        <v>8535974</v>
      </c>
      <c r="C14" s="339">
        <f t="shared" si="1"/>
        <v>7021719.4659844963</v>
      </c>
      <c r="D14" s="341">
        <f t="shared" si="5"/>
        <v>-1514254.5340155037</v>
      </c>
      <c r="E14" s="339">
        <f t="shared" si="2"/>
        <v>1514254.5340155037</v>
      </c>
      <c r="F14" s="1117">
        <f t="shared" si="3"/>
        <v>-0.17739680720858611</v>
      </c>
      <c r="G14" s="342">
        <f t="shared" si="6"/>
        <v>-0.17739680720858611</v>
      </c>
      <c r="H14" s="342">
        <f t="shared" si="4"/>
        <v>0.17739680720858611</v>
      </c>
    </row>
    <row r="15" spans="1:15">
      <c r="A15" s="770">
        <f t="shared" si="0"/>
        <v>1975</v>
      </c>
      <c r="B15" s="634">
        <f>VLOOKUP($A15,Database!$A$74:$J$132,10)</f>
        <v>3322438</v>
      </c>
      <c r="C15" s="339">
        <f t="shared" si="1"/>
        <v>7966946.8891119622</v>
      </c>
      <c r="D15" s="341">
        <f t="shared" si="5"/>
        <v>4644508.8891119622</v>
      </c>
      <c r="E15" s="339">
        <f t="shared" si="2"/>
        <v>4644508.8891119622</v>
      </c>
      <c r="F15" s="1117">
        <f t="shared" si="3"/>
        <v>1.3979219143026784</v>
      </c>
      <c r="G15" s="342">
        <f t="shared" si="6"/>
        <v>1.3979219143026784</v>
      </c>
      <c r="H15" s="342">
        <f t="shared" si="4"/>
        <v>1.3979219143026784</v>
      </c>
    </row>
    <row r="16" spans="1:15">
      <c r="A16" s="770">
        <f t="shared" si="0"/>
        <v>1977</v>
      </c>
      <c r="B16" s="634">
        <f>VLOOKUP($A16,Database!$A$74:$J$132,10)</f>
        <v>5816401</v>
      </c>
      <c r="C16" s="339">
        <f t="shared" si="1"/>
        <v>5067753.213061884</v>
      </c>
      <c r="D16" s="341">
        <f t="shared" si="5"/>
        <v>-748647.78693811595</v>
      </c>
      <c r="E16" s="339">
        <f t="shared" si="2"/>
        <v>748647.78693811595</v>
      </c>
      <c r="F16" s="1117">
        <f t="shared" si="3"/>
        <v>-0.1287132346855239</v>
      </c>
      <c r="G16" s="342">
        <f t="shared" si="6"/>
        <v>-0.1287132346855239</v>
      </c>
      <c r="H16" s="342">
        <f t="shared" si="4"/>
        <v>0.1287132346855239</v>
      </c>
    </row>
    <row r="17" spans="1:8">
      <c r="A17" s="770">
        <f t="shared" si="0"/>
        <v>1979</v>
      </c>
      <c r="B17" s="634">
        <f>VLOOKUP($A17,Database!$A$74:$J$132,10)</f>
        <v>17335503</v>
      </c>
      <c r="C17" s="339">
        <f t="shared" si="1"/>
        <v>5535073.8666121606</v>
      </c>
      <c r="D17" s="341">
        <f t="shared" si="5"/>
        <v>-11800429.133387839</v>
      </c>
      <c r="E17" s="339">
        <f t="shared" si="2"/>
        <v>11800429.133387839</v>
      </c>
      <c r="F17" s="1117">
        <f t="shared" si="3"/>
        <v>-0.68070878205194507</v>
      </c>
      <c r="G17" s="342">
        <f t="shared" si="6"/>
        <v>-0.68070878205194507</v>
      </c>
      <c r="H17" s="342">
        <f t="shared" si="4"/>
        <v>0.68070878205194507</v>
      </c>
    </row>
    <row r="18" spans="1:8">
      <c r="A18" s="770">
        <f t="shared" si="0"/>
        <v>1981</v>
      </c>
      <c r="B18" s="634">
        <f>VLOOKUP($A18,Database!$A$74:$J$132,10)</f>
        <v>19568866</v>
      </c>
      <c r="C18" s="339">
        <f t="shared" si="1"/>
        <v>12901133.515759796</v>
      </c>
      <c r="D18" s="341">
        <f t="shared" si="5"/>
        <v>-6667732.4842402041</v>
      </c>
      <c r="E18" s="339">
        <f t="shared" si="2"/>
        <v>6667732.4842402041</v>
      </c>
      <c r="F18" s="1117">
        <f t="shared" si="3"/>
        <v>-0.34073167470410415</v>
      </c>
      <c r="G18" s="342">
        <f t="shared" si="6"/>
        <v>-0.34073167470410415</v>
      </c>
      <c r="H18" s="342">
        <f t="shared" si="4"/>
        <v>0.34073167470410415</v>
      </c>
    </row>
    <row r="19" spans="1:8">
      <c r="A19" s="770">
        <f t="shared" si="0"/>
        <v>1983</v>
      </c>
      <c r="B19" s="634">
        <f>VLOOKUP($A19,Database!$A$74:$J$132,10)</f>
        <v>11567348</v>
      </c>
      <c r="C19" s="339">
        <f t="shared" si="1"/>
        <v>17063263.100056708</v>
      </c>
      <c r="D19" s="341">
        <f t="shared" si="5"/>
        <v>5495915.1000567079</v>
      </c>
      <c r="E19" s="339">
        <f t="shared" si="2"/>
        <v>5495915.1000567079</v>
      </c>
      <c r="F19" s="1117">
        <f t="shared" si="3"/>
        <v>0.47512317430552864</v>
      </c>
      <c r="G19" s="342">
        <f t="shared" si="6"/>
        <v>0.47512317430552864</v>
      </c>
      <c r="H19" s="342">
        <f t="shared" si="4"/>
        <v>0.47512317430552864</v>
      </c>
    </row>
    <row r="20" spans="1:8">
      <c r="A20" s="770">
        <f t="shared" si="0"/>
        <v>1985</v>
      </c>
      <c r="B20" s="634">
        <f>VLOOKUP($A20,Database!$A$74:$J$132,10)</f>
        <v>19938105</v>
      </c>
      <c r="C20" s="339">
        <f t="shared" si="1"/>
        <v>13632604.943809945</v>
      </c>
      <c r="D20" s="341">
        <f t="shared" si="5"/>
        <v>-6305500.0561900549</v>
      </c>
      <c r="E20" s="339">
        <f t="shared" si="2"/>
        <v>6305500.0561900549</v>
      </c>
      <c r="F20" s="1117">
        <f t="shared" si="3"/>
        <v>-0.31625372903744137</v>
      </c>
      <c r="G20" s="342">
        <f t="shared" si="6"/>
        <v>-0.31625372903744137</v>
      </c>
      <c r="H20" s="342">
        <f t="shared" si="4"/>
        <v>0.31625372903744137</v>
      </c>
    </row>
    <row r="21" spans="1:8">
      <c r="A21" s="770">
        <f t="shared" si="0"/>
        <v>1987</v>
      </c>
      <c r="B21" s="634">
        <f>VLOOKUP($A21,Database!$A$74:$J$132,10)</f>
        <v>13066944</v>
      </c>
      <c r="C21" s="339">
        <f t="shared" si="1"/>
        <v>17568621.931546822</v>
      </c>
      <c r="D21" s="341">
        <f t="shared" si="5"/>
        <v>4501677.9315468222</v>
      </c>
      <c r="E21" s="339">
        <f t="shared" si="2"/>
        <v>4501677.9315468222</v>
      </c>
      <c r="F21" s="1117">
        <f t="shared" si="3"/>
        <v>0.34450885620592098</v>
      </c>
      <c r="G21" s="342">
        <f t="shared" si="6"/>
        <v>0.34450885620592098</v>
      </c>
      <c r="H21" s="342">
        <f t="shared" si="4"/>
        <v>0.34450885620592098</v>
      </c>
    </row>
    <row r="22" spans="1:8">
      <c r="A22" s="770">
        <f t="shared" si="0"/>
        <v>1989</v>
      </c>
      <c r="B22" s="634">
        <f>VLOOKUP($A22,Database!$A$74:$J$132,10)</f>
        <v>4743750</v>
      </c>
      <c r="C22" s="339">
        <f t="shared" si="1"/>
        <v>14758586.144695275</v>
      </c>
      <c r="D22" s="341">
        <f t="shared" si="5"/>
        <v>10014836.144695275</v>
      </c>
      <c r="E22" s="339">
        <f t="shared" si="2"/>
        <v>10014836.144695275</v>
      </c>
      <c r="F22" s="1117">
        <f t="shared" si="3"/>
        <v>2.1111644046788456</v>
      </c>
      <c r="G22" s="342">
        <f t="shared" si="6"/>
        <v>2.1111644046788456</v>
      </c>
      <c r="H22" s="342">
        <f t="shared" si="4"/>
        <v>2.1111644046788456</v>
      </c>
    </row>
    <row r="23" spans="1:8">
      <c r="A23" s="770">
        <f t="shared" si="0"/>
        <v>1991</v>
      </c>
      <c r="B23" s="634">
        <f>VLOOKUP($A23,Database!$A$74:$J$132,10)</f>
        <v>7544776</v>
      </c>
      <c r="C23" s="339">
        <f t="shared" si="1"/>
        <v>8507128.7117157839</v>
      </c>
      <c r="D23" s="341">
        <f t="shared" si="5"/>
        <v>962352.71171578392</v>
      </c>
      <c r="E23" s="339">
        <f t="shared" si="2"/>
        <v>962352.71171578392</v>
      </c>
      <c r="F23" s="1117">
        <f t="shared" si="3"/>
        <v>0.12755219130637993</v>
      </c>
      <c r="G23" s="342">
        <f t="shared" si="6"/>
        <v>0.12755219130637993</v>
      </c>
      <c r="H23" s="342">
        <f t="shared" si="4"/>
        <v>0.12755219130637993</v>
      </c>
    </row>
    <row r="24" spans="1:8">
      <c r="A24" s="770">
        <f t="shared" si="0"/>
        <v>1993</v>
      </c>
      <c r="B24" s="634">
        <f>VLOOKUP($A24,Database!$A$74:$J$132,10)</f>
        <v>1542942</v>
      </c>
      <c r="C24" s="339">
        <f t="shared" si="1"/>
        <v>7906409.2465261053</v>
      </c>
      <c r="D24" s="341">
        <f t="shared" si="5"/>
        <v>6363467.2465261053</v>
      </c>
      <c r="E24" s="339">
        <f t="shared" si="2"/>
        <v>6363467.2465261053</v>
      </c>
      <c r="F24" s="1117">
        <f t="shared" si="3"/>
        <v>4.1242426782899848</v>
      </c>
      <c r="G24" s="342">
        <f t="shared" si="6"/>
        <v>4.1242426782899848</v>
      </c>
      <c r="H24" s="342">
        <f t="shared" si="4"/>
        <v>4.1242426782899848</v>
      </c>
    </row>
    <row r="25" spans="1:8">
      <c r="A25" s="770">
        <f t="shared" si="0"/>
        <v>1995</v>
      </c>
      <c r="B25" s="634">
        <f>VLOOKUP($A25,Database!$A$74:$J$132,10)</f>
        <v>3934208</v>
      </c>
      <c r="C25" s="339">
        <f t="shared" si="1"/>
        <v>3934207.9999896269</v>
      </c>
      <c r="D25" s="341">
        <f t="shared" si="5"/>
        <v>-1.03730708360672E-5</v>
      </c>
      <c r="E25" s="339">
        <f t="shared" si="2"/>
        <v>1.03730708360672E-5</v>
      </c>
      <c r="F25" s="1117">
        <f t="shared" si="3"/>
        <v>-2.6366350828596759E-12</v>
      </c>
      <c r="G25" s="342">
        <f t="shared" si="6"/>
        <v>-2.6366350828596759E-12</v>
      </c>
      <c r="H25" s="342">
        <f t="shared" si="4"/>
        <v>2.6366350828596759E-12</v>
      </c>
    </row>
    <row r="26" spans="1:8">
      <c r="A26" s="770">
        <f t="shared" si="0"/>
        <v>1997</v>
      </c>
      <c r="B26" s="634">
        <f>VLOOKUP($A26,Database!$A$74:$J$132,10)</f>
        <v>2588682</v>
      </c>
      <c r="C26" s="339">
        <f t="shared" si="1"/>
        <v>3934207.9999961024</v>
      </c>
      <c r="D26" s="341">
        <f t="shared" si="5"/>
        <v>1345525.9999961024</v>
      </c>
      <c r="E26" s="339">
        <f t="shared" si="2"/>
        <v>1345525.9999961024</v>
      </c>
      <c r="F26" s="1117">
        <f t="shared" si="3"/>
        <v>0.51977261015300547</v>
      </c>
      <c r="G26" s="342">
        <f t="shared" si="6"/>
        <v>0.51977261015300547</v>
      </c>
      <c r="H26" s="342">
        <f t="shared" si="4"/>
        <v>0.51977261015300547</v>
      </c>
    </row>
    <row r="27" spans="1:8">
      <c r="A27" s="770">
        <f t="shared" si="0"/>
        <v>1999</v>
      </c>
      <c r="B27" s="634">
        <f>VLOOKUP($A27,Database!$A$74:$J$132,10)</f>
        <v>9405198</v>
      </c>
      <c r="C27" s="339">
        <f t="shared" si="1"/>
        <v>3094304.2419702401</v>
      </c>
      <c r="D27" s="341">
        <f t="shared" si="5"/>
        <v>-6310893.7580297599</v>
      </c>
      <c r="E27" s="339">
        <f t="shared" si="2"/>
        <v>6310893.7580297599</v>
      </c>
      <c r="F27" s="1117">
        <f t="shared" si="3"/>
        <v>-0.67100062731584809</v>
      </c>
      <c r="G27" s="342">
        <f t="shared" si="6"/>
        <v>-0.67100062731584809</v>
      </c>
      <c r="H27" s="342">
        <f t="shared" si="4"/>
        <v>0.67100062731584809</v>
      </c>
    </row>
    <row r="28" spans="1:8">
      <c r="A28" s="770">
        <f t="shared" si="0"/>
        <v>2001</v>
      </c>
      <c r="B28" s="634">
        <f>VLOOKUP($A28,Database!$A$74:$J$132,10)</f>
        <v>8854676.9808041956</v>
      </c>
      <c r="C28" s="339">
        <f t="shared" si="1"/>
        <v>7033688.0843385812</v>
      </c>
      <c r="D28" s="341">
        <f t="shared" si="5"/>
        <v>-1820988.8964656144</v>
      </c>
      <c r="E28" s="339">
        <f t="shared" si="2"/>
        <v>1820988.8964656144</v>
      </c>
      <c r="F28" s="1117">
        <f t="shared" si="3"/>
        <v>-0.20565277541047347</v>
      </c>
      <c r="G28" s="342">
        <f t="shared" si="6"/>
        <v>-0.20565277541047347</v>
      </c>
      <c r="H28" s="342">
        <f t="shared" si="4"/>
        <v>0.20565277541047347</v>
      </c>
    </row>
    <row r="29" spans="1:8">
      <c r="A29" s="770">
        <f t="shared" si="0"/>
        <v>2003</v>
      </c>
      <c r="B29" s="634">
        <f>VLOOKUP($A29,Database!$A$74:$J$132,10)</f>
        <v>7344511.9398193061</v>
      </c>
      <c r="C29" s="339">
        <f t="shared" si="1"/>
        <v>8170385.1213852586</v>
      </c>
      <c r="D29" s="341">
        <f t="shared" si="5"/>
        <v>825873.18156595249</v>
      </c>
      <c r="E29" s="339">
        <f t="shared" si="2"/>
        <v>825873.18156595249</v>
      </c>
      <c r="F29" s="1117">
        <f t="shared" si="3"/>
        <v>0.11244766001241889</v>
      </c>
      <c r="G29" s="342">
        <f t="shared" si="6"/>
        <v>0.11244766001241889</v>
      </c>
      <c r="H29" s="342">
        <f t="shared" si="4"/>
        <v>0.11244766001241889</v>
      </c>
    </row>
    <row r="30" spans="1:8">
      <c r="A30" s="770">
        <f t="shared" si="0"/>
        <v>2005</v>
      </c>
      <c r="B30" s="634">
        <f>VLOOKUP($A30,Database!$A$74:$J$132,10)</f>
        <v>17032487.685321052</v>
      </c>
      <c r="C30" s="339">
        <f>$O$3*$B29+(1-$O$3)*$C29</f>
        <v>7654858.8596467059</v>
      </c>
      <c r="D30" s="341">
        <f t="shared" si="5"/>
        <v>-9377628.8256743457</v>
      </c>
      <c r="E30" s="339">
        <f t="shared" si="2"/>
        <v>9377628.8256743457</v>
      </c>
      <c r="F30" s="1117">
        <f t="shared" si="3"/>
        <v>-0.55057305773108989</v>
      </c>
      <c r="G30" s="342">
        <f t="shared" si="6"/>
        <v>-0.55057305773108989</v>
      </c>
      <c r="H30" s="342">
        <f t="shared" si="4"/>
        <v>0.55057305773108989</v>
      </c>
    </row>
    <row r="31" spans="1:8">
      <c r="A31" s="770">
        <f t="shared" si="0"/>
        <v>2007</v>
      </c>
      <c r="B31" s="634">
        <f>VLOOKUP($A31,Database!$A$74:$J$132,10)</f>
        <v>11526987.795003444</v>
      </c>
      <c r="C31" s="339">
        <f t="shared" si="1"/>
        <v>13508558.968064046</v>
      </c>
      <c r="D31" s="341">
        <f t="shared" si="5"/>
        <v>1981571.1730606016</v>
      </c>
      <c r="E31" s="339">
        <f t="shared" si="2"/>
        <v>1981571.1730606016</v>
      </c>
      <c r="F31" s="1117">
        <f t="shared" si="3"/>
        <v>0.1719071112333046</v>
      </c>
      <c r="G31" s="342">
        <f t="shared" si="6"/>
        <v>0.1719071112333046</v>
      </c>
      <c r="H31" s="342">
        <f t="shared" si="4"/>
        <v>0.1719071112333046</v>
      </c>
    </row>
    <row r="32" spans="1:8">
      <c r="A32" s="770">
        <f t="shared" si="0"/>
        <v>2009</v>
      </c>
      <c r="B32" s="634">
        <f>VLOOKUP($A32,Database!$A$74:$J$132,10)</f>
        <v>2824330.6070667375</v>
      </c>
      <c r="C32" s="339">
        <f t="shared" si="1"/>
        <v>12271623.319808912</v>
      </c>
      <c r="D32" s="341">
        <f t="shared" si="5"/>
        <v>9447292.712742174</v>
      </c>
      <c r="E32" s="339">
        <f t="shared" si="2"/>
        <v>9447292.712742174</v>
      </c>
      <c r="F32" s="1117">
        <f t="shared" si="3"/>
        <v>3.3449670123972632</v>
      </c>
      <c r="G32" s="342">
        <f t="shared" si="6"/>
        <v>3.3449670123972632</v>
      </c>
      <c r="H32" s="342">
        <f t="shared" si="4"/>
        <v>3.3449670123972632</v>
      </c>
    </row>
    <row r="33" spans="1:8">
      <c r="A33" s="770">
        <f t="shared" si="0"/>
        <v>2011</v>
      </c>
      <c r="B33" s="634">
        <f>VLOOKUP($A33,Database!$A$74:$J$132,10)</f>
        <v>9643099</v>
      </c>
      <c r="C33" s="349">
        <f>$O$3*$B32+(1-$O$3)*$C32</f>
        <v>6374437.6447454216</v>
      </c>
      <c r="D33" s="341">
        <f t="shared" ref="D33" si="7">C33-B33</f>
        <v>-3268661.3552545784</v>
      </c>
      <c r="E33" s="339">
        <f t="shared" ref="E33" si="8">ABS(C33-$B33)</f>
        <v>3268661.3552545784</v>
      </c>
      <c r="F33" s="1117">
        <f t="shared" ref="F33" si="9">(C33-B33)/B33</f>
        <v>-0.33896378697912138</v>
      </c>
      <c r="G33" s="342">
        <f t="shared" ref="G33" si="10">(C33-B33)/B33</f>
        <v>-0.33896378697912138</v>
      </c>
      <c r="H33" s="342">
        <f t="shared" si="4"/>
        <v>0.33896378697912138</v>
      </c>
    </row>
    <row r="34" spans="1:8">
      <c r="A34" s="770">
        <v>2013</v>
      </c>
      <c r="B34" s="634">
        <f>VLOOKUP($A34,Database!$A$74:$J$132,10)</f>
        <v>21965453</v>
      </c>
      <c r="C34" s="349">
        <f>$O$3*$B33+(1-$O$3)*$C33</f>
        <v>8414800.2657577097</v>
      </c>
      <c r="D34" s="341">
        <f t="shared" ref="D34" si="11">C34-B34</f>
        <v>-13550652.73424229</v>
      </c>
      <c r="E34" s="339">
        <f t="shared" ref="E34" si="12">ABS(C34-$B34)</f>
        <v>13550652.73424229</v>
      </c>
      <c r="F34" s="1117">
        <f t="shared" ref="F34" si="13">(C34-B34)/B34</f>
        <v>-0.61690750171381803</v>
      </c>
      <c r="G34" s="342">
        <f t="shared" ref="G34" si="14">(C34-B34)/B34</f>
        <v>-0.61690750171381803</v>
      </c>
      <c r="H34" s="342">
        <f t="shared" si="4"/>
        <v>0.61690750171381803</v>
      </c>
    </row>
    <row r="35" spans="1:8">
      <c r="A35" s="770">
        <v>2015</v>
      </c>
      <c r="B35" s="634"/>
      <c r="C35" s="349">
        <f>$O$3*$B34+(1-$O$3)*$C34</f>
        <v>16873383.86445925</v>
      </c>
      <c r="D35" s="341"/>
      <c r="E35" s="339"/>
      <c r="F35" s="1117"/>
      <c r="G35" s="342"/>
      <c r="H35" s="342"/>
    </row>
    <row r="36" spans="1:8">
      <c r="A36" s="770"/>
      <c r="B36" s="634"/>
      <c r="C36" s="349"/>
      <c r="D36" s="341"/>
      <c r="E36" s="339"/>
      <c r="F36" s="1117"/>
      <c r="G36" s="342"/>
      <c r="H36" s="342"/>
    </row>
    <row r="39" spans="1:8">
      <c r="A39" s="323" t="s">
        <v>245</v>
      </c>
      <c r="B39" s="646">
        <f>COUNT(B8:B38)</f>
        <v>27</v>
      </c>
      <c r="C39" s="646">
        <f t="shared" ref="C39" si="15">COUNT(C8:C38)</f>
        <v>27</v>
      </c>
      <c r="D39" s="646">
        <f>COUNT(D8:D38)</f>
        <v>26</v>
      </c>
      <c r="E39" s="646">
        <f>COUNT(E8:E38)</f>
        <v>26</v>
      </c>
      <c r="F39" s="646"/>
      <c r="G39" s="646">
        <f>COUNT(G8:G38)</f>
        <v>25</v>
      </c>
      <c r="H39" s="646">
        <f>COUNT(H8:H38)</f>
        <v>25</v>
      </c>
    </row>
    <row r="40" spans="1:8">
      <c r="A40" s="328" t="s">
        <v>75</v>
      </c>
      <c r="B40" s="644"/>
      <c r="C40" s="644">
        <f>VLOOKUP(Forecast_Year,A8:C38,3)</f>
        <v>16873383.86445925</v>
      </c>
      <c r="D40" s="644"/>
      <c r="E40" s="644"/>
      <c r="F40" s="644"/>
      <c r="G40" s="644"/>
      <c r="H40" s="644"/>
    </row>
    <row r="41" spans="1:8">
      <c r="A41" s="328" t="s">
        <v>288</v>
      </c>
      <c r="B41" s="620"/>
      <c r="C41" s="620"/>
      <c r="D41" s="620"/>
      <c r="E41" s="620"/>
      <c r="F41" s="620"/>
      <c r="G41" s="620"/>
      <c r="H41" s="620"/>
    </row>
    <row r="42" spans="1:8">
      <c r="A42" s="328" t="s">
        <v>127</v>
      </c>
      <c r="B42" s="644">
        <f t="shared" ref="B42:G42" si="16">AVERAGE(B8:B38)</f>
        <v>8881951.4077042509</v>
      </c>
      <c r="C42" s="644">
        <f t="shared" si="16"/>
        <v>8606008.2026144713</v>
      </c>
      <c r="D42" s="644">
        <f t="shared" si="16"/>
        <v>-762563.55391858378</v>
      </c>
      <c r="E42" s="644">
        <f t="shared" si="16"/>
        <v>4521025.0203786287</v>
      </c>
      <c r="F42" s="1122">
        <f>AVERAGE(F5:F37)</f>
        <v>0.33125640582057925</v>
      </c>
      <c r="G42" s="1004">
        <f t="shared" si="16"/>
        <v>0.35746039404252061</v>
      </c>
      <c r="H42" s="1005">
        <f>AVERAGE(H8:H38)</f>
        <v>0.73700801591718756</v>
      </c>
    </row>
    <row r="43" spans="1:8">
      <c r="A43" s="328" t="s">
        <v>265</v>
      </c>
      <c r="B43" s="644">
        <f>MEDIAN(B8:B38)</f>
        <v>7544776</v>
      </c>
      <c r="C43" s="644">
        <f>MEDIAN(C8:C38)</f>
        <v>7654858.8596467059</v>
      </c>
      <c r="D43" s="644">
        <f>MEDIAN(D8:D38)</f>
        <v>-374323.89347424451</v>
      </c>
      <c r="E43" s="644">
        <f t="shared" ref="E43:G43" si="17">MEDIAN(E8:E38)</f>
        <v>3499508.7054179409</v>
      </c>
      <c r="F43" s="1120">
        <f>MEDIAN(F5:F37)</f>
        <v>-6.4356617344080269E-2</v>
      </c>
      <c r="G43" s="1004">
        <f t="shared" si="17"/>
        <v>-2.6366350828596759E-12</v>
      </c>
      <c r="H43" s="1004">
        <f>MEDIAN(H8:H38)</f>
        <v>0.34450885620592098</v>
      </c>
    </row>
    <row r="44" spans="1:8">
      <c r="A44" s="328" t="s">
        <v>286</v>
      </c>
      <c r="B44" s="644">
        <f t="shared" ref="B44:G44" si="18">MIN(B8:B38)</f>
        <v>1542942</v>
      </c>
      <c r="C44" s="644">
        <f t="shared" si="18"/>
        <v>3094304.2419702401</v>
      </c>
      <c r="D44" s="644">
        <f t="shared" si="18"/>
        <v>-13550652.73424229</v>
      </c>
      <c r="E44" s="644">
        <f t="shared" si="18"/>
        <v>1.03730708360672E-5</v>
      </c>
      <c r="F44" s="1118">
        <f>MIN(F5:F34)</f>
        <v>-0.68070878205194507</v>
      </c>
      <c r="G44" s="1004">
        <f t="shared" si="18"/>
        <v>-0.68070878205194507</v>
      </c>
      <c r="H44" s="1004">
        <f>MIN(H8:H38)</f>
        <v>2.6366350828596759E-12</v>
      </c>
    </row>
    <row r="45" spans="1:8">
      <c r="A45" s="328" t="s">
        <v>287</v>
      </c>
      <c r="B45" s="644">
        <f t="shared" ref="B45:G45" si="19">MAX(B8:B38)</f>
        <v>21965453</v>
      </c>
      <c r="C45" s="644">
        <f>MAX(C8:C38)</f>
        <v>17568621.931546822</v>
      </c>
      <c r="D45" s="644">
        <f>MAX(D8:D38)</f>
        <v>10014836.144695275</v>
      </c>
      <c r="E45" s="644">
        <f t="shared" si="19"/>
        <v>13550652.73424229</v>
      </c>
      <c r="F45" s="1118">
        <f>MAX(F5:F34)</f>
        <v>4.1242426782899848</v>
      </c>
      <c r="G45" s="1004">
        <f t="shared" si="19"/>
        <v>4.1242426782899848</v>
      </c>
      <c r="H45" s="1004">
        <f>MAX(H8:H38)</f>
        <v>4.1242426782899848</v>
      </c>
    </row>
    <row r="46" spans="1:8">
      <c r="A46" s="332" t="s">
        <v>238</v>
      </c>
      <c r="B46" s="647">
        <f t="shared" ref="B46:H46" si="20">STDEV(B8:B38)</f>
        <v>5854399.998309087</v>
      </c>
      <c r="C46" s="647">
        <f t="shared" si="20"/>
        <v>4508068.5624435488</v>
      </c>
      <c r="D46" s="647">
        <f t="shared" si="20"/>
        <v>5909937.835645929</v>
      </c>
      <c r="E46" s="647">
        <f t="shared" si="20"/>
        <v>3778210.502027337</v>
      </c>
      <c r="F46" s="1119">
        <f>STDEV(F5:F37)</f>
        <v>1.1895806901985058</v>
      </c>
      <c r="G46" s="1006">
        <f t="shared" si="20"/>
        <v>1.2064278126828023</v>
      </c>
      <c r="H46" s="1006">
        <f t="shared" si="20"/>
        <v>1.0113143584325008</v>
      </c>
    </row>
    <row r="47" spans="1:8">
      <c r="A47" s="326"/>
      <c r="B47" s="634"/>
      <c r="C47" s="339"/>
      <c r="D47" s="341"/>
      <c r="E47" s="339"/>
      <c r="F47" s="339"/>
      <c r="G47" s="342"/>
      <c r="H47" s="342"/>
    </row>
    <row r="48" spans="1:8">
      <c r="A48" s="326"/>
      <c r="B48" s="634"/>
      <c r="C48" s="339"/>
      <c r="D48" s="341"/>
      <c r="E48" s="339"/>
      <c r="F48" s="339"/>
      <c r="G48" s="342"/>
      <c r="H48" s="342"/>
    </row>
    <row r="49" spans="1:15" ht="25">
      <c r="A49" s="326"/>
      <c r="B49" s="634"/>
      <c r="C49" s="339"/>
      <c r="D49" s="341"/>
      <c r="E49" s="339"/>
      <c r="F49" s="339"/>
      <c r="G49" s="342"/>
      <c r="H49" s="1152" t="s">
        <v>257</v>
      </c>
      <c r="I49" s="1153" t="s">
        <v>419</v>
      </c>
    </row>
    <row r="50" spans="1:15" ht="25">
      <c r="A50" s="326"/>
      <c r="B50" s="634"/>
      <c r="C50" s="339"/>
      <c r="D50" s="341"/>
      <c r="E50" s="1075" t="s">
        <v>385</v>
      </c>
      <c r="F50" s="1077">
        <f>F51/(F45+1)</f>
        <v>3292854.1686651893</v>
      </c>
      <c r="G50" s="1144">
        <f>F51-Performance!F59</f>
        <v>6859573.8685819879</v>
      </c>
      <c r="H50" s="1144">
        <f>MROUND(G50,10000)</f>
        <v>6860000</v>
      </c>
      <c r="I50" s="1147">
        <f>H50-1450000</f>
        <v>5410000</v>
      </c>
    </row>
    <row r="51" spans="1:15" ht="36">
      <c r="A51" s="326"/>
      <c r="B51" s="634"/>
      <c r="C51" s="339"/>
      <c r="D51" s="341"/>
      <c r="E51" s="1084" t="str">
        <f>IF(ISODD(Forecast_Year),Forecast_Year&amp;" FORECAST POINT ESTIMATE","DO NOT USE THIS YEAR. USE FOR EVEN YEARS ONLY!!!")</f>
        <v>2015 FORECAST POINT ESTIMATE</v>
      </c>
      <c r="F51" s="1145">
        <f>$C40</f>
        <v>16873383.86445925</v>
      </c>
      <c r="G51" s="342"/>
      <c r="H51" s="1146">
        <f>MROUND(F51,10000)</f>
        <v>16870000</v>
      </c>
      <c r="I51" s="1151">
        <f>H51-1450000</f>
        <v>15420000</v>
      </c>
    </row>
    <row r="52" spans="1:15" ht="25">
      <c r="A52" s="326"/>
      <c r="B52" s="634"/>
      <c r="C52" s="339"/>
      <c r="D52" s="341"/>
      <c r="E52" s="1075" t="s">
        <v>386</v>
      </c>
      <c r="F52" s="1077">
        <f>F51/(F44+1)</f>
        <v>52846376.33598917</v>
      </c>
      <c r="G52" s="1144">
        <f>F51+Performance!F59</f>
        <v>26887193.860336512</v>
      </c>
      <c r="H52" s="1144">
        <f>MROUND(G52,10000)</f>
        <v>26890000</v>
      </c>
      <c r="I52" s="1147">
        <f>H52-1450000</f>
        <v>25440000</v>
      </c>
    </row>
    <row r="53" spans="1:15">
      <c r="A53" s="326"/>
      <c r="B53" s="634"/>
      <c r="C53" s="339"/>
      <c r="D53" s="341"/>
      <c r="E53" s="339"/>
      <c r="F53" s="339"/>
      <c r="G53" s="342"/>
      <c r="H53" s="342"/>
    </row>
    <row r="54" spans="1:15">
      <c r="A54" s="326"/>
      <c r="B54" s="634"/>
      <c r="C54" s="339"/>
      <c r="D54" s="341"/>
      <c r="E54" s="339"/>
      <c r="F54" s="339"/>
      <c r="G54" s="342"/>
      <c r="H54" s="342"/>
    </row>
    <row r="55" spans="1:15" ht="17" thickBot="1">
      <c r="A55" s="347"/>
      <c r="B55" s="1014"/>
      <c r="C55" s="349"/>
      <c r="D55" s="1015"/>
      <c r="E55" s="349"/>
      <c r="F55" s="349"/>
      <c r="G55" s="1016"/>
      <c r="H55" s="1016"/>
      <c r="I55" s="348"/>
    </row>
    <row r="56" spans="1:15" ht="17" thickBot="1">
      <c r="A56" s="347"/>
      <c r="B56" s="1014"/>
      <c r="C56" s="349"/>
      <c r="D56" s="1015"/>
      <c r="E56" s="349"/>
      <c r="F56" s="349"/>
      <c r="G56" s="1016"/>
      <c r="H56" s="1016"/>
      <c r="I56" s="348"/>
      <c r="K56" s="1154"/>
      <c r="L56" s="1155"/>
      <c r="M56" s="1154"/>
      <c r="N56" s="1155"/>
      <c r="O56" s="1154"/>
    </row>
    <row r="57" spans="1:15">
      <c r="A57" s="347"/>
      <c r="B57" s="1014"/>
      <c r="C57" s="349"/>
      <c r="D57" s="1015"/>
      <c r="E57" s="349"/>
      <c r="F57" s="349"/>
      <c r="G57" s="1016"/>
      <c r="H57" s="1016"/>
      <c r="I57" s="348"/>
      <c r="K57" s="328"/>
      <c r="L57" s="328"/>
      <c r="M57" s="328"/>
      <c r="N57" s="328"/>
      <c r="O57" s="328"/>
    </row>
    <row r="58" spans="1:15">
      <c r="A58" s="347"/>
      <c r="B58" s="1014"/>
      <c r="C58" s="349"/>
      <c r="D58" s="1015"/>
      <c r="E58" s="349"/>
      <c r="F58" s="349"/>
      <c r="G58" s="1016"/>
      <c r="H58" s="1016"/>
      <c r="I58" s="348"/>
      <c r="K58" s="1156"/>
      <c r="L58" s="1156"/>
      <c r="M58" s="1156"/>
      <c r="N58" s="1157"/>
      <c r="O58" s="1156"/>
    </row>
    <row r="59" spans="1:15">
      <c r="A59" s="347"/>
      <c r="B59" s="1014"/>
      <c r="C59" s="349"/>
      <c r="D59" s="1015"/>
      <c r="E59" s="349"/>
      <c r="F59" s="349"/>
      <c r="G59" s="1016"/>
      <c r="H59" s="1016"/>
      <c r="I59" s="348"/>
      <c r="K59" s="328"/>
      <c r="L59" s="328"/>
      <c r="M59" s="328"/>
      <c r="N59" s="328"/>
      <c r="O59" s="328"/>
    </row>
    <row r="60" spans="1:15">
      <c r="A60" s="347"/>
      <c r="B60" s="1014"/>
      <c r="C60" s="349"/>
      <c r="D60" s="1015"/>
      <c r="E60" s="349"/>
      <c r="F60" s="349"/>
      <c r="G60" s="1016"/>
      <c r="H60" s="1016"/>
      <c r="I60" s="348"/>
      <c r="K60" s="328"/>
      <c r="L60" s="328"/>
      <c r="M60" s="328"/>
      <c r="N60" s="328"/>
      <c r="O60" s="328"/>
    </row>
    <row r="61" spans="1:15">
      <c r="A61" s="347"/>
      <c r="B61" s="1017"/>
      <c r="C61" s="349"/>
      <c r="D61" s="1015"/>
      <c r="E61" s="349"/>
      <c r="F61" s="349"/>
      <c r="G61" s="348"/>
      <c r="H61" s="1016"/>
      <c r="I61" s="348"/>
      <c r="K61" s="328"/>
      <c r="L61" s="328"/>
      <c r="M61" s="328"/>
      <c r="N61" s="328"/>
      <c r="O61" s="328"/>
    </row>
    <row r="62" spans="1:15">
      <c r="A62" s="347"/>
      <c r="B62" s="1017"/>
      <c r="C62" s="349"/>
      <c r="D62" s="349"/>
      <c r="E62" s="349"/>
      <c r="F62" s="349"/>
      <c r="G62" s="348"/>
      <c r="H62" s="1016"/>
      <c r="I62" s="348"/>
    </row>
    <row r="63" spans="1:15">
      <c r="A63" s="347"/>
      <c r="B63" s="1018"/>
      <c r="C63" s="643"/>
      <c r="D63" s="643"/>
      <c r="E63" s="643"/>
      <c r="F63" s="643"/>
      <c r="G63" s="662"/>
      <c r="H63" s="1019"/>
      <c r="I63" s="662"/>
      <c r="J63" s="328"/>
    </row>
    <row r="64" spans="1:15">
      <c r="A64" s="348"/>
      <c r="B64" s="348"/>
      <c r="C64" s="348"/>
      <c r="D64" s="348"/>
      <c r="E64" s="348"/>
      <c r="F64" s="348"/>
      <c r="G64" s="348"/>
      <c r="H64" s="348"/>
      <c r="I64" s="662"/>
      <c r="J64" s="328"/>
    </row>
    <row r="65" spans="1:10">
      <c r="A65" s="348"/>
      <c r="B65" s="348"/>
      <c r="C65" s="348"/>
      <c r="D65" s="348"/>
      <c r="E65" s="348"/>
      <c r="F65" s="348"/>
      <c r="G65" s="348"/>
      <c r="H65" s="348"/>
      <c r="I65" s="662"/>
      <c r="J65" s="328"/>
    </row>
    <row r="66" spans="1:10">
      <c r="A66" s="348"/>
      <c r="B66" s="348"/>
      <c r="C66" s="348"/>
      <c r="D66" s="348"/>
      <c r="E66" s="348"/>
      <c r="F66" s="348"/>
      <c r="G66" s="348"/>
      <c r="H66" s="348"/>
      <c r="I66" s="662"/>
      <c r="J66" s="328"/>
    </row>
    <row r="67" spans="1:10">
      <c r="I67" s="328"/>
      <c r="J67" s="328"/>
    </row>
    <row r="68" spans="1:10">
      <c r="I68" s="328"/>
      <c r="J68" s="328"/>
    </row>
    <row r="69" spans="1:10">
      <c r="I69" s="328"/>
      <c r="J69" s="328"/>
    </row>
    <row r="70" spans="1:10">
      <c r="I70" s="328"/>
      <c r="J70" s="328"/>
    </row>
    <row r="71" spans="1:10">
      <c r="A71" s="328"/>
      <c r="B71" s="328"/>
      <c r="C71" s="328"/>
      <c r="D71" s="328"/>
      <c r="E71" s="328"/>
      <c r="F71" s="328"/>
      <c r="G71" s="328"/>
      <c r="H71" s="328"/>
      <c r="I71" s="328"/>
      <c r="J71" s="328"/>
    </row>
    <row r="72" spans="1:10">
      <c r="A72" s="328"/>
      <c r="B72" s="328"/>
      <c r="C72" s="328"/>
      <c r="D72" s="328"/>
      <c r="E72" s="328"/>
      <c r="F72" s="328"/>
      <c r="G72" s="328"/>
      <c r="H72" s="328"/>
      <c r="I72" s="328"/>
      <c r="J72" s="328"/>
    </row>
  </sheetData>
  <pageMargins left="1" right="1" top="1" bottom="1" header="0.5" footer="0.5"/>
  <pageSetup scale="73" orientation="landscape"/>
  <headerFooter alignWithMargins="0"/>
  <drawing r:id="rId1"/>
  <legacy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rgb="FFFF0000"/>
  </sheetPr>
  <dimension ref="A1:AM79"/>
  <sheetViews>
    <sheetView topLeftCell="A7" zoomScale="75" workbookViewId="0">
      <selection activeCell="A35" sqref="A35:XFD35"/>
    </sheetView>
  </sheetViews>
  <sheetFormatPr baseColWidth="10" defaultColWidth="8.625" defaultRowHeight="16" x14ac:dyDescent="0"/>
  <cols>
    <col min="1" max="2" width="5.875" customWidth="1"/>
    <col min="3" max="3" width="9" customWidth="1"/>
    <col min="5" max="5" width="2.875" customWidth="1"/>
    <col min="6" max="6" width="14.125" customWidth="1"/>
    <col min="7" max="7" width="7.875" customWidth="1"/>
    <col min="12" max="12" width="13.625" customWidth="1"/>
    <col min="17" max="17" width="10.125" customWidth="1"/>
    <col min="32" max="32" width="10.5" customWidth="1"/>
    <col min="33" max="33" width="13.375" customWidth="1"/>
    <col min="34" max="34" width="13.5" customWidth="1"/>
    <col min="35" max="35" width="9.875" bestFit="1" customWidth="1"/>
    <col min="36" max="36" width="10" bestFit="1" customWidth="1"/>
  </cols>
  <sheetData>
    <row r="1" spans="1:39" ht="17" thickBot="1">
      <c r="A1" s="37" t="str">
        <f ca="1">CELL("filename",A1)</f>
        <v>NWCLM04072996:Users:eric.ward:Documents:NCEAS-covariation:data:salmon data:[2015_PWS_Pink_Wild_forecast-FINAL.xlsm]EvenRPS</v>
      </c>
      <c r="I1" s="97"/>
      <c r="J1" s="110"/>
      <c r="K1" s="110"/>
      <c r="L1" s="110"/>
      <c r="M1" s="110"/>
      <c r="N1" s="110"/>
      <c r="O1" s="110"/>
    </row>
    <row r="2" spans="1:39">
      <c r="I2" s="1029"/>
      <c r="J2" s="1030"/>
      <c r="K2" s="1030" t="s">
        <v>335</v>
      </c>
      <c r="L2" s="1031" t="str">
        <f>Forecast_Year &amp; " forecast"</f>
        <v>2015 forecast</v>
      </c>
      <c r="M2" s="1032" t="s">
        <v>236</v>
      </c>
      <c r="N2" s="1032" t="s">
        <v>339</v>
      </c>
      <c r="O2" s="1033" t="s">
        <v>153</v>
      </c>
    </row>
    <row r="3" spans="1:39">
      <c r="I3" s="749"/>
      <c r="J3" s="110"/>
      <c r="K3" s="750" t="s">
        <v>336</v>
      </c>
      <c r="L3" s="1021">
        <f>C34*B57+B56</f>
        <v>5497390.9513097387</v>
      </c>
      <c r="M3" s="1022">
        <f>B47</f>
        <v>25</v>
      </c>
      <c r="N3" s="1023">
        <f>B44</f>
        <v>5.9700189960139012E-3</v>
      </c>
      <c r="O3" s="1024">
        <f>F51</f>
        <v>0.71354411733332213</v>
      </c>
      <c r="P3" s="930" t="s">
        <v>370</v>
      </c>
    </row>
    <row r="4" spans="1:39">
      <c r="I4" s="749"/>
      <c r="J4" s="110"/>
      <c r="K4" s="750" t="s">
        <v>337</v>
      </c>
      <c r="L4" s="1021">
        <f>EXP(D34*B79+B78)</f>
        <v>3560614.2949919691</v>
      </c>
      <c r="M4" s="1022">
        <f>B69</f>
        <v>25</v>
      </c>
      <c r="N4" s="1023">
        <f>B66</f>
        <v>3.0660210458453317E-2</v>
      </c>
      <c r="O4" s="1024">
        <f>F73</f>
        <v>0.40249328917209171</v>
      </c>
      <c r="P4" s="930" t="s">
        <v>370</v>
      </c>
    </row>
    <row r="5" spans="1:39" ht="17" thickBot="1">
      <c r="I5" s="751"/>
      <c r="J5" s="752"/>
      <c r="K5" s="753" t="s">
        <v>337</v>
      </c>
      <c r="L5" s="1025">
        <f>EXP(D34*M78+M77)</f>
        <v>4725184.0648971926</v>
      </c>
      <c r="M5" s="1026">
        <f>M68</f>
        <v>8</v>
      </c>
      <c r="N5" s="1027">
        <f>M65</f>
        <v>7.9757713168076172E-2</v>
      </c>
      <c r="O5" s="1028">
        <f>Q72</f>
        <v>0.49795578018364051</v>
      </c>
      <c r="P5" s="930" t="s">
        <v>371</v>
      </c>
    </row>
    <row r="6" spans="1:39">
      <c r="I6" s="97"/>
      <c r="J6" s="110"/>
      <c r="K6" s="750"/>
      <c r="L6" s="758"/>
      <c r="M6" s="204"/>
      <c r="N6" s="235"/>
      <c r="O6" s="870"/>
    </row>
    <row r="7" spans="1:39">
      <c r="I7" s="97"/>
      <c r="J7" s="110"/>
      <c r="K7" s="750"/>
      <c r="L7" s="110"/>
      <c r="M7" s="110"/>
      <c r="N7" s="110"/>
      <c r="O7" s="110"/>
    </row>
    <row r="8" spans="1:39">
      <c r="A8" s="98"/>
      <c r="B8" s="98"/>
      <c r="C8" s="116" t="s">
        <v>338</v>
      </c>
      <c r="D8" s="116"/>
      <c r="E8" s="117"/>
      <c r="F8" s="116" t="s">
        <v>341</v>
      </c>
      <c r="G8" s="116"/>
      <c r="H8" s="98"/>
      <c r="I8" s="97"/>
      <c r="AD8" s="930"/>
      <c r="AE8" s="930"/>
      <c r="AF8" s="930"/>
      <c r="AG8" s="930"/>
      <c r="AH8" s="930"/>
      <c r="AI8" s="930"/>
      <c r="AJ8" s="930"/>
      <c r="AK8" s="930"/>
      <c r="AL8" s="930"/>
      <c r="AM8" s="930"/>
    </row>
    <row r="9" spans="1:39">
      <c r="A9" s="108" t="s">
        <v>181</v>
      </c>
      <c r="B9" s="108" t="s">
        <v>183</v>
      </c>
      <c r="C9" s="115" t="s">
        <v>37</v>
      </c>
      <c r="D9" s="115" t="s">
        <v>182</v>
      </c>
      <c r="E9" s="115"/>
      <c r="F9" s="115" t="s">
        <v>184</v>
      </c>
      <c r="G9" s="115" t="s">
        <v>185</v>
      </c>
      <c r="H9" s="115" t="s">
        <v>186</v>
      </c>
      <c r="I9" s="115" t="s">
        <v>187</v>
      </c>
      <c r="AD9" s="930"/>
      <c r="AE9" s="930"/>
      <c r="AF9" s="930"/>
      <c r="AG9" s="930"/>
      <c r="AH9" s="930"/>
      <c r="AI9" s="930"/>
      <c r="AJ9" s="930"/>
      <c r="AK9" s="930"/>
      <c r="AL9" s="930"/>
      <c r="AM9" s="930"/>
    </row>
    <row r="10" spans="1:39">
      <c r="A10" s="6">
        <v>1960</v>
      </c>
      <c r="B10" s="112">
        <f>A10+2</f>
        <v>1962</v>
      </c>
      <c r="C10" s="743">
        <f>VLOOKUP($A10,Database!$A$74:$J$133,6,FALSE)</f>
        <v>1350722</v>
      </c>
      <c r="D10" s="113">
        <f>LN(C10)</f>
        <v>14.116149822266953</v>
      </c>
      <c r="E10" s="114"/>
      <c r="F10" s="743">
        <f>VLOOKUP($A10+2,Database!$A$74:$J$133,10,FALSE)</f>
        <v>8760326</v>
      </c>
      <c r="G10" s="113">
        <f>LN(F10)</f>
        <v>15.985743676832</v>
      </c>
      <c r="H10" s="113">
        <f>F10/C10</f>
        <v>6.4856617423866645</v>
      </c>
      <c r="I10" s="113">
        <f>LN(H10)</f>
        <v>1.8695938545650459</v>
      </c>
      <c r="AD10" s="930"/>
      <c r="AE10" s="930"/>
      <c r="AF10" s="930"/>
      <c r="AG10" s="930"/>
      <c r="AH10" s="930" t="s">
        <v>360</v>
      </c>
      <c r="AI10" s="930">
        <f>M77</f>
        <v>22.978167149312306</v>
      </c>
      <c r="AJ10" s="930"/>
      <c r="AK10" s="930"/>
      <c r="AL10" s="930"/>
      <c r="AM10" s="930"/>
    </row>
    <row r="11" spans="1:39">
      <c r="A11" s="112">
        <f>A10+2</f>
        <v>1962</v>
      </c>
      <c r="B11" s="112">
        <f t="shared" ref="B11:B30" si="0">A11+2</f>
        <v>1964</v>
      </c>
      <c r="C11" s="743">
        <f>VLOOKUP($A11,Database!$A$74:$J$133,6,FALSE)</f>
        <v>2018010</v>
      </c>
      <c r="D11" s="113">
        <f t="shared" ref="D11:D30" si="1">LN(C11)</f>
        <v>14.517622435284801</v>
      </c>
      <c r="E11" s="114"/>
      <c r="F11" s="743">
        <f>VLOOKUP($A11+2,Database!$A$74:$J$133,10,FALSE)</f>
        <v>6048576</v>
      </c>
      <c r="G11" s="113">
        <f t="shared" ref="G11:G29" si="2">LN(F11)</f>
        <v>15.615333430401884</v>
      </c>
      <c r="H11" s="113">
        <f t="shared" ref="H11:H29" si="3">F11/C11</f>
        <v>2.9972973374760286</v>
      </c>
      <c r="I11" s="113">
        <f t="shared" ref="I11:I29" si="4">LN(H11)</f>
        <v>1.0977109951170838</v>
      </c>
      <c r="AD11" s="930"/>
      <c r="AE11" s="930"/>
      <c r="AF11" s="930"/>
      <c r="AG11" s="930"/>
      <c r="AH11" s="930" t="s">
        <v>359</v>
      </c>
      <c r="AI11" s="930">
        <f>M78</f>
        <v>-0.55677719653141478</v>
      </c>
      <c r="AJ11" s="930"/>
      <c r="AK11" s="930"/>
      <c r="AL11" s="930"/>
      <c r="AM11" s="930"/>
    </row>
    <row r="12" spans="1:39">
      <c r="A12" s="112">
        <f t="shared" ref="A12:A36" si="5">A11+2</f>
        <v>1964</v>
      </c>
      <c r="B12" s="112">
        <f t="shared" si="0"/>
        <v>1966</v>
      </c>
      <c r="C12" s="743">
        <f>VLOOKUP($A12,Database!$A$74:$J$133,6,FALSE)</f>
        <v>1841680</v>
      </c>
      <c r="D12" s="113">
        <f t="shared" si="1"/>
        <v>14.426188756492778</v>
      </c>
      <c r="E12" s="114"/>
      <c r="F12" s="743">
        <f>VLOOKUP($A12+2,Database!$A$74:$J$133,10,FALSE)</f>
        <v>4122588</v>
      </c>
      <c r="G12" s="113">
        <f t="shared" si="2"/>
        <v>15.231991679458529</v>
      </c>
      <c r="H12" s="113">
        <f t="shared" si="3"/>
        <v>2.2384931149819729</v>
      </c>
      <c r="I12" s="113">
        <f t="shared" si="4"/>
        <v>0.8058029229657514</v>
      </c>
      <c r="AD12" s="930"/>
      <c r="AE12" s="930"/>
      <c r="AF12" s="930"/>
      <c r="AG12" s="930"/>
      <c r="AH12" s="930"/>
      <c r="AI12" s="930"/>
      <c r="AJ12" s="930"/>
      <c r="AK12" s="930"/>
      <c r="AL12" s="930"/>
      <c r="AM12" s="930"/>
    </row>
    <row r="13" spans="1:39">
      <c r="A13" s="112">
        <f t="shared" si="5"/>
        <v>1966</v>
      </c>
      <c r="B13" s="112">
        <f t="shared" si="0"/>
        <v>1968</v>
      </c>
      <c r="C13" s="743">
        <f>VLOOKUP($A13,Database!$A$74:$J$133,6,FALSE)</f>
        <v>1423170</v>
      </c>
      <c r="D13" s="113">
        <f t="shared" si="1"/>
        <v>14.168397335853582</v>
      </c>
      <c r="E13" s="114"/>
      <c r="F13" s="743">
        <f>VLOOKUP($A13+2,Database!$A$74:$J$133,10,FALSE)</f>
        <v>3608678</v>
      </c>
      <c r="G13" s="113">
        <f t="shared" si="2"/>
        <v>15.098852058253494</v>
      </c>
      <c r="H13" s="113">
        <f t="shared" si="3"/>
        <v>2.535661937786772</v>
      </c>
      <c r="I13" s="113">
        <f t="shared" si="4"/>
        <v>0.930454722399912</v>
      </c>
      <c r="AD13" s="930"/>
      <c r="AE13" s="930" t="s">
        <v>205</v>
      </c>
      <c r="AF13" s="1008" t="s">
        <v>355</v>
      </c>
      <c r="AG13" s="1008" t="s">
        <v>356</v>
      </c>
      <c r="AH13" s="1008" t="s">
        <v>75</v>
      </c>
      <c r="AI13" s="1008" t="s">
        <v>58</v>
      </c>
      <c r="AJ13" s="1008" t="s">
        <v>357</v>
      </c>
      <c r="AK13" s="1008" t="s">
        <v>358</v>
      </c>
      <c r="AL13" s="1008" t="s">
        <v>361</v>
      </c>
      <c r="AM13" s="930"/>
    </row>
    <row r="14" spans="1:39">
      <c r="A14" s="112">
        <f t="shared" si="5"/>
        <v>1968</v>
      </c>
      <c r="B14" s="112">
        <f t="shared" si="0"/>
        <v>1970</v>
      </c>
      <c r="C14" s="743">
        <f>VLOOKUP($A14,Database!$A$74:$J$133,6,FALSE)</f>
        <v>1156510</v>
      </c>
      <c r="D14" s="113">
        <f t="shared" si="1"/>
        <v>13.960917407395323</v>
      </c>
      <c r="E14" s="114"/>
      <c r="F14" s="743">
        <f>VLOOKUP($A14+2,Database!$A$74:$J$133,10,FALSE)</f>
        <v>3789216</v>
      </c>
      <c r="G14" s="113">
        <f t="shared" si="2"/>
        <v>15.147669695501785</v>
      </c>
      <c r="H14" s="113">
        <f t="shared" si="3"/>
        <v>3.2764230313615967</v>
      </c>
      <c r="I14" s="113">
        <f t="shared" si="4"/>
        <v>1.1867522881064616</v>
      </c>
      <c r="AD14" s="930"/>
      <c r="AE14" s="930">
        <f>A27</f>
        <v>1994</v>
      </c>
      <c r="AF14" s="1009">
        <f>D27</f>
        <v>14.158590203218289</v>
      </c>
      <c r="AG14" s="1009">
        <f>G27</f>
        <v>15.319606843451044</v>
      </c>
      <c r="AH14" s="1010">
        <f>EXP(($AF14*$AI$11)+$AI$10)</f>
        <v>3594757.1299682534</v>
      </c>
      <c r="AI14" s="1010">
        <f>F27</f>
        <v>4500085</v>
      </c>
      <c r="AJ14" s="1011">
        <f>AH14-AI14</f>
        <v>-905327.87003174657</v>
      </c>
      <c r="AK14" s="1012">
        <f>AJ14/AI14</f>
        <v>-0.20118017104826832</v>
      </c>
      <c r="AL14" s="1012">
        <f>ABS(AK14)</f>
        <v>0.20118017104826832</v>
      </c>
      <c r="AM14" s="930"/>
    </row>
    <row r="15" spans="1:39">
      <c r="A15" s="112">
        <f t="shared" si="5"/>
        <v>1970</v>
      </c>
      <c r="B15" s="112">
        <f t="shared" si="0"/>
        <v>1972</v>
      </c>
      <c r="C15" s="743">
        <f>VLOOKUP($A15,Database!$A$74:$J$133,6,FALSE)</f>
        <v>979220</v>
      </c>
      <c r="D15" s="113">
        <f t="shared" si="1"/>
        <v>13.794511615368215</v>
      </c>
      <c r="E15" s="114"/>
      <c r="F15" s="743">
        <f>VLOOKUP($A15+2,Database!$A$74:$J$133,10,FALSE)</f>
        <v>695963</v>
      </c>
      <c r="G15" s="113">
        <f t="shared" si="2"/>
        <v>13.453051776983925</v>
      </c>
      <c r="H15" s="113">
        <f t="shared" si="3"/>
        <v>0.71073201119258189</v>
      </c>
      <c r="I15" s="113">
        <f t="shared" si="4"/>
        <v>-0.34145983838429111</v>
      </c>
      <c r="AD15" s="930"/>
      <c r="AE15" s="930">
        <f t="shared" ref="AE15:AE20" si="6">A28</f>
        <v>1996</v>
      </c>
      <c r="AF15" s="1009">
        <f t="shared" ref="AF15:AF20" si="7">D28</f>
        <v>14.209804163225506</v>
      </c>
      <c r="AG15" s="1009">
        <f t="shared" ref="AG15:AG20" si="8">G28</f>
        <v>15.478351881922018</v>
      </c>
      <c r="AH15" s="1010">
        <f t="shared" ref="AH15:AH20" si="9">EXP(($AF15*$AI$11)+$AI$10)</f>
        <v>3493701.1163706766</v>
      </c>
      <c r="AI15" s="1010">
        <f t="shared" ref="AI15:AI20" si="10">F28</f>
        <v>5274275.5</v>
      </c>
      <c r="AJ15" s="1011">
        <f t="shared" ref="AJ15:AJ20" si="11">AH15-AI15</f>
        <v>-1780574.3836293234</v>
      </c>
      <c r="AK15" s="1012">
        <f t="shared" ref="AK15:AK20" si="12">AJ15/AI15</f>
        <v>-0.33759601363814301</v>
      </c>
      <c r="AL15" s="1012">
        <f t="shared" ref="AL15:AL20" si="13">ABS(AK15)</f>
        <v>0.33759601363814301</v>
      </c>
      <c r="AM15" s="930"/>
    </row>
    <row r="16" spans="1:39">
      <c r="A16" s="112">
        <f t="shared" si="5"/>
        <v>1972</v>
      </c>
      <c r="B16" s="112">
        <f t="shared" si="0"/>
        <v>1974</v>
      </c>
      <c r="C16" s="743">
        <f>VLOOKUP($A16,Database!$A$74:$J$133,6,FALSE)</f>
        <v>641180</v>
      </c>
      <c r="D16" s="113">
        <f t="shared" si="1"/>
        <v>13.371065507715162</v>
      </c>
      <c r="E16" s="114"/>
      <c r="F16" s="743">
        <f>VLOOKUP($A16+2,Database!$A$74:$J$133,10,FALSE)</f>
        <v>1012903</v>
      </c>
      <c r="G16" s="113">
        <f t="shared" si="2"/>
        <v>13.828331023463374</v>
      </c>
      <c r="H16" s="113">
        <f t="shared" si="3"/>
        <v>1.5797482766149911</v>
      </c>
      <c r="I16" s="113">
        <f t="shared" si="4"/>
        <v>0.45726551574821256</v>
      </c>
      <c r="AD16" s="930"/>
      <c r="AE16" s="930">
        <f t="shared" si="6"/>
        <v>1998</v>
      </c>
      <c r="AF16" s="1009">
        <f t="shared" si="7"/>
        <v>14.166241370505718</v>
      </c>
      <c r="AG16" s="1009">
        <f t="shared" si="8"/>
        <v>15.815630309130674</v>
      </c>
      <c r="AH16" s="1010">
        <f t="shared" si="9"/>
        <v>3579476.05263953</v>
      </c>
      <c r="AI16" s="1010">
        <f t="shared" si="10"/>
        <v>7389941</v>
      </c>
      <c r="AJ16" s="1011">
        <f t="shared" si="11"/>
        <v>-3810464.94736047</v>
      </c>
      <c r="AK16" s="1012">
        <f t="shared" si="12"/>
        <v>-0.51562860209039152</v>
      </c>
      <c r="AL16" s="1012">
        <f t="shared" si="13"/>
        <v>0.51562860209039152</v>
      </c>
      <c r="AM16" s="930"/>
    </row>
    <row r="17" spans="1:39">
      <c r="A17" s="112">
        <f t="shared" si="5"/>
        <v>1974</v>
      </c>
      <c r="B17" s="112">
        <f t="shared" si="0"/>
        <v>1976</v>
      </c>
      <c r="C17" s="743">
        <f>VLOOKUP($A17,Database!$A$74:$J$133,6,FALSE)</f>
        <v>958120</v>
      </c>
      <c r="D17" s="113">
        <f t="shared" si="1"/>
        <v>13.772728310068832</v>
      </c>
      <c r="E17" s="114"/>
      <c r="F17" s="743">
        <f>VLOOKUP($A17+2,Database!$A$74:$J$133,10,FALSE)</f>
        <v>1161051</v>
      </c>
      <c r="G17" s="113">
        <f t="shared" si="2"/>
        <v>13.964836187363817</v>
      </c>
      <c r="H17" s="113">
        <f t="shared" si="3"/>
        <v>1.2118012357533503</v>
      </c>
      <c r="I17" s="113">
        <f t="shared" si="4"/>
        <v>0.19210787729498385</v>
      </c>
      <c r="AD17" s="930"/>
      <c r="AE17" s="930">
        <f t="shared" si="6"/>
        <v>2000</v>
      </c>
      <c r="AF17" s="1009">
        <f t="shared" si="7"/>
        <v>14.321742446667287</v>
      </c>
      <c r="AG17" s="1009">
        <f t="shared" si="8"/>
        <v>14.050302253636293</v>
      </c>
      <c r="AH17" s="1010">
        <f t="shared" si="9"/>
        <v>3282603.9100120873</v>
      </c>
      <c r="AI17" s="1010">
        <f t="shared" si="10"/>
        <v>1264645.3102025923</v>
      </c>
      <c r="AJ17" s="1011">
        <f t="shared" si="11"/>
        <v>2017958.599809495</v>
      </c>
      <c r="AK17" s="1012">
        <f t="shared" si="12"/>
        <v>1.5956715954501299</v>
      </c>
      <c r="AL17" s="1012">
        <f t="shared" si="13"/>
        <v>1.5956715954501299</v>
      </c>
      <c r="AM17" s="930"/>
    </row>
    <row r="18" spans="1:39">
      <c r="A18" s="112">
        <f t="shared" si="5"/>
        <v>1976</v>
      </c>
      <c r="B18" s="112">
        <f t="shared" si="0"/>
        <v>1978</v>
      </c>
      <c r="C18" s="743">
        <f>VLOOKUP($A18,Database!$A$74:$J$133,6,FALSE)</f>
        <v>712278</v>
      </c>
      <c r="D18" s="113">
        <f t="shared" si="1"/>
        <v>13.476223563626769</v>
      </c>
      <c r="E18" s="114"/>
      <c r="F18" s="743">
        <f>VLOOKUP($A18+2,Database!$A$74:$J$133,10,FALSE)</f>
        <v>3925083</v>
      </c>
      <c r="G18" s="113">
        <f t="shared" si="2"/>
        <v>15.182898055471878</v>
      </c>
      <c r="H18" s="113">
        <f t="shared" si="3"/>
        <v>5.5106054096855441</v>
      </c>
      <c r="I18" s="113">
        <f t="shared" si="4"/>
        <v>1.7066744918451084</v>
      </c>
      <c r="AD18" s="930"/>
      <c r="AE18" s="930">
        <f t="shared" si="6"/>
        <v>2002</v>
      </c>
      <c r="AF18" s="1009">
        <f t="shared" si="7"/>
        <v>13.757009242835883</v>
      </c>
      <c r="AG18" s="1009">
        <f t="shared" si="8"/>
        <v>15.41276071175157</v>
      </c>
      <c r="AH18" s="1010">
        <f t="shared" si="9"/>
        <v>4495457.9943450261</v>
      </c>
      <c r="AI18" s="1010">
        <f t="shared" si="10"/>
        <v>4939431.0563474381</v>
      </c>
      <c r="AJ18" s="1011">
        <f t="shared" si="11"/>
        <v>-443973.06200241204</v>
      </c>
      <c r="AK18" s="1012">
        <f t="shared" si="12"/>
        <v>-8.9883441420218313E-2</v>
      </c>
      <c r="AL18" s="1012">
        <f t="shared" si="13"/>
        <v>8.9883441420218313E-2</v>
      </c>
      <c r="AM18" s="930"/>
    </row>
    <row r="19" spans="1:39">
      <c r="A19" s="112">
        <f t="shared" si="5"/>
        <v>1978</v>
      </c>
      <c r="B19" s="112">
        <f t="shared" si="0"/>
        <v>1980</v>
      </c>
      <c r="C19" s="743">
        <f>VLOOKUP($A19,Database!$A$74:$J$133,6,FALSE)</f>
        <v>755386</v>
      </c>
      <c r="D19" s="113">
        <f t="shared" si="1"/>
        <v>13.534984155861322</v>
      </c>
      <c r="E19" s="114"/>
      <c r="F19" s="743">
        <f>VLOOKUP($A19+2,Database!$A$74:$J$133,10,FALSE)</f>
        <v>14013916</v>
      </c>
      <c r="G19" s="113">
        <f t="shared" si="2"/>
        <v>16.455561393888658</v>
      </c>
      <c r="H19" s="113">
        <f t="shared" si="3"/>
        <v>18.551993285552022</v>
      </c>
      <c r="I19" s="113">
        <f t="shared" si="4"/>
        <v>2.9205772380273363</v>
      </c>
      <c r="AD19" s="930"/>
      <c r="AE19" s="930">
        <f t="shared" si="6"/>
        <v>2004</v>
      </c>
      <c r="AF19" s="1009">
        <f t="shared" si="7"/>
        <v>14.50921908094208</v>
      </c>
      <c r="AG19" s="1009">
        <f t="shared" si="8"/>
        <v>15.013878517052541</v>
      </c>
      <c r="AH19" s="1010">
        <f t="shared" si="9"/>
        <v>2957233.691276337</v>
      </c>
      <c r="AI19" s="1010">
        <f t="shared" si="10"/>
        <v>3314702.7753436686</v>
      </c>
      <c r="AJ19" s="1011">
        <f t="shared" si="11"/>
        <v>-357469.08406733163</v>
      </c>
      <c r="AK19" s="1012">
        <f t="shared" si="12"/>
        <v>-0.10784348048529606</v>
      </c>
      <c r="AL19" s="1012">
        <f t="shared" si="13"/>
        <v>0.10784348048529606</v>
      </c>
      <c r="AM19" s="930"/>
    </row>
    <row r="20" spans="1:39">
      <c r="A20" s="112">
        <f t="shared" si="5"/>
        <v>1980</v>
      </c>
      <c r="B20" s="112">
        <f t="shared" si="0"/>
        <v>1982</v>
      </c>
      <c r="C20" s="743">
        <f>VLOOKUP($A20,Database!$A$74:$J$133,6,FALSE)</f>
        <v>1095042</v>
      </c>
      <c r="D20" s="113">
        <f t="shared" si="1"/>
        <v>13.906303276661543</v>
      </c>
      <c r="E20" s="114"/>
      <c r="F20" s="743">
        <f>VLOOKUP($A20+2,Database!$A$74:$J$133,10,FALSE)</f>
        <v>16794317</v>
      </c>
      <c r="G20" s="113">
        <f t="shared" si="2"/>
        <v>16.636551113336473</v>
      </c>
      <c r="H20" s="113">
        <f t="shared" si="3"/>
        <v>15.336687542578275</v>
      </c>
      <c r="I20" s="113">
        <f t="shared" si="4"/>
        <v>2.7302478366749292</v>
      </c>
      <c r="AD20" s="930"/>
      <c r="AE20" s="930">
        <f t="shared" si="6"/>
        <v>2006</v>
      </c>
      <c r="AF20" s="1009">
        <f t="shared" si="7"/>
        <v>13.990137252497222</v>
      </c>
      <c r="AG20" s="1009">
        <f t="shared" si="8"/>
        <v>14.644364372544423</v>
      </c>
      <c r="AH20" s="1010">
        <f t="shared" si="9"/>
        <v>3948229.2719191494</v>
      </c>
      <c r="AI20" s="1010">
        <f t="shared" si="10"/>
        <v>2290691.6775990888</v>
      </c>
      <c r="AJ20" s="1011">
        <f t="shared" si="11"/>
        <v>1657537.5943200607</v>
      </c>
      <c r="AK20" s="1012">
        <f t="shared" si="12"/>
        <v>0.72359698624188162</v>
      </c>
      <c r="AL20" s="1012">
        <f t="shared" si="13"/>
        <v>0.72359698624188162</v>
      </c>
      <c r="AM20" s="930"/>
    </row>
    <row r="21" spans="1:39">
      <c r="A21" s="112">
        <f t="shared" si="5"/>
        <v>1982</v>
      </c>
      <c r="B21" s="112">
        <f t="shared" si="0"/>
        <v>1984</v>
      </c>
      <c r="C21" s="743">
        <f>VLOOKUP($A21,Database!$A$74:$J$133,6,FALSE)</f>
        <v>1849118</v>
      </c>
      <c r="D21" s="113">
        <f t="shared" si="1"/>
        <v>14.430219326613113</v>
      </c>
      <c r="E21" s="114"/>
      <c r="F21" s="743">
        <f>VLOOKUP($A21+2,Database!$A$74:$J$133,10,FALSE)</f>
        <v>21201513</v>
      </c>
      <c r="G21" s="113">
        <f t="shared" si="2"/>
        <v>16.869583105020201</v>
      </c>
      <c r="H21" s="113">
        <f t="shared" si="3"/>
        <v>11.465743668062286</v>
      </c>
      <c r="I21" s="113">
        <f t="shared" si="4"/>
        <v>2.4393637784070865</v>
      </c>
      <c r="AD21" s="930"/>
      <c r="AE21" s="930"/>
      <c r="AF21" s="930"/>
      <c r="AG21" s="930"/>
      <c r="AH21" s="930"/>
      <c r="AI21" s="930"/>
      <c r="AJ21" s="930"/>
      <c r="AK21" s="930"/>
      <c r="AL21" s="930"/>
      <c r="AM21" s="930"/>
    </row>
    <row r="22" spans="1:39">
      <c r="A22" s="112">
        <f t="shared" si="5"/>
        <v>1984</v>
      </c>
      <c r="B22" s="112">
        <f t="shared" si="0"/>
        <v>1986</v>
      </c>
      <c r="C22" s="743">
        <f>VLOOKUP($A22,Database!$A$74:$J$133,6,FALSE)</f>
        <v>3569838</v>
      </c>
      <c r="D22" s="113">
        <f t="shared" si="1"/>
        <v>15.088030774574943</v>
      </c>
      <c r="E22" s="114"/>
      <c r="F22" s="743">
        <f>VLOOKUP($A22+2,Database!$A$74:$J$133,10,FALSE)</f>
        <v>5563957</v>
      </c>
      <c r="G22" s="113">
        <f t="shared" si="2"/>
        <v>15.531820103742552</v>
      </c>
      <c r="H22" s="113">
        <f t="shared" si="3"/>
        <v>1.5586020990308245</v>
      </c>
      <c r="I22" s="113">
        <f t="shared" si="4"/>
        <v>0.44378932916761032</v>
      </c>
      <c r="AD22" s="930"/>
      <c r="AE22" s="930"/>
      <c r="AF22" s="930"/>
      <c r="AG22" s="930"/>
      <c r="AH22" s="930"/>
      <c r="AI22" s="930"/>
      <c r="AJ22" s="930"/>
      <c r="AK22" s="1008" t="s">
        <v>292</v>
      </c>
      <c r="AL22" s="1013">
        <f>AVERAGE(AL14:AL20)</f>
        <v>0.51020004148204701</v>
      </c>
      <c r="AM22" s="930"/>
    </row>
    <row r="23" spans="1:39">
      <c r="A23" s="112">
        <f t="shared" si="5"/>
        <v>1986</v>
      </c>
      <c r="B23" s="112">
        <f t="shared" si="0"/>
        <v>1988</v>
      </c>
      <c r="C23" s="743">
        <f>VLOOKUP($A23,Database!$A$74:$J$133,6,FALSE)</f>
        <v>985934</v>
      </c>
      <c r="D23" s="113">
        <f t="shared" si="1"/>
        <v>13.801344694224708</v>
      </c>
      <c r="E23" s="114"/>
      <c r="F23" s="743">
        <f>VLOOKUP($A23+2,Database!$A$74:$J$133,10,FALSE)</f>
        <v>1766936</v>
      </c>
      <c r="G23" s="113">
        <f t="shared" si="2"/>
        <v>14.384757531064677</v>
      </c>
      <c r="H23" s="113">
        <f t="shared" si="3"/>
        <v>1.7921443017483929</v>
      </c>
      <c r="I23" s="113">
        <f t="shared" si="4"/>
        <v>0.58341283683996947</v>
      </c>
      <c r="AD23" s="930"/>
      <c r="AE23" s="930"/>
      <c r="AF23" s="930"/>
      <c r="AG23" s="930"/>
      <c r="AH23" s="930"/>
      <c r="AI23" s="930"/>
      <c r="AJ23" s="930"/>
      <c r="AK23" s="930"/>
      <c r="AL23" s="930"/>
      <c r="AM23" s="930"/>
    </row>
    <row r="24" spans="1:39">
      <c r="A24" s="112">
        <f t="shared" si="5"/>
        <v>1988</v>
      </c>
      <c r="B24" s="112">
        <f t="shared" si="0"/>
        <v>1990</v>
      </c>
      <c r="C24" s="743">
        <f>VLOOKUP($A24,Database!$A$74:$J$133,6,FALSE)</f>
        <v>971164</v>
      </c>
      <c r="D24" s="113">
        <f t="shared" si="1"/>
        <v>13.786250631055047</v>
      </c>
      <c r="E24" s="114"/>
      <c r="F24" s="743">
        <f>VLOOKUP($A24+2,Database!$A$74:$J$133,10,FALSE)</f>
        <v>12923662</v>
      </c>
      <c r="G24" s="113">
        <f t="shared" si="2"/>
        <v>16.374570452690691</v>
      </c>
      <c r="H24" s="113">
        <f t="shared" si="3"/>
        <v>13.307394013781401</v>
      </c>
      <c r="I24" s="113">
        <f t="shared" si="4"/>
        <v>2.5883198216356447</v>
      </c>
      <c r="AH24" s="7"/>
    </row>
    <row r="25" spans="1:39">
      <c r="A25" s="112">
        <f t="shared" si="5"/>
        <v>1990</v>
      </c>
      <c r="B25" s="112">
        <f t="shared" si="0"/>
        <v>1992</v>
      </c>
      <c r="C25" s="743">
        <f>VLOOKUP($A25,Database!$A$74:$J$133,6,FALSE)</f>
        <v>1235905</v>
      </c>
      <c r="D25" s="113">
        <f t="shared" si="1"/>
        <v>14.027314053204403</v>
      </c>
      <c r="E25" s="114"/>
      <c r="F25" s="743">
        <f>VLOOKUP($A25+2,Database!$A$74:$J$133,10,FALSE)</f>
        <v>1405383</v>
      </c>
      <c r="G25" s="113">
        <f t="shared" si="2"/>
        <v>14.155820421466705</v>
      </c>
      <c r="H25" s="113">
        <f t="shared" si="3"/>
        <v>1.1371286628017525</v>
      </c>
      <c r="I25" s="113">
        <f t="shared" si="4"/>
        <v>0.12850636826230138</v>
      </c>
      <c r="AF25" s="6"/>
      <c r="AG25" s="7"/>
      <c r="AH25" s="7"/>
    </row>
    <row r="26" spans="1:39">
      <c r="A26" s="112">
        <f t="shared" si="5"/>
        <v>1992</v>
      </c>
      <c r="B26" s="112">
        <f t="shared" si="0"/>
        <v>1994</v>
      </c>
      <c r="C26" s="743">
        <f>VLOOKUP($A26,Database!$A$74:$J$133,6,FALSE)</f>
        <v>542537</v>
      </c>
      <c r="D26" s="113">
        <f t="shared" si="1"/>
        <v>13.204011564836026</v>
      </c>
      <c r="E26" s="114"/>
      <c r="F26" s="743">
        <f>VLOOKUP($A26+2,Database!$A$74:$J$133,10,FALSE)</f>
        <v>4666639</v>
      </c>
      <c r="G26" s="113">
        <f t="shared" si="2"/>
        <v>15.355949670322421</v>
      </c>
      <c r="H26" s="113">
        <f t="shared" si="3"/>
        <v>8.6015128922082731</v>
      </c>
      <c r="I26" s="113">
        <f t="shared" si="4"/>
        <v>2.1519381054863946</v>
      </c>
      <c r="AF26" s="37"/>
      <c r="AG26" s="872"/>
      <c r="AH26" s="871"/>
    </row>
    <row r="27" spans="1:39">
      <c r="A27" s="112">
        <f t="shared" si="5"/>
        <v>1994</v>
      </c>
      <c r="B27" s="112">
        <f t="shared" si="0"/>
        <v>1996</v>
      </c>
      <c r="C27" s="743">
        <f>VLOOKUP($A27,Database!$A$74:$J$133,6,FALSE)</f>
        <v>1409281</v>
      </c>
      <c r="D27" s="113">
        <f t="shared" si="1"/>
        <v>14.158590203218289</v>
      </c>
      <c r="E27" s="114"/>
      <c r="F27" s="743">
        <f>VLOOKUP($A27+2,Database!$A$74:$J$133,10,FALSE)</f>
        <v>4500085</v>
      </c>
      <c r="G27" s="113">
        <f t="shared" si="2"/>
        <v>15.319606843451044</v>
      </c>
      <c r="H27" s="113">
        <f t="shared" si="3"/>
        <v>3.1931779396727835</v>
      </c>
      <c r="I27" s="113">
        <f t="shared" si="4"/>
        <v>1.1610166402327553</v>
      </c>
      <c r="AF27" s="37"/>
      <c r="AG27" s="872"/>
      <c r="AH27" s="871"/>
    </row>
    <row r="28" spans="1:39">
      <c r="A28" s="112">
        <f t="shared" si="5"/>
        <v>1996</v>
      </c>
      <c r="B28" s="112">
        <f t="shared" si="0"/>
        <v>1998</v>
      </c>
      <c r="C28" s="743">
        <f>VLOOKUP($A28,Database!$A$74:$J$133,6,FALSE)</f>
        <v>1483336</v>
      </c>
      <c r="D28" s="113">
        <f t="shared" si="1"/>
        <v>14.209804163225506</v>
      </c>
      <c r="E28" s="114"/>
      <c r="F28" s="743">
        <f>VLOOKUP($A28+2,Database!$A$74:$J$133,10,FALSE)</f>
        <v>5274275.5</v>
      </c>
      <c r="G28" s="113">
        <f t="shared" si="2"/>
        <v>15.478351881922018</v>
      </c>
      <c r="H28" s="113">
        <f t="shared" si="3"/>
        <v>3.555684956071989</v>
      </c>
      <c r="I28" s="113">
        <f t="shared" si="4"/>
        <v>1.2685477186965124</v>
      </c>
      <c r="AF28" s="37"/>
      <c r="AG28" s="872"/>
      <c r="AH28" s="871"/>
    </row>
    <row r="29" spans="1:39">
      <c r="A29" s="112">
        <f t="shared" si="5"/>
        <v>1998</v>
      </c>
      <c r="B29" s="112">
        <f t="shared" si="0"/>
        <v>2000</v>
      </c>
      <c r="C29" s="743">
        <f>VLOOKUP($A29,Database!$A$74:$J$133,6,FALSE)</f>
        <v>1420105</v>
      </c>
      <c r="D29" s="113">
        <f t="shared" si="1"/>
        <v>14.166241370505718</v>
      </c>
      <c r="E29" s="114"/>
      <c r="F29" s="743">
        <f>VLOOKUP($A29+2,Database!$A$74:$J$133,10,FALSE)</f>
        <v>7389941</v>
      </c>
      <c r="G29" s="113">
        <f t="shared" si="2"/>
        <v>15.815630309130674</v>
      </c>
      <c r="H29" s="113">
        <f t="shared" si="3"/>
        <v>5.2037990148615769</v>
      </c>
      <c r="I29" s="113">
        <f t="shared" si="4"/>
        <v>1.6493889386249563</v>
      </c>
      <c r="AF29" s="37"/>
      <c r="AG29" s="872"/>
      <c r="AH29" s="871"/>
    </row>
    <row r="30" spans="1:39">
      <c r="A30" s="112">
        <f t="shared" si="5"/>
        <v>2000</v>
      </c>
      <c r="B30" s="112">
        <f t="shared" si="0"/>
        <v>2002</v>
      </c>
      <c r="C30" s="743">
        <f>VLOOKUP($A30,Database!$A$74:$J$133,6,FALSE)</f>
        <v>1659028</v>
      </c>
      <c r="D30" s="113">
        <f t="shared" si="1"/>
        <v>14.321742446667287</v>
      </c>
      <c r="E30" s="114"/>
      <c r="F30" s="743">
        <f>VLOOKUP($A30+2,Database!$A$74:$J$133,10,FALSE)</f>
        <v>1264645.3102025923</v>
      </c>
      <c r="G30" s="113">
        <f>LN(F30)</f>
        <v>14.050302253636293</v>
      </c>
      <c r="H30" s="113">
        <f>F30/C30</f>
        <v>0.76228087181324988</v>
      </c>
      <c r="I30" s="113">
        <f>LN(H30)</f>
        <v>-0.27144019303099348</v>
      </c>
      <c r="AF30" s="37"/>
      <c r="AG30" s="872"/>
      <c r="AH30" s="871"/>
    </row>
    <row r="31" spans="1:39">
      <c r="A31" s="112">
        <f t="shared" si="5"/>
        <v>2002</v>
      </c>
      <c r="B31" s="112">
        <f>A31+2</f>
        <v>2004</v>
      </c>
      <c r="C31" s="743">
        <f>VLOOKUP($A31,Database!$A$74:$J$133,6,FALSE)</f>
        <v>943177</v>
      </c>
      <c r="D31" s="113">
        <f>LN(C31)</f>
        <v>13.757009242835883</v>
      </c>
      <c r="F31" s="743">
        <f>VLOOKUP($A31+2,Database!$A$74:$J$133,10,FALSE)</f>
        <v>4939431.0563474381</v>
      </c>
      <c r="G31" s="113">
        <f>LN(F31)</f>
        <v>15.41276071175157</v>
      </c>
      <c r="H31" s="113">
        <f>F31/C31</f>
        <v>5.2370138970176736</v>
      </c>
      <c r="I31" s="113">
        <f>LN(H31)</f>
        <v>1.6557514689156885</v>
      </c>
      <c r="AF31" s="37"/>
      <c r="AG31" s="872"/>
      <c r="AH31" s="871"/>
    </row>
    <row r="32" spans="1:39">
      <c r="A32" s="112">
        <f t="shared" si="5"/>
        <v>2004</v>
      </c>
      <c r="B32" s="112">
        <f>A32+2</f>
        <v>2006</v>
      </c>
      <c r="C32" s="743">
        <f>VLOOKUP($A32,Database!$A$74:$J$133,6,FALSE)</f>
        <v>2001123</v>
      </c>
      <c r="D32" s="113">
        <f>LN(C32)</f>
        <v>14.50921908094208</v>
      </c>
      <c r="F32" s="743">
        <f>VLOOKUP($A32+2,Database!$A$74:$J$133,10,FALSE)</f>
        <v>3314702.7753436686</v>
      </c>
      <c r="G32" s="113">
        <f>LN(F32)</f>
        <v>15.013878517052541</v>
      </c>
      <c r="H32" s="113">
        <f>F32/C32</f>
        <v>1.6564213071078933</v>
      </c>
      <c r="I32" s="113">
        <f>LN(H32)</f>
        <v>0.50465943611046105</v>
      </c>
      <c r="AF32" s="37"/>
      <c r="AG32" s="872"/>
      <c r="AH32" s="871"/>
    </row>
    <row r="33" spans="1:9">
      <c r="A33" s="112">
        <f t="shared" si="5"/>
        <v>2006</v>
      </c>
      <c r="B33" s="112">
        <f>A33+2</f>
        <v>2008</v>
      </c>
      <c r="C33" s="743">
        <f>VLOOKUP($A33,Database!$A$74:$J$133,6,FALSE)</f>
        <v>1190801.6008809961</v>
      </c>
      <c r="D33" s="113">
        <f>LN(C33)</f>
        <v>13.990137252497222</v>
      </c>
      <c r="F33" s="743">
        <f>VLOOKUP($A33+2,Database!$A$74:$J$133,10,FALSE)</f>
        <v>2290691.6775990888</v>
      </c>
      <c r="G33" s="113">
        <f>LN(F33)</f>
        <v>14.644364372544423</v>
      </c>
      <c r="H33" s="113">
        <f>F33/C33</f>
        <v>1.9236551881559079</v>
      </c>
      <c r="I33" s="113">
        <f>LN(H33)</f>
        <v>0.65422712004720118</v>
      </c>
    </row>
    <row r="34" spans="1:9">
      <c r="A34" s="112">
        <f t="shared" si="5"/>
        <v>2008</v>
      </c>
      <c r="B34" s="112">
        <f>A34+2</f>
        <v>2010</v>
      </c>
      <c r="C34" s="743">
        <f>VLOOKUP($A34,Database!$A$74:$J$133,6,FALSE)</f>
        <v>862418.51199612883</v>
      </c>
      <c r="D34" s="113">
        <f>LN(C34)</f>
        <v>13.667495944579176</v>
      </c>
      <c r="F34" s="743">
        <f>VLOOKUP($A34+2,Database!$A$74:$J$133,10,FALSE)</f>
        <v>4399390.7272172375</v>
      </c>
      <c r="G34" s="113">
        <f>LN(F34)</f>
        <v>15.296976618213492</v>
      </c>
      <c r="H34" s="113">
        <f>F34/C34</f>
        <v>5.101224829966295</v>
      </c>
      <c r="I34" s="113">
        <f>LN(H34)</f>
        <v>1.6294806736343155</v>
      </c>
    </row>
    <row r="35" spans="1:9">
      <c r="A35" s="112">
        <f t="shared" si="5"/>
        <v>2010</v>
      </c>
      <c r="B35" s="112">
        <f t="shared" ref="B35:B36" si="14">A35+2</f>
        <v>2012</v>
      </c>
      <c r="C35" s="743">
        <f>VLOOKUP($A35,Database!$A$74:$J$133,6,FALSE)</f>
        <v>2000408</v>
      </c>
      <c r="D35" s="113">
        <f t="shared" ref="D35:D36" si="15">LN(C35)</f>
        <v>14.508861717719048</v>
      </c>
      <c r="F35" s="743">
        <f>VLOOKUP($A35+2,Database!$A$74:$J$133,10,FALSE)</f>
        <v>4428267.5450134957</v>
      </c>
      <c r="G35" s="113">
        <f t="shared" ref="G35:G36" si="16">LN(F35)</f>
        <v>15.303518992171805</v>
      </c>
      <c r="H35" s="113">
        <f t="shared" ref="H35:H36" si="17">F35/C35</f>
        <v>2.213682181341754</v>
      </c>
      <c r="I35" s="113">
        <f t="shared" ref="I35:I36" si="18">LN(H35)</f>
        <v>0.79465727445275558</v>
      </c>
    </row>
    <row r="36" spans="1:9">
      <c r="A36" s="112">
        <f t="shared" si="5"/>
        <v>2012</v>
      </c>
      <c r="B36" s="112">
        <f t="shared" si="14"/>
        <v>2014</v>
      </c>
      <c r="C36" s="743">
        <f>VLOOKUP($A36,Database!$A$74:$J$133,6,FALSE)</f>
        <v>1125692.4441663059</v>
      </c>
      <c r="D36" s="113">
        <f t="shared" si="15"/>
        <v>13.933908910200183</v>
      </c>
      <c r="F36" s="743">
        <f>VLOOKUP($A36+2,Database!$A$74:$J$133,10,FALSE)</f>
        <v>2702397</v>
      </c>
      <c r="G36" s="113">
        <f t="shared" si="16"/>
        <v>14.809649714910723</v>
      </c>
      <c r="H36" s="113">
        <f t="shared" si="17"/>
        <v>2.4006530504887684</v>
      </c>
      <c r="I36" s="113">
        <f t="shared" si="18"/>
        <v>0.87574080471054017</v>
      </c>
    </row>
    <row r="39" spans="1:9">
      <c r="A39" s="744" t="s">
        <v>334</v>
      </c>
      <c r="B39" s="745"/>
      <c r="C39" s="746"/>
      <c r="D39" s="746"/>
    </row>
    <row r="40" spans="1:9">
      <c r="A40" t="s">
        <v>142</v>
      </c>
    </row>
    <row r="41" spans="1:9" ht="17" thickBot="1"/>
    <row r="42" spans="1:9">
      <c r="A42" s="106" t="s">
        <v>143</v>
      </c>
      <c r="B42" s="106"/>
    </row>
    <row r="43" spans="1:9">
      <c r="A43" s="103" t="s">
        <v>144</v>
      </c>
      <c r="B43" s="103">
        <v>7.7265898014673332E-2</v>
      </c>
    </row>
    <row r="44" spans="1:9">
      <c r="A44" s="103" t="s">
        <v>145</v>
      </c>
      <c r="B44" s="103">
        <v>5.9700189960139012E-3</v>
      </c>
    </row>
    <row r="45" spans="1:9">
      <c r="A45" s="103" t="s">
        <v>146</v>
      </c>
      <c r="B45" s="103">
        <v>-3.724867583024636E-2</v>
      </c>
    </row>
    <row r="46" spans="1:9">
      <c r="A46" s="103" t="s">
        <v>147</v>
      </c>
      <c r="B46" s="103">
        <v>5316317.8019602979</v>
      </c>
    </row>
    <row r="47" spans="1:9" ht="17" thickBot="1">
      <c r="A47" s="104" t="s">
        <v>148</v>
      </c>
      <c r="B47" s="104">
        <v>25</v>
      </c>
    </row>
    <row r="49" spans="1:15" ht="17" thickBot="1">
      <c r="A49" t="s">
        <v>149</v>
      </c>
    </row>
    <row r="50" spans="1:15">
      <c r="A50" s="105"/>
      <c r="B50" s="105" t="s">
        <v>150</v>
      </c>
      <c r="C50" s="105" t="s">
        <v>151</v>
      </c>
      <c r="D50" s="105" t="s">
        <v>152</v>
      </c>
      <c r="E50" s="105" t="s">
        <v>153</v>
      </c>
      <c r="F50" s="105" t="s">
        <v>154</v>
      </c>
    </row>
    <row r="51" spans="1:15">
      <c r="A51" s="103" t="s">
        <v>155</v>
      </c>
      <c r="B51" s="103">
        <v>1</v>
      </c>
      <c r="C51" s="103">
        <v>3904144961957</v>
      </c>
      <c r="D51" s="103">
        <v>3904144961957</v>
      </c>
      <c r="E51" s="103">
        <v>0.13813510611584773</v>
      </c>
      <c r="F51" s="103">
        <v>0.71354411733332213</v>
      </c>
    </row>
    <row r="52" spans="1:15">
      <c r="A52" s="103" t="s">
        <v>156</v>
      </c>
      <c r="B52" s="103">
        <v>23</v>
      </c>
      <c r="C52" s="103">
        <v>650054404343119.5</v>
      </c>
      <c r="D52" s="103">
        <v>28263234971439.977</v>
      </c>
      <c r="E52" s="103"/>
      <c r="F52" s="103"/>
    </row>
    <row r="53" spans="1:15" ht="17" thickBot="1">
      <c r="A53" s="104" t="s">
        <v>10</v>
      </c>
      <c r="B53" s="104">
        <v>24</v>
      </c>
      <c r="C53" s="104">
        <v>653958549305076.5</v>
      </c>
      <c r="D53" s="104"/>
      <c r="E53" s="104"/>
      <c r="F53" s="104"/>
    </row>
    <row r="54" spans="1:15" ht="17" thickBot="1"/>
    <row r="55" spans="1:15">
      <c r="A55" s="105"/>
      <c r="B55" s="105" t="s">
        <v>157</v>
      </c>
      <c r="C55" s="105" t="s">
        <v>147</v>
      </c>
      <c r="D55" s="105" t="s">
        <v>158</v>
      </c>
      <c r="E55" s="105" t="s">
        <v>159</v>
      </c>
      <c r="F55" s="105" t="s">
        <v>160</v>
      </c>
      <c r="G55" s="105" t="s">
        <v>161</v>
      </c>
      <c r="H55" s="105" t="s">
        <v>332</v>
      </c>
      <c r="I55" s="105" t="s">
        <v>333</v>
      </c>
    </row>
    <row r="56" spans="1:15">
      <c r="A56" s="103" t="s">
        <v>136</v>
      </c>
      <c r="B56" s="103">
        <v>4942251.5155386943</v>
      </c>
      <c r="C56" s="103">
        <v>2524777.7462574877</v>
      </c>
      <c r="D56" s="103">
        <v>1.957499634518191</v>
      </c>
      <c r="E56" s="103">
        <v>6.2530925678132607E-2</v>
      </c>
      <c r="F56" s="103">
        <v>-280649.15405964851</v>
      </c>
      <c r="G56" s="103">
        <v>10165152.185137037</v>
      </c>
      <c r="H56" s="103">
        <v>-280649.15405964851</v>
      </c>
      <c r="I56" s="103">
        <v>10165152.185137037</v>
      </c>
    </row>
    <row r="57" spans="1:15" ht="17" thickBot="1">
      <c r="A57" s="104" t="s">
        <v>162</v>
      </c>
      <c r="B57" s="104">
        <v>0.64370074163428459</v>
      </c>
      <c r="C57" s="104">
        <v>1.7319365468254528</v>
      </c>
      <c r="D57" s="104">
        <v>0.37166531465263764</v>
      </c>
      <c r="E57" s="104">
        <v>0.71354411733332723</v>
      </c>
      <c r="F57" s="104">
        <v>-2.9390829562674856</v>
      </c>
      <c r="G57" s="104">
        <v>4.2264844395360548</v>
      </c>
      <c r="H57" s="104">
        <v>-2.9390829562674856</v>
      </c>
      <c r="I57" s="104">
        <v>4.2264844395360548</v>
      </c>
    </row>
    <row r="60" spans="1:15">
      <c r="L60" s="746" t="s">
        <v>354</v>
      </c>
      <c r="M60" s="746"/>
      <c r="N60" s="746"/>
      <c r="O60" s="746"/>
    </row>
    <row r="61" spans="1:15">
      <c r="A61" s="746" t="s">
        <v>340</v>
      </c>
      <c r="B61" s="746"/>
      <c r="C61" s="746"/>
      <c r="D61" s="746"/>
      <c r="L61" t="s">
        <v>142</v>
      </c>
    </row>
    <row r="62" spans="1:15" ht="17" thickBot="1">
      <c r="A62" t="s">
        <v>142</v>
      </c>
    </row>
    <row r="63" spans="1:15" ht="17" thickBot="1">
      <c r="L63" s="106" t="s">
        <v>143</v>
      </c>
      <c r="M63" s="106"/>
    </row>
    <row r="64" spans="1:15">
      <c r="A64" s="106" t="s">
        <v>143</v>
      </c>
      <c r="B64" s="106"/>
      <c r="L64" s="103" t="s">
        <v>144</v>
      </c>
      <c r="M64" s="103">
        <v>0.2824140810371823</v>
      </c>
    </row>
    <row r="65" spans="1:20">
      <c r="A65" s="103" t="s">
        <v>144</v>
      </c>
      <c r="B65" s="103">
        <v>0.17510057241041024</v>
      </c>
      <c r="L65" s="103" t="s">
        <v>145</v>
      </c>
      <c r="M65" s="103">
        <v>7.9757713168076172E-2</v>
      </c>
    </row>
    <row r="66" spans="1:20">
      <c r="A66" s="103" t="s">
        <v>145</v>
      </c>
      <c r="B66" s="103">
        <v>3.0660210458453317E-2</v>
      </c>
      <c r="L66" s="103" t="s">
        <v>146</v>
      </c>
      <c r="M66" s="103">
        <v>-7.3616001303911147E-2</v>
      </c>
    </row>
    <row r="67" spans="1:20">
      <c r="A67" s="103" t="s">
        <v>146</v>
      </c>
      <c r="B67" s="103">
        <v>-1.1484997782483497E-2</v>
      </c>
      <c r="L67" s="103" t="s">
        <v>147</v>
      </c>
      <c r="M67" s="103">
        <v>0.5742802076614002</v>
      </c>
    </row>
    <row r="68" spans="1:20" ht="17" thickBot="1">
      <c r="A68" s="103" t="s">
        <v>147</v>
      </c>
      <c r="B68" s="103">
        <v>0.89829734798080507</v>
      </c>
      <c r="L68" s="104" t="s">
        <v>148</v>
      </c>
      <c r="M68" s="104">
        <v>8</v>
      </c>
    </row>
    <row r="69" spans="1:20" ht="17" thickBot="1">
      <c r="A69" s="104" t="s">
        <v>148</v>
      </c>
      <c r="B69" s="104">
        <v>25</v>
      </c>
    </row>
    <row r="70" spans="1:20" ht="17" thickBot="1">
      <c r="L70" t="s">
        <v>149</v>
      </c>
    </row>
    <row r="71" spans="1:20" ht="17" thickBot="1">
      <c r="A71" t="s">
        <v>149</v>
      </c>
      <c r="L71" s="105"/>
      <c r="M71" s="105" t="s">
        <v>150</v>
      </c>
      <c r="N71" s="105" t="s">
        <v>151</v>
      </c>
      <c r="O71" s="105" t="s">
        <v>152</v>
      </c>
      <c r="P71" s="105" t="s">
        <v>153</v>
      </c>
      <c r="Q71" s="105" t="s">
        <v>154</v>
      </c>
    </row>
    <row r="72" spans="1:20">
      <c r="A72" s="105"/>
      <c r="B72" s="105" t="s">
        <v>150</v>
      </c>
      <c r="C72" s="105" t="s">
        <v>151</v>
      </c>
      <c r="D72" s="105" t="s">
        <v>152</v>
      </c>
      <c r="E72" s="105" t="s">
        <v>153</v>
      </c>
      <c r="F72" s="105" t="s">
        <v>154</v>
      </c>
      <c r="L72" s="103" t="s">
        <v>155</v>
      </c>
      <c r="M72" s="103">
        <v>1</v>
      </c>
      <c r="N72" s="103">
        <v>0.1715021051018244</v>
      </c>
      <c r="O72" s="103">
        <v>0.1715021051018244</v>
      </c>
      <c r="P72" s="103">
        <v>0.52002204838459065</v>
      </c>
      <c r="Q72" s="103">
        <v>0.49795578018364051</v>
      </c>
    </row>
    <row r="73" spans="1:20">
      <c r="A73" s="103" t="s">
        <v>155</v>
      </c>
      <c r="B73" s="103">
        <v>1</v>
      </c>
      <c r="C73" s="103">
        <v>0.58703928119058801</v>
      </c>
      <c r="D73" s="103">
        <v>0.58703928119058801</v>
      </c>
      <c r="E73" s="103">
        <v>0.72748983189676608</v>
      </c>
      <c r="F73" s="103">
        <v>0.40249328917209171</v>
      </c>
      <c r="L73" s="103" t="s">
        <v>156</v>
      </c>
      <c r="M73" s="103">
        <v>6</v>
      </c>
      <c r="N73" s="103">
        <v>1.9787865414697254</v>
      </c>
      <c r="O73" s="103">
        <v>0.32979775691162089</v>
      </c>
      <c r="P73" s="103"/>
      <c r="Q73" s="103"/>
    </row>
    <row r="74" spans="1:20" ht="17" thickBot="1">
      <c r="A74" s="103" t="s">
        <v>156</v>
      </c>
      <c r="B74" s="103">
        <v>23</v>
      </c>
      <c r="C74" s="103">
        <v>18.559576883954996</v>
      </c>
      <c r="D74" s="103">
        <v>0.80693812538934762</v>
      </c>
      <c r="E74" s="103"/>
      <c r="F74" s="103"/>
      <c r="L74" s="104" t="s">
        <v>10</v>
      </c>
      <c r="M74" s="104">
        <v>7</v>
      </c>
      <c r="N74" s="104">
        <v>2.1502886465715498</v>
      </c>
      <c r="O74" s="104"/>
      <c r="P74" s="104"/>
      <c r="Q74" s="104"/>
    </row>
    <row r="75" spans="1:20" ht="17" thickBot="1">
      <c r="A75" s="104" t="s">
        <v>10</v>
      </c>
      <c r="B75" s="104">
        <v>24</v>
      </c>
      <c r="C75" s="104">
        <v>19.146616165145584</v>
      </c>
      <c r="D75" s="104"/>
      <c r="E75" s="104"/>
      <c r="F75" s="104"/>
    </row>
    <row r="76" spans="1:20" ht="17" thickBot="1">
      <c r="L76" s="105"/>
      <c r="M76" s="105" t="s">
        <v>157</v>
      </c>
      <c r="N76" s="105" t="s">
        <v>147</v>
      </c>
      <c r="O76" s="105" t="s">
        <v>158</v>
      </c>
      <c r="P76" s="105" t="s">
        <v>159</v>
      </c>
      <c r="Q76" s="105" t="s">
        <v>160</v>
      </c>
      <c r="R76" s="105" t="s">
        <v>161</v>
      </c>
      <c r="S76" s="105" t="s">
        <v>332</v>
      </c>
      <c r="T76" s="105" t="s">
        <v>333</v>
      </c>
    </row>
    <row r="77" spans="1:20">
      <c r="A77" s="105"/>
      <c r="B77" s="105" t="s">
        <v>157</v>
      </c>
      <c r="C77" s="105" t="s">
        <v>147</v>
      </c>
      <c r="D77" s="105" t="s">
        <v>158</v>
      </c>
      <c r="E77" s="105" t="s">
        <v>159</v>
      </c>
      <c r="F77" s="105" t="s">
        <v>160</v>
      </c>
      <c r="G77" s="105" t="s">
        <v>161</v>
      </c>
      <c r="H77" s="105" t="s">
        <v>332</v>
      </c>
      <c r="I77" s="105" t="s">
        <v>333</v>
      </c>
      <c r="L77" s="103" t="s">
        <v>136</v>
      </c>
      <c r="M77" s="103">
        <v>22.978167149312306</v>
      </c>
      <c r="N77" s="103">
        <v>10.886521460623992</v>
      </c>
      <c r="O77" s="103">
        <v>2.1106987417811278</v>
      </c>
      <c r="P77" s="103">
        <v>7.92961897669687E-2</v>
      </c>
      <c r="Q77" s="103">
        <v>-3.6601911791321697</v>
      </c>
      <c r="R77" s="103">
        <v>49.616525477756781</v>
      </c>
      <c r="S77" s="103">
        <v>-3.6601911791321697</v>
      </c>
      <c r="T77" s="103">
        <v>49.616525477756781</v>
      </c>
    </row>
    <row r="78" spans="1:20" ht="17" thickBot="1">
      <c r="A78" s="103" t="s">
        <v>136</v>
      </c>
      <c r="B78" s="103">
        <v>9.9747471173922122</v>
      </c>
      <c r="C78" s="103">
        <v>6.1431781309329461</v>
      </c>
      <c r="D78" s="103">
        <v>1.6237111971678049</v>
      </c>
      <c r="E78" s="103">
        <v>0.11806506912807013</v>
      </c>
      <c r="F78" s="103">
        <v>-2.7333850027803148</v>
      </c>
      <c r="G78" s="103">
        <v>22.682879237564741</v>
      </c>
      <c r="H78" s="103">
        <v>-2.7333850027803148</v>
      </c>
      <c r="I78" s="103">
        <v>22.682879237564741</v>
      </c>
      <c r="L78" s="104" t="s">
        <v>162</v>
      </c>
      <c r="M78" s="104">
        <v>-0.55677719653141478</v>
      </c>
      <c r="N78" s="104">
        <v>0.77209468190500374</v>
      </c>
      <c r="O78" s="104">
        <v>-0.72112554273482099</v>
      </c>
      <c r="P78" s="104">
        <v>0.49795578018364084</v>
      </c>
      <c r="Q78" s="104">
        <v>-2.4460248202524419</v>
      </c>
      <c r="R78" s="104">
        <v>1.3324704271896124</v>
      </c>
      <c r="S78" s="104">
        <v>-2.4460248202524419</v>
      </c>
      <c r="T78" s="104">
        <v>1.3324704271896124</v>
      </c>
    </row>
    <row r="79" spans="1:20" ht="17" thickBot="1">
      <c r="A79" s="104" t="s">
        <v>162</v>
      </c>
      <c r="B79" s="104">
        <v>0.3739307145981029</v>
      </c>
      <c r="C79" s="104">
        <v>0.43840719768300612</v>
      </c>
      <c r="D79" s="104">
        <v>0.85293014479309837</v>
      </c>
      <c r="E79" s="104">
        <v>0.40249328917208838</v>
      </c>
      <c r="F79" s="104">
        <v>-0.53298366617440041</v>
      </c>
      <c r="G79" s="104">
        <v>1.2808450953706063</v>
      </c>
      <c r="H79" s="104">
        <v>-0.53298366617440041</v>
      </c>
      <c r="I79" s="104">
        <v>1.2808450953706063</v>
      </c>
    </row>
  </sheetData>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00B050"/>
  </sheetPr>
  <dimension ref="A1:AL89"/>
  <sheetViews>
    <sheetView workbookViewId="0">
      <selection activeCell="B48" sqref="B48"/>
    </sheetView>
  </sheetViews>
  <sheetFormatPr baseColWidth="10" defaultColWidth="8.625" defaultRowHeight="16" x14ac:dyDescent="0"/>
  <cols>
    <col min="1" max="1" width="8" customWidth="1"/>
    <col min="2" max="2" width="5.875" customWidth="1"/>
    <col min="3" max="3" width="15.875" customWidth="1"/>
    <col min="5" max="5" width="2.875" customWidth="1"/>
    <col min="6" max="6" width="14.125" customWidth="1"/>
    <col min="7" max="7" width="7.875" customWidth="1"/>
    <col min="12" max="12" width="13.625" customWidth="1"/>
    <col min="17" max="17" width="10.125" customWidth="1"/>
    <col min="32" max="32" width="10.5" customWidth="1"/>
    <col min="33" max="33" width="13.375" customWidth="1"/>
    <col min="34" max="34" width="13.5" customWidth="1"/>
    <col min="35" max="35" width="9.875" bestFit="1" customWidth="1"/>
    <col min="36" max="36" width="10" bestFit="1" customWidth="1"/>
  </cols>
  <sheetData>
    <row r="1" spans="1:38" ht="17" thickBot="1">
      <c r="A1" s="37" t="str">
        <f ca="1">CELL("filename",A1)</f>
        <v>NWCLM04072996:Users:eric.ward:Documents:NCEAS-covariation:data:salmon data:[2015_PWS_Pink_Wild_forecast-FINAL.xlsm]OddRPS</v>
      </c>
      <c r="I1" s="97"/>
      <c r="J1" s="110"/>
      <c r="K1" s="110"/>
      <c r="L1" s="110"/>
      <c r="M1" s="110"/>
      <c r="N1" s="110"/>
      <c r="O1" s="110"/>
    </row>
    <row r="2" spans="1:38">
      <c r="I2" s="747"/>
      <c r="J2" s="748"/>
      <c r="K2" s="748" t="s">
        <v>335</v>
      </c>
      <c r="L2" s="926" t="str">
        <f>Forecast_Year &amp; " forecast"</f>
        <v>2015 forecast</v>
      </c>
      <c r="M2" s="861" t="s">
        <v>236</v>
      </c>
      <c r="N2" s="861" t="s">
        <v>339</v>
      </c>
      <c r="O2" s="862" t="s">
        <v>153</v>
      </c>
    </row>
    <row r="3" spans="1:38">
      <c r="I3" s="749"/>
      <c r="J3" s="110"/>
      <c r="K3" s="750" t="s">
        <v>336</v>
      </c>
      <c r="L3" s="758">
        <f>C34*B67+B66</f>
        <v>8750754.5992437862</v>
      </c>
      <c r="M3" s="204">
        <f>B57</f>
        <v>24</v>
      </c>
      <c r="N3" s="235">
        <f>B54</f>
        <v>0.25772921749750888</v>
      </c>
      <c r="O3" s="863">
        <f>F61</f>
        <v>1.132682156810212E-2</v>
      </c>
      <c r="P3" s="930" t="s">
        <v>370</v>
      </c>
    </row>
    <row r="4" spans="1:38">
      <c r="I4" s="749"/>
      <c r="J4" s="110"/>
      <c r="K4" s="750" t="s">
        <v>337</v>
      </c>
      <c r="L4" s="758">
        <f>EXP(D34*B89+B88)</f>
        <v>7536851.7598772161</v>
      </c>
      <c r="M4" s="204">
        <f>B79</f>
        <v>24</v>
      </c>
      <c r="N4" s="235">
        <f>B76</f>
        <v>0.17941754067701285</v>
      </c>
      <c r="O4" s="863">
        <f>F83</f>
        <v>3.9153307457350503E-2</v>
      </c>
      <c r="P4" s="930" t="s">
        <v>370</v>
      </c>
    </row>
    <row r="5" spans="1:38" ht="17" thickBot="1">
      <c r="I5" s="751"/>
      <c r="J5" s="752"/>
      <c r="K5" s="753" t="s">
        <v>337</v>
      </c>
      <c r="L5" s="864">
        <f>EXP(D34*M88+M87)</f>
        <v>6150270.6890922673</v>
      </c>
      <c r="M5" s="865">
        <f>M78</f>
        <v>7</v>
      </c>
      <c r="N5" s="866">
        <f>M75</f>
        <v>0.52238479966860418</v>
      </c>
      <c r="O5" s="867">
        <f>Q82</f>
        <v>6.6502429091921528E-2</v>
      </c>
      <c r="P5" s="930" t="s">
        <v>371</v>
      </c>
    </row>
    <row r="6" spans="1:38">
      <c r="I6" s="97"/>
      <c r="J6" s="110"/>
      <c r="K6" s="750"/>
      <c r="L6" s="758"/>
      <c r="M6" s="204"/>
      <c r="N6" s="235"/>
      <c r="O6" s="870"/>
    </row>
    <row r="7" spans="1:38">
      <c r="I7" s="97"/>
      <c r="J7" s="110"/>
      <c r="K7" s="750"/>
      <c r="L7" s="110"/>
      <c r="M7" s="110"/>
      <c r="N7" s="110"/>
      <c r="O7" s="110"/>
    </row>
    <row r="8" spans="1:38">
      <c r="A8" s="98"/>
      <c r="B8" s="98"/>
      <c r="C8" s="116" t="s">
        <v>338</v>
      </c>
      <c r="D8" s="116"/>
      <c r="E8" s="117"/>
      <c r="F8" s="116" t="s">
        <v>341</v>
      </c>
      <c r="G8" s="116"/>
      <c r="H8" s="98"/>
      <c r="I8" s="97"/>
    </row>
    <row r="9" spans="1:38">
      <c r="A9" s="108" t="s">
        <v>181</v>
      </c>
      <c r="B9" s="108" t="s">
        <v>183</v>
      </c>
      <c r="C9" s="115" t="s">
        <v>37</v>
      </c>
      <c r="D9" s="115" t="s">
        <v>182</v>
      </c>
      <c r="E9" s="115"/>
      <c r="F9" s="115" t="s">
        <v>184</v>
      </c>
      <c r="G9" s="115" t="s">
        <v>185</v>
      </c>
      <c r="H9" s="115" t="s">
        <v>186</v>
      </c>
      <c r="I9" s="115" t="s">
        <v>187</v>
      </c>
    </row>
    <row r="10" spans="1:38">
      <c r="A10" s="6">
        <v>1961</v>
      </c>
      <c r="B10" s="112">
        <f>A10+2</f>
        <v>1963</v>
      </c>
      <c r="C10" s="743">
        <f>VLOOKUP($A10,Database!$A$74:$J$132,6,FALSE)</f>
        <v>2198980</v>
      </c>
      <c r="D10" s="113">
        <f>LN(C10)</f>
        <v>14.603504174452336</v>
      </c>
      <c r="E10" s="114"/>
      <c r="F10" s="743">
        <f>VLOOKUP($A10+2,Database!$A$74:$J$132,10,FALSE)</f>
        <v>6651118</v>
      </c>
      <c r="G10" s="113">
        <f>LN(F10)</f>
        <v>15.710295518802155</v>
      </c>
      <c r="H10" s="113">
        <f>F10/C10</f>
        <v>3.0246377866101555</v>
      </c>
      <c r="I10" s="113">
        <f>LN(H10)</f>
        <v>1.1067913443498181</v>
      </c>
      <c r="AH10" t="s">
        <v>360</v>
      </c>
      <c r="AI10" s="37">
        <f>M87</f>
        <v>0.18608661400805815</v>
      </c>
    </row>
    <row r="11" spans="1:38">
      <c r="A11" s="112">
        <f>A10+2</f>
        <v>1963</v>
      </c>
      <c r="B11" s="112">
        <f t="shared" ref="B11:B30" si="0">A11+2</f>
        <v>1965</v>
      </c>
      <c r="C11" s="743">
        <f>VLOOKUP($A11,Database!$A$74:$J$132,6,FALSE)</f>
        <v>1355740</v>
      </c>
      <c r="D11" s="113">
        <f t="shared" ref="D11:D30" si="1">LN(C11)</f>
        <v>14.119857988684956</v>
      </c>
      <c r="E11" s="114"/>
      <c r="F11" s="743">
        <f>VLOOKUP($A11+2,Database!$A$74:$J$132,10,FALSE)</f>
        <v>3436427</v>
      </c>
      <c r="G11" s="113">
        <f t="shared" ref="G11:G29" si="2">LN(F11)</f>
        <v>15.049942826774886</v>
      </c>
      <c r="H11" s="113">
        <f t="shared" ref="H11:H29" si="3">F11/C11</f>
        <v>2.5347242096567189</v>
      </c>
      <c r="I11" s="113">
        <f t="shared" ref="I11:I29" si="4">LN(H11)</f>
        <v>0.93008483808993014</v>
      </c>
      <c r="AH11" t="s">
        <v>359</v>
      </c>
      <c r="AI11" s="37">
        <f>M88</f>
        <v>1.0711738409460572</v>
      </c>
    </row>
    <row r="12" spans="1:38">
      <c r="A12" s="112">
        <f t="shared" ref="A12:A36" si="5">A11+2</f>
        <v>1965</v>
      </c>
      <c r="B12" s="112">
        <f t="shared" si="0"/>
        <v>1967</v>
      </c>
      <c r="C12" s="743">
        <f>VLOOKUP($A12,Database!$A$74:$J$132,6,FALSE)</f>
        <v>975956</v>
      </c>
      <c r="D12" s="113">
        <f t="shared" si="1"/>
        <v>13.791172782411794</v>
      </c>
      <c r="E12" s="114"/>
      <c r="F12" s="743">
        <f>VLOOKUP($A12+2,Database!$A$74:$J$132,10,FALSE)</f>
        <v>3468600</v>
      </c>
      <c r="G12" s="113">
        <f t="shared" si="2"/>
        <v>15.059261612298622</v>
      </c>
      <c r="H12" s="113">
        <f t="shared" si="3"/>
        <v>3.5540536663538109</v>
      </c>
      <c r="I12" s="113">
        <f t="shared" si="4"/>
        <v>1.2680888298868285</v>
      </c>
    </row>
    <row r="13" spans="1:38">
      <c r="A13" s="112">
        <f t="shared" si="5"/>
        <v>1967</v>
      </c>
      <c r="B13" s="112">
        <f t="shared" si="0"/>
        <v>1969</v>
      </c>
      <c r="C13" s="743">
        <f>VLOOKUP($A13,Database!$A$74:$J$132,6,FALSE)</f>
        <v>842260</v>
      </c>
      <c r="D13" s="113">
        <f t="shared" si="1"/>
        <v>13.643844034157651</v>
      </c>
      <c r="E13" s="114"/>
      <c r="F13" s="743">
        <f>VLOOKUP($A13+2,Database!$A$74:$J$132,10,FALSE)</f>
        <v>5233149</v>
      </c>
      <c r="G13" s="113">
        <f t="shared" si="2"/>
        <v>15.470523758100148</v>
      </c>
      <c r="H13" s="113">
        <f t="shared" si="3"/>
        <v>6.2132227578182508</v>
      </c>
      <c r="I13" s="113">
        <f t="shared" si="4"/>
        <v>1.826679723942497</v>
      </c>
      <c r="AE13" t="s">
        <v>205</v>
      </c>
      <c r="AF13" s="7" t="s">
        <v>355</v>
      </c>
      <c r="AG13" s="7" t="s">
        <v>356</v>
      </c>
      <c r="AH13" s="7" t="s">
        <v>75</v>
      </c>
      <c r="AI13" s="7" t="s">
        <v>58</v>
      </c>
      <c r="AJ13" s="7" t="s">
        <v>357</v>
      </c>
      <c r="AK13" s="7" t="s">
        <v>358</v>
      </c>
      <c r="AL13" s="7" t="s">
        <v>361</v>
      </c>
    </row>
    <row r="14" spans="1:38">
      <c r="A14" s="112">
        <f t="shared" si="5"/>
        <v>1969</v>
      </c>
      <c r="B14" s="112">
        <f t="shared" si="0"/>
        <v>1971</v>
      </c>
      <c r="C14" s="743">
        <f>VLOOKUP($A14,Database!$A$74:$J$132,6,FALSE)</f>
        <v>404570</v>
      </c>
      <c r="D14" s="113">
        <f t="shared" si="1"/>
        <v>12.910580053660754</v>
      </c>
      <c r="E14" s="114"/>
      <c r="F14" s="743">
        <f>VLOOKUP($A14+2,Database!$A$74:$J$132,10,FALSE)</f>
        <v>8423514</v>
      </c>
      <c r="G14" s="113">
        <f t="shared" si="2"/>
        <v>15.94653763882399</v>
      </c>
      <c r="H14" s="113">
        <f t="shared" si="3"/>
        <v>20.820906147267468</v>
      </c>
      <c r="I14" s="113">
        <f t="shared" si="4"/>
        <v>3.0359575851632372</v>
      </c>
      <c r="AE14" s="37">
        <f>A27</f>
        <v>1995</v>
      </c>
      <c r="AF14" s="113">
        <f>D27</f>
        <v>13.989618474983725</v>
      </c>
      <c r="AG14" s="113">
        <f>G27</f>
        <v>14.766659423843313</v>
      </c>
      <c r="AH14" s="743">
        <f>EXP(($AF14*$AI$11)+$AI$10)</f>
        <v>3880210.5253033978</v>
      </c>
      <c r="AI14" s="743">
        <f>F27</f>
        <v>2588682</v>
      </c>
      <c r="AJ14" s="927">
        <f>AH14-AI14</f>
        <v>1291528.5253033978</v>
      </c>
      <c r="AK14" s="928">
        <f>AJ14/AI14</f>
        <v>0.4989135495605091</v>
      </c>
      <c r="AL14" s="928">
        <f>ABS(AK14)</f>
        <v>0.4989135495605091</v>
      </c>
    </row>
    <row r="15" spans="1:38">
      <c r="A15" s="112">
        <f t="shared" si="5"/>
        <v>1971</v>
      </c>
      <c r="B15" s="112">
        <f t="shared" si="0"/>
        <v>1973</v>
      </c>
      <c r="C15" s="743">
        <f>VLOOKUP($A15,Database!$A$74:$J$132,6,FALSE)</f>
        <v>1112550</v>
      </c>
      <c r="D15" s="113">
        <f t="shared" si="1"/>
        <v>13.922165235832814</v>
      </c>
      <c r="E15" s="114"/>
      <c r="F15" s="743">
        <f>VLOOKUP($A15+2,Database!$A$74:$J$132,10,FALSE)</f>
        <v>8535974</v>
      </c>
      <c r="G15" s="113">
        <f t="shared" si="2"/>
        <v>15.959800026035939</v>
      </c>
      <c r="H15" s="113">
        <f t="shared" si="3"/>
        <v>7.6724407891780144</v>
      </c>
      <c r="I15" s="113">
        <f t="shared" si="4"/>
        <v>2.0376347902031249</v>
      </c>
      <c r="AE15" s="37">
        <f t="shared" ref="AE15:AE20" si="6">A28</f>
        <v>1997</v>
      </c>
      <c r="AF15" s="113">
        <f t="shared" ref="AF15:AF20" si="7">D28</f>
        <v>14.168058597937208</v>
      </c>
      <c r="AG15" s="113">
        <f t="shared" ref="AG15:AG20" si="8">G28</f>
        <v>16.056773073127243</v>
      </c>
      <c r="AH15" s="743">
        <f t="shared" ref="AH15:AH20" si="9">EXP(($AF15*$AI$11)+$AI$10)</f>
        <v>4697496.9505695822</v>
      </c>
      <c r="AI15" s="743">
        <f t="shared" ref="AI15:AI20" si="10">F28</f>
        <v>9405198</v>
      </c>
      <c r="AJ15" s="927">
        <f t="shared" ref="AJ15:AJ20" si="11">AH15-AI15</f>
        <v>-4707701.0494304178</v>
      </c>
      <c r="AK15" s="928">
        <f t="shared" ref="AK15:AK20" si="12">AJ15/AI15</f>
        <v>-0.50054247124094764</v>
      </c>
      <c r="AL15" s="928">
        <f t="shared" ref="AL15:AL20" si="13">ABS(AK15)</f>
        <v>0.50054247124094764</v>
      </c>
    </row>
    <row r="16" spans="1:38">
      <c r="A16" s="112">
        <f t="shared" si="5"/>
        <v>1973</v>
      </c>
      <c r="B16" s="112">
        <f t="shared" si="0"/>
        <v>1975</v>
      </c>
      <c r="C16" s="743">
        <f>VLOOKUP($A16,Database!$A$74:$J$132,6,FALSE)</f>
        <v>1225010</v>
      </c>
      <c r="D16" s="113">
        <f t="shared" si="1"/>
        <v>14.018459565192952</v>
      </c>
      <c r="E16" s="114"/>
      <c r="F16" s="743">
        <f>VLOOKUP($A16+2,Database!$A$74:$J$132,10,FALSE)</f>
        <v>3322438</v>
      </c>
      <c r="G16" s="113">
        <f t="shared" si="2"/>
        <v>15.016209408748322</v>
      </c>
      <c r="H16" s="113">
        <f t="shared" si="3"/>
        <v>2.7121721455335059</v>
      </c>
      <c r="I16" s="113">
        <f t="shared" si="4"/>
        <v>0.99774984355537111</v>
      </c>
      <c r="AE16" s="37">
        <f t="shared" si="6"/>
        <v>1999</v>
      </c>
      <c r="AF16" s="113">
        <f t="shared" si="7"/>
        <v>14.716834646300336</v>
      </c>
      <c r="AG16" s="113">
        <f t="shared" si="8"/>
        <v>15.996456349799002</v>
      </c>
      <c r="AH16" s="743">
        <f t="shared" si="9"/>
        <v>8455899.3921369687</v>
      </c>
      <c r="AI16" s="743">
        <f t="shared" si="10"/>
        <v>8854676.9808041956</v>
      </c>
      <c r="AJ16" s="927">
        <f t="shared" si="11"/>
        <v>-398777.58866722696</v>
      </c>
      <c r="AK16" s="928">
        <f t="shared" si="12"/>
        <v>-4.5035814353445718E-2</v>
      </c>
      <c r="AL16" s="928">
        <f t="shared" si="13"/>
        <v>4.5035814353445718E-2</v>
      </c>
    </row>
    <row r="17" spans="1:38">
      <c r="A17" s="112">
        <f t="shared" si="5"/>
        <v>1975</v>
      </c>
      <c r="B17" s="112">
        <f t="shared" si="0"/>
        <v>1977</v>
      </c>
      <c r="C17" s="743">
        <f>VLOOKUP($A17,Database!$A$74:$J$132,6,FALSE)</f>
        <v>1265560</v>
      </c>
      <c r="D17" s="113">
        <f t="shared" si="1"/>
        <v>14.051025269933481</v>
      </c>
      <c r="E17" s="114"/>
      <c r="F17" s="743">
        <f>VLOOKUP($A17+2,Database!$A$74:$J$132,10,FALSE)</f>
        <v>5816401</v>
      </c>
      <c r="G17" s="113">
        <f t="shared" si="2"/>
        <v>15.576192243549105</v>
      </c>
      <c r="H17" s="113">
        <f t="shared" si="3"/>
        <v>4.5959109011030694</v>
      </c>
      <c r="I17" s="113">
        <f t="shared" si="4"/>
        <v>1.5251669736156246</v>
      </c>
      <c r="AE17" s="37">
        <f t="shared" si="6"/>
        <v>2001</v>
      </c>
      <c r="AF17" s="113">
        <f t="shared" si="7"/>
        <v>14.508850719902116</v>
      </c>
      <c r="AG17" s="113">
        <f t="shared" si="8"/>
        <v>15.809463917433993</v>
      </c>
      <c r="AH17" s="743">
        <f t="shared" si="9"/>
        <v>6767132.3106533494</v>
      </c>
      <c r="AI17" s="743">
        <f t="shared" si="10"/>
        <v>7344511.9398193061</v>
      </c>
      <c r="AJ17" s="927">
        <f t="shared" si="11"/>
        <v>-577379.62916595675</v>
      </c>
      <c r="AK17" s="928">
        <f t="shared" si="12"/>
        <v>-7.8613750497921006E-2</v>
      </c>
      <c r="AL17" s="928">
        <f t="shared" si="13"/>
        <v>7.8613750497921006E-2</v>
      </c>
    </row>
    <row r="18" spans="1:38">
      <c r="A18" s="112">
        <f t="shared" si="5"/>
        <v>1977</v>
      </c>
      <c r="B18" s="112">
        <f t="shared" si="0"/>
        <v>1979</v>
      </c>
      <c r="C18" s="743">
        <f>VLOOKUP($A18,Database!$A$74:$J$132,6,FALSE)</f>
        <v>1517667</v>
      </c>
      <c r="D18" s="113">
        <f t="shared" si="1"/>
        <v>14.23268484528419</v>
      </c>
      <c r="E18" s="114"/>
      <c r="F18" s="743">
        <f>VLOOKUP($A18+2,Database!$A$74:$J$132,10,FALSE)</f>
        <v>17335503</v>
      </c>
      <c r="G18" s="113">
        <f t="shared" si="2"/>
        <v>16.668267153121018</v>
      </c>
      <c r="H18" s="113">
        <f t="shared" si="3"/>
        <v>11.422468169894977</v>
      </c>
      <c r="I18" s="113">
        <f t="shared" si="4"/>
        <v>2.4355823078368282</v>
      </c>
      <c r="AE18" s="37">
        <f t="shared" si="6"/>
        <v>2003</v>
      </c>
      <c r="AF18" s="113">
        <f t="shared" si="7"/>
        <v>14.861682227652949</v>
      </c>
      <c r="AG18" s="113">
        <f t="shared" si="8"/>
        <v>16.650633118619044</v>
      </c>
      <c r="AH18" s="743">
        <f t="shared" si="9"/>
        <v>9875147.9283251893</v>
      </c>
      <c r="AI18" s="743">
        <f t="shared" si="10"/>
        <v>17032487.685321052</v>
      </c>
      <c r="AJ18" s="927">
        <f t="shared" si="11"/>
        <v>-7157339.7569958623</v>
      </c>
      <c r="AK18" s="928">
        <f t="shared" si="12"/>
        <v>-0.42021693420416822</v>
      </c>
      <c r="AL18" s="928">
        <f t="shared" si="13"/>
        <v>0.42021693420416822</v>
      </c>
    </row>
    <row r="19" spans="1:38">
      <c r="A19" s="112">
        <f t="shared" si="5"/>
        <v>1979</v>
      </c>
      <c r="B19" s="112">
        <f t="shared" si="0"/>
        <v>1981</v>
      </c>
      <c r="C19" s="743">
        <f>VLOOKUP($A19,Database!$A$74:$J$132,6,FALSE)</f>
        <v>2901977</v>
      </c>
      <c r="D19" s="113">
        <f t="shared" si="1"/>
        <v>14.88090278682629</v>
      </c>
      <c r="E19" s="114"/>
      <c r="F19" s="743">
        <f>VLOOKUP($A19+2,Database!$A$74:$J$132,10,FALSE)</f>
        <v>19568866</v>
      </c>
      <c r="G19" s="113">
        <f t="shared" si="2"/>
        <v>16.789450391857873</v>
      </c>
      <c r="H19" s="113">
        <f t="shared" si="3"/>
        <v>6.7432877655474179</v>
      </c>
      <c r="I19" s="113">
        <f t="shared" si="4"/>
        <v>1.9085476050315824</v>
      </c>
      <c r="AE19" s="37">
        <f t="shared" si="6"/>
        <v>2005</v>
      </c>
      <c r="AF19" s="113">
        <f t="shared" si="7"/>
        <v>15.370727918325914</v>
      </c>
      <c r="AG19" s="113">
        <f t="shared" si="8"/>
        <v>16.260201608764461</v>
      </c>
      <c r="AH19" s="743">
        <f t="shared" si="9"/>
        <v>17035471.31967089</v>
      </c>
      <c r="AI19" s="743">
        <f t="shared" si="10"/>
        <v>11526987.795003444</v>
      </c>
      <c r="AJ19" s="927">
        <f t="shared" si="11"/>
        <v>5508483.5246674456</v>
      </c>
      <c r="AK19" s="928">
        <f t="shared" si="12"/>
        <v>0.47787710220836577</v>
      </c>
      <c r="AL19" s="928">
        <f t="shared" si="13"/>
        <v>0.47787710220836577</v>
      </c>
    </row>
    <row r="20" spans="1:38">
      <c r="A20" s="112">
        <f t="shared" si="5"/>
        <v>1981</v>
      </c>
      <c r="B20" s="112">
        <f t="shared" si="0"/>
        <v>1983</v>
      </c>
      <c r="C20" s="743">
        <f>VLOOKUP($A20,Database!$A$74:$J$132,6,FALSE)</f>
        <v>2166319</v>
      </c>
      <c r="D20" s="113">
        <f t="shared" si="1"/>
        <v>14.588539971783964</v>
      </c>
      <c r="E20" s="114"/>
      <c r="F20" s="743">
        <f>VLOOKUP($A20+2,Database!$A$74:$J$132,10,FALSE)</f>
        <v>11567348</v>
      </c>
      <c r="G20" s="113">
        <f t="shared" si="2"/>
        <v>16.263696859413287</v>
      </c>
      <c r="H20" s="113">
        <f t="shared" si="3"/>
        <v>5.3396328056948219</v>
      </c>
      <c r="I20" s="113">
        <f t="shared" si="4"/>
        <v>1.6751568876293237</v>
      </c>
      <c r="AE20" s="37">
        <f t="shared" si="6"/>
        <v>2007</v>
      </c>
      <c r="AF20" s="113">
        <f t="shared" si="7"/>
        <v>14.227045979637577</v>
      </c>
      <c r="AG20" s="113">
        <f t="shared" si="8"/>
        <v>14.853781941234109</v>
      </c>
      <c r="AH20" s="743">
        <f t="shared" si="9"/>
        <v>5003889.6668377556</v>
      </c>
      <c r="AI20" s="743">
        <f t="shared" si="10"/>
        <v>2824330.6070667375</v>
      </c>
      <c r="AJ20" s="927">
        <f t="shared" si="11"/>
        <v>2179559.0597710181</v>
      </c>
      <c r="AK20" s="928">
        <f t="shared" si="12"/>
        <v>0.77170818965653631</v>
      </c>
      <c r="AL20" s="928">
        <f t="shared" si="13"/>
        <v>0.77170818965653631</v>
      </c>
    </row>
    <row r="21" spans="1:38">
      <c r="A21" s="112">
        <f t="shared" si="5"/>
        <v>1983</v>
      </c>
      <c r="B21" s="112">
        <f t="shared" si="0"/>
        <v>1985</v>
      </c>
      <c r="C21" s="743">
        <f>VLOOKUP($A21,Database!$A$74:$J$132,6,FALSE)</f>
        <v>2003106</v>
      </c>
      <c r="D21" s="113">
        <f t="shared" si="1"/>
        <v>14.51020953386678</v>
      </c>
      <c r="E21" s="114"/>
      <c r="F21" s="743">
        <f>VLOOKUP($A21+2,Database!$A$74:$J$132,10,FALSE)</f>
        <v>19938105</v>
      </c>
      <c r="G21" s="113">
        <f t="shared" si="2"/>
        <v>16.808143282876529</v>
      </c>
      <c r="H21" s="113">
        <f t="shared" si="3"/>
        <v>9.9535945676364612</v>
      </c>
      <c r="I21" s="113">
        <f t="shared" si="4"/>
        <v>2.2979337490097484</v>
      </c>
    </row>
    <row r="22" spans="1:38">
      <c r="A22" s="112">
        <f t="shared" si="5"/>
        <v>1985</v>
      </c>
      <c r="B22" s="112">
        <f t="shared" si="0"/>
        <v>1987</v>
      </c>
      <c r="C22" s="743">
        <f>VLOOKUP($A22,Database!$A$74:$J$132,6,FALSE)</f>
        <v>2347997</v>
      </c>
      <c r="D22" s="113">
        <f t="shared" si="1"/>
        <v>14.669073182246173</v>
      </c>
      <c r="E22" s="114"/>
      <c r="F22" s="743">
        <f>VLOOKUP($A22+2,Database!$A$74:$J$132,10,FALSE)</f>
        <v>13066944</v>
      </c>
      <c r="G22" s="113">
        <f t="shared" si="2"/>
        <v>16.385596240357142</v>
      </c>
      <c r="H22" s="113">
        <f t="shared" si="3"/>
        <v>5.5651451002705707</v>
      </c>
      <c r="I22" s="113">
        <f t="shared" si="4"/>
        <v>1.7165230581109676</v>
      </c>
      <c r="AK22" s="7" t="s">
        <v>292</v>
      </c>
      <c r="AL22" s="929">
        <f>AVERAGE(AL14:AL20)</f>
        <v>0.3989868302459848</v>
      </c>
    </row>
    <row r="23" spans="1:38">
      <c r="A23" s="112">
        <f t="shared" si="5"/>
        <v>1987</v>
      </c>
      <c r="B23" s="112">
        <f t="shared" si="0"/>
        <v>1989</v>
      </c>
      <c r="C23" s="743">
        <f>VLOOKUP($A23,Database!$A$74:$J$132,6,FALSE)</f>
        <v>1372217</v>
      </c>
      <c r="D23" s="113">
        <f t="shared" si="1"/>
        <v>14.131938238026784</v>
      </c>
      <c r="E23" s="114"/>
      <c r="F23" s="743">
        <f>VLOOKUP($A23+2,Database!$A$74:$J$132,10,FALSE)</f>
        <v>4743750</v>
      </c>
      <c r="G23" s="113">
        <f t="shared" si="2"/>
        <v>15.372338520126076</v>
      </c>
      <c r="H23" s="113">
        <f t="shared" si="3"/>
        <v>3.4569969618507859</v>
      </c>
      <c r="I23" s="113">
        <f t="shared" si="4"/>
        <v>1.2404002820992939</v>
      </c>
    </row>
    <row r="24" spans="1:38">
      <c r="A24" s="112">
        <f t="shared" si="5"/>
        <v>1989</v>
      </c>
      <c r="B24" s="112">
        <f t="shared" si="0"/>
        <v>1991</v>
      </c>
      <c r="C24" s="743">
        <f>VLOOKUP($A24,Database!$A$74:$J$132,6,FALSE)</f>
        <v>1233676</v>
      </c>
      <c r="D24" s="113">
        <f t="shared" si="1"/>
        <v>14.025508888194397</v>
      </c>
      <c r="E24" s="114"/>
      <c r="F24" s="743">
        <f>VLOOKUP($A24+2,Database!$A$74:$J$132,10,FALSE)</f>
        <v>7544776</v>
      </c>
      <c r="G24" s="113">
        <f t="shared" si="2"/>
        <v>15.836365961207919</v>
      </c>
      <c r="H24" s="113">
        <f t="shared" si="3"/>
        <v>6.1156867767549992</v>
      </c>
      <c r="I24" s="113">
        <f t="shared" si="4"/>
        <v>1.8108570730135225</v>
      </c>
      <c r="AH24" s="7"/>
    </row>
    <row r="25" spans="1:38">
      <c r="A25" s="112">
        <f t="shared" si="5"/>
        <v>1991</v>
      </c>
      <c r="B25" s="112">
        <f t="shared" si="0"/>
        <v>1993</v>
      </c>
      <c r="C25" s="743">
        <f>VLOOKUP($A25,Database!$A$74:$J$132,6,FALSE)</f>
        <v>1725792</v>
      </c>
      <c r="D25" s="113">
        <f t="shared" si="1"/>
        <v>14.361196633514252</v>
      </c>
      <c r="E25" s="114"/>
      <c r="F25" s="743">
        <f>VLOOKUP($A25+2,Database!$A$74:$J$132,10,FALSE)</f>
        <v>1542942</v>
      </c>
      <c r="G25" s="113">
        <f t="shared" si="2"/>
        <v>14.249201541526689</v>
      </c>
      <c r="H25" s="113">
        <f t="shared" si="3"/>
        <v>0.89404864549146135</v>
      </c>
      <c r="I25" s="113">
        <f t="shared" si="4"/>
        <v>-0.111995091987562</v>
      </c>
      <c r="AF25" s="6"/>
      <c r="AG25" s="7"/>
      <c r="AH25" s="7"/>
    </row>
    <row r="26" spans="1:38">
      <c r="A26" s="112">
        <f t="shared" si="5"/>
        <v>1993</v>
      </c>
      <c r="B26" s="112">
        <f t="shared" si="0"/>
        <v>1995</v>
      </c>
      <c r="C26" s="743">
        <f>VLOOKUP($A26,Database!$A$74:$J$132,6,FALSE)</f>
        <v>1065640</v>
      </c>
      <c r="D26" s="113">
        <f t="shared" si="1"/>
        <v>13.879086115601284</v>
      </c>
      <c r="E26" s="114"/>
      <c r="F26" s="743">
        <f>VLOOKUP($A26+2,Database!$A$74:$J$132,10,FALSE)</f>
        <v>3934208</v>
      </c>
      <c r="G26" s="113">
        <f t="shared" si="2"/>
        <v>15.185220148927955</v>
      </c>
      <c r="H26" s="113">
        <f t="shared" si="3"/>
        <v>3.6918734281746182</v>
      </c>
      <c r="I26" s="113">
        <f t="shared" si="4"/>
        <v>1.3061340333266716</v>
      </c>
      <c r="AF26" s="37"/>
      <c r="AG26" s="872"/>
      <c r="AH26" s="871"/>
    </row>
    <row r="27" spans="1:38">
      <c r="A27" s="112">
        <f t="shared" si="5"/>
        <v>1995</v>
      </c>
      <c r="B27" s="112">
        <f t="shared" si="0"/>
        <v>1997</v>
      </c>
      <c r="C27" s="743">
        <f>VLOOKUP($A27,Database!$A$74:$J$132,6,FALSE)</f>
        <v>1190184</v>
      </c>
      <c r="D27" s="113">
        <f t="shared" si="1"/>
        <v>13.989618474983725</v>
      </c>
      <c r="E27" s="114"/>
      <c r="F27" s="743">
        <f>VLOOKUP($A27+2,Database!$A$74:$J$132,10,FALSE)</f>
        <v>2588682</v>
      </c>
      <c r="G27" s="113">
        <f t="shared" si="2"/>
        <v>14.766659423843313</v>
      </c>
      <c r="H27" s="113">
        <f t="shared" si="3"/>
        <v>2.1750267185578029</v>
      </c>
      <c r="I27" s="113">
        <f t="shared" si="4"/>
        <v>0.77704094885958697</v>
      </c>
      <c r="AF27" s="37"/>
      <c r="AG27" s="872"/>
      <c r="AH27" s="871"/>
    </row>
    <row r="28" spans="1:38">
      <c r="A28" s="112">
        <f t="shared" si="5"/>
        <v>1997</v>
      </c>
      <c r="B28" s="112">
        <f t="shared" si="0"/>
        <v>1999</v>
      </c>
      <c r="C28" s="743">
        <f>VLOOKUP($A28,Database!$A$74:$J$132,6,FALSE)</f>
        <v>1422688</v>
      </c>
      <c r="D28" s="113">
        <f t="shared" si="1"/>
        <v>14.168058597937208</v>
      </c>
      <c r="E28" s="114"/>
      <c r="F28" s="743">
        <f>VLOOKUP($A28+2,Database!$A$74:$J$132,10,FALSE)</f>
        <v>9405198</v>
      </c>
      <c r="G28" s="113">
        <f t="shared" si="2"/>
        <v>16.056773073127243</v>
      </c>
      <c r="H28" s="113">
        <f t="shared" si="3"/>
        <v>6.6108647855327378</v>
      </c>
      <c r="I28" s="113">
        <f t="shared" si="4"/>
        <v>1.888714475190036</v>
      </c>
      <c r="AF28" s="37"/>
      <c r="AG28" s="872"/>
      <c r="AH28" s="871"/>
    </row>
    <row r="29" spans="1:38">
      <c r="A29" s="112">
        <f t="shared" si="5"/>
        <v>1999</v>
      </c>
      <c r="B29" s="112">
        <f t="shared" si="0"/>
        <v>2001</v>
      </c>
      <c r="C29" s="743">
        <f>VLOOKUP($A29,Database!$A$74:$J$132,6,FALSE)</f>
        <v>2462862</v>
      </c>
      <c r="D29" s="113">
        <f t="shared" si="1"/>
        <v>14.716834646300336</v>
      </c>
      <c r="E29" s="114"/>
      <c r="F29" s="743">
        <f>VLOOKUP($A29+2,Database!$A$74:$J$132,10,FALSE)</f>
        <v>8854676.9808041956</v>
      </c>
      <c r="G29" s="113">
        <f t="shared" si="2"/>
        <v>15.996456349799002</v>
      </c>
      <c r="H29" s="113">
        <f t="shared" si="3"/>
        <v>3.5952793866664861</v>
      </c>
      <c r="I29" s="113">
        <f t="shared" si="4"/>
        <v>1.2796217034986659</v>
      </c>
      <c r="AF29" s="37"/>
      <c r="AG29" s="872"/>
      <c r="AH29" s="871"/>
    </row>
    <row r="30" spans="1:38">
      <c r="A30" s="112">
        <f t="shared" si="5"/>
        <v>2001</v>
      </c>
      <c r="B30" s="112">
        <f t="shared" si="0"/>
        <v>2003</v>
      </c>
      <c r="C30" s="743">
        <f>VLOOKUP($A30,Database!$A$74:$J$132,6,FALSE)</f>
        <v>2000386</v>
      </c>
      <c r="D30" s="113">
        <f t="shared" si="1"/>
        <v>14.508850719902116</v>
      </c>
      <c r="E30" s="114"/>
      <c r="F30" s="743">
        <f>VLOOKUP($A30+2,Database!$A$74:$J$132,10,FALSE)</f>
        <v>7344511.9398193061</v>
      </c>
      <c r="G30" s="113">
        <f>LN(F30)</f>
        <v>15.809463917433993</v>
      </c>
      <c r="H30" s="113">
        <f t="shared" ref="H30:H35" si="14">F30/C30</f>
        <v>3.671547361268928</v>
      </c>
      <c r="I30" s="113">
        <f>LN(H30)</f>
        <v>1.300613197531878</v>
      </c>
      <c r="AF30" s="37"/>
      <c r="AG30" s="872"/>
      <c r="AH30" s="871"/>
    </row>
    <row r="31" spans="1:38">
      <c r="A31" s="112">
        <f t="shared" si="5"/>
        <v>2003</v>
      </c>
      <c r="B31" s="112">
        <f>A31+2</f>
        <v>2005</v>
      </c>
      <c r="C31" s="743">
        <f>VLOOKUP($A31,Database!$A$74:$J$132,6,FALSE)</f>
        <v>2846732</v>
      </c>
      <c r="D31" s="113">
        <f>LN(C31)</f>
        <v>14.861682227652949</v>
      </c>
      <c r="F31" s="743">
        <f>VLOOKUP($A31+2,Database!$A$74:$J$132,10,FALSE)</f>
        <v>17032487.685321052</v>
      </c>
      <c r="G31" s="113">
        <f>LN(F31)</f>
        <v>16.650633118619044</v>
      </c>
      <c r="H31" s="113">
        <f t="shared" si="14"/>
        <v>5.9831721726249789</v>
      </c>
      <c r="I31" s="113">
        <f>LN(H31)</f>
        <v>1.7889508909660967</v>
      </c>
      <c r="AF31" s="37"/>
      <c r="AG31" s="872"/>
      <c r="AH31" s="871"/>
    </row>
    <row r="32" spans="1:38">
      <c r="A32" s="112">
        <f t="shared" si="5"/>
        <v>2005</v>
      </c>
      <c r="B32" s="112">
        <f>A32+2</f>
        <v>2007</v>
      </c>
      <c r="C32" s="743">
        <f>VLOOKUP($A32,Database!$A$74:$J$132,6,FALSE)</f>
        <v>4736115.8571428573</v>
      </c>
      <c r="D32" s="113">
        <f>LN(C32)</f>
        <v>15.370727918325914</v>
      </c>
      <c r="F32" s="743">
        <f>VLOOKUP($A32+2,Database!$A$74:$J$132,10,FALSE)</f>
        <v>11526987.795003444</v>
      </c>
      <c r="G32" s="113">
        <f>LN(F32)</f>
        <v>16.260201608764461</v>
      </c>
      <c r="H32" s="113">
        <f t="shared" si="14"/>
        <v>2.4338483564794582</v>
      </c>
      <c r="I32" s="113">
        <f>LN(H32)</f>
        <v>0.88947369043854851</v>
      </c>
      <c r="AF32" s="37"/>
      <c r="AG32" s="872"/>
      <c r="AH32" s="871"/>
    </row>
    <row r="33" spans="1:9">
      <c r="A33" s="112">
        <f t="shared" si="5"/>
        <v>2007</v>
      </c>
      <c r="B33" s="112">
        <f>A33+2</f>
        <v>2009</v>
      </c>
      <c r="C33" s="743">
        <f>VLOOKUP($A33,Database!$A$74:$J$132,6,FALSE)</f>
        <v>1509133.1628835602</v>
      </c>
      <c r="D33" s="113">
        <f>LN(C33)</f>
        <v>14.227045979637577</v>
      </c>
      <c r="F33" s="743">
        <f>VLOOKUP($A33+2,Database!$A$74:$J$132,10,FALSE)</f>
        <v>2824330.6070667375</v>
      </c>
      <c r="G33" s="113">
        <f>LN(F33)</f>
        <v>14.853781941234109</v>
      </c>
      <c r="H33" s="113">
        <f t="shared" si="14"/>
        <v>1.8714919773349741</v>
      </c>
      <c r="I33" s="113">
        <f>LN(H33)</f>
        <v>0.62673596159653222</v>
      </c>
    </row>
    <row r="34" spans="1:9">
      <c r="A34" s="112">
        <f t="shared" si="5"/>
        <v>2009</v>
      </c>
      <c r="B34" s="112">
        <f>A34+2</f>
        <v>2011</v>
      </c>
      <c r="C34" s="743">
        <f>VLOOKUP($A34,Database!$A$74:$J$132,6,FALSE)</f>
        <v>1829622.6091624377</v>
      </c>
      <c r="D34" s="113">
        <f>LN(C34)</f>
        <v>14.419620279049006</v>
      </c>
      <c r="F34" s="743">
        <f>VLOOKUP($A34+2,Database!$A$74:$J$132,10,FALSE)</f>
        <v>9643099</v>
      </c>
      <c r="G34" s="113">
        <f>LN(F34)</f>
        <v>16.081753087954393</v>
      </c>
      <c r="H34" s="113">
        <f t="shared" si="14"/>
        <v>5.2705399199315783</v>
      </c>
      <c r="I34" s="113">
        <f>LN(H34)</f>
        <v>1.6621328089053842</v>
      </c>
    </row>
    <row r="35" spans="1:9">
      <c r="A35" s="112">
        <f t="shared" si="5"/>
        <v>2011</v>
      </c>
      <c r="B35" s="112">
        <f t="shared" ref="B35:B36" si="15">A35+2</f>
        <v>2013</v>
      </c>
      <c r="C35" s="743">
        <f>VLOOKUP($A35,Database!$A$74:$J$132,6,FALSE)</f>
        <v>3927419</v>
      </c>
      <c r="D35" s="113">
        <f t="shared" ref="D35:D36" si="16">LN(C35)</f>
        <v>15.183493025092748</v>
      </c>
      <c r="F35" s="743">
        <f>VLOOKUP($A35+2,Database!$A$74:$J$132,10,FALSE)</f>
        <v>21965453</v>
      </c>
      <c r="G35" s="113">
        <f t="shared" ref="G35" si="17">LN(F35)</f>
        <v>16.904981458898906</v>
      </c>
      <c r="H35" s="113">
        <f t="shared" si="14"/>
        <v>5.5928468543845211</v>
      </c>
      <c r="I35" s="113">
        <f t="shared" ref="I35" si="18">LN(H35)</f>
        <v>1.721488433806158</v>
      </c>
    </row>
    <row r="36" spans="1:9">
      <c r="A36" s="112">
        <f t="shared" si="5"/>
        <v>2013</v>
      </c>
      <c r="B36" s="112">
        <f t="shared" si="15"/>
        <v>2015</v>
      </c>
      <c r="C36" s="743">
        <f>VLOOKUP($A36,Database!$A$74:$J$132,6,FALSE)</f>
        <v>4684239</v>
      </c>
      <c r="D36" s="113">
        <f t="shared" si="16"/>
        <v>15.359714027163184</v>
      </c>
      <c r="F36" s="743"/>
      <c r="G36" s="113"/>
      <c r="H36" s="113"/>
      <c r="I36" s="113"/>
    </row>
    <row r="37" spans="1:9">
      <c r="A37" s="112"/>
      <c r="B37" s="112"/>
      <c r="C37" s="743"/>
      <c r="D37" s="113"/>
      <c r="F37" s="743"/>
      <c r="G37" s="113"/>
      <c r="H37" s="113"/>
      <c r="I37" s="113"/>
    </row>
    <row r="38" spans="1:9">
      <c r="A38" s="112"/>
      <c r="B38" s="112"/>
      <c r="C38" s="743"/>
      <c r="D38" s="113"/>
      <c r="F38" s="743"/>
      <c r="G38" s="113"/>
      <c r="H38" s="113"/>
      <c r="I38" s="113"/>
    </row>
    <row r="39" spans="1:9">
      <c r="A39" s="112"/>
      <c r="B39" s="112"/>
      <c r="C39" s="743"/>
      <c r="D39" s="113"/>
      <c r="F39" s="743"/>
      <c r="G39" s="113"/>
      <c r="H39" s="113"/>
      <c r="I39" s="113"/>
    </row>
    <row r="40" spans="1:9">
      <c r="A40" s="112"/>
      <c r="B40" s="112"/>
      <c r="C40" s="743"/>
      <c r="D40" s="113"/>
      <c r="F40" s="743"/>
      <c r="G40" s="113"/>
      <c r="H40" s="113"/>
      <c r="I40" s="113"/>
    </row>
    <row r="41" spans="1:9">
      <c r="A41" s="112"/>
      <c r="B41" s="112"/>
      <c r="C41" s="743"/>
      <c r="D41" s="113"/>
      <c r="F41" s="743"/>
      <c r="G41" s="113"/>
      <c r="H41" s="113"/>
      <c r="I41" s="113"/>
    </row>
    <row r="42" spans="1:9">
      <c r="A42" s="112"/>
      <c r="B42" s="112"/>
      <c r="C42" s="743"/>
      <c r="D42" s="113"/>
      <c r="F42" s="743"/>
      <c r="G42" s="113"/>
      <c r="H42" s="113"/>
      <c r="I42" s="113"/>
    </row>
    <row r="43" spans="1:9">
      <c r="A43" s="112"/>
      <c r="B43" s="112"/>
      <c r="C43" s="743"/>
      <c r="D43" s="113"/>
      <c r="F43" s="743"/>
      <c r="G43" s="113"/>
      <c r="H43" s="113"/>
      <c r="I43" s="113"/>
    </row>
    <row r="44" spans="1:9">
      <c r="A44" s="112"/>
      <c r="B44" s="112"/>
      <c r="C44" s="743">
        <f>MEDIAN(C10:C36)</f>
        <v>1517667</v>
      </c>
      <c r="D44" s="113"/>
      <c r="F44" s="743">
        <f>MEDIAN(F10:F35)</f>
        <v>7984145</v>
      </c>
      <c r="G44" s="113"/>
      <c r="H44" s="113"/>
      <c r="I44" s="113"/>
    </row>
    <row r="49" spans="1:6">
      <c r="A49" s="744" t="s">
        <v>334</v>
      </c>
      <c r="B49" s="745"/>
      <c r="C49" s="746"/>
    </row>
    <row r="50" spans="1:6">
      <c r="A50" t="s">
        <v>142</v>
      </c>
    </row>
    <row r="51" spans="1:6" ht="17" thickBot="1"/>
    <row r="52" spans="1:6">
      <c r="A52" s="106" t="s">
        <v>143</v>
      </c>
      <c r="B52" s="106"/>
    </row>
    <row r="53" spans="1:6">
      <c r="A53" s="103" t="s">
        <v>144</v>
      </c>
      <c r="B53" s="103">
        <v>0.50767038272634035</v>
      </c>
    </row>
    <row r="54" spans="1:6">
      <c r="A54" s="103" t="s">
        <v>145</v>
      </c>
      <c r="B54" s="103">
        <v>0.25772921749750888</v>
      </c>
    </row>
    <row r="55" spans="1:6">
      <c r="A55" s="103" t="s">
        <v>146</v>
      </c>
      <c r="B55" s="103">
        <v>0.22398963647466835</v>
      </c>
    </row>
    <row r="56" spans="1:6">
      <c r="A56" s="103" t="s">
        <v>147</v>
      </c>
      <c r="B56" s="103">
        <v>4847333.621635342</v>
      </c>
    </row>
    <row r="57" spans="1:6" ht="17" thickBot="1">
      <c r="A57" s="104" t="s">
        <v>148</v>
      </c>
      <c r="B57" s="104">
        <v>24</v>
      </c>
    </row>
    <row r="59" spans="1:6" ht="17" thickBot="1">
      <c r="A59" t="s">
        <v>149</v>
      </c>
    </row>
    <row r="60" spans="1:6">
      <c r="A60" s="105"/>
      <c r="B60" s="105" t="s">
        <v>150</v>
      </c>
      <c r="C60" s="105" t="s">
        <v>151</v>
      </c>
      <c r="D60" s="105" t="s">
        <v>152</v>
      </c>
      <c r="E60" s="105" t="s">
        <v>153</v>
      </c>
      <c r="F60" s="105" t="s">
        <v>154</v>
      </c>
    </row>
    <row r="61" spans="1:6">
      <c r="A61" s="103" t="s">
        <v>155</v>
      </c>
      <c r="B61" s="103">
        <v>1</v>
      </c>
      <c r="C61" s="103">
        <v>179485675053834.62</v>
      </c>
      <c r="D61" s="103">
        <v>179485675053834.62</v>
      </c>
      <c r="E61" s="103">
        <v>7.6387794301012599</v>
      </c>
      <c r="F61" s="103">
        <v>1.132682156810212E-2</v>
      </c>
    </row>
    <row r="62" spans="1:6">
      <c r="A62" s="103" t="s">
        <v>156</v>
      </c>
      <c r="B62" s="103">
        <v>22</v>
      </c>
      <c r="C62" s="103">
        <v>516926151267600.88</v>
      </c>
      <c r="D62" s="103">
        <v>23496643239436.402</v>
      </c>
      <c r="E62" s="103"/>
      <c r="F62" s="103"/>
    </row>
    <row r="63" spans="1:6" ht="17" thickBot="1">
      <c r="A63" s="104" t="s">
        <v>10</v>
      </c>
      <c r="B63" s="104">
        <v>23</v>
      </c>
      <c r="C63" s="104">
        <v>696411826321435.5</v>
      </c>
      <c r="D63" s="104"/>
      <c r="E63" s="104"/>
      <c r="F63" s="104"/>
    </row>
    <row r="64" spans="1:6" ht="17" thickBot="1"/>
    <row r="65" spans="1:13">
      <c r="A65" s="105"/>
      <c r="B65" s="105" t="s">
        <v>157</v>
      </c>
      <c r="C65" s="105" t="s">
        <v>147</v>
      </c>
      <c r="D65" s="105" t="s">
        <v>158</v>
      </c>
      <c r="E65" s="105" t="s">
        <v>159</v>
      </c>
      <c r="F65" s="105" t="s">
        <v>160</v>
      </c>
      <c r="G65" s="105" t="s">
        <v>161</v>
      </c>
      <c r="H65" s="105" t="s">
        <v>332</v>
      </c>
      <c r="I65" s="105" t="s">
        <v>333</v>
      </c>
    </row>
    <row r="66" spans="1:13">
      <c r="A66" s="103" t="s">
        <v>136</v>
      </c>
      <c r="B66" s="103">
        <v>3056443.7272777166</v>
      </c>
      <c r="C66" s="103">
        <v>2200190.1022573453</v>
      </c>
      <c r="D66" s="103">
        <v>1.3891725647442348</v>
      </c>
      <c r="E66" s="103">
        <v>0.17868253357173924</v>
      </c>
      <c r="F66" s="103">
        <v>-1506471.2489664508</v>
      </c>
      <c r="G66" s="103">
        <v>7619358.703521884</v>
      </c>
      <c r="H66" s="103">
        <v>-1506471.2489664508</v>
      </c>
      <c r="I66" s="103">
        <v>7619358.703521884</v>
      </c>
    </row>
    <row r="67" spans="1:13" ht="17" thickBot="1">
      <c r="A67" s="104" t="s">
        <v>162</v>
      </c>
      <c r="B67" s="104">
        <v>3.1122871150858828</v>
      </c>
      <c r="C67" s="104">
        <v>1.1260759152223778</v>
      </c>
      <c r="D67" s="104">
        <v>2.7638341900521577</v>
      </c>
      <c r="E67" s="104">
        <v>1.1326821568102092E-2</v>
      </c>
      <c r="F67" s="104">
        <v>0.77694861288810468</v>
      </c>
      <c r="G67" s="104">
        <v>5.447625617283661</v>
      </c>
      <c r="H67" s="104">
        <v>0.77694861288810468</v>
      </c>
      <c r="I67" s="104">
        <v>5.447625617283661</v>
      </c>
    </row>
    <row r="70" spans="1:13">
      <c r="L70" s="746" t="s">
        <v>354</v>
      </c>
      <c r="M70" s="746"/>
    </row>
    <row r="71" spans="1:13">
      <c r="A71" s="746" t="s">
        <v>340</v>
      </c>
      <c r="B71" s="746"/>
      <c r="C71" s="746"/>
      <c r="L71" t="s">
        <v>142</v>
      </c>
    </row>
    <row r="72" spans="1:13" ht="17" thickBot="1">
      <c r="A72" t="s">
        <v>142</v>
      </c>
    </row>
    <row r="73" spans="1:13" ht="17" thickBot="1">
      <c r="L73" s="106" t="s">
        <v>143</v>
      </c>
      <c r="M73" s="106"/>
    </row>
    <row r="74" spans="1:13">
      <c r="A74" s="106" t="s">
        <v>143</v>
      </c>
      <c r="B74" s="106"/>
      <c r="L74" s="103" t="s">
        <v>144</v>
      </c>
      <c r="M74" s="103">
        <v>0.72276192461183519</v>
      </c>
    </row>
    <row r="75" spans="1:13">
      <c r="A75" s="103" t="s">
        <v>144</v>
      </c>
      <c r="B75" s="103">
        <v>0.42357707761045432</v>
      </c>
      <c r="L75" s="103" t="s">
        <v>145</v>
      </c>
      <c r="M75" s="868">
        <v>0.52238479966860418</v>
      </c>
    </row>
    <row r="76" spans="1:13">
      <c r="A76" s="103" t="s">
        <v>145</v>
      </c>
      <c r="B76" s="103">
        <v>0.17941754067701285</v>
      </c>
      <c r="L76" s="103" t="s">
        <v>146</v>
      </c>
      <c r="M76" s="103">
        <v>0.42686175960232503</v>
      </c>
    </row>
    <row r="77" spans="1:13">
      <c r="A77" s="103" t="s">
        <v>146</v>
      </c>
      <c r="B77" s="103">
        <v>0.14211833798051343</v>
      </c>
      <c r="L77" s="103" t="s">
        <v>147</v>
      </c>
      <c r="M77" s="103">
        <v>0.53505704807248422</v>
      </c>
    </row>
    <row r="78" spans="1:13" ht="17" thickBot="1">
      <c r="A78" s="103" t="s">
        <v>147</v>
      </c>
      <c r="B78" s="103">
        <v>0.64425730391936686</v>
      </c>
      <c r="L78" s="104" t="s">
        <v>148</v>
      </c>
      <c r="M78" s="104">
        <v>7</v>
      </c>
    </row>
    <row r="79" spans="1:13" ht="17" thickBot="1">
      <c r="A79" s="104" t="s">
        <v>148</v>
      </c>
      <c r="B79" s="104">
        <v>24</v>
      </c>
    </row>
    <row r="80" spans="1:13" ht="17" thickBot="1">
      <c r="L80" t="s">
        <v>149</v>
      </c>
    </row>
    <row r="81" spans="1:20" ht="17" thickBot="1">
      <c r="A81" t="s">
        <v>149</v>
      </c>
      <c r="L81" s="105"/>
      <c r="M81" s="105" t="s">
        <v>150</v>
      </c>
      <c r="N81" s="105" t="s">
        <v>151</v>
      </c>
      <c r="O81" s="105" t="s">
        <v>152</v>
      </c>
      <c r="P81" s="105" t="s">
        <v>153</v>
      </c>
      <c r="Q81" s="105" t="s">
        <v>154</v>
      </c>
    </row>
    <row r="82" spans="1:20">
      <c r="A82" s="105"/>
      <c r="B82" s="105" t="s">
        <v>150</v>
      </c>
      <c r="C82" s="105" t="s">
        <v>151</v>
      </c>
      <c r="D82" s="105" t="s">
        <v>152</v>
      </c>
      <c r="E82" s="105" t="s">
        <v>153</v>
      </c>
      <c r="F82" s="105" t="s">
        <v>154</v>
      </c>
      <c r="L82" s="103" t="s">
        <v>155</v>
      </c>
      <c r="M82" s="103">
        <v>1</v>
      </c>
      <c r="N82" s="103">
        <v>1.5656063500554589</v>
      </c>
      <c r="O82" s="103">
        <v>1.5656063500554589</v>
      </c>
      <c r="P82" s="103">
        <v>5.4686785440051384</v>
      </c>
      <c r="Q82" s="868">
        <v>6.6502429091921528E-2</v>
      </c>
    </row>
    <row r="83" spans="1:20">
      <c r="A83" s="103" t="s">
        <v>155</v>
      </c>
      <c r="B83" s="103">
        <v>1</v>
      </c>
      <c r="C83" s="103">
        <v>1.9965677535759294</v>
      </c>
      <c r="D83" s="103">
        <v>1.9965677535759294</v>
      </c>
      <c r="E83" s="103">
        <v>4.8102245545814704</v>
      </c>
      <c r="F83" s="103">
        <v>3.9153307457350503E-2</v>
      </c>
      <c r="L83" s="103" t="s">
        <v>156</v>
      </c>
      <c r="M83" s="103">
        <v>5</v>
      </c>
      <c r="N83" s="103">
        <v>1.4314302234602032</v>
      </c>
      <c r="O83" s="103">
        <v>0.28628604469204066</v>
      </c>
      <c r="P83" s="103"/>
      <c r="Q83" s="103"/>
    </row>
    <row r="84" spans="1:20" ht="17" thickBot="1">
      <c r="A84" s="103" t="s">
        <v>156</v>
      </c>
      <c r="B84" s="103">
        <v>22</v>
      </c>
      <c r="C84" s="103">
        <v>9.1314844203759318</v>
      </c>
      <c r="D84" s="103">
        <v>0.41506747365345142</v>
      </c>
      <c r="E84" s="103"/>
      <c r="F84" s="103"/>
      <c r="L84" s="104" t="s">
        <v>10</v>
      </c>
      <c r="M84" s="104">
        <v>6</v>
      </c>
      <c r="N84" s="104">
        <v>2.9970365735156621</v>
      </c>
      <c r="O84" s="104"/>
      <c r="P84" s="104"/>
      <c r="Q84" s="104"/>
    </row>
    <row r="85" spans="1:20" ht="17" thickBot="1">
      <c r="A85" s="104" t="s">
        <v>10</v>
      </c>
      <c r="B85" s="104">
        <v>23</v>
      </c>
      <c r="C85" s="104">
        <v>11.128052173951861</v>
      </c>
      <c r="D85" s="104"/>
      <c r="E85" s="104"/>
      <c r="F85" s="104"/>
    </row>
    <row r="86" spans="1:20" ht="17" thickBot="1">
      <c r="L86" s="105"/>
      <c r="M86" s="105" t="s">
        <v>157</v>
      </c>
      <c r="N86" s="105" t="s">
        <v>147</v>
      </c>
      <c r="O86" s="105" t="s">
        <v>158</v>
      </c>
      <c r="P86" s="105" t="s">
        <v>159</v>
      </c>
      <c r="Q86" s="105" t="s">
        <v>160</v>
      </c>
      <c r="R86" s="105" t="s">
        <v>161</v>
      </c>
      <c r="S86" s="105" t="s">
        <v>332</v>
      </c>
      <c r="T86" s="105" t="s">
        <v>333</v>
      </c>
    </row>
    <row r="87" spans="1:20">
      <c r="A87" s="105"/>
      <c r="B87" s="105" t="s">
        <v>157</v>
      </c>
      <c r="C87" s="105" t="s">
        <v>147</v>
      </c>
      <c r="D87" s="105" t="s">
        <v>158</v>
      </c>
      <c r="E87" s="105" t="s">
        <v>159</v>
      </c>
      <c r="F87" s="105" t="s">
        <v>160</v>
      </c>
      <c r="G87" s="105" t="s">
        <v>161</v>
      </c>
      <c r="H87" s="105" t="s">
        <v>332</v>
      </c>
      <c r="I87" s="105" t="s">
        <v>333</v>
      </c>
      <c r="L87" s="103" t="s">
        <v>136</v>
      </c>
      <c r="M87" s="868">
        <v>0.18608661400805815</v>
      </c>
      <c r="N87" s="103">
        <v>6.667315454706837</v>
      </c>
      <c r="O87" s="103">
        <v>2.7910275923226195E-2</v>
      </c>
      <c r="P87" s="103">
        <v>0.97881344578360907</v>
      </c>
      <c r="Q87" s="103">
        <v>-16.952793380059507</v>
      </c>
      <c r="R87" s="103">
        <v>17.324966608075623</v>
      </c>
      <c r="S87" s="103">
        <v>-16.952793380059507</v>
      </c>
      <c r="T87" s="103">
        <v>17.324966608075623</v>
      </c>
    </row>
    <row r="88" spans="1:20" ht="17" thickBot="1">
      <c r="A88" s="103" t="s">
        <v>136</v>
      </c>
      <c r="B88" s="103">
        <v>7.2815984172457124</v>
      </c>
      <c r="C88" s="103">
        <v>3.8584901530234981</v>
      </c>
      <c r="D88" s="103">
        <v>1.8871626279880176</v>
      </c>
      <c r="E88" s="103">
        <v>7.2403468723362951E-2</v>
      </c>
      <c r="F88" s="103">
        <v>-0.7204203568857821</v>
      </c>
      <c r="G88" s="103">
        <v>15.283617191377207</v>
      </c>
      <c r="H88" s="103">
        <v>-0.7204203568857821</v>
      </c>
      <c r="I88" s="103">
        <v>15.283617191377207</v>
      </c>
      <c r="L88" s="104" t="s">
        <v>162</v>
      </c>
      <c r="M88" s="869">
        <v>1.0711738409460572</v>
      </c>
      <c r="N88" s="104">
        <v>0.45805619420219557</v>
      </c>
      <c r="O88" s="104">
        <v>2.3385205887494638</v>
      </c>
      <c r="P88" s="104">
        <v>6.6502429091921528E-2</v>
      </c>
      <c r="Q88" s="104">
        <v>-0.10629709114079544</v>
      </c>
      <c r="R88" s="104">
        <v>2.2486447730329098</v>
      </c>
      <c r="S88" s="104">
        <v>-0.10629709114079544</v>
      </c>
      <c r="T88" s="104">
        <v>2.2486447730329098</v>
      </c>
    </row>
    <row r="89" spans="1:20" ht="17" thickBot="1">
      <c r="A89" s="104" t="s">
        <v>162</v>
      </c>
      <c r="B89" s="104">
        <v>0.59319985766166583</v>
      </c>
      <c r="C89" s="104">
        <v>0.27046954018023467</v>
      </c>
      <c r="D89" s="104">
        <v>2.193222413386628</v>
      </c>
      <c r="E89" s="104">
        <v>3.9153307457350552E-2</v>
      </c>
      <c r="F89" s="104">
        <v>3.2280365186866722E-2</v>
      </c>
      <c r="G89" s="104">
        <v>1.1541193501364648</v>
      </c>
      <c r="H89" s="104">
        <v>3.2280365186866722E-2</v>
      </c>
      <c r="I89" s="104">
        <v>1.1541193501364648</v>
      </c>
    </row>
  </sheetData>
  <phoneticPr fontId="23" type="noConversion"/>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tabColor indexed="57"/>
    <pageSetUpPr fitToPage="1"/>
  </sheetPr>
  <dimension ref="A1:R104"/>
  <sheetViews>
    <sheetView zoomScale="75" workbookViewId="0">
      <pane ySplit="7" topLeftCell="A38" activePane="bottomLeft" state="frozen"/>
      <selection activeCell="A4" sqref="A4"/>
      <selection pane="bottomLeft" activeCell="C61" sqref="C61"/>
    </sheetView>
  </sheetViews>
  <sheetFormatPr baseColWidth="10" defaultColWidth="8.875" defaultRowHeight="15" x14ac:dyDescent="0"/>
  <cols>
    <col min="1" max="1" width="13" style="109" customWidth="1"/>
    <col min="2" max="2" width="13.125" style="109" customWidth="1"/>
    <col min="3" max="4" width="10.875" style="109" bestFit="1" customWidth="1"/>
    <col min="5" max="5" width="12.125" style="109" customWidth="1"/>
    <col min="6" max="6" width="18" style="109" customWidth="1"/>
    <col min="7" max="7" width="15.875" style="109" bestFit="1" customWidth="1"/>
    <col min="8" max="8" width="12.375" style="109" customWidth="1"/>
    <col min="9" max="9" width="13.375" style="109" customWidth="1"/>
    <col min="10" max="10" width="12.875" style="109" customWidth="1"/>
    <col min="11" max="11" width="17.625" style="109" customWidth="1"/>
    <col min="12" max="12" width="6.375" style="109" customWidth="1"/>
    <col min="13" max="13" width="15.5" style="109" customWidth="1"/>
    <col min="14" max="14" width="13.125" style="109" customWidth="1"/>
    <col min="15" max="15" width="12" style="109" customWidth="1"/>
    <col min="16" max="16384" width="8.875" style="109"/>
  </cols>
  <sheetData>
    <row r="1" spans="1:18" ht="16" thickBot="1">
      <c r="A1" s="179" t="str">
        <f ca="1">CELL("filename",A1)</f>
        <v>NWCLM04072996:Users:eric.ward:Documents:NCEAS-covariation:data:salmon data:[2015_PWS_Pink_Wild_forecast-FINAL.xlsm]Odd_Even</v>
      </c>
      <c r="J1" s="110"/>
      <c r="K1" s="110"/>
      <c r="L1" s="110"/>
      <c r="M1" s="110"/>
      <c r="N1" s="110"/>
      <c r="O1" s="110"/>
      <c r="P1" s="110"/>
      <c r="Q1" s="110"/>
      <c r="R1" s="110"/>
    </row>
    <row r="2" spans="1:18" ht="16">
      <c r="J2" s="97"/>
      <c r="K2" s="194" t="s">
        <v>192</v>
      </c>
      <c r="L2" s="187">
        <v>80</v>
      </c>
      <c r="M2" s="197" t="s">
        <v>193</v>
      </c>
      <c r="N2" s="188" t="s">
        <v>194</v>
      </c>
      <c r="O2" s="189"/>
      <c r="P2" s="190"/>
      <c r="Q2" s="97"/>
      <c r="R2" s="110"/>
    </row>
    <row r="3" spans="1:18" ht="16">
      <c r="A3" s="118" t="s">
        <v>179</v>
      </c>
      <c r="J3" s="97"/>
      <c r="K3" s="195" t="s">
        <v>195</v>
      </c>
      <c r="L3" s="198">
        <f>(1-L2/100)/2</f>
        <v>9.9999999999999978E-2</v>
      </c>
      <c r="M3" s="97" t="s">
        <v>196</v>
      </c>
      <c r="N3" s="97"/>
      <c r="O3" s="97"/>
      <c r="P3" s="191"/>
      <c r="Q3" s="97"/>
      <c r="R3" s="110"/>
    </row>
    <row r="4" spans="1:18" ht="16">
      <c r="I4" s="287" t="s">
        <v>232</v>
      </c>
      <c r="J4" s="288" t="s">
        <v>234</v>
      </c>
      <c r="K4" s="195" t="s">
        <v>197</v>
      </c>
      <c r="L4" s="198">
        <f>(1-L3)</f>
        <v>0.9</v>
      </c>
      <c r="M4" s="97" t="s">
        <v>196</v>
      </c>
      <c r="N4" s="97"/>
      <c r="O4" s="97"/>
      <c r="P4" s="191"/>
      <c r="Q4" s="97"/>
      <c r="R4" s="110"/>
    </row>
    <row r="5" spans="1:18" ht="17" thickBot="1">
      <c r="A5" s="119"/>
      <c r="B5" s="119"/>
      <c r="C5" s="120"/>
      <c r="D5" s="120"/>
      <c r="E5" s="120"/>
      <c r="F5" s="120"/>
      <c r="G5" s="120"/>
      <c r="H5" s="120"/>
      <c r="I5" s="287" t="s">
        <v>280</v>
      </c>
      <c r="J5" s="287" t="s">
        <v>280</v>
      </c>
      <c r="K5" s="196" t="s">
        <v>198</v>
      </c>
      <c r="L5" s="199">
        <f>-NORMSINV(L3)</f>
        <v>1.2815515655446006</v>
      </c>
      <c r="M5" s="192" t="s">
        <v>196</v>
      </c>
      <c r="N5" s="192"/>
      <c r="O5" s="192"/>
      <c r="P5" s="193"/>
      <c r="Q5" s="97"/>
      <c r="R5" s="110"/>
    </row>
    <row r="6" spans="1:18">
      <c r="A6" s="121" t="s">
        <v>6</v>
      </c>
      <c r="B6" s="121" t="s">
        <v>7</v>
      </c>
      <c r="C6" s="122" t="s">
        <v>274</v>
      </c>
      <c r="D6" s="123"/>
      <c r="E6" s="124"/>
      <c r="F6" s="125" t="s">
        <v>275</v>
      </c>
      <c r="G6" s="125"/>
      <c r="H6" s="125"/>
      <c r="I6" s="287" t="s">
        <v>102</v>
      </c>
      <c r="J6" s="134" t="s">
        <v>390</v>
      </c>
      <c r="K6" s="110"/>
      <c r="L6" s="110"/>
      <c r="M6" s="110"/>
      <c r="N6" s="110"/>
      <c r="O6" s="110"/>
      <c r="P6" s="110"/>
      <c r="Q6" s="110"/>
      <c r="R6" s="110"/>
    </row>
    <row r="7" spans="1:18" ht="16" thickBot="1">
      <c r="A7" s="126" t="s">
        <v>16</v>
      </c>
      <c r="B7" s="126" t="s">
        <v>16</v>
      </c>
      <c r="C7" s="126" t="s">
        <v>176</v>
      </c>
      <c r="D7" s="126" t="s">
        <v>177</v>
      </c>
      <c r="E7" s="126" t="s">
        <v>17</v>
      </c>
      <c r="F7" s="126" t="s">
        <v>176</v>
      </c>
      <c r="G7" s="126" t="s">
        <v>177</v>
      </c>
      <c r="H7" s="126" t="s">
        <v>178</v>
      </c>
      <c r="I7" s="287" t="s">
        <v>233</v>
      </c>
      <c r="J7" s="287" t="s">
        <v>7</v>
      </c>
      <c r="K7" s="109" t="s">
        <v>403</v>
      </c>
      <c r="L7" s="109" t="s">
        <v>404</v>
      </c>
    </row>
    <row r="8" spans="1:18" ht="17" thickBot="1">
      <c r="A8" s="127">
        <v>1960</v>
      </c>
      <c r="B8" s="293">
        <f t="shared" ref="B8:B56" si="0">A8+2</f>
        <v>1962</v>
      </c>
      <c r="C8" s="434"/>
      <c r="D8" s="435">
        <f>Database!F74</f>
        <v>1350722</v>
      </c>
      <c r="E8" s="433">
        <f t="shared" ref="E8:E30" si="1">SUM(C8:D8)</f>
        <v>1350722</v>
      </c>
      <c r="F8" s="443"/>
      <c r="G8" s="444">
        <f>Database!J76</f>
        <v>8760326</v>
      </c>
      <c r="H8" s="443">
        <f>Database!J76</f>
        <v>8760326</v>
      </c>
      <c r="I8" s="109" t="e">
        <f>RANK(F8,$F$8:$F$61)</f>
        <v>#N/A</v>
      </c>
      <c r="J8" s="179" t="e">
        <f>RANK(C8,$C$8:$C$61)</f>
        <v>#N/A</v>
      </c>
      <c r="K8" s="1125">
        <f>RANK(G8,$G$8:$G$62)</f>
        <v>5</v>
      </c>
      <c r="L8" s="179">
        <f>RANK(D8,$D$8:$D$62)</f>
        <v>12</v>
      </c>
    </row>
    <row r="9" spans="1:18" ht="17" thickBot="1">
      <c r="A9" s="127">
        <v>1961</v>
      </c>
      <c r="B9" s="293">
        <f t="shared" si="0"/>
        <v>1963</v>
      </c>
      <c r="C9" s="436">
        <f>Database!F75</f>
        <v>2198980</v>
      </c>
      <c r="D9" s="435"/>
      <c r="E9" s="433">
        <f t="shared" si="1"/>
        <v>2198980</v>
      </c>
      <c r="F9" s="445">
        <f>Database!J77</f>
        <v>6651118</v>
      </c>
      <c r="G9" s="444"/>
      <c r="H9" s="443">
        <f>Database!J77</f>
        <v>6651118</v>
      </c>
      <c r="I9" s="109">
        <f t="shared" ref="I9:I61" si="2">RANK(F9,$F$8:$F$61)</f>
        <v>16</v>
      </c>
      <c r="J9" s="179">
        <f t="shared" ref="J9:J61" si="3">RANK(C9,$C$8:$C$61)</f>
        <v>8</v>
      </c>
      <c r="K9" s="1125" t="e">
        <f t="shared" ref="K9:K60" si="4">RANK(G9,$G$8:$G$62)</f>
        <v>#N/A</v>
      </c>
      <c r="L9" s="179" t="e">
        <f t="shared" ref="L9:L60" si="5">RANK(D9,$D$8:$D$62)</f>
        <v>#N/A</v>
      </c>
      <c r="M9" s="140"/>
    </row>
    <row r="10" spans="1:18" ht="17" thickBot="1">
      <c r="A10" s="127">
        <v>1962</v>
      </c>
      <c r="B10" s="293">
        <f t="shared" si="0"/>
        <v>1964</v>
      </c>
      <c r="C10" s="436"/>
      <c r="D10" s="435">
        <f>Database!F76</f>
        <v>2018010</v>
      </c>
      <c r="E10" s="433">
        <f t="shared" si="1"/>
        <v>2018010</v>
      </c>
      <c r="F10" s="445"/>
      <c r="G10" s="444">
        <f>Database!J78</f>
        <v>6048576</v>
      </c>
      <c r="H10" s="443">
        <f>Database!J78</f>
        <v>6048576</v>
      </c>
      <c r="I10" s="109" t="e">
        <f t="shared" si="2"/>
        <v>#N/A</v>
      </c>
      <c r="J10" s="179" t="e">
        <f t="shared" si="3"/>
        <v>#N/A</v>
      </c>
      <c r="K10" s="1125">
        <f t="shared" si="4"/>
        <v>7</v>
      </c>
      <c r="L10" s="179">
        <f t="shared" si="5"/>
        <v>2</v>
      </c>
      <c r="M10" s="140"/>
    </row>
    <row r="11" spans="1:18" ht="17" thickBot="1">
      <c r="A11" s="127">
        <v>1963</v>
      </c>
      <c r="B11" s="293">
        <f t="shared" si="0"/>
        <v>1965</v>
      </c>
      <c r="C11" s="436">
        <f>Database!F77</f>
        <v>1355740</v>
      </c>
      <c r="D11" s="435"/>
      <c r="E11" s="433">
        <f t="shared" si="1"/>
        <v>1355740</v>
      </c>
      <c r="F11" s="445">
        <f>Database!J79</f>
        <v>3436427</v>
      </c>
      <c r="G11" s="444"/>
      <c r="H11" s="443">
        <f>Database!J79</f>
        <v>3436427</v>
      </c>
      <c r="I11" s="109">
        <f t="shared" si="2"/>
        <v>22</v>
      </c>
      <c r="J11" s="179">
        <f t="shared" si="3"/>
        <v>18</v>
      </c>
      <c r="K11" s="1125" t="e">
        <f t="shared" si="4"/>
        <v>#N/A</v>
      </c>
      <c r="L11" s="179" t="e">
        <f t="shared" si="5"/>
        <v>#N/A</v>
      </c>
      <c r="M11" s="140"/>
    </row>
    <row r="12" spans="1:18" ht="17" thickBot="1">
      <c r="A12" s="127">
        <v>1964</v>
      </c>
      <c r="B12" s="293">
        <f t="shared" si="0"/>
        <v>1966</v>
      </c>
      <c r="C12" s="436"/>
      <c r="D12" s="435">
        <f>Database!F78</f>
        <v>1841680</v>
      </c>
      <c r="E12" s="433">
        <f t="shared" si="1"/>
        <v>1841680</v>
      </c>
      <c r="F12" s="445"/>
      <c r="G12" s="444">
        <f>Database!J80</f>
        <v>4122588</v>
      </c>
      <c r="H12" s="443">
        <f>Database!J80</f>
        <v>4122588</v>
      </c>
      <c r="I12" s="109" t="e">
        <f t="shared" si="2"/>
        <v>#N/A</v>
      </c>
      <c r="J12" s="179" t="e">
        <f t="shared" si="3"/>
        <v>#N/A</v>
      </c>
      <c r="K12" s="1125">
        <f t="shared" si="4"/>
        <v>15</v>
      </c>
      <c r="L12" s="179">
        <f t="shared" si="5"/>
        <v>6</v>
      </c>
      <c r="M12" s="140"/>
    </row>
    <row r="13" spans="1:18" ht="17" thickBot="1">
      <c r="A13" s="127">
        <v>1965</v>
      </c>
      <c r="B13" s="293">
        <f t="shared" si="0"/>
        <v>1967</v>
      </c>
      <c r="C13" s="436">
        <f>Database!F79</f>
        <v>975956</v>
      </c>
      <c r="D13" s="435"/>
      <c r="E13" s="433">
        <f t="shared" si="1"/>
        <v>975956</v>
      </c>
      <c r="F13" s="445">
        <f>Database!J81</f>
        <v>3468600</v>
      </c>
      <c r="G13" s="444"/>
      <c r="H13" s="443">
        <f>Database!J81</f>
        <v>3468600</v>
      </c>
      <c r="I13" s="109">
        <f t="shared" si="2"/>
        <v>21</v>
      </c>
      <c r="J13" s="179">
        <f t="shared" si="3"/>
        <v>25</v>
      </c>
      <c r="K13" s="1125" t="e">
        <f t="shared" si="4"/>
        <v>#N/A</v>
      </c>
      <c r="L13" s="179" t="e">
        <f t="shared" si="5"/>
        <v>#N/A</v>
      </c>
      <c r="M13" s="140"/>
    </row>
    <row r="14" spans="1:18" ht="17" thickBot="1">
      <c r="A14" s="127">
        <v>1966</v>
      </c>
      <c r="B14" s="293">
        <f t="shared" si="0"/>
        <v>1968</v>
      </c>
      <c r="C14" s="436"/>
      <c r="D14" s="435">
        <f>Database!F80</f>
        <v>1423170</v>
      </c>
      <c r="E14" s="433">
        <f t="shared" si="1"/>
        <v>1423170</v>
      </c>
      <c r="F14" s="445"/>
      <c r="G14" s="444">
        <f>Database!J82</f>
        <v>3608678</v>
      </c>
      <c r="H14" s="443">
        <f>Database!J82</f>
        <v>3608678</v>
      </c>
      <c r="I14" s="109" t="e">
        <f t="shared" si="2"/>
        <v>#N/A</v>
      </c>
      <c r="J14" s="179" t="e">
        <f t="shared" si="3"/>
        <v>#N/A</v>
      </c>
      <c r="K14" s="1125">
        <f t="shared" si="4"/>
        <v>18</v>
      </c>
      <c r="L14" s="179">
        <f t="shared" si="5"/>
        <v>9</v>
      </c>
      <c r="M14" s="140"/>
    </row>
    <row r="15" spans="1:18" ht="17" thickBot="1">
      <c r="A15" s="127">
        <v>1967</v>
      </c>
      <c r="B15" s="293">
        <f t="shared" si="0"/>
        <v>1969</v>
      </c>
      <c r="C15" s="436">
        <f>Database!F81</f>
        <v>842260</v>
      </c>
      <c r="D15" s="435"/>
      <c r="E15" s="433">
        <f t="shared" si="1"/>
        <v>842260</v>
      </c>
      <c r="F15" s="445">
        <f>Database!J83</f>
        <v>5233149</v>
      </c>
      <c r="G15" s="444"/>
      <c r="H15" s="443">
        <f>Database!J83</f>
        <v>5233149</v>
      </c>
      <c r="I15" s="109">
        <f t="shared" si="2"/>
        <v>18</v>
      </c>
      <c r="J15" s="179">
        <f t="shared" si="3"/>
        <v>26</v>
      </c>
      <c r="K15" s="1125" t="e">
        <f t="shared" si="4"/>
        <v>#N/A</v>
      </c>
      <c r="L15" s="179" t="e">
        <f t="shared" si="5"/>
        <v>#N/A</v>
      </c>
      <c r="M15" s="140"/>
    </row>
    <row r="16" spans="1:18" ht="17" thickBot="1">
      <c r="A16" s="127">
        <v>1968</v>
      </c>
      <c r="B16" s="293">
        <f t="shared" si="0"/>
        <v>1970</v>
      </c>
      <c r="C16" s="436"/>
      <c r="D16" s="435">
        <f>Database!F82</f>
        <v>1156510</v>
      </c>
      <c r="E16" s="433">
        <f t="shared" si="1"/>
        <v>1156510</v>
      </c>
      <c r="F16" s="445"/>
      <c r="G16" s="444">
        <f>Database!J84</f>
        <v>3789216</v>
      </c>
      <c r="H16" s="443">
        <f>Database!J84</f>
        <v>3789216</v>
      </c>
      <c r="I16" s="109" t="e">
        <f t="shared" si="2"/>
        <v>#N/A</v>
      </c>
      <c r="J16" s="179" t="e">
        <f t="shared" si="3"/>
        <v>#N/A</v>
      </c>
      <c r="K16" s="1125">
        <f t="shared" si="4"/>
        <v>17</v>
      </c>
      <c r="L16" s="179">
        <f t="shared" si="5"/>
        <v>15</v>
      </c>
      <c r="M16" s="141"/>
    </row>
    <row r="17" spans="1:13" ht="17" thickBot="1">
      <c r="A17" s="127">
        <v>1969</v>
      </c>
      <c r="B17" s="293">
        <f t="shared" si="0"/>
        <v>1971</v>
      </c>
      <c r="C17" s="436">
        <f>Database!F83</f>
        <v>404570</v>
      </c>
      <c r="D17" s="435"/>
      <c r="E17" s="433">
        <f t="shared" si="1"/>
        <v>404570</v>
      </c>
      <c r="F17" s="445">
        <f>Database!J85</f>
        <v>8423514</v>
      </c>
      <c r="G17" s="444"/>
      <c r="H17" s="443">
        <f>Database!J85</f>
        <v>8423514</v>
      </c>
      <c r="I17" s="109">
        <f t="shared" si="2"/>
        <v>13</v>
      </c>
      <c r="J17" s="179">
        <f t="shared" si="3"/>
        <v>27</v>
      </c>
      <c r="K17" s="1125" t="e">
        <f t="shared" si="4"/>
        <v>#N/A</v>
      </c>
      <c r="L17" s="179" t="e">
        <f t="shared" si="5"/>
        <v>#N/A</v>
      </c>
      <c r="M17" s="140"/>
    </row>
    <row r="18" spans="1:13" ht="17" thickBot="1">
      <c r="A18" s="127">
        <v>1970</v>
      </c>
      <c r="B18" s="293">
        <f t="shared" si="0"/>
        <v>1972</v>
      </c>
      <c r="C18" s="436"/>
      <c r="D18" s="435">
        <f>Database!F84</f>
        <v>979220</v>
      </c>
      <c r="E18" s="433">
        <f t="shared" si="1"/>
        <v>979220</v>
      </c>
      <c r="F18" s="445"/>
      <c r="G18" s="444">
        <f>Database!J86</f>
        <v>695963</v>
      </c>
      <c r="H18" s="443">
        <f>Database!J86</f>
        <v>695963</v>
      </c>
      <c r="I18" s="109" t="e">
        <f t="shared" si="2"/>
        <v>#N/A</v>
      </c>
      <c r="J18" s="179" t="e">
        <f t="shared" si="3"/>
        <v>#N/A</v>
      </c>
      <c r="K18" s="1125">
        <f t="shared" si="4"/>
        <v>27</v>
      </c>
      <c r="L18" s="179">
        <f t="shared" si="5"/>
        <v>19</v>
      </c>
      <c r="M18" s="140"/>
    </row>
    <row r="19" spans="1:13" ht="17" thickBot="1">
      <c r="A19" s="127">
        <v>1971</v>
      </c>
      <c r="B19" s="293">
        <f t="shared" si="0"/>
        <v>1973</v>
      </c>
      <c r="C19" s="436">
        <f>Database!F85</f>
        <v>1112550</v>
      </c>
      <c r="D19" s="435"/>
      <c r="E19" s="433">
        <f t="shared" si="1"/>
        <v>1112550</v>
      </c>
      <c r="F19" s="445">
        <f>Database!J87</f>
        <v>8535974</v>
      </c>
      <c r="G19" s="444"/>
      <c r="H19" s="443">
        <f>Database!J87</f>
        <v>8535974</v>
      </c>
      <c r="I19" s="109">
        <f t="shared" si="2"/>
        <v>12</v>
      </c>
      <c r="J19" s="179">
        <f t="shared" si="3"/>
        <v>23</v>
      </c>
      <c r="K19" s="1125" t="e">
        <f t="shared" si="4"/>
        <v>#N/A</v>
      </c>
      <c r="L19" s="179" t="e">
        <f t="shared" si="5"/>
        <v>#N/A</v>
      </c>
      <c r="M19" s="140"/>
    </row>
    <row r="20" spans="1:13" ht="17" thickBot="1">
      <c r="A20" s="127">
        <v>1972</v>
      </c>
      <c r="B20" s="293">
        <f t="shared" si="0"/>
        <v>1974</v>
      </c>
      <c r="C20" s="436"/>
      <c r="D20" s="435">
        <f>Database!F86</f>
        <v>641180</v>
      </c>
      <c r="E20" s="433">
        <f t="shared" si="1"/>
        <v>641180</v>
      </c>
      <c r="F20" s="445"/>
      <c r="G20" s="444">
        <f>Database!J88</f>
        <v>1012903</v>
      </c>
      <c r="H20" s="443">
        <f>Database!J88</f>
        <v>1012903</v>
      </c>
      <c r="I20" s="109" t="e">
        <f t="shared" si="2"/>
        <v>#N/A</v>
      </c>
      <c r="J20" s="179" t="e">
        <f t="shared" si="3"/>
        <v>#N/A</v>
      </c>
      <c r="K20" s="1125">
        <f t="shared" si="4"/>
        <v>26</v>
      </c>
      <c r="L20" s="179">
        <f t="shared" si="5"/>
        <v>26</v>
      </c>
      <c r="M20" s="140"/>
    </row>
    <row r="21" spans="1:13" ht="17" thickBot="1">
      <c r="A21" s="127">
        <v>1973</v>
      </c>
      <c r="B21" s="293">
        <f t="shared" si="0"/>
        <v>1975</v>
      </c>
      <c r="C21" s="436">
        <f>Database!F87</f>
        <v>1225010</v>
      </c>
      <c r="D21" s="435"/>
      <c r="E21" s="433">
        <f t="shared" si="1"/>
        <v>1225010</v>
      </c>
      <c r="F21" s="445">
        <f>Database!J89</f>
        <v>3322438</v>
      </c>
      <c r="G21" s="444"/>
      <c r="H21" s="443">
        <f>Database!J89</f>
        <v>3322438</v>
      </c>
      <c r="I21" s="109">
        <f t="shared" si="2"/>
        <v>23</v>
      </c>
      <c r="J21" s="179">
        <f t="shared" si="3"/>
        <v>21</v>
      </c>
      <c r="K21" s="1125" t="e">
        <f t="shared" si="4"/>
        <v>#N/A</v>
      </c>
      <c r="L21" s="179" t="e">
        <f t="shared" si="5"/>
        <v>#N/A</v>
      </c>
      <c r="M21" s="141"/>
    </row>
    <row r="22" spans="1:13" ht="17" thickBot="1">
      <c r="A22" s="127">
        <v>1974</v>
      </c>
      <c r="B22" s="293">
        <f t="shared" si="0"/>
        <v>1976</v>
      </c>
      <c r="C22" s="436"/>
      <c r="D22" s="435">
        <f>Database!F88</f>
        <v>958120</v>
      </c>
      <c r="E22" s="433">
        <f t="shared" si="1"/>
        <v>958120</v>
      </c>
      <c r="F22" s="445"/>
      <c r="G22" s="444">
        <f>Database!J90</f>
        <v>1161051</v>
      </c>
      <c r="H22" s="443">
        <f>Database!J90</f>
        <v>1161051</v>
      </c>
      <c r="I22" s="109" t="e">
        <f t="shared" si="2"/>
        <v>#N/A</v>
      </c>
      <c r="J22" s="179" t="e">
        <f t="shared" si="3"/>
        <v>#N/A</v>
      </c>
      <c r="K22" s="1125">
        <f t="shared" si="4"/>
        <v>25</v>
      </c>
      <c r="L22" s="179">
        <f t="shared" si="5"/>
        <v>21</v>
      </c>
      <c r="M22" s="141"/>
    </row>
    <row r="23" spans="1:13" ht="17" thickBot="1">
      <c r="A23" s="127">
        <v>1975</v>
      </c>
      <c r="B23" s="293">
        <f t="shared" si="0"/>
        <v>1977</v>
      </c>
      <c r="C23" s="436">
        <f>Database!F89</f>
        <v>1265560</v>
      </c>
      <c r="D23" s="435"/>
      <c r="E23" s="433">
        <f t="shared" si="1"/>
        <v>1265560</v>
      </c>
      <c r="F23" s="445">
        <f>Database!J91</f>
        <v>5816401</v>
      </c>
      <c r="G23" s="444"/>
      <c r="H23" s="443">
        <f>Database!J91</f>
        <v>5816401</v>
      </c>
      <c r="I23" s="109">
        <f t="shared" si="2"/>
        <v>17</v>
      </c>
      <c r="J23" s="179">
        <f t="shared" si="3"/>
        <v>19</v>
      </c>
      <c r="K23" s="1125" t="e">
        <f t="shared" si="4"/>
        <v>#N/A</v>
      </c>
      <c r="L23" s="179" t="e">
        <f t="shared" si="5"/>
        <v>#N/A</v>
      </c>
      <c r="M23" s="142"/>
    </row>
    <row r="24" spans="1:13" ht="17" thickBot="1">
      <c r="A24" s="127">
        <v>1976</v>
      </c>
      <c r="B24" s="293">
        <f t="shared" si="0"/>
        <v>1978</v>
      </c>
      <c r="C24" s="436"/>
      <c r="D24" s="435">
        <f>Database!F90</f>
        <v>712278</v>
      </c>
      <c r="E24" s="433">
        <f t="shared" si="1"/>
        <v>712278</v>
      </c>
      <c r="F24" s="445"/>
      <c r="G24" s="444">
        <f>Database!J92</f>
        <v>3925083</v>
      </c>
      <c r="H24" s="443">
        <f>Database!J92</f>
        <v>3925083</v>
      </c>
      <c r="I24" s="109" t="e">
        <f t="shared" si="2"/>
        <v>#N/A</v>
      </c>
      <c r="J24" s="179" t="e">
        <f t="shared" si="3"/>
        <v>#N/A</v>
      </c>
      <c r="K24" s="1125">
        <f t="shared" si="4"/>
        <v>16</v>
      </c>
      <c r="L24" s="179">
        <f t="shared" si="5"/>
        <v>25</v>
      </c>
      <c r="M24" s="142"/>
    </row>
    <row r="25" spans="1:13" ht="17" thickBot="1">
      <c r="A25" s="127">
        <v>1977</v>
      </c>
      <c r="B25" s="293">
        <f t="shared" si="0"/>
        <v>1979</v>
      </c>
      <c r="C25" s="436">
        <f>Database!F91</f>
        <v>1517667</v>
      </c>
      <c r="D25" s="435"/>
      <c r="E25" s="433">
        <f t="shared" si="1"/>
        <v>1517667</v>
      </c>
      <c r="F25" s="445">
        <f>Database!J93</f>
        <v>17335503</v>
      </c>
      <c r="G25" s="444"/>
      <c r="H25" s="443">
        <f>Database!J93</f>
        <v>17335503</v>
      </c>
      <c r="I25" s="109">
        <f t="shared" si="2"/>
        <v>4</v>
      </c>
      <c r="J25" s="179">
        <f t="shared" si="3"/>
        <v>14</v>
      </c>
      <c r="K25" s="1125" t="e">
        <f t="shared" si="4"/>
        <v>#N/A</v>
      </c>
      <c r="L25" s="179" t="e">
        <f t="shared" si="5"/>
        <v>#N/A</v>
      </c>
      <c r="M25" s="142"/>
    </row>
    <row r="26" spans="1:13" ht="17" thickBot="1">
      <c r="A26" s="127">
        <v>1978</v>
      </c>
      <c r="B26" s="293">
        <f t="shared" si="0"/>
        <v>1980</v>
      </c>
      <c r="C26" s="436"/>
      <c r="D26" s="435">
        <f>Database!F92</f>
        <v>755386</v>
      </c>
      <c r="E26" s="433">
        <f t="shared" si="1"/>
        <v>755386</v>
      </c>
      <c r="F26" s="445"/>
      <c r="G26" s="444">
        <f>Database!J94</f>
        <v>14013916</v>
      </c>
      <c r="H26" s="443">
        <f>Database!J94</f>
        <v>14013916</v>
      </c>
      <c r="I26" s="109" t="e">
        <f t="shared" si="2"/>
        <v>#N/A</v>
      </c>
      <c r="J26" s="179" t="e">
        <f t="shared" si="3"/>
        <v>#N/A</v>
      </c>
      <c r="K26" s="1125">
        <f t="shared" si="4"/>
        <v>3</v>
      </c>
      <c r="L26" s="179">
        <f t="shared" si="5"/>
        <v>24</v>
      </c>
      <c r="M26" s="140"/>
    </row>
    <row r="27" spans="1:13" ht="17" thickBot="1">
      <c r="A27" s="127">
        <v>1979</v>
      </c>
      <c r="B27" s="293">
        <f t="shared" si="0"/>
        <v>1981</v>
      </c>
      <c r="C27" s="436">
        <f>Database!F93</f>
        <v>2901977</v>
      </c>
      <c r="D27" s="435"/>
      <c r="E27" s="433">
        <f t="shared" si="1"/>
        <v>2901977</v>
      </c>
      <c r="F27" s="445">
        <f>Database!J95</f>
        <v>19568866</v>
      </c>
      <c r="G27" s="444"/>
      <c r="H27" s="443">
        <f>Database!J95</f>
        <v>19568866</v>
      </c>
      <c r="I27" s="109">
        <f t="shared" si="2"/>
        <v>3</v>
      </c>
      <c r="J27" s="179">
        <f t="shared" si="3"/>
        <v>4</v>
      </c>
      <c r="K27" s="1125" t="e">
        <f t="shared" si="4"/>
        <v>#N/A</v>
      </c>
      <c r="L27" s="179" t="e">
        <f t="shared" si="5"/>
        <v>#N/A</v>
      </c>
      <c r="M27" s="140"/>
    </row>
    <row r="28" spans="1:13" ht="17" thickBot="1">
      <c r="A28" s="127">
        <v>1980</v>
      </c>
      <c r="B28" s="293">
        <f t="shared" si="0"/>
        <v>1982</v>
      </c>
      <c r="C28" s="436"/>
      <c r="D28" s="435">
        <f>Database!F94</f>
        <v>1095042</v>
      </c>
      <c r="E28" s="433">
        <f t="shared" si="1"/>
        <v>1095042</v>
      </c>
      <c r="F28" s="445"/>
      <c r="G28" s="444">
        <f>Database!J96</f>
        <v>16794317</v>
      </c>
      <c r="H28" s="443">
        <f>Database!J96</f>
        <v>16794317</v>
      </c>
      <c r="I28" s="109" t="e">
        <f t="shared" si="2"/>
        <v>#N/A</v>
      </c>
      <c r="J28" s="179" t="e">
        <f t="shared" si="3"/>
        <v>#N/A</v>
      </c>
      <c r="K28" s="1125">
        <f t="shared" si="4"/>
        <v>2</v>
      </c>
      <c r="L28" s="179">
        <f t="shared" si="5"/>
        <v>17</v>
      </c>
      <c r="M28" s="140"/>
    </row>
    <row r="29" spans="1:13" ht="17" thickBot="1">
      <c r="A29" s="127">
        <v>1981</v>
      </c>
      <c r="B29" s="293">
        <f t="shared" si="0"/>
        <v>1983</v>
      </c>
      <c r="C29" s="436">
        <f>Database!F95</f>
        <v>2166319</v>
      </c>
      <c r="D29" s="435"/>
      <c r="E29" s="433">
        <f t="shared" si="1"/>
        <v>2166319</v>
      </c>
      <c r="F29" s="445">
        <f>Database!J97</f>
        <v>11567348</v>
      </c>
      <c r="G29" s="444"/>
      <c r="H29" s="443">
        <f>Database!J97</f>
        <v>11567348</v>
      </c>
      <c r="I29" s="109">
        <f t="shared" si="2"/>
        <v>7</v>
      </c>
      <c r="J29" s="179">
        <f t="shared" si="3"/>
        <v>9</v>
      </c>
      <c r="K29" s="1125" t="e">
        <f t="shared" si="4"/>
        <v>#N/A</v>
      </c>
      <c r="L29" s="179" t="e">
        <f t="shared" si="5"/>
        <v>#N/A</v>
      </c>
      <c r="M29" s="142"/>
    </row>
    <row r="30" spans="1:13" ht="17" thickBot="1">
      <c r="A30" s="127">
        <v>1982</v>
      </c>
      <c r="B30" s="293">
        <f t="shared" si="0"/>
        <v>1984</v>
      </c>
      <c r="C30" s="436"/>
      <c r="D30" s="435">
        <f>Database!F96</f>
        <v>1849118</v>
      </c>
      <c r="E30" s="433">
        <f t="shared" si="1"/>
        <v>1849118</v>
      </c>
      <c r="F30" s="445"/>
      <c r="G30" s="444">
        <f>Database!J98</f>
        <v>21201513</v>
      </c>
      <c r="H30" s="443">
        <f>Database!J98</f>
        <v>21201513</v>
      </c>
      <c r="I30" s="109" t="e">
        <f t="shared" si="2"/>
        <v>#N/A</v>
      </c>
      <c r="J30" s="179" t="e">
        <f t="shared" si="3"/>
        <v>#N/A</v>
      </c>
      <c r="K30" s="1125">
        <f t="shared" si="4"/>
        <v>1</v>
      </c>
      <c r="L30" s="179">
        <f t="shared" si="5"/>
        <v>5</v>
      </c>
      <c r="M30" s="141"/>
    </row>
    <row r="31" spans="1:13" ht="17" thickBot="1">
      <c r="A31" s="127">
        <v>1983</v>
      </c>
      <c r="B31" s="293">
        <f t="shared" si="0"/>
        <v>1985</v>
      </c>
      <c r="C31" s="436">
        <f>Database!F97</f>
        <v>2003106</v>
      </c>
      <c r="D31" s="435"/>
      <c r="E31" s="433">
        <f>SUM(C31:D31)</f>
        <v>2003106</v>
      </c>
      <c r="F31" s="445">
        <f>Database!J99</f>
        <v>19938105</v>
      </c>
      <c r="G31" s="444"/>
      <c r="H31" s="443">
        <f>Database!J99</f>
        <v>19938105</v>
      </c>
      <c r="I31" s="109">
        <f t="shared" si="2"/>
        <v>2</v>
      </c>
      <c r="J31" s="179">
        <f t="shared" si="3"/>
        <v>10</v>
      </c>
      <c r="K31" s="1125" t="e">
        <f t="shared" si="4"/>
        <v>#N/A</v>
      </c>
      <c r="L31" s="179" t="e">
        <f t="shared" si="5"/>
        <v>#N/A</v>
      </c>
      <c r="M31" s="140"/>
    </row>
    <row r="32" spans="1:13" ht="17" thickBot="1">
      <c r="A32" s="127">
        <v>1984</v>
      </c>
      <c r="B32" s="293">
        <f t="shared" si="0"/>
        <v>1986</v>
      </c>
      <c r="C32" s="436"/>
      <c r="D32" s="435">
        <f>Database!F98</f>
        <v>3569838</v>
      </c>
      <c r="E32" s="433">
        <f t="shared" ref="E32:E52" si="6">SUM(C32:D32)</f>
        <v>3569838</v>
      </c>
      <c r="F32" s="445"/>
      <c r="G32" s="444">
        <f>Database!J100</f>
        <v>5563957</v>
      </c>
      <c r="H32" s="443">
        <f>Database!J100</f>
        <v>5563957</v>
      </c>
      <c r="I32" s="109" t="e">
        <f t="shared" si="2"/>
        <v>#N/A</v>
      </c>
      <c r="J32" s="179" t="e">
        <f t="shared" si="3"/>
        <v>#N/A</v>
      </c>
      <c r="K32" s="1125">
        <f t="shared" si="4"/>
        <v>8</v>
      </c>
      <c r="L32" s="179">
        <f t="shared" si="5"/>
        <v>1</v>
      </c>
      <c r="M32" s="140"/>
    </row>
    <row r="33" spans="1:13" ht="17" thickBot="1">
      <c r="A33" s="127">
        <v>1985</v>
      </c>
      <c r="B33" s="293">
        <f t="shared" si="0"/>
        <v>1987</v>
      </c>
      <c r="C33" s="436">
        <f>Database!F99</f>
        <v>2347997</v>
      </c>
      <c r="D33" s="435"/>
      <c r="E33" s="433">
        <f t="shared" si="6"/>
        <v>2347997</v>
      </c>
      <c r="F33" s="445">
        <f>Database!J101</f>
        <v>13066944</v>
      </c>
      <c r="G33" s="444"/>
      <c r="H33" s="443">
        <f>Database!J101</f>
        <v>13066944</v>
      </c>
      <c r="I33" s="109">
        <f t="shared" si="2"/>
        <v>6</v>
      </c>
      <c r="J33" s="179">
        <f t="shared" si="3"/>
        <v>7</v>
      </c>
      <c r="K33" s="1125" t="e">
        <f t="shared" si="4"/>
        <v>#N/A</v>
      </c>
      <c r="L33" s="179" t="e">
        <f t="shared" si="5"/>
        <v>#N/A</v>
      </c>
      <c r="M33" s="140"/>
    </row>
    <row r="34" spans="1:13" ht="17" thickBot="1">
      <c r="A34" s="127">
        <v>1986</v>
      </c>
      <c r="B34" s="293">
        <f t="shared" si="0"/>
        <v>1988</v>
      </c>
      <c r="C34" s="436"/>
      <c r="D34" s="435">
        <f>Database!F100</f>
        <v>985934</v>
      </c>
      <c r="E34" s="433">
        <f t="shared" si="6"/>
        <v>985934</v>
      </c>
      <c r="F34" s="445"/>
      <c r="G34" s="444">
        <f>Database!J102</f>
        <v>1766936</v>
      </c>
      <c r="H34" s="443">
        <f>Database!J102</f>
        <v>1766936</v>
      </c>
      <c r="I34" s="109" t="e">
        <f t="shared" si="2"/>
        <v>#N/A</v>
      </c>
      <c r="J34" s="179" t="e">
        <f t="shared" si="3"/>
        <v>#N/A</v>
      </c>
      <c r="K34" s="1125">
        <f t="shared" si="4"/>
        <v>22</v>
      </c>
      <c r="L34" s="179">
        <f t="shared" si="5"/>
        <v>18</v>
      </c>
      <c r="M34" s="140"/>
    </row>
    <row r="35" spans="1:13" ht="17" thickBot="1">
      <c r="A35" s="127">
        <v>1987</v>
      </c>
      <c r="B35" s="293">
        <f t="shared" si="0"/>
        <v>1989</v>
      </c>
      <c r="C35" s="436">
        <f>Database!F101</f>
        <v>1372217</v>
      </c>
      <c r="D35" s="435"/>
      <c r="E35" s="433">
        <f t="shared" si="6"/>
        <v>1372217</v>
      </c>
      <c r="F35" s="445">
        <f>Database!J103</f>
        <v>4743750</v>
      </c>
      <c r="G35" s="444"/>
      <c r="H35" s="443">
        <f>Database!J103</f>
        <v>4743750</v>
      </c>
      <c r="I35" s="109">
        <f t="shared" si="2"/>
        <v>19</v>
      </c>
      <c r="J35" s="179">
        <f t="shared" si="3"/>
        <v>17</v>
      </c>
      <c r="K35" s="1125" t="e">
        <f t="shared" si="4"/>
        <v>#N/A</v>
      </c>
      <c r="L35" s="179" t="e">
        <f t="shared" si="5"/>
        <v>#N/A</v>
      </c>
      <c r="M35" s="140"/>
    </row>
    <row r="36" spans="1:13" ht="17" thickBot="1">
      <c r="A36" s="127">
        <v>1988</v>
      </c>
      <c r="B36" s="293">
        <f t="shared" si="0"/>
        <v>1990</v>
      </c>
      <c r="C36" s="436"/>
      <c r="D36" s="435">
        <f>Database!F102</f>
        <v>971164</v>
      </c>
      <c r="E36" s="433">
        <f t="shared" si="6"/>
        <v>971164</v>
      </c>
      <c r="F36" s="445"/>
      <c r="G36" s="444">
        <f>Database!J104</f>
        <v>12923662</v>
      </c>
      <c r="H36" s="443">
        <f>Database!J104</f>
        <v>12923662</v>
      </c>
      <c r="I36" s="109" t="e">
        <f t="shared" si="2"/>
        <v>#N/A</v>
      </c>
      <c r="J36" s="179" t="e">
        <f t="shared" si="3"/>
        <v>#N/A</v>
      </c>
      <c r="K36" s="1125">
        <f t="shared" si="4"/>
        <v>4</v>
      </c>
      <c r="L36" s="179">
        <f t="shared" si="5"/>
        <v>20</v>
      </c>
      <c r="M36" s="140"/>
    </row>
    <row r="37" spans="1:13" ht="17" thickBot="1">
      <c r="A37" s="127">
        <v>1989</v>
      </c>
      <c r="B37" s="293">
        <f t="shared" si="0"/>
        <v>1991</v>
      </c>
      <c r="C37" s="436">
        <f>Database!F103</f>
        <v>1233676</v>
      </c>
      <c r="D37" s="435"/>
      <c r="E37" s="433">
        <f t="shared" si="6"/>
        <v>1233676</v>
      </c>
      <c r="F37" s="445">
        <f>Database!J105</f>
        <v>7544776</v>
      </c>
      <c r="G37" s="444"/>
      <c r="H37" s="443">
        <f>Database!J105</f>
        <v>7544776</v>
      </c>
      <c r="I37" s="109">
        <f t="shared" si="2"/>
        <v>14</v>
      </c>
      <c r="J37" s="179">
        <f t="shared" si="3"/>
        <v>20</v>
      </c>
      <c r="K37" s="1125" t="e">
        <f t="shared" si="4"/>
        <v>#N/A</v>
      </c>
      <c r="L37" s="179" t="e">
        <f t="shared" si="5"/>
        <v>#N/A</v>
      </c>
      <c r="M37" s="140"/>
    </row>
    <row r="38" spans="1:13" ht="17" thickBot="1">
      <c r="A38" s="127">
        <v>1990</v>
      </c>
      <c r="B38" s="293">
        <f t="shared" si="0"/>
        <v>1992</v>
      </c>
      <c r="C38" s="436"/>
      <c r="D38" s="435">
        <f>Database!F104</f>
        <v>1235905</v>
      </c>
      <c r="E38" s="433">
        <f t="shared" si="6"/>
        <v>1235905</v>
      </c>
      <c r="F38" s="445"/>
      <c r="G38" s="444">
        <f>Database!J106</f>
        <v>1405383</v>
      </c>
      <c r="H38" s="443">
        <f>Database!J106</f>
        <v>1405383</v>
      </c>
      <c r="I38" s="109" t="e">
        <f t="shared" si="2"/>
        <v>#N/A</v>
      </c>
      <c r="J38" s="179" t="e">
        <f t="shared" si="3"/>
        <v>#N/A</v>
      </c>
      <c r="K38" s="1125">
        <f t="shared" si="4"/>
        <v>23</v>
      </c>
      <c r="L38" s="179">
        <f t="shared" si="5"/>
        <v>13</v>
      </c>
      <c r="M38" s="140"/>
    </row>
    <row r="39" spans="1:13" ht="17" thickBot="1">
      <c r="A39" s="127">
        <v>1991</v>
      </c>
      <c r="B39" s="293">
        <f t="shared" si="0"/>
        <v>1993</v>
      </c>
      <c r="C39" s="436">
        <f>Database!F105</f>
        <v>1725792</v>
      </c>
      <c r="D39" s="435"/>
      <c r="E39" s="433">
        <f t="shared" si="6"/>
        <v>1725792</v>
      </c>
      <c r="F39" s="445">
        <f>Database!J107</f>
        <v>1542942</v>
      </c>
      <c r="G39" s="444"/>
      <c r="H39" s="443">
        <f>Database!J107</f>
        <v>1542942</v>
      </c>
      <c r="I39" s="109">
        <f t="shared" si="2"/>
        <v>26</v>
      </c>
      <c r="J39" s="179">
        <f t="shared" si="3"/>
        <v>13</v>
      </c>
      <c r="K39" s="1125" t="e">
        <f t="shared" si="4"/>
        <v>#N/A</v>
      </c>
      <c r="L39" s="179" t="e">
        <f t="shared" si="5"/>
        <v>#N/A</v>
      </c>
      <c r="M39" s="140"/>
    </row>
    <row r="40" spans="1:13" ht="17" thickBot="1">
      <c r="A40" s="127">
        <v>1992</v>
      </c>
      <c r="B40" s="293">
        <f t="shared" si="0"/>
        <v>1994</v>
      </c>
      <c r="C40" s="436"/>
      <c r="D40" s="435">
        <f>Database!F106</f>
        <v>542537</v>
      </c>
      <c r="E40" s="433">
        <f t="shared" si="6"/>
        <v>542537</v>
      </c>
      <c r="F40" s="445"/>
      <c r="G40" s="444">
        <f>Database!J108</f>
        <v>4666639</v>
      </c>
      <c r="H40" s="443">
        <f>Database!J108</f>
        <v>4666639</v>
      </c>
      <c r="I40" s="109" t="e">
        <f t="shared" si="2"/>
        <v>#N/A</v>
      </c>
      <c r="J40" s="179" t="e">
        <f t="shared" si="3"/>
        <v>#N/A</v>
      </c>
      <c r="K40" s="1125">
        <f t="shared" si="4"/>
        <v>11</v>
      </c>
      <c r="L40" s="179">
        <f t="shared" si="5"/>
        <v>27</v>
      </c>
      <c r="M40" s="140"/>
    </row>
    <row r="41" spans="1:13" ht="17" thickBot="1">
      <c r="A41" s="127">
        <v>1993</v>
      </c>
      <c r="B41" s="293">
        <f t="shared" si="0"/>
        <v>1995</v>
      </c>
      <c r="C41" s="436">
        <f>Database!F107</f>
        <v>1065640</v>
      </c>
      <c r="D41" s="435"/>
      <c r="E41" s="433">
        <f t="shared" si="6"/>
        <v>1065640</v>
      </c>
      <c r="F41" s="445">
        <f>Database!J109</f>
        <v>3934208</v>
      </c>
      <c r="G41" s="444"/>
      <c r="H41" s="443">
        <f>Database!J109</f>
        <v>3934208</v>
      </c>
      <c r="I41" s="109">
        <f t="shared" si="2"/>
        <v>20</v>
      </c>
      <c r="J41" s="179">
        <f t="shared" si="3"/>
        <v>24</v>
      </c>
      <c r="K41" s="1125" t="e">
        <f t="shared" si="4"/>
        <v>#N/A</v>
      </c>
      <c r="L41" s="179" t="e">
        <f t="shared" si="5"/>
        <v>#N/A</v>
      </c>
      <c r="M41" s="140"/>
    </row>
    <row r="42" spans="1:13" ht="17" thickBot="1">
      <c r="A42" s="127">
        <v>1994</v>
      </c>
      <c r="B42" s="293">
        <f t="shared" si="0"/>
        <v>1996</v>
      </c>
      <c r="C42" s="436"/>
      <c r="D42" s="435">
        <f>Database!F108</f>
        <v>1409281</v>
      </c>
      <c r="E42" s="433">
        <f t="shared" si="6"/>
        <v>1409281</v>
      </c>
      <c r="F42" s="445"/>
      <c r="G42" s="444">
        <f>Database!J110</f>
        <v>4500085</v>
      </c>
      <c r="H42" s="443">
        <f>Database!J110</f>
        <v>4500085</v>
      </c>
      <c r="I42" s="109" t="e">
        <f t="shared" si="2"/>
        <v>#N/A</v>
      </c>
      <c r="J42" s="179" t="e">
        <f t="shared" si="3"/>
        <v>#N/A</v>
      </c>
      <c r="K42" s="1125">
        <f t="shared" si="4"/>
        <v>12</v>
      </c>
      <c r="L42" s="179">
        <f t="shared" si="5"/>
        <v>11</v>
      </c>
      <c r="M42" s="140"/>
    </row>
    <row r="43" spans="1:13" ht="17" thickBot="1">
      <c r="A43" s="127">
        <v>1995</v>
      </c>
      <c r="B43" s="293">
        <f t="shared" si="0"/>
        <v>1997</v>
      </c>
      <c r="C43" s="436">
        <f>Database!F109</f>
        <v>1190184</v>
      </c>
      <c r="D43" s="435"/>
      <c r="E43" s="433">
        <f t="shared" si="6"/>
        <v>1190184</v>
      </c>
      <c r="F43" s="445">
        <f>Database!J111</f>
        <v>2588682</v>
      </c>
      <c r="G43" s="444"/>
      <c r="H43" s="443">
        <f>Database!J111</f>
        <v>2588682</v>
      </c>
      <c r="I43" s="109">
        <f t="shared" si="2"/>
        <v>25</v>
      </c>
      <c r="J43" s="179">
        <f t="shared" si="3"/>
        <v>22</v>
      </c>
      <c r="K43" s="1125" t="e">
        <f t="shared" si="4"/>
        <v>#N/A</v>
      </c>
      <c r="L43" s="179" t="e">
        <f t="shared" si="5"/>
        <v>#N/A</v>
      </c>
      <c r="M43" s="140"/>
    </row>
    <row r="44" spans="1:13" ht="17" thickBot="1">
      <c r="A44" s="127">
        <v>1996</v>
      </c>
      <c r="B44" s="293">
        <f t="shared" si="0"/>
        <v>1998</v>
      </c>
      <c r="C44" s="436"/>
      <c r="D44" s="435">
        <f>Database!F110</f>
        <v>1483336</v>
      </c>
      <c r="E44" s="433">
        <f t="shared" si="6"/>
        <v>1483336</v>
      </c>
      <c r="F44" s="445"/>
      <c r="G44" s="444">
        <f>Database!J112</f>
        <v>5274275.5</v>
      </c>
      <c r="H44" s="443">
        <f>Database!J112</f>
        <v>5274275.5</v>
      </c>
      <c r="I44" s="109" t="e">
        <f t="shared" si="2"/>
        <v>#N/A</v>
      </c>
      <c r="J44" s="179" t="e">
        <f t="shared" si="3"/>
        <v>#N/A</v>
      </c>
      <c r="K44" s="1125">
        <f t="shared" si="4"/>
        <v>9</v>
      </c>
      <c r="L44" s="179">
        <f t="shared" si="5"/>
        <v>8</v>
      </c>
      <c r="M44" s="142"/>
    </row>
    <row r="45" spans="1:13" ht="17" thickBot="1">
      <c r="A45" s="127">
        <v>1997</v>
      </c>
      <c r="B45" s="293">
        <f t="shared" si="0"/>
        <v>1999</v>
      </c>
      <c r="C45" s="436">
        <f>Database!F111</f>
        <v>1422688</v>
      </c>
      <c r="D45" s="435"/>
      <c r="E45" s="433">
        <f t="shared" si="6"/>
        <v>1422688</v>
      </c>
      <c r="F45" s="445">
        <f>Database!J113</f>
        <v>9405198</v>
      </c>
      <c r="G45" s="444"/>
      <c r="H45" s="443">
        <f>Database!J113</f>
        <v>9405198</v>
      </c>
      <c r="I45" s="109">
        <f t="shared" si="2"/>
        <v>10</v>
      </c>
      <c r="J45" s="179">
        <f t="shared" si="3"/>
        <v>16</v>
      </c>
      <c r="K45" s="1125" t="e">
        <f t="shared" si="4"/>
        <v>#N/A</v>
      </c>
      <c r="L45" s="179" t="e">
        <f t="shared" si="5"/>
        <v>#N/A</v>
      </c>
      <c r="M45" s="142"/>
    </row>
    <row r="46" spans="1:13" ht="17" thickBot="1">
      <c r="A46" s="127">
        <v>1998</v>
      </c>
      <c r="B46" s="293">
        <f t="shared" si="0"/>
        <v>2000</v>
      </c>
      <c r="C46" s="436"/>
      <c r="D46" s="435">
        <f>Database!F112</f>
        <v>1420105</v>
      </c>
      <c r="E46" s="433">
        <f t="shared" si="6"/>
        <v>1420105</v>
      </c>
      <c r="F46" s="445"/>
      <c r="G46" s="444">
        <f>Database!J114</f>
        <v>7389941</v>
      </c>
      <c r="H46" s="443">
        <f>Database!J114</f>
        <v>7389941</v>
      </c>
      <c r="I46" s="109" t="e">
        <f t="shared" si="2"/>
        <v>#N/A</v>
      </c>
      <c r="J46" s="179" t="e">
        <f t="shared" si="3"/>
        <v>#N/A</v>
      </c>
      <c r="K46" s="1125">
        <f t="shared" si="4"/>
        <v>6</v>
      </c>
      <c r="L46" s="179">
        <f t="shared" si="5"/>
        <v>10</v>
      </c>
      <c r="M46" s="142"/>
    </row>
    <row r="47" spans="1:13" ht="17" thickBot="1">
      <c r="A47" s="127">
        <v>1999</v>
      </c>
      <c r="B47" s="293">
        <f t="shared" si="0"/>
        <v>2001</v>
      </c>
      <c r="C47" s="436">
        <f>Database!F113</f>
        <v>2462862</v>
      </c>
      <c r="D47" s="435"/>
      <c r="E47" s="433">
        <f t="shared" si="6"/>
        <v>2462862</v>
      </c>
      <c r="F47" s="445">
        <f>Database!J115</f>
        <v>8854676.9808041956</v>
      </c>
      <c r="G47" s="444"/>
      <c r="H47" s="443">
        <f>Database!J115</f>
        <v>8854676.9808041956</v>
      </c>
      <c r="I47" s="109">
        <f t="shared" si="2"/>
        <v>11</v>
      </c>
      <c r="J47" s="179">
        <f t="shared" si="3"/>
        <v>6</v>
      </c>
      <c r="K47" s="1125" t="e">
        <f t="shared" si="4"/>
        <v>#N/A</v>
      </c>
      <c r="L47" s="179" t="e">
        <f t="shared" si="5"/>
        <v>#N/A</v>
      </c>
      <c r="M47" s="142"/>
    </row>
    <row r="48" spans="1:13" ht="17" thickBot="1">
      <c r="A48" s="127">
        <v>2000</v>
      </c>
      <c r="B48" s="293">
        <f t="shared" si="0"/>
        <v>2002</v>
      </c>
      <c r="C48" s="436"/>
      <c r="D48" s="435">
        <f>Database!F114</f>
        <v>1659028</v>
      </c>
      <c r="E48" s="433">
        <f t="shared" si="6"/>
        <v>1659028</v>
      </c>
      <c r="F48" s="445"/>
      <c r="G48" s="444">
        <f>Database!J116</f>
        <v>1264645.3102025923</v>
      </c>
      <c r="H48" s="443">
        <f>Database!J116</f>
        <v>1264645.3102025923</v>
      </c>
      <c r="I48" s="109" t="e">
        <f t="shared" si="2"/>
        <v>#N/A</v>
      </c>
      <c r="J48" s="179" t="e">
        <f t="shared" si="3"/>
        <v>#N/A</v>
      </c>
      <c r="K48" s="1125">
        <f t="shared" si="4"/>
        <v>24</v>
      </c>
      <c r="L48" s="179">
        <f t="shared" si="5"/>
        <v>7</v>
      </c>
      <c r="M48" s="142"/>
    </row>
    <row r="49" spans="1:15" ht="17" thickBot="1">
      <c r="A49" s="128">
        <v>2001</v>
      </c>
      <c r="B49" s="293">
        <f t="shared" si="0"/>
        <v>2003</v>
      </c>
      <c r="C49" s="436">
        <f>Database!F115</f>
        <v>2000386</v>
      </c>
      <c r="D49" s="435"/>
      <c r="E49" s="433">
        <f t="shared" si="6"/>
        <v>2000386</v>
      </c>
      <c r="F49" s="445">
        <f>Database!J117</f>
        <v>7344511.9398193061</v>
      </c>
      <c r="G49" s="444"/>
      <c r="H49" s="443">
        <f>Database!J117</f>
        <v>7344511.9398193061</v>
      </c>
      <c r="I49" s="109">
        <f t="shared" si="2"/>
        <v>15</v>
      </c>
      <c r="J49" s="179">
        <f t="shared" si="3"/>
        <v>11</v>
      </c>
      <c r="K49" s="1125" t="e">
        <f t="shared" si="4"/>
        <v>#N/A</v>
      </c>
      <c r="L49" s="179" t="e">
        <f t="shared" si="5"/>
        <v>#N/A</v>
      </c>
      <c r="M49" s="141"/>
    </row>
    <row r="50" spans="1:15" ht="17" thickBot="1">
      <c r="A50" s="129">
        <v>2002</v>
      </c>
      <c r="B50" s="293">
        <f t="shared" si="0"/>
        <v>2004</v>
      </c>
      <c r="C50" s="436"/>
      <c r="D50" s="435">
        <f>Database!F116</f>
        <v>943177</v>
      </c>
      <c r="E50" s="433">
        <f t="shared" si="6"/>
        <v>943177</v>
      </c>
      <c r="F50" s="445"/>
      <c r="G50" s="444">
        <f>Database!J118</f>
        <v>4939431.0563474381</v>
      </c>
      <c r="H50" s="443">
        <f>Database!J118</f>
        <v>4939431.0563474381</v>
      </c>
      <c r="I50" s="109" t="e">
        <f t="shared" si="2"/>
        <v>#N/A</v>
      </c>
      <c r="J50" s="179" t="e">
        <f t="shared" si="3"/>
        <v>#N/A</v>
      </c>
      <c r="K50" s="1125">
        <f t="shared" si="4"/>
        <v>10</v>
      </c>
      <c r="L50" s="179">
        <f t="shared" si="5"/>
        <v>22</v>
      </c>
      <c r="M50" s="143"/>
    </row>
    <row r="51" spans="1:15" ht="17" thickBot="1">
      <c r="A51" s="129">
        <v>2003</v>
      </c>
      <c r="B51" s="293">
        <f t="shared" si="0"/>
        <v>2005</v>
      </c>
      <c r="C51" s="436">
        <f>Database!F117</f>
        <v>2846732</v>
      </c>
      <c r="D51" s="435"/>
      <c r="E51" s="433">
        <f t="shared" si="6"/>
        <v>2846732</v>
      </c>
      <c r="F51" s="445">
        <f>Database!J119</f>
        <v>17032487.685321052</v>
      </c>
      <c r="G51" s="444"/>
      <c r="H51" s="443">
        <f>Database!J119</f>
        <v>17032487.685321052</v>
      </c>
      <c r="I51" s="109">
        <f t="shared" si="2"/>
        <v>5</v>
      </c>
      <c r="J51" s="179">
        <f t="shared" si="3"/>
        <v>5</v>
      </c>
      <c r="K51" s="1125" t="e">
        <f t="shared" si="4"/>
        <v>#N/A</v>
      </c>
      <c r="L51" s="179" t="e">
        <f t="shared" si="5"/>
        <v>#N/A</v>
      </c>
      <c r="M51" s="143"/>
    </row>
    <row r="52" spans="1:15" ht="17" thickBot="1">
      <c r="A52" s="127">
        <v>2004</v>
      </c>
      <c r="B52" s="293">
        <f t="shared" si="0"/>
        <v>2006</v>
      </c>
      <c r="C52" s="436"/>
      <c r="D52" s="435">
        <f>Database!F118</f>
        <v>2001123</v>
      </c>
      <c r="E52" s="433">
        <f t="shared" si="6"/>
        <v>2001123</v>
      </c>
      <c r="F52" s="445"/>
      <c r="G52" s="444">
        <f>Database!J120</f>
        <v>3314702.7753436686</v>
      </c>
      <c r="H52" s="443">
        <f>Database!J120</f>
        <v>3314702.7753436686</v>
      </c>
      <c r="I52" s="109" t="e">
        <f t="shared" si="2"/>
        <v>#N/A</v>
      </c>
      <c r="J52" s="179" t="e">
        <f t="shared" si="3"/>
        <v>#N/A</v>
      </c>
      <c r="K52" s="1125">
        <f t="shared" si="4"/>
        <v>19</v>
      </c>
      <c r="L52" s="179">
        <f t="shared" si="5"/>
        <v>3</v>
      </c>
      <c r="M52" s="143"/>
    </row>
    <row r="53" spans="1:15" ht="17" thickBot="1">
      <c r="A53" s="128">
        <v>2005</v>
      </c>
      <c r="B53" s="293">
        <f t="shared" si="0"/>
        <v>2007</v>
      </c>
      <c r="C53" s="436">
        <f>Database!F119</f>
        <v>4736115.8571428573</v>
      </c>
      <c r="D53" s="435"/>
      <c r="E53" s="433">
        <f t="shared" ref="E53:E58" si="7">SUM(C53:D53)</f>
        <v>4736115.8571428573</v>
      </c>
      <c r="F53" s="445">
        <f>Database!J121</f>
        <v>11526987.795003444</v>
      </c>
      <c r="G53" s="444"/>
      <c r="H53" s="443">
        <f>Database!J121</f>
        <v>11526987.795003444</v>
      </c>
      <c r="I53" s="109">
        <f t="shared" si="2"/>
        <v>8</v>
      </c>
      <c r="J53" s="179">
        <f t="shared" si="3"/>
        <v>1</v>
      </c>
      <c r="K53" s="1125" t="e">
        <f t="shared" si="4"/>
        <v>#N/A</v>
      </c>
      <c r="L53" s="179" t="e">
        <f t="shared" si="5"/>
        <v>#N/A</v>
      </c>
      <c r="M53" s="143"/>
    </row>
    <row r="54" spans="1:15" ht="17" thickBot="1">
      <c r="A54" s="127">
        <v>2006</v>
      </c>
      <c r="B54" s="293">
        <f t="shared" si="0"/>
        <v>2008</v>
      </c>
      <c r="C54" s="436"/>
      <c r="D54" s="435">
        <f>Database!F120</f>
        <v>1190801.6008809961</v>
      </c>
      <c r="E54" s="433">
        <f t="shared" si="7"/>
        <v>1190801.6008809961</v>
      </c>
      <c r="F54" s="445"/>
      <c r="G54" s="444">
        <f>Database!J122</f>
        <v>2290691.6775990888</v>
      </c>
      <c r="H54" s="443">
        <f>Database!J122</f>
        <v>2290691.6775990888</v>
      </c>
      <c r="I54" s="109" t="e">
        <f t="shared" si="2"/>
        <v>#N/A</v>
      </c>
      <c r="J54" s="179" t="e">
        <f t="shared" si="3"/>
        <v>#N/A</v>
      </c>
      <c r="K54" s="1125">
        <f t="shared" si="4"/>
        <v>21</v>
      </c>
      <c r="L54" s="179">
        <f t="shared" si="5"/>
        <v>14</v>
      </c>
      <c r="M54" s="143"/>
    </row>
    <row r="55" spans="1:15" ht="17" thickBot="1">
      <c r="A55" s="127">
        <v>2007</v>
      </c>
      <c r="B55" s="293">
        <f t="shared" si="0"/>
        <v>2009</v>
      </c>
      <c r="C55" s="436">
        <f>Database!F121</f>
        <v>1509133.1628835602</v>
      </c>
      <c r="D55" s="435"/>
      <c r="E55" s="433">
        <f t="shared" si="7"/>
        <v>1509133.1628835602</v>
      </c>
      <c r="F55" s="445">
        <f>Database!J123</f>
        <v>2824330.6070667375</v>
      </c>
      <c r="G55" s="444"/>
      <c r="H55" s="443">
        <f>Database!J123</f>
        <v>2824330.6070667375</v>
      </c>
      <c r="I55" s="109">
        <f t="shared" si="2"/>
        <v>24</v>
      </c>
      <c r="J55" s="179">
        <f t="shared" si="3"/>
        <v>15</v>
      </c>
      <c r="K55" s="1125" t="e">
        <f t="shared" si="4"/>
        <v>#N/A</v>
      </c>
      <c r="L55" s="179" t="e">
        <f t="shared" si="5"/>
        <v>#N/A</v>
      </c>
      <c r="M55" s="143"/>
    </row>
    <row r="56" spans="1:15" ht="17" thickBot="1">
      <c r="A56" s="127">
        <v>2008</v>
      </c>
      <c r="B56" s="293">
        <f t="shared" si="0"/>
        <v>2010</v>
      </c>
      <c r="C56" s="436"/>
      <c r="D56" s="435">
        <f>Database!F122</f>
        <v>862418.51199612883</v>
      </c>
      <c r="E56" s="433">
        <f t="shared" si="7"/>
        <v>862418.51199612883</v>
      </c>
      <c r="F56" s="445"/>
      <c r="G56" s="444">
        <f>Database!J124</f>
        <v>4399390.7272172375</v>
      </c>
      <c r="H56" s="443">
        <f>Database!J124</f>
        <v>4399390.7272172375</v>
      </c>
      <c r="I56" s="109" t="e">
        <f t="shared" si="2"/>
        <v>#N/A</v>
      </c>
      <c r="J56" s="179" t="e">
        <f t="shared" si="3"/>
        <v>#N/A</v>
      </c>
      <c r="K56" s="1125">
        <f t="shared" si="4"/>
        <v>14</v>
      </c>
      <c r="L56" s="179">
        <f t="shared" si="5"/>
        <v>23</v>
      </c>
      <c r="M56" s="143"/>
    </row>
    <row r="57" spans="1:15" ht="17" thickBot="1">
      <c r="A57" s="127">
        <v>2009</v>
      </c>
      <c r="B57" s="293">
        <f>A57+2</f>
        <v>2011</v>
      </c>
      <c r="C57" s="436">
        <f>Database!F123</f>
        <v>1829622.6091624377</v>
      </c>
      <c r="D57" s="435"/>
      <c r="E57" s="442">
        <f t="shared" si="7"/>
        <v>1829622.6091624377</v>
      </c>
      <c r="F57" s="445">
        <f>Database!J125</f>
        <v>9643099</v>
      </c>
      <c r="G57" s="446"/>
      <c r="H57" s="443">
        <f>Database!J125</f>
        <v>9643099</v>
      </c>
      <c r="I57" s="109">
        <f t="shared" si="2"/>
        <v>9</v>
      </c>
      <c r="J57" s="179">
        <f t="shared" si="3"/>
        <v>12</v>
      </c>
      <c r="K57" s="1125" t="e">
        <f t="shared" si="4"/>
        <v>#N/A</v>
      </c>
      <c r="L57" s="179" t="e">
        <f t="shared" si="5"/>
        <v>#N/A</v>
      </c>
    </row>
    <row r="58" spans="1:15" ht="17" thickBot="1">
      <c r="A58" s="127">
        <v>2010</v>
      </c>
      <c r="B58" s="293">
        <f>A58+2</f>
        <v>2012</v>
      </c>
      <c r="C58" s="437"/>
      <c r="D58" s="435">
        <f>Database!F124</f>
        <v>2000408</v>
      </c>
      <c r="E58" s="433">
        <f t="shared" si="7"/>
        <v>2000408</v>
      </c>
      <c r="F58" s="446"/>
      <c r="G58" s="444">
        <f>Database!J126</f>
        <v>4428267.5450134957</v>
      </c>
      <c r="H58" s="443">
        <f>Database!J126</f>
        <v>4428267.5450134957</v>
      </c>
      <c r="I58" s="109" t="e">
        <f t="shared" si="2"/>
        <v>#N/A</v>
      </c>
      <c r="J58" s="179" t="e">
        <f t="shared" si="3"/>
        <v>#N/A</v>
      </c>
      <c r="K58" s="1125">
        <f t="shared" si="4"/>
        <v>13</v>
      </c>
      <c r="L58" s="179">
        <f t="shared" si="5"/>
        <v>4</v>
      </c>
    </row>
    <row r="59" spans="1:15" ht="17" thickBot="1">
      <c r="A59" s="127">
        <v>2011</v>
      </c>
      <c r="B59" s="293">
        <f>A59+2</f>
        <v>2013</v>
      </c>
      <c r="C59" s="436">
        <f>Database!F125</f>
        <v>3927419</v>
      </c>
      <c r="D59" s="435"/>
      <c r="E59" s="442">
        <f>SUM(C59:D59)</f>
        <v>3927419</v>
      </c>
      <c r="F59" s="445">
        <f>Database!J127</f>
        <v>21965453</v>
      </c>
      <c r="G59" s="444"/>
      <c r="H59" s="443">
        <f>Database!J127</f>
        <v>21965453</v>
      </c>
      <c r="I59" s="109">
        <f t="shared" si="2"/>
        <v>1</v>
      </c>
      <c r="J59" s="179">
        <f t="shared" si="3"/>
        <v>3</v>
      </c>
      <c r="K59" s="1125" t="e">
        <f t="shared" si="4"/>
        <v>#N/A</v>
      </c>
      <c r="L59" s="179" t="e">
        <f t="shared" si="5"/>
        <v>#N/A</v>
      </c>
    </row>
    <row r="60" spans="1:15" ht="17" thickBot="1">
      <c r="A60" s="292">
        <v>2012</v>
      </c>
      <c r="B60" s="294">
        <f>A60+2</f>
        <v>2014</v>
      </c>
      <c r="C60" s="436"/>
      <c r="D60" s="435">
        <f>Database!F126</f>
        <v>1125692.4441663059</v>
      </c>
      <c r="E60" s="442">
        <f>SUM(C60:D60)</f>
        <v>1125692.4441663059</v>
      </c>
      <c r="F60" s="445"/>
      <c r="G60" s="444">
        <f>Database!J128</f>
        <v>2702397</v>
      </c>
      <c r="H60" s="443">
        <f>Database!J128</f>
        <v>2702397</v>
      </c>
      <c r="I60" s="109" t="e">
        <f t="shared" si="2"/>
        <v>#N/A</v>
      </c>
      <c r="J60" s="179" t="e">
        <f t="shared" si="3"/>
        <v>#N/A</v>
      </c>
      <c r="K60" s="1125">
        <f t="shared" si="4"/>
        <v>20</v>
      </c>
      <c r="L60" s="179">
        <f t="shared" si="5"/>
        <v>16</v>
      </c>
    </row>
    <row r="61" spans="1:15" ht="16">
      <c r="A61" s="127">
        <v>2013</v>
      </c>
      <c r="B61" s="293">
        <f>A61+2</f>
        <v>2015</v>
      </c>
      <c r="C61" s="436">
        <f>Database!F127</f>
        <v>4684239</v>
      </c>
      <c r="D61" s="435"/>
      <c r="E61" s="442">
        <f>SUM(C61:D61)</f>
        <v>4684239</v>
      </c>
      <c r="G61" s="439"/>
      <c r="H61" s="441"/>
      <c r="I61" s="109" t="e">
        <f t="shared" si="2"/>
        <v>#N/A</v>
      </c>
      <c r="J61" s="179">
        <f t="shared" si="3"/>
        <v>2</v>
      </c>
    </row>
    <row r="62" spans="1:15" ht="16">
      <c r="A62" s="292"/>
      <c r="B62" s="294"/>
      <c r="C62" s="437"/>
      <c r="D62" s="435"/>
      <c r="E62" s="440"/>
      <c r="G62" s="439"/>
      <c r="H62" s="441"/>
      <c r="J62" s="179"/>
    </row>
    <row r="63" spans="1:15" ht="16">
      <c r="A63" s="292"/>
      <c r="B63" s="294"/>
      <c r="C63" s="437"/>
      <c r="D63" s="435"/>
      <c r="E63" s="440"/>
      <c r="F63" s="438"/>
      <c r="G63" s="439"/>
      <c r="H63" s="441"/>
      <c r="I63" s="110"/>
      <c r="J63" s="179"/>
    </row>
    <row r="64" spans="1:15">
      <c r="A64" s="129"/>
      <c r="B64" s="182"/>
      <c r="C64" s="177"/>
      <c r="D64" s="178"/>
      <c r="E64" s="180"/>
      <c r="F64" s="143"/>
      <c r="H64" s="430"/>
      <c r="I64" s="110"/>
      <c r="M64" s="143"/>
      <c r="N64" s="143"/>
      <c r="O64" s="298"/>
    </row>
    <row r="65" spans="1:14">
      <c r="A65" s="130"/>
      <c r="B65" s="131"/>
      <c r="C65" s="132"/>
      <c r="D65" s="132"/>
      <c r="E65" s="132"/>
      <c r="F65" s="133"/>
      <c r="G65" s="133"/>
      <c r="H65" s="431"/>
      <c r="M65" s="110"/>
    </row>
    <row r="66" spans="1:14">
      <c r="A66" s="186"/>
      <c r="B66" s="174" t="s">
        <v>189</v>
      </c>
      <c r="C66" s="458">
        <f>AVERAGEA(C58:C61)</f>
        <v>4305829</v>
      </c>
      <c r="D66" s="458">
        <f>AVERAGEA(D57:D61)</f>
        <v>1563050.222083153</v>
      </c>
      <c r="E66" s="458">
        <f>AVERAGEA(E56:E61)</f>
        <v>2404966.594220812</v>
      </c>
      <c r="F66" s="458">
        <f>AVERAGEA(F57:F60)</f>
        <v>15804276</v>
      </c>
      <c r="G66" s="458">
        <f>AVERAGEA(G51:G54)</f>
        <v>2802697.2264713785</v>
      </c>
      <c r="H66" s="458">
        <f>AVERAGEA(H51:H55)</f>
        <v>7397840.1080667973</v>
      </c>
      <c r="I66" s="110"/>
      <c r="K66" s="297">
        <v>2009</v>
      </c>
      <c r="L66" s="175"/>
      <c r="M66" s="297">
        <v>2006</v>
      </c>
      <c r="N66" s="297">
        <v>2008</v>
      </c>
    </row>
    <row r="67" spans="1:14">
      <c r="A67" s="110"/>
      <c r="B67" s="289" t="s">
        <v>236</v>
      </c>
      <c r="C67" s="135">
        <f>COUNTA(C58:C61)</f>
        <v>2</v>
      </c>
      <c r="D67" s="135">
        <f>COUNTA(D57:D61)</f>
        <v>2</v>
      </c>
      <c r="E67" s="135">
        <f>COUNTA(E56:E61)</f>
        <v>6</v>
      </c>
      <c r="F67" s="135">
        <f>COUNTA(F53:F55)</f>
        <v>2</v>
      </c>
      <c r="G67" s="135">
        <f>COUNTA(G50:G54)</f>
        <v>3</v>
      </c>
      <c r="H67" s="135">
        <f>COUNTA(H51:H55)</f>
        <v>5</v>
      </c>
      <c r="I67" s="110"/>
      <c r="J67" s="109" t="s">
        <v>190</v>
      </c>
      <c r="K67" s="183">
        <v>9967663</v>
      </c>
      <c r="M67" s="183">
        <v>1983120.7161293393</v>
      </c>
      <c r="N67" s="183">
        <v>1371156.4260196264</v>
      </c>
    </row>
    <row r="68" spans="1:14">
      <c r="A68" s="110"/>
      <c r="B68" s="289" t="s">
        <v>237</v>
      </c>
      <c r="C68" s="290">
        <v>0.8</v>
      </c>
      <c r="D68" s="290">
        <v>0.8</v>
      </c>
      <c r="E68" s="290">
        <v>0.8</v>
      </c>
      <c r="F68" s="290">
        <v>0.8</v>
      </c>
      <c r="G68" s="290">
        <v>0.8</v>
      </c>
      <c r="H68" s="290">
        <v>0.8</v>
      </c>
      <c r="I68" s="110"/>
      <c r="J68" s="109" t="s">
        <v>191</v>
      </c>
      <c r="K68" s="183">
        <v>50191</v>
      </c>
      <c r="M68" s="183">
        <v>140780.45833333334</v>
      </c>
      <c r="N68" s="183">
        <v>57116.739583333489</v>
      </c>
    </row>
    <row r="69" spans="1:14">
      <c r="A69" s="173"/>
      <c r="B69" s="289" t="s">
        <v>238</v>
      </c>
      <c r="C69" s="457">
        <f>STDEVA(C52:C61)</f>
        <v>1560004.487579749</v>
      </c>
      <c r="D69" s="457">
        <f>STDEVA(D52:D61)</f>
        <v>529936.10788546153</v>
      </c>
      <c r="E69" s="457">
        <f>STDEVA(E52:E61)</f>
        <v>1486769.5166195696</v>
      </c>
      <c r="F69" s="457">
        <f>STDEVA(F53:F55)</f>
        <v>6153707.9119318947</v>
      </c>
      <c r="G69" s="457">
        <f>STDEVA(G50:G54)</f>
        <v>1335674.6742083647</v>
      </c>
      <c r="H69" s="457">
        <f>STDEVA(H42:H51)</f>
        <v>4419355.3835551171</v>
      </c>
      <c r="I69" s="173"/>
      <c r="J69" s="109" t="s">
        <v>73</v>
      </c>
      <c r="K69" s="183">
        <v>1509133</v>
      </c>
      <c r="M69" s="183">
        <v>1187595</v>
      </c>
      <c r="N69" s="183">
        <v>862550</v>
      </c>
    </row>
    <row r="70" spans="1:14">
      <c r="A70" s="173"/>
      <c r="B70" s="289" t="s">
        <v>129</v>
      </c>
      <c r="C70" s="291">
        <f>TINV(1-C68,C67-1)</f>
        <v>3.0776835371752544</v>
      </c>
      <c r="D70" s="291">
        <f t="shared" ref="D70:H70" si="8">TINV(1-D68,D67-1)</f>
        <v>3.0776835371752544</v>
      </c>
      <c r="E70" s="291">
        <f>TINV(1-E68,E67-1)</f>
        <v>1.4758840488244818</v>
      </c>
      <c r="F70" s="291">
        <f>TINV(1-F68,F67-1)</f>
        <v>3.0776835371752544</v>
      </c>
      <c r="G70" s="291">
        <f>TINV(1-G68,G67-1)</f>
        <v>1.8856180831641269</v>
      </c>
      <c r="H70" s="291">
        <f t="shared" si="8"/>
        <v>1.5332062740589445</v>
      </c>
      <c r="I70" s="173"/>
      <c r="J70" s="109" t="s">
        <v>241</v>
      </c>
      <c r="K70" s="183"/>
      <c r="L70" s="183"/>
      <c r="M70" s="183">
        <v>112</v>
      </c>
      <c r="N70" s="183">
        <v>354</v>
      </c>
    </row>
    <row r="71" spans="1:14">
      <c r="A71" s="184"/>
      <c r="B71" s="185" t="s">
        <v>235</v>
      </c>
      <c r="C71" s="456">
        <f>C70*C69*(SQRT(1+(1/C67)))</f>
        <v>5880245.2349383449</v>
      </c>
      <c r="D71" s="456">
        <f>D70*D69*(SQRT(1+(1/D67)))</f>
        <v>1997529.0443233142</v>
      </c>
      <c r="E71" s="456">
        <f>E70*E69*(SQRT(1+(1/E67)))</f>
        <v>2370114.2526462618</v>
      </c>
      <c r="F71" s="456">
        <f>F70*F69*(SQRT(1+(1/F67)))</f>
        <v>23195645.855146993</v>
      </c>
      <c r="G71" s="456">
        <f>G70*G69*(SQRT(1+(1/G67)))</f>
        <v>2908196.8125943579</v>
      </c>
      <c r="H71" s="456">
        <f t="shared" ref="H71" si="9">H70*H69*(SQRT(1+(1/H67)))</f>
        <v>7422498.8273910582</v>
      </c>
      <c r="I71" s="173"/>
      <c r="J71" s="109" t="s">
        <v>10</v>
      </c>
      <c r="K71" s="200">
        <f>SUM(K67:K69)</f>
        <v>11526987</v>
      </c>
      <c r="L71" s="181"/>
      <c r="M71" s="200">
        <f>SUM(M67:M69)</f>
        <v>3311496.1744626728</v>
      </c>
      <c r="N71" s="200">
        <f>SUM(N67:N69)</f>
        <v>2290823.1656029597</v>
      </c>
    </row>
    <row r="72" spans="1:14" ht="16" thickBot="1">
      <c r="A72" s="110"/>
      <c r="B72" s="110"/>
      <c r="C72" s="110"/>
      <c r="D72" s="110"/>
      <c r="F72" s="136"/>
      <c r="G72" s="136"/>
      <c r="I72" s="110"/>
      <c r="L72" s="183"/>
    </row>
    <row r="73" spans="1:14">
      <c r="A73" s="110"/>
      <c r="B73" s="110"/>
      <c r="C73" s="110"/>
      <c r="D73" s="110"/>
      <c r="E73" s="137" t="s">
        <v>85</v>
      </c>
      <c r="F73" s="447">
        <f>IF(F74-F71&lt;0,0,F74-F71)</f>
        <v>0</v>
      </c>
      <c r="G73" s="448">
        <f>IF(G74-G71&lt;0,0,G74-G71)</f>
        <v>0</v>
      </c>
      <c r="H73" s="449">
        <f>IF(H74-H71&lt;0,0,H74-H71)</f>
        <v>0</v>
      </c>
      <c r="I73" s="110"/>
      <c r="J73" s="181"/>
      <c r="M73" s="183">
        <f>AVERAGE(M71:N71)</f>
        <v>2801159.670032816</v>
      </c>
    </row>
    <row r="74" spans="1:14">
      <c r="E74" s="138" t="s">
        <v>55</v>
      </c>
      <c r="F74" s="450">
        <f>F66</f>
        <v>15804276</v>
      </c>
      <c r="G74" s="451">
        <f>G66</f>
        <v>2802697.2264713785</v>
      </c>
      <c r="H74" s="452">
        <f>H66</f>
        <v>7397840.1080667973</v>
      </c>
      <c r="I74" s="176" t="s">
        <v>231</v>
      </c>
      <c r="J74" s="200">
        <f>RANK(G56,G8:G56,1)</f>
        <v>13</v>
      </c>
    </row>
    <row r="75" spans="1:14" ht="16" thickBot="1">
      <c r="E75" s="139" t="s">
        <v>86</v>
      </c>
      <c r="F75" s="453">
        <f>F74+F71</f>
        <v>38999921.855146989</v>
      </c>
      <c r="G75" s="454">
        <f>G74+G71</f>
        <v>5710894.0390657363</v>
      </c>
      <c r="H75" s="455">
        <f>H74+H71</f>
        <v>14820338.935457855</v>
      </c>
      <c r="J75" s="181"/>
      <c r="M75" s="299">
        <f>M73/1000000</f>
        <v>2.8011596700328161</v>
      </c>
    </row>
    <row r="78" spans="1:14">
      <c r="F78" s="183"/>
    </row>
    <row r="79" spans="1:14">
      <c r="F79" s="183">
        <f>MEDIAN(F8:F61)</f>
        <v>7984145</v>
      </c>
    </row>
    <row r="81" spans="11:11">
      <c r="K81" s="110"/>
    </row>
    <row r="82" spans="11:11">
      <c r="K82" s="140"/>
    </row>
    <row r="83" spans="11:11">
      <c r="K83" s="141"/>
    </row>
    <row r="84" spans="11:11">
      <c r="K84" s="140"/>
    </row>
    <row r="85" spans="11:11">
      <c r="K85" s="142"/>
    </row>
    <row r="86" spans="11:11">
      <c r="K86" s="140"/>
    </row>
    <row r="87" spans="11:11">
      <c r="K87" s="140"/>
    </row>
    <row r="88" spans="11:11">
      <c r="K88" s="140"/>
    </row>
    <row r="89" spans="11:11">
      <c r="K89" s="140"/>
    </row>
    <row r="90" spans="11:11">
      <c r="K90" s="140"/>
    </row>
    <row r="91" spans="11:11">
      <c r="K91" s="140"/>
    </row>
    <row r="92" spans="11:11">
      <c r="K92" s="142"/>
    </row>
    <row r="93" spans="11:11">
      <c r="K93" s="142"/>
    </row>
    <row r="94" spans="11:11">
      <c r="K94" s="141"/>
    </row>
    <row r="95" spans="11:11">
      <c r="K95" s="141"/>
    </row>
    <row r="96" spans="11:11">
      <c r="K96" s="140"/>
    </row>
    <row r="97" spans="11:11">
      <c r="K97" s="140"/>
    </row>
    <row r="98" spans="11:11">
      <c r="K98" s="141"/>
    </row>
    <row r="99" spans="11:11">
      <c r="K99" s="140"/>
    </row>
    <row r="100" spans="11:11">
      <c r="K100" s="142"/>
    </row>
    <row r="101" spans="11:11">
      <c r="K101" s="140"/>
    </row>
    <row r="102" spans="11:11">
      <c r="K102" s="140"/>
    </row>
    <row r="103" spans="11:11">
      <c r="K103" s="140"/>
    </row>
    <row r="104" spans="11:11">
      <c r="K104" s="110"/>
    </row>
  </sheetData>
  <phoneticPr fontId="23" type="noConversion"/>
  <pageMargins left="1" right="0.75" top="1" bottom="1" header="0.5" footer="0.5"/>
  <pageSetup scale="50"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339966"/>
    <pageSetUpPr fitToPage="1"/>
  </sheetPr>
  <dimension ref="A1:P73"/>
  <sheetViews>
    <sheetView zoomScale="75" zoomScaleNormal="75" zoomScalePageLayoutView="75" workbookViewId="0">
      <pane ySplit="7" topLeftCell="A32" activePane="bottomLeft" state="frozen"/>
      <selection activeCell="J25" sqref="J25"/>
      <selection pane="bottomLeft" activeCell="J25" sqref="J25"/>
    </sheetView>
  </sheetViews>
  <sheetFormatPr baseColWidth="10" defaultColWidth="8.875" defaultRowHeight="16" x14ac:dyDescent="0"/>
  <cols>
    <col min="1" max="1" width="8.875" style="321"/>
    <col min="2" max="2" width="14.875" style="321" customWidth="1"/>
    <col min="3" max="3" width="13.875" style="321" customWidth="1"/>
    <col min="4" max="4" width="12.625" style="321" customWidth="1"/>
    <col min="5" max="5" width="13.125" style="321" customWidth="1"/>
    <col min="6" max="6" width="16.125" style="321" customWidth="1"/>
    <col min="7" max="7" width="17.5" style="321" customWidth="1"/>
    <col min="8" max="8" width="10.875" style="321" customWidth="1"/>
    <col min="9" max="9" width="11.5" style="321" customWidth="1"/>
    <col min="10" max="10" width="21.125" style="321" customWidth="1"/>
    <col min="11" max="16384" width="8.875" style="321"/>
  </cols>
  <sheetData>
    <row r="1" spans="1:16">
      <c r="A1" s="320" t="str">
        <f ca="1">CELL("filename",A1)</f>
        <v>NWCLM04072996:Users:eric.ward:Documents:NCEAS-covariation:data:salmon data:[2015_PWS_Pink_Wild_forecast-FINAL.xlsm]Lag1_Exp_smooth_Total Run Even</v>
      </c>
    </row>
    <row r="2" spans="1:16" ht="17" thickBot="1"/>
    <row r="3" spans="1:16">
      <c r="A3" s="322" t="s">
        <v>246</v>
      </c>
      <c r="B3" s="1061" t="s">
        <v>282</v>
      </c>
      <c r="L3" s="328"/>
      <c r="M3" s="335"/>
      <c r="N3" s="649"/>
      <c r="O3" s="650" t="s">
        <v>290</v>
      </c>
      <c r="P3" s="651">
        <v>0.72592961768375475</v>
      </c>
    </row>
    <row r="4" spans="1:16" ht="17" thickBot="1">
      <c r="A4" s="322"/>
      <c r="B4" s="1060" t="s">
        <v>283</v>
      </c>
      <c r="L4" s="328"/>
      <c r="M4" s="652"/>
      <c r="N4" s="653"/>
      <c r="O4" s="1020" t="s">
        <v>289</v>
      </c>
      <c r="P4" s="769">
        <f>I43</f>
        <v>1.1380569114556678</v>
      </c>
    </row>
    <row r="5" spans="1:16">
      <c r="A5" s="332"/>
      <c r="B5" s="332"/>
    </row>
    <row r="6" spans="1:16" ht="63.75" customHeight="1">
      <c r="A6" s="325" t="s">
        <v>7</v>
      </c>
      <c r="B6" s="656" t="s">
        <v>259</v>
      </c>
      <c r="C6" s="638" t="s">
        <v>254</v>
      </c>
      <c r="D6" s="638" t="s">
        <v>284</v>
      </c>
      <c r="E6" s="638" t="s">
        <v>255</v>
      </c>
      <c r="F6" s="638" t="s">
        <v>400</v>
      </c>
      <c r="G6" s="638" t="s">
        <v>401</v>
      </c>
      <c r="H6" s="637" t="s">
        <v>285</v>
      </c>
      <c r="I6" s="636" t="s">
        <v>256</v>
      </c>
      <c r="J6" s="321" t="s">
        <v>234</v>
      </c>
    </row>
    <row r="7" spans="1:16">
      <c r="A7" s="330" t="s">
        <v>16</v>
      </c>
      <c r="B7" s="331" t="s">
        <v>258</v>
      </c>
      <c r="C7" s="641"/>
      <c r="D7" s="635"/>
      <c r="E7" s="332"/>
      <c r="F7" s="332"/>
      <c r="G7" s="332"/>
      <c r="H7" s="332"/>
      <c r="I7" s="332"/>
    </row>
    <row r="8" spans="1:16">
      <c r="A8" s="326">
        <v>1960</v>
      </c>
      <c r="B8" s="634">
        <f>VLOOKUP($A8,Database!$A$74:$J$132,10)</f>
        <v>3192618</v>
      </c>
      <c r="C8" s="620"/>
      <c r="D8" s="620"/>
      <c r="E8" s="620"/>
      <c r="F8" s="620"/>
      <c r="G8" s="620"/>
      <c r="I8" s="328"/>
    </row>
    <row r="9" spans="1:16">
      <c r="A9" s="770">
        <f>A8+2</f>
        <v>1962</v>
      </c>
      <c r="B9" s="634">
        <f>VLOOKUP($A9,Database!$A$74:$J$132,10)</f>
        <v>8760326</v>
      </c>
      <c r="C9" s="349">
        <f>$B8</f>
        <v>3192618</v>
      </c>
      <c r="D9" s="1015">
        <f>C9-B9</f>
        <v>-5567708</v>
      </c>
      <c r="E9" s="339">
        <f t="shared" ref="E9:E34" si="0">ABS(C9-$B9)</f>
        <v>5567708</v>
      </c>
      <c r="F9" s="1117">
        <f>(C9-B9)/B9</f>
        <v>-0.6355594529244688</v>
      </c>
      <c r="G9" s="1123">
        <f>$F$52/(1+F9)</f>
        <v>11768311.491056308</v>
      </c>
      <c r="H9" s="342"/>
      <c r="I9" s="342"/>
    </row>
    <row r="10" spans="1:16">
      <c r="A10" s="770">
        <f t="shared" ref="A10:A35" si="1">A9+2</f>
        <v>1964</v>
      </c>
      <c r="B10" s="634">
        <f>VLOOKUP($A10,Database!$A$74:$J$132,10)</f>
        <v>6048576</v>
      </c>
      <c r="C10" s="339">
        <f t="shared" ref="C10:C35" si="2">$P$3*$B9+(1-$P$3)*$C9</f>
        <v>7234382.1398147829</v>
      </c>
      <c r="D10" s="341">
        <f>C10-B10</f>
        <v>1185806.1398147829</v>
      </c>
      <c r="E10" s="339">
        <f t="shared" si="0"/>
        <v>1185806.1398147829</v>
      </c>
      <c r="F10" s="1117">
        <f t="shared" ref="F10:F34" si="3">(C10-B10)/B10</f>
        <v>0.19604715883784596</v>
      </c>
      <c r="G10" s="1123">
        <f t="shared" ref="G10:G34" si="4">$F$52/(1+F10)</f>
        <v>3585853.4893583418</v>
      </c>
      <c r="H10" s="342">
        <f>($C10-$B10)/$B10</f>
        <v>0.19604715883784596</v>
      </c>
      <c r="I10" s="342">
        <f t="shared" ref="I10:I35" si="5">ABS($C10-$B10)/$B10</f>
        <v>0.19604715883784596</v>
      </c>
      <c r="J10" s="1133">
        <f>COUNT($I$10:$I$35)-RANK(I10,$I$10:$I$35)</f>
        <v>6</v>
      </c>
    </row>
    <row r="11" spans="1:16">
      <c r="A11" s="770">
        <f t="shared" si="1"/>
        <v>1966</v>
      </c>
      <c r="B11" s="634">
        <f>VLOOKUP($A11,Database!$A$74:$J$132,10)</f>
        <v>4122588</v>
      </c>
      <c r="C11" s="339">
        <f t="shared" si="2"/>
        <v>6373570.3420919888</v>
      </c>
      <c r="D11" s="341">
        <f t="shared" ref="D11:D32" si="6">C11-B11</f>
        <v>2250982.3420919888</v>
      </c>
      <c r="E11" s="339">
        <f t="shared" si="0"/>
        <v>2250982.3420919888</v>
      </c>
      <c r="F11" s="1117">
        <f t="shared" si="3"/>
        <v>0.54601195707453398</v>
      </c>
      <c r="G11" s="1123">
        <f t="shared" si="4"/>
        <v>2774137.5856312695</v>
      </c>
      <c r="H11" s="342">
        <f t="shared" ref="H11:H34" si="7">(C11-B11)/B11</f>
        <v>0.54601195707453398</v>
      </c>
      <c r="I11" s="342">
        <f t="shared" si="5"/>
        <v>0.54601195707453398</v>
      </c>
      <c r="J11" s="1133">
        <f t="shared" ref="J11:J35" si="8">COUNT($I$10:$I$35)-RANK(I11,$I$10:$I$35)</f>
        <v>15</v>
      </c>
    </row>
    <row r="12" spans="1:16">
      <c r="A12" s="770">
        <f t="shared" si="1"/>
        <v>1968</v>
      </c>
      <c r="B12" s="634">
        <f>VLOOKUP($A12,Database!$A$74:$J$132,10)</f>
        <v>3608678</v>
      </c>
      <c r="C12" s="339">
        <f t="shared" si="2"/>
        <v>4739515.5910842689</v>
      </c>
      <c r="D12" s="341">
        <f t="shared" si="6"/>
        <v>1130837.5910842689</v>
      </c>
      <c r="E12" s="339">
        <f t="shared" si="0"/>
        <v>1130837.5910842689</v>
      </c>
      <c r="F12" s="1117">
        <f t="shared" si="3"/>
        <v>0.31336616652532279</v>
      </c>
      <c r="G12" s="1123">
        <f t="shared" si="4"/>
        <v>3265540.0963331647</v>
      </c>
      <c r="H12" s="342">
        <f t="shared" si="7"/>
        <v>0.31336616652532279</v>
      </c>
      <c r="I12" s="342">
        <f t="shared" si="5"/>
        <v>0.31336616652532279</v>
      </c>
      <c r="J12" s="1133">
        <f t="shared" si="8"/>
        <v>9</v>
      </c>
    </row>
    <row r="13" spans="1:16">
      <c r="A13" s="770">
        <f t="shared" si="1"/>
        <v>1970</v>
      </c>
      <c r="B13" s="634">
        <f>VLOOKUP($A13,Database!$A$74:$J$132,10)</f>
        <v>3789216</v>
      </c>
      <c r="C13" s="339">
        <f t="shared" si="2"/>
        <v>3918607.0909260474</v>
      </c>
      <c r="D13" s="341">
        <f t="shared" si="6"/>
        <v>129391.09092604741</v>
      </c>
      <c r="E13" s="339">
        <f t="shared" si="0"/>
        <v>129391.09092604741</v>
      </c>
      <c r="F13" s="1117">
        <f t="shared" si="3"/>
        <v>3.4147193225735194E-2</v>
      </c>
      <c r="G13" s="1123">
        <f t="shared" si="4"/>
        <v>4147233.4944679826</v>
      </c>
      <c r="H13" s="342">
        <f t="shared" si="7"/>
        <v>3.4147193225735194E-2</v>
      </c>
      <c r="I13" s="342">
        <f t="shared" si="5"/>
        <v>3.4147193225735194E-2</v>
      </c>
      <c r="J13" s="1133">
        <f t="shared" si="8"/>
        <v>2</v>
      </c>
    </row>
    <row r="14" spans="1:16">
      <c r="A14" s="770">
        <f t="shared" si="1"/>
        <v>1972</v>
      </c>
      <c r="B14" s="634">
        <f>VLOOKUP($A14,Database!$A$74:$J$132,10)</f>
        <v>695963</v>
      </c>
      <c r="C14" s="339">
        <f t="shared" si="2"/>
        <v>3824678.265758418</v>
      </c>
      <c r="D14" s="341">
        <f t="shared" si="6"/>
        <v>3128715.265758418</v>
      </c>
      <c r="E14" s="339">
        <f t="shared" si="0"/>
        <v>3128715.265758418</v>
      </c>
      <c r="F14" s="1117">
        <f t="shared" si="3"/>
        <v>4.4955195402031691</v>
      </c>
      <c r="G14" s="1123">
        <f t="shared" si="4"/>
        <v>780426.64512066543</v>
      </c>
      <c r="H14" s="342">
        <f t="shared" si="7"/>
        <v>4.4955195402031691</v>
      </c>
      <c r="I14" s="342">
        <f t="shared" si="5"/>
        <v>4.4955195402031691</v>
      </c>
      <c r="J14" s="1133">
        <f t="shared" si="8"/>
        <v>24</v>
      </c>
    </row>
    <row r="15" spans="1:16">
      <c r="A15" s="770">
        <f t="shared" si="1"/>
        <v>1974</v>
      </c>
      <c r="B15" s="634">
        <f>VLOOKUP($A15,Database!$A$74:$J$132,10)</f>
        <v>1012903</v>
      </c>
      <c r="C15" s="339">
        <f t="shared" si="2"/>
        <v>1553451.1890450825</v>
      </c>
      <c r="D15" s="341">
        <f t="shared" si="6"/>
        <v>540548.18904508254</v>
      </c>
      <c r="E15" s="339">
        <f t="shared" si="0"/>
        <v>540548.18904508254</v>
      </c>
      <c r="F15" s="1117">
        <f t="shared" si="3"/>
        <v>0.53366234382273781</v>
      </c>
      <c r="G15" s="1123">
        <f t="shared" si="4"/>
        <v>2796475.9617593703</v>
      </c>
      <c r="H15" s="342">
        <f t="shared" si="7"/>
        <v>0.53366234382273781</v>
      </c>
      <c r="I15" s="342">
        <f t="shared" si="5"/>
        <v>0.53366234382273781</v>
      </c>
      <c r="J15" s="1133">
        <f t="shared" si="8"/>
        <v>14</v>
      </c>
    </row>
    <row r="16" spans="1:16">
      <c r="A16" s="770">
        <f t="shared" si="1"/>
        <v>1976</v>
      </c>
      <c r="B16" s="634">
        <f>VLOOKUP($A16,Database!$A$74:$J$132,10)</f>
        <v>1161051</v>
      </c>
      <c r="C16" s="339">
        <f t="shared" si="2"/>
        <v>1161051.2488319399</v>
      </c>
      <c r="D16" s="341">
        <f t="shared" si="6"/>
        <v>0.24883193988353014</v>
      </c>
      <c r="E16" s="339">
        <f t="shared" si="0"/>
        <v>0.24883193988353014</v>
      </c>
      <c r="F16" s="1117">
        <f t="shared" si="3"/>
        <v>2.1431611521244988E-7</v>
      </c>
      <c r="G16" s="1123">
        <f t="shared" si="4"/>
        <v>4288848.958786373</v>
      </c>
      <c r="H16" s="342">
        <f t="shared" si="7"/>
        <v>2.1431611521244988E-7</v>
      </c>
      <c r="I16" s="342">
        <f t="shared" si="5"/>
        <v>2.1431611521244988E-7</v>
      </c>
      <c r="J16" s="1133">
        <f t="shared" si="8"/>
        <v>0</v>
      </c>
    </row>
    <row r="17" spans="1:10">
      <c r="A17" s="770">
        <f t="shared" si="1"/>
        <v>1978</v>
      </c>
      <c r="B17" s="634">
        <f>VLOOKUP($A17,Database!$A$74:$J$132,10)</f>
        <v>3925083</v>
      </c>
      <c r="C17" s="339">
        <f t="shared" si="2"/>
        <v>1161051.0681974648</v>
      </c>
      <c r="D17" s="341">
        <f t="shared" si="6"/>
        <v>-2764031.9318025354</v>
      </c>
      <c r="E17" s="339">
        <f t="shared" si="0"/>
        <v>2764031.9318025354</v>
      </c>
      <c r="F17" s="1117">
        <f t="shared" si="3"/>
        <v>-0.70419706584613251</v>
      </c>
      <c r="G17" s="1123">
        <f t="shared" si="4"/>
        <v>14499010.600499639</v>
      </c>
      <c r="H17" s="342">
        <f t="shared" si="7"/>
        <v>-0.70419706584613251</v>
      </c>
      <c r="I17" s="342">
        <f t="shared" si="5"/>
        <v>0.70419706584613251</v>
      </c>
      <c r="J17" s="1133">
        <f t="shared" si="8"/>
        <v>19</v>
      </c>
    </row>
    <row r="18" spans="1:10">
      <c r="A18" s="770">
        <f t="shared" si="1"/>
        <v>1980</v>
      </c>
      <c r="B18" s="634">
        <f>VLOOKUP($A18,Database!$A$74:$J$132,10)</f>
        <v>14013916</v>
      </c>
      <c r="C18" s="339">
        <f t="shared" si="2"/>
        <v>3167543.7117165695</v>
      </c>
      <c r="D18" s="341">
        <f t="shared" si="6"/>
        <v>-10846372.28828343</v>
      </c>
      <c r="E18" s="339">
        <f t="shared" si="0"/>
        <v>10846372.28828343</v>
      </c>
      <c r="F18" s="1117">
        <f t="shared" si="3"/>
        <v>-0.77397155001381701</v>
      </c>
      <c r="G18" s="1123">
        <f t="shared" si="4"/>
        <v>18974823.205742449</v>
      </c>
      <c r="H18" s="342">
        <f t="shared" si="7"/>
        <v>-0.77397155001381701</v>
      </c>
      <c r="I18" s="342">
        <f t="shared" si="5"/>
        <v>0.77397155001381701</v>
      </c>
      <c r="J18" s="1133">
        <f t="shared" si="8"/>
        <v>20</v>
      </c>
    </row>
    <row r="19" spans="1:10">
      <c r="A19" s="770">
        <f t="shared" si="1"/>
        <v>1982</v>
      </c>
      <c r="B19" s="634">
        <f>VLOOKUP($A19,Database!$A$74:$J$132,10)</f>
        <v>16794317</v>
      </c>
      <c r="C19" s="339">
        <f t="shared" si="2"/>
        <v>11041246.600205833</v>
      </c>
      <c r="D19" s="341">
        <f t="shared" si="6"/>
        <v>-5753070.3997941669</v>
      </c>
      <c r="E19" s="339">
        <f t="shared" si="0"/>
        <v>5753070.3997941669</v>
      </c>
      <c r="F19" s="1117">
        <f t="shared" si="3"/>
        <v>-0.34256054591527402</v>
      </c>
      <c r="G19" s="1123">
        <f t="shared" si="4"/>
        <v>6523566.3167290017</v>
      </c>
      <c r="H19" s="342">
        <f t="shared" si="7"/>
        <v>-0.34256054591527402</v>
      </c>
      <c r="I19" s="342">
        <f t="shared" si="5"/>
        <v>0.34256054591527402</v>
      </c>
      <c r="J19" s="1133">
        <f t="shared" si="8"/>
        <v>11</v>
      </c>
    </row>
    <row r="20" spans="1:10">
      <c r="A20" s="770">
        <f t="shared" si="1"/>
        <v>1984</v>
      </c>
      <c r="B20" s="634">
        <f>VLOOKUP($A20,Database!$A$74:$J$132,10)</f>
        <v>21201513</v>
      </c>
      <c r="C20" s="339">
        <f t="shared" si="2"/>
        <v>15217570.796036139</v>
      </c>
      <c r="D20" s="341">
        <f t="shared" si="6"/>
        <v>-5983942.2039638609</v>
      </c>
      <c r="E20" s="339">
        <f t="shared" si="0"/>
        <v>5983942.2039638609</v>
      </c>
      <c r="F20" s="1117">
        <f t="shared" si="3"/>
        <v>-0.28224128174078239</v>
      </c>
      <c r="G20" s="1123">
        <f t="shared" si="4"/>
        <v>5975336.5146961678</v>
      </c>
      <c r="H20" s="342">
        <f t="shared" si="7"/>
        <v>-0.28224128174078239</v>
      </c>
      <c r="I20" s="342">
        <f t="shared" si="5"/>
        <v>0.28224128174078239</v>
      </c>
      <c r="J20" s="1133">
        <f t="shared" si="8"/>
        <v>7</v>
      </c>
    </row>
    <row r="21" spans="1:10">
      <c r="A21" s="770">
        <f t="shared" si="1"/>
        <v>1986</v>
      </c>
      <c r="B21" s="634">
        <f>VLOOKUP($A21,Database!$A$74:$J$132,10)</f>
        <v>5563957</v>
      </c>
      <c r="C21" s="339">
        <f t="shared" si="2"/>
        <v>19561491.672401309</v>
      </c>
      <c r="D21" s="341">
        <f t="shared" si="6"/>
        <v>13997534.672401309</v>
      </c>
      <c r="E21" s="339">
        <f t="shared" si="0"/>
        <v>13997534.672401309</v>
      </c>
      <c r="F21" s="1117">
        <f t="shared" si="3"/>
        <v>2.5157517702601422</v>
      </c>
      <c r="G21" s="1123">
        <f t="shared" si="4"/>
        <v>1219895.532510384</v>
      </c>
      <c r="H21" s="342">
        <f t="shared" si="7"/>
        <v>2.5157517702601422</v>
      </c>
      <c r="I21" s="342">
        <f t="shared" si="5"/>
        <v>2.5157517702601422</v>
      </c>
      <c r="J21" s="1133">
        <f t="shared" si="8"/>
        <v>21</v>
      </c>
    </row>
    <row r="22" spans="1:10">
      <c r="A22" s="770">
        <f t="shared" si="1"/>
        <v>1988</v>
      </c>
      <c r="B22" s="634">
        <f>VLOOKUP($A22,Database!$A$74:$J$132,10)</f>
        <v>1766936</v>
      </c>
      <c r="C22" s="339">
        <f t="shared" si="2"/>
        <v>9400266.6791499257</v>
      </c>
      <c r="D22" s="341">
        <f t="shared" si="6"/>
        <v>7633330.6791499257</v>
      </c>
      <c r="E22" s="339">
        <f t="shared" si="0"/>
        <v>7633330.6791499257</v>
      </c>
      <c r="F22" s="1117">
        <f t="shared" si="3"/>
        <v>4.3200946039641082</v>
      </c>
      <c r="G22" s="1123">
        <f t="shared" si="4"/>
        <v>806160.45337992941</v>
      </c>
      <c r="H22" s="342">
        <f t="shared" si="7"/>
        <v>4.3200946039641082</v>
      </c>
      <c r="I22" s="342">
        <f t="shared" si="5"/>
        <v>4.3200946039641082</v>
      </c>
      <c r="J22" s="1133">
        <f t="shared" si="8"/>
        <v>22</v>
      </c>
    </row>
    <row r="23" spans="1:10">
      <c r="A23" s="770">
        <f t="shared" si="1"/>
        <v>1990</v>
      </c>
      <c r="B23" s="634">
        <f>VLOOKUP($A23,Database!$A$74:$J$132,10)</f>
        <v>12923662</v>
      </c>
      <c r="C23" s="339">
        <f t="shared" si="2"/>
        <v>3859005.857580944</v>
      </c>
      <c r="D23" s="341">
        <f t="shared" si="6"/>
        <v>-9064656.1424190551</v>
      </c>
      <c r="E23" s="339">
        <f t="shared" si="0"/>
        <v>9064656.1424190551</v>
      </c>
      <c r="F23" s="1117">
        <f t="shared" si="3"/>
        <v>-0.70139997025758294</v>
      </c>
      <c r="G23" s="1123">
        <f t="shared" si="4"/>
        <v>14363193.070193378</v>
      </c>
      <c r="H23" s="342">
        <f t="shared" si="7"/>
        <v>-0.70139997025758294</v>
      </c>
      <c r="I23" s="342">
        <f t="shared" si="5"/>
        <v>0.70139997025758294</v>
      </c>
      <c r="J23" s="1133">
        <f t="shared" si="8"/>
        <v>18</v>
      </c>
    </row>
    <row r="24" spans="1:10">
      <c r="A24" s="770">
        <f t="shared" si="1"/>
        <v>1992</v>
      </c>
      <c r="B24" s="634">
        <f>VLOOKUP($A24,Database!$A$74:$J$132,10)</f>
        <v>1405383</v>
      </c>
      <c r="C24" s="339">
        <f t="shared" si="2"/>
        <v>10439308.225481909</v>
      </c>
      <c r="D24" s="341">
        <f t="shared" si="6"/>
        <v>9033925.2254819088</v>
      </c>
      <c r="E24" s="339">
        <f t="shared" si="0"/>
        <v>9033925.2254819088</v>
      </c>
      <c r="F24" s="1117">
        <f t="shared" si="3"/>
        <v>6.4280877351454437</v>
      </c>
      <c r="G24" s="1123">
        <f t="shared" si="4"/>
        <v>577382.77075854235</v>
      </c>
      <c r="H24" s="342">
        <f t="shared" si="7"/>
        <v>6.4280877351454437</v>
      </c>
      <c r="I24" s="342">
        <f t="shared" si="5"/>
        <v>6.4280877351454437</v>
      </c>
      <c r="J24" s="1133">
        <f t="shared" si="8"/>
        <v>25</v>
      </c>
    </row>
    <row r="25" spans="1:10">
      <c r="A25" s="770">
        <f t="shared" si="1"/>
        <v>1994</v>
      </c>
      <c r="B25" s="634">
        <f>VLOOKUP($A25,Database!$A$74:$J$132,10)</f>
        <v>4666639</v>
      </c>
      <c r="C25" s="339">
        <f t="shared" si="2"/>
        <v>3881314.3403641991</v>
      </c>
      <c r="D25" s="341">
        <f t="shared" si="6"/>
        <v>-785324.65963580087</v>
      </c>
      <c r="E25" s="339">
        <f t="shared" si="0"/>
        <v>785324.65963580087</v>
      </c>
      <c r="F25" s="1117">
        <f t="shared" si="3"/>
        <v>-0.16828485332501633</v>
      </c>
      <c r="G25" s="1123">
        <f t="shared" si="4"/>
        <v>5156633.1274616206</v>
      </c>
      <c r="H25" s="342">
        <f t="shared" si="7"/>
        <v>-0.16828485332501633</v>
      </c>
      <c r="I25" s="342">
        <f t="shared" si="5"/>
        <v>0.16828485332501633</v>
      </c>
      <c r="J25" s="1133">
        <f t="shared" si="8"/>
        <v>5</v>
      </c>
    </row>
    <row r="26" spans="1:10">
      <c r="A26" s="770">
        <f t="shared" si="1"/>
        <v>1996</v>
      </c>
      <c r="B26" s="634">
        <f>VLOOKUP($A26,Database!$A$74:$J$132,10)</f>
        <v>4500085</v>
      </c>
      <c r="C26" s="339">
        <f t="shared" si="2"/>
        <v>4451404.7702912409</v>
      </c>
      <c r="D26" s="341">
        <f t="shared" si="6"/>
        <v>-48680.229708759114</v>
      </c>
      <c r="E26" s="339">
        <f t="shared" si="0"/>
        <v>48680.229708759114</v>
      </c>
      <c r="F26" s="1117">
        <f t="shared" si="3"/>
        <v>-1.0817624491261635E-2</v>
      </c>
      <c r="G26" s="1123">
        <f t="shared" si="4"/>
        <v>4335752.4195172377</v>
      </c>
      <c r="H26" s="342">
        <f t="shared" si="7"/>
        <v>-1.0817624491261635E-2</v>
      </c>
      <c r="I26" s="342">
        <f t="shared" si="5"/>
        <v>1.0817624491261635E-2</v>
      </c>
      <c r="J26" s="1133">
        <f t="shared" si="8"/>
        <v>1</v>
      </c>
    </row>
    <row r="27" spans="1:10">
      <c r="A27" s="770">
        <f t="shared" si="1"/>
        <v>1998</v>
      </c>
      <c r="B27" s="634">
        <f>VLOOKUP($A27,Database!$A$74:$J$132,10)</f>
        <v>5274275.5</v>
      </c>
      <c r="C27" s="339">
        <f t="shared" si="2"/>
        <v>4486743.190832478</v>
      </c>
      <c r="D27" s="341">
        <f t="shared" si="6"/>
        <v>-787532.30916752201</v>
      </c>
      <c r="E27" s="339">
        <f t="shared" si="0"/>
        <v>787532.30916752201</v>
      </c>
      <c r="F27" s="1117">
        <f t="shared" si="3"/>
        <v>-0.14931573240107043</v>
      </c>
      <c r="G27" s="1123">
        <f t="shared" si="4"/>
        <v>5041647.1084638387</v>
      </c>
      <c r="H27" s="342">
        <f t="shared" si="7"/>
        <v>-0.14931573240107043</v>
      </c>
      <c r="I27" s="342">
        <f t="shared" si="5"/>
        <v>0.14931573240107043</v>
      </c>
      <c r="J27" s="1133">
        <f t="shared" si="8"/>
        <v>4</v>
      </c>
    </row>
    <row r="28" spans="1:10">
      <c r="A28" s="770">
        <f t="shared" si="1"/>
        <v>2000</v>
      </c>
      <c r="B28" s="634">
        <f>VLOOKUP($A28,Database!$A$74:$J$132,10)</f>
        <v>7389941</v>
      </c>
      <c r="C28" s="339">
        <f t="shared" si="2"/>
        <v>5058436.2189400615</v>
      </c>
      <c r="D28" s="341">
        <f t="shared" si="6"/>
        <v>-2331504.7810599385</v>
      </c>
      <c r="E28" s="339">
        <f t="shared" si="0"/>
        <v>2331504.7810599385</v>
      </c>
      <c r="F28" s="1117">
        <f t="shared" si="3"/>
        <v>-0.31549707650709774</v>
      </c>
      <c r="G28" s="1123">
        <f t="shared" si="4"/>
        <v>6265641.432282784</v>
      </c>
      <c r="H28" s="342">
        <f t="shared" si="7"/>
        <v>-0.31549707650709774</v>
      </c>
      <c r="I28" s="342">
        <f t="shared" si="5"/>
        <v>0.31549707650709774</v>
      </c>
      <c r="J28" s="1133">
        <f t="shared" si="8"/>
        <v>10</v>
      </c>
    </row>
    <row r="29" spans="1:10">
      <c r="A29" s="770">
        <f t="shared" si="1"/>
        <v>2002</v>
      </c>
      <c r="B29" s="634">
        <f>VLOOKUP($A29,Database!$A$74:$J$132,10)</f>
        <v>1264645.3102025923</v>
      </c>
      <c r="C29" s="339">
        <f t="shared" si="2"/>
        <v>6750944.5932827489</v>
      </c>
      <c r="D29" s="341">
        <f t="shared" si="6"/>
        <v>5486299.2830801569</v>
      </c>
      <c r="E29" s="339">
        <f t="shared" si="0"/>
        <v>5486299.2830801569</v>
      </c>
      <c r="F29" s="1117">
        <f t="shared" si="3"/>
        <v>4.338211859735809</v>
      </c>
      <c r="G29" s="1123">
        <f t="shared" si="4"/>
        <v>803424.44073924015</v>
      </c>
      <c r="H29" s="342">
        <f t="shared" si="7"/>
        <v>4.338211859735809</v>
      </c>
      <c r="I29" s="342">
        <f t="shared" si="5"/>
        <v>4.338211859735809</v>
      </c>
      <c r="J29" s="1133">
        <f t="shared" si="8"/>
        <v>23</v>
      </c>
    </row>
    <row r="30" spans="1:10">
      <c r="A30" s="770">
        <f t="shared" si="1"/>
        <v>2004</v>
      </c>
      <c r="B30" s="634">
        <f>VLOOKUP($A30,Database!$A$74:$J$132,10)</f>
        <v>4939431.0563474381</v>
      </c>
      <c r="C30" s="339">
        <f t="shared" si="2"/>
        <v>2768277.452217713</v>
      </c>
      <c r="D30" s="341">
        <f t="shared" si="6"/>
        <v>-2171153.6041297251</v>
      </c>
      <c r="E30" s="339">
        <f t="shared" si="0"/>
        <v>2171153.6041297251</v>
      </c>
      <c r="F30" s="1117">
        <f t="shared" si="3"/>
        <v>-0.43955540210236854</v>
      </c>
      <c r="G30" s="1123">
        <f t="shared" si="4"/>
        <v>7652584.9192665527</v>
      </c>
      <c r="H30" s="342">
        <f t="shared" si="7"/>
        <v>-0.43955540210236854</v>
      </c>
      <c r="I30" s="342">
        <f t="shared" si="5"/>
        <v>0.43955540210236854</v>
      </c>
      <c r="J30" s="1133">
        <f t="shared" si="8"/>
        <v>13</v>
      </c>
    </row>
    <row r="31" spans="1:10">
      <c r="A31" s="770">
        <f t="shared" si="1"/>
        <v>2006</v>
      </c>
      <c r="B31" s="634">
        <f>VLOOKUP($A31,Database!$A$74:$J$132,10)</f>
        <v>3314702.7753436686</v>
      </c>
      <c r="C31" s="339">
        <f t="shared" si="2"/>
        <v>4344382.1579963099</v>
      </c>
      <c r="D31" s="341">
        <f t="shared" si="6"/>
        <v>1029679.3826526413</v>
      </c>
      <c r="E31" s="339">
        <f t="shared" si="0"/>
        <v>1029679.3826526413</v>
      </c>
      <c r="F31" s="1117">
        <f t="shared" si="3"/>
        <v>0.31064003394569339</v>
      </c>
      <c r="G31" s="1123">
        <f t="shared" si="4"/>
        <v>3272332.4229950467</v>
      </c>
      <c r="H31" s="342">
        <f t="shared" si="7"/>
        <v>0.31064003394569339</v>
      </c>
      <c r="I31" s="342">
        <f t="shared" si="5"/>
        <v>0.31064003394569339</v>
      </c>
      <c r="J31" s="1133">
        <f t="shared" si="8"/>
        <v>8</v>
      </c>
    </row>
    <row r="32" spans="1:10">
      <c r="A32" s="770">
        <f t="shared" si="1"/>
        <v>2008</v>
      </c>
      <c r="B32" s="634">
        <f>VLOOKUP($A32,Database!$A$74:$J$132,10)</f>
        <v>2290691.6775990888</v>
      </c>
      <c r="C32" s="339">
        <f t="shared" si="2"/>
        <v>3596907.3974104333</v>
      </c>
      <c r="D32" s="341">
        <f t="shared" si="6"/>
        <v>1306215.7198113445</v>
      </c>
      <c r="E32" s="339">
        <f t="shared" si="0"/>
        <v>1306215.7198113445</v>
      </c>
      <c r="F32" s="1117">
        <f t="shared" si="3"/>
        <v>0.57022764459528241</v>
      </c>
      <c r="G32" s="1123">
        <f t="shared" si="4"/>
        <v>2731355.4774799859</v>
      </c>
      <c r="H32" s="342">
        <f t="shared" si="7"/>
        <v>0.57022764459528241</v>
      </c>
      <c r="I32" s="342">
        <f t="shared" si="5"/>
        <v>0.57022764459528241</v>
      </c>
      <c r="J32" s="1133">
        <f t="shared" si="8"/>
        <v>16</v>
      </c>
    </row>
    <row r="33" spans="1:10">
      <c r="A33" s="770">
        <f t="shared" si="1"/>
        <v>2010</v>
      </c>
      <c r="B33" s="634">
        <f>VLOOKUP($A33,Database!$A$74:$J$132,10)</f>
        <v>4399390.7272172375</v>
      </c>
      <c r="C33" s="339">
        <f t="shared" si="2"/>
        <v>2648686.7193152737</v>
      </c>
      <c r="D33" s="341">
        <f>C33-B33</f>
        <v>-1750704.0079019638</v>
      </c>
      <c r="E33" s="339">
        <f t="shared" si="0"/>
        <v>1750704.0079019638</v>
      </c>
      <c r="F33" s="1117">
        <f t="shared" si="3"/>
        <v>-0.39794237803682031</v>
      </c>
      <c r="G33" s="1123">
        <f t="shared" si="4"/>
        <v>7123653.4868054809</v>
      </c>
      <c r="H33" s="342">
        <f t="shared" si="7"/>
        <v>-0.39794237803682031</v>
      </c>
      <c r="I33" s="342">
        <f t="shared" si="5"/>
        <v>0.39794237803682031</v>
      </c>
      <c r="J33" s="1133">
        <f t="shared" si="8"/>
        <v>12</v>
      </c>
    </row>
    <row r="34" spans="1:10">
      <c r="A34" s="770">
        <f t="shared" si="1"/>
        <v>2012</v>
      </c>
      <c r="B34" s="634">
        <f>VLOOKUP($A34,Database!$A$74:$J$132,10)</f>
        <v>4428267.5450134957</v>
      </c>
      <c r="C34" s="339">
        <f t="shared" si="2"/>
        <v>3919574.6104489635</v>
      </c>
      <c r="D34" s="341">
        <f>C34-B34</f>
        <v>-508692.93456453225</v>
      </c>
      <c r="E34" s="339">
        <f t="shared" si="0"/>
        <v>508692.93456453225</v>
      </c>
      <c r="F34" s="1117">
        <f t="shared" si="3"/>
        <v>-0.11487402904039799</v>
      </c>
      <c r="G34" s="1123">
        <f t="shared" si="4"/>
        <v>4845468.3498961171</v>
      </c>
      <c r="H34" s="342">
        <f t="shared" si="7"/>
        <v>-0.11487402904039799</v>
      </c>
      <c r="I34" s="342">
        <f t="shared" si="5"/>
        <v>0.11487402904039799</v>
      </c>
      <c r="J34" s="1133">
        <f t="shared" si="8"/>
        <v>3</v>
      </c>
    </row>
    <row r="35" spans="1:10">
      <c r="A35" s="770">
        <f t="shared" si="1"/>
        <v>2014</v>
      </c>
      <c r="B35" s="634">
        <f>VLOOKUP($A35,Database!$A$74:$J$132,10)</f>
        <v>2702397</v>
      </c>
      <c r="C35" s="339">
        <f t="shared" si="2"/>
        <v>4288849.8779558213</v>
      </c>
      <c r="D35" s="341">
        <f>C35-B35</f>
        <v>1586452.8779558213</v>
      </c>
      <c r="E35" s="339">
        <f t="shared" ref="E35" si="9">ABS(C35-$B35)</f>
        <v>1586452.8779558213</v>
      </c>
      <c r="F35" s="1117">
        <f t="shared" ref="F35" si="10">(C35-B35)/B35</f>
        <v>0.58705396651780672</v>
      </c>
      <c r="G35" s="1123">
        <f t="shared" ref="G35" si="11">$F$52/(1+F35)</f>
        <v>2702397</v>
      </c>
      <c r="H35" s="342">
        <f t="shared" ref="H35" si="12">(C35-B35)/B35</f>
        <v>0.58705396651780672</v>
      </c>
      <c r="I35" s="342">
        <f t="shared" si="5"/>
        <v>0.58705396651780672</v>
      </c>
      <c r="J35" s="1133">
        <f t="shared" si="8"/>
        <v>17</v>
      </c>
    </row>
    <row r="36" spans="1:10">
      <c r="A36" s="770"/>
      <c r="B36" s="634"/>
      <c r="C36" s="339"/>
      <c r="D36" s="341"/>
      <c r="E36" s="339"/>
      <c r="F36" s="339"/>
      <c r="G36" s="1123"/>
      <c r="H36" s="342"/>
      <c r="I36" s="342"/>
    </row>
    <row r="37" spans="1:10">
      <c r="A37" s="770"/>
      <c r="B37" s="634"/>
      <c r="C37" s="339"/>
      <c r="D37" s="341"/>
      <c r="E37" s="339"/>
      <c r="F37" s="339"/>
      <c r="G37" s="1123"/>
      <c r="H37" s="342"/>
      <c r="I37" s="342"/>
    </row>
    <row r="38" spans="1:10">
      <c r="G38" s="1124"/>
    </row>
    <row r="39" spans="1:10">
      <c r="G39" s="1124"/>
    </row>
    <row r="40" spans="1:10">
      <c r="A40" s="323" t="s">
        <v>245</v>
      </c>
      <c r="B40" s="646">
        <f t="shared" ref="B40:I40" si="13">COUNT(B8:B39)</f>
        <v>28</v>
      </c>
      <c r="C40" s="646">
        <f t="shared" si="13"/>
        <v>27</v>
      </c>
      <c r="D40" s="646">
        <f t="shared" si="13"/>
        <v>27</v>
      </c>
      <c r="E40" s="646">
        <f t="shared" si="13"/>
        <v>27</v>
      </c>
      <c r="F40" s="646"/>
      <c r="G40" s="646"/>
      <c r="H40" s="646">
        <f t="shared" si="13"/>
        <v>26</v>
      </c>
      <c r="I40" s="646">
        <f t="shared" si="13"/>
        <v>26</v>
      </c>
    </row>
    <row r="41" spans="1:10" ht="25">
      <c r="A41" s="328" t="s">
        <v>75</v>
      </c>
      <c r="B41" s="644"/>
      <c r="C41" s="1092">
        <f>VLOOKUP(Forecast_Year,A8:C39,3)</f>
        <v>4288849.8779558213</v>
      </c>
      <c r="D41" s="644"/>
      <c r="E41" s="644"/>
      <c r="F41" s="644"/>
      <c r="G41" s="644"/>
      <c r="H41" s="644"/>
      <c r="I41" s="644"/>
    </row>
    <row r="42" spans="1:10">
      <c r="A42" s="328" t="s">
        <v>288</v>
      </c>
      <c r="B42" s="644"/>
      <c r="C42" s="644">
        <f>SUM(C7:C38)</f>
        <v>152040879.80737785</v>
      </c>
      <c r="D42" s="644">
        <f t="shared" ref="D42:I42" si="14">SUM(D7:D38)</f>
        <v>76345.215654343832</v>
      </c>
      <c r="E42" s="644">
        <f t="shared" si="14"/>
        <v>96803092.200516939</v>
      </c>
      <c r="F42" s="644"/>
      <c r="G42" s="644"/>
      <c r="H42" s="644">
        <f t="shared" si="14"/>
        <v>20.788164678492123</v>
      </c>
      <c r="I42" s="644">
        <f t="shared" si="14"/>
        <v>29.589479697847363</v>
      </c>
    </row>
    <row r="43" spans="1:10">
      <c r="A43" s="328" t="s">
        <v>127</v>
      </c>
      <c r="B43" s="644">
        <f t="shared" ref="B43:H43" si="15">AVERAGE(B8:B39)</f>
        <v>5541326.8782758396</v>
      </c>
      <c r="C43" s="644">
        <f t="shared" si="15"/>
        <v>5631143.6965695499</v>
      </c>
      <c r="D43" s="644">
        <f t="shared" si="15"/>
        <v>2827.6005797905123</v>
      </c>
      <c r="E43" s="643">
        <f>AVERAGE(E8:E39)</f>
        <v>3585299.7111302572</v>
      </c>
      <c r="F43" s="1122">
        <f>AVERAGE(F9:F39)</f>
        <v>0.74639278613213522</v>
      </c>
      <c r="G43" s="1122"/>
      <c r="H43" s="1004">
        <f t="shared" si="15"/>
        <v>0.79954479532662015</v>
      </c>
      <c r="I43" s="1121">
        <f>AVERAGE(I8:I39)</f>
        <v>1.1380569114556678</v>
      </c>
    </row>
    <row r="44" spans="1:10">
      <c r="A44" s="328" t="s">
        <v>265</v>
      </c>
      <c r="B44" s="644">
        <f t="shared" ref="B44:H44" si="16">MEDIAN(B8:B39)</f>
        <v>4260989.3636086192</v>
      </c>
      <c r="C44" s="644">
        <f>MEDIAN(C8:C39)</f>
        <v>4288849.8779558213</v>
      </c>
      <c r="D44" s="644">
        <f>MEDIAN(D8:D39)</f>
        <v>0.24883193988353014</v>
      </c>
      <c r="E44" s="644">
        <f t="shared" si="16"/>
        <v>2171153.6041297251</v>
      </c>
      <c r="F44" s="1120">
        <f>MEDIAN(F9:F39)</f>
        <v>2.1431611521244988E-7</v>
      </c>
      <c r="G44" s="1120"/>
      <c r="H44" s="1004">
        <f t="shared" si="16"/>
        <v>1.7073703770925201E-2</v>
      </c>
      <c r="I44" s="1004">
        <f>MEDIAN(I8:I39)</f>
        <v>0.41874889006959443</v>
      </c>
    </row>
    <row r="45" spans="1:10">
      <c r="A45" s="328" t="s">
        <v>286</v>
      </c>
      <c r="B45" s="644">
        <f t="shared" ref="B45:I45" si="17">MIN(B8:B39)</f>
        <v>695963</v>
      </c>
      <c r="C45" s="644">
        <f t="shared" si="17"/>
        <v>1161051.0681974648</v>
      </c>
      <c r="D45" s="644">
        <f t="shared" si="17"/>
        <v>-10846372.28828343</v>
      </c>
      <c r="E45" s="644">
        <f t="shared" si="17"/>
        <v>0.24883193988353014</v>
      </c>
      <c r="F45" s="1118">
        <f>MIN(F9:F38)</f>
        <v>-0.77397155001381701</v>
      </c>
      <c r="G45" s="1118"/>
      <c r="H45" s="1004">
        <f t="shared" si="17"/>
        <v>-0.77397155001381701</v>
      </c>
      <c r="I45" s="1004">
        <f t="shared" si="17"/>
        <v>2.1431611521244988E-7</v>
      </c>
    </row>
    <row r="46" spans="1:10">
      <c r="A46" s="328" t="s">
        <v>287</v>
      </c>
      <c r="B46" s="644">
        <f t="shared" ref="B46:I46" si="18">MAX(B8:B39)</f>
        <v>21201513</v>
      </c>
      <c r="C46" s="644">
        <f>MAX(C8:C39)</f>
        <v>19561491.672401309</v>
      </c>
      <c r="D46" s="644">
        <f>MAX(D8:D39)</f>
        <v>13997534.672401309</v>
      </c>
      <c r="E46" s="644">
        <f t="shared" si="18"/>
        <v>13997534.672401309</v>
      </c>
      <c r="F46" s="1118">
        <f>MAX(F9:F38)</f>
        <v>6.4280877351454437</v>
      </c>
      <c r="G46" s="1118"/>
      <c r="H46" s="1004">
        <f t="shared" si="18"/>
        <v>6.4280877351454437</v>
      </c>
      <c r="I46" s="1004">
        <f t="shared" si="18"/>
        <v>6.4280877351454437</v>
      </c>
    </row>
    <row r="47" spans="1:10">
      <c r="A47" s="332" t="s">
        <v>238</v>
      </c>
      <c r="B47" s="647">
        <f t="shared" ref="B47:I47" si="19">STDEV(B8:B39)</f>
        <v>4982790.2286356902</v>
      </c>
      <c r="C47" s="647">
        <f t="shared" si="19"/>
        <v>4248843.5848782454</v>
      </c>
      <c r="D47" s="647">
        <f t="shared" si="19"/>
        <v>5229766.7921982892</v>
      </c>
      <c r="E47" s="647">
        <f t="shared" si="19"/>
        <v>3741884.0153417699</v>
      </c>
      <c r="F47" s="1119">
        <f>STDEV(F9:F39)</f>
        <v>1.9063702158421101</v>
      </c>
      <c r="G47" s="1119"/>
      <c r="H47" s="1006">
        <f t="shared" si="19"/>
        <v>1.9236131302000099</v>
      </c>
      <c r="I47" s="1006">
        <f t="shared" si="19"/>
        <v>1.7372822898252973</v>
      </c>
    </row>
    <row r="48" spans="1:10">
      <c r="A48" s="326"/>
      <c r="B48" s="634"/>
      <c r="C48" s="339"/>
      <c r="D48" s="341"/>
      <c r="E48" s="339"/>
      <c r="F48" s="339"/>
      <c r="G48" s="339"/>
      <c r="H48" s="342"/>
      <c r="I48" s="342"/>
    </row>
    <row r="49" spans="1:11">
      <c r="A49" s="326"/>
      <c r="B49" s="634"/>
      <c r="C49" s="339"/>
      <c r="D49" s="341"/>
      <c r="E49" s="339"/>
      <c r="F49" s="339"/>
      <c r="G49" s="339"/>
      <c r="H49" s="342"/>
      <c r="I49" s="342"/>
    </row>
    <row r="50" spans="1:11">
      <c r="A50" s="326"/>
      <c r="B50" s="634"/>
      <c r="C50" s="339"/>
      <c r="D50" s="341"/>
      <c r="E50" s="339"/>
      <c r="F50" s="339"/>
      <c r="G50" s="339"/>
      <c r="H50" s="342"/>
      <c r="I50" s="342"/>
    </row>
    <row r="51" spans="1:11" ht="25">
      <c r="A51" s="326"/>
      <c r="B51" s="634"/>
      <c r="C51" s="339"/>
      <c r="D51" s="341"/>
      <c r="E51" s="1075" t="s">
        <v>385</v>
      </c>
      <c r="F51" s="1077">
        <f>F52/(F46+1)</f>
        <v>577382.77075854235</v>
      </c>
      <c r="G51" s="1077">
        <f>MIN(G9:G39)</f>
        <v>577382.77075854235</v>
      </c>
      <c r="H51" s="342" t="s">
        <v>402</v>
      </c>
      <c r="I51" s="342"/>
    </row>
    <row r="52" spans="1:11" ht="90">
      <c r="A52" s="326"/>
      <c r="B52" s="634"/>
      <c r="C52" s="339"/>
      <c r="D52" s="341"/>
      <c r="E52" s="1084" t="str">
        <f>IF(ISEVEN(Forecast_Year),Forecast_Year&amp;" FORECAST POINT ESTIMATE","DO NOT USE THIS YEAR. USE FOR EVEN YEARS ONLY!!!")</f>
        <v>DO NOT USE THIS YEAR. USE FOR EVEN YEARS ONLY!!!</v>
      </c>
      <c r="F52" s="1078">
        <f>$C41</f>
        <v>4288849.8779558213</v>
      </c>
      <c r="G52" s="1078">
        <f>MEDIAN(G9:G39)</f>
        <v>4288848.958786373</v>
      </c>
      <c r="H52" s="342" t="s">
        <v>265</v>
      </c>
      <c r="I52" s="342"/>
    </row>
    <row r="53" spans="1:11" ht="25">
      <c r="A53" s="326"/>
      <c r="B53" s="634"/>
      <c r="C53" s="339"/>
      <c r="D53" s="341"/>
      <c r="E53" s="1075" t="s">
        <v>386</v>
      </c>
      <c r="F53" s="1077">
        <f>F52/(F45+1)</f>
        <v>18974823.205742449</v>
      </c>
      <c r="G53" s="1077">
        <f>MAX(G9:G39)</f>
        <v>18974823.205742449</v>
      </c>
      <c r="H53" s="342" t="s">
        <v>402</v>
      </c>
      <c r="I53" s="342"/>
    </row>
    <row r="54" spans="1:11">
      <c r="A54" s="326"/>
      <c r="B54" s="634"/>
      <c r="C54" s="339"/>
      <c r="D54" s="341"/>
      <c r="E54" s="339"/>
      <c r="F54" s="339"/>
      <c r="G54" s="339"/>
      <c r="H54" s="342"/>
      <c r="I54" s="342"/>
    </row>
    <row r="55" spans="1:11">
      <c r="A55" s="326"/>
      <c r="B55" s="634"/>
      <c r="C55" s="339"/>
      <c r="D55" s="341"/>
      <c r="H55" s="342"/>
      <c r="I55" s="342"/>
    </row>
    <row r="56" spans="1:11">
      <c r="A56" s="326"/>
      <c r="B56" s="634"/>
      <c r="C56" s="339"/>
      <c r="D56" s="341"/>
      <c r="F56" s="334"/>
      <c r="H56" s="342"/>
      <c r="I56" s="342"/>
    </row>
    <row r="57" spans="1:11">
      <c r="A57" s="326"/>
      <c r="B57" s="634"/>
      <c r="C57" s="339"/>
      <c r="D57" s="341"/>
      <c r="H57" s="342"/>
      <c r="I57" s="342"/>
    </row>
    <row r="58" spans="1:11">
      <c r="A58" s="326"/>
      <c r="B58" s="634"/>
      <c r="C58" s="339"/>
      <c r="D58" s="341"/>
      <c r="E58" s="339"/>
      <c r="F58" s="339"/>
      <c r="G58" s="339"/>
      <c r="H58" s="342"/>
      <c r="I58" s="342"/>
    </row>
    <row r="59" spans="1:11">
      <c r="A59" s="347"/>
      <c r="B59" s="1014"/>
      <c r="C59" s="349"/>
      <c r="D59" s="1015"/>
      <c r="E59" s="349"/>
      <c r="F59" s="349"/>
      <c r="G59" s="349"/>
      <c r="H59" s="1016"/>
      <c r="I59" s="1016"/>
      <c r="J59" s="348"/>
    </row>
    <row r="60" spans="1:11">
      <c r="A60" s="347"/>
      <c r="B60" s="1014"/>
      <c r="C60" s="349"/>
      <c r="D60" s="1015"/>
      <c r="E60" s="349"/>
      <c r="F60" s="349"/>
      <c r="G60" s="349"/>
      <c r="H60" s="1016"/>
      <c r="I60" s="1016"/>
      <c r="J60" s="348"/>
    </row>
    <row r="61" spans="1:11">
      <c r="A61" s="347"/>
      <c r="B61" s="1014"/>
      <c r="C61" s="349"/>
      <c r="D61" s="1015"/>
      <c r="E61" s="349"/>
      <c r="F61" s="349"/>
      <c r="G61" s="349"/>
      <c r="H61" s="1016"/>
      <c r="I61" s="1016"/>
      <c r="J61" s="348"/>
    </row>
    <row r="62" spans="1:11">
      <c r="A62" s="347"/>
      <c r="B62" s="1017"/>
      <c r="C62" s="349"/>
      <c r="D62" s="1015"/>
      <c r="E62" s="349"/>
      <c r="F62" s="349"/>
      <c r="G62" s="349"/>
      <c r="H62" s="348"/>
      <c r="I62" s="1016"/>
      <c r="J62" s="348"/>
    </row>
    <row r="63" spans="1:11">
      <c r="A63" s="347"/>
      <c r="B63" s="1017"/>
      <c r="C63" s="349"/>
      <c r="D63" s="349"/>
      <c r="E63" s="349"/>
      <c r="F63" s="349"/>
      <c r="G63" s="349"/>
      <c r="H63" s="348"/>
      <c r="I63" s="1016"/>
      <c r="J63" s="348"/>
    </row>
    <row r="64" spans="1:11">
      <c r="A64" s="347"/>
      <c r="B64" s="1018"/>
      <c r="C64" s="643"/>
      <c r="D64" s="643"/>
      <c r="E64" s="643"/>
      <c r="F64" s="643"/>
      <c r="G64" s="643"/>
      <c r="H64" s="662"/>
      <c r="I64" s="1019"/>
      <c r="J64" s="662"/>
      <c r="K64" s="328"/>
    </row>
    <row r="65" spans="1:11">
      <c r="A65" s="348"/>
      <c r="B65" s="348"/>
      <c r="C65" s="348"/>
      <c r="D65" s="348"/>
      <c r="E65" s="348"/>
      <c r="F65" s="348"/>
      <c r="G65" s="348"/>
      <c r="H65" s="348"/>
      <c r="I65" s="348"/>
      <c r="J65" s="662"/>
      <c r="K65" s="328"/>
    </row>
    <row r="66" spans="1:11">
      <c r="J66" s="328"/>
      <c r="K66" s="328"/>
    </row>
    <row r="67" spans="1:11">
      <c r="J67" s="328"/>
      <c r="K67" s="328"/>
    </row>
    <row r="68" spans="1:11">
      <c r="J68" s="328"/>
      <c r="K68" s="328"/>
    </row>
    <row r="69" spans="1:11">
      <c r="J69" s="328"/>
      <c r="K69" s="328"/>
    </row>
    <row r="70" spans="1:11">
      <c r="J70" s="328"/>
      <c r="K70" s="328"/>
    </row>
    <row r="71" spans="1:11">
      <c r="J71" s="328"/>
      <c r="K71" s="328"/>
    </row>
    <row r="72" spans="1:11">
      <c r="A72" s="328"/>
      <c r="B72" s="328"/>
      <c r="C72" s="328"/>
      <c r="D72" s="328"/>
      <c r="E72" s="328"/>
      <c r="F72" s="328"/>
      <c r="G72" s="328"/>
      <c r="H72" s="328"/>
      <c r="I72" s="328"/>
      <c r="J72" s="328"/>
      <c r="K72" s="328"/>
    </row>
    <row r="73" spans="1:11">
      <c r="A73" s="328"/>
      <c r="B73" s="328"/>
      <c r="C73" s="328"/>
      <c r="D73" s="328"/>
      <c r="E73" s="328"/>
      <c r="F73" s="328"/>
      <c r="G73" s="328"/>
      <c r="H73" s="328"/>
      <c r="I73" s="328"/>
      <c r="J73" s="328"/>
      <c r="K73" s="328"/>
    </row>
  </sheetData>
  <pageMargins left="1" right="1" top="1" bottom="1" header="0.5" footer="0.5"/>
  <pageSetup scale="73" orientation="landscape"/>
  <headerFooter alignWithMargins="0"/>
  <drawing r:id="rId1"/>
  <legacyDrawing r:id="rId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tabColor rgb="FF00B050"/>
  </sheetPr>
  <dimension ref="A1:CL123"/>
  <sheetViews>
    <sheetView topLeftCell="R1" zoomScale="75" workbookViewId="0">
      <pane ySplit="2" topLeftCell="A33" activePane="bottomLeft" state="frozen"/>
      <selection activeCell="J25" sqref="J25"/>
      <selection pane="bottomLeft" activeCell="J25" sqref="J25"/>
    </sheetView>
  </sheetViews>
  <sheetFormatPr baseColWidth="10" defaultColWidth="8.875" defaultRowHeight="16" x14ac:dyDescent="0"/>
  <cols>
    <col min="1" max="1" width="8.875" style="258"/>
    <col min="2" max="2" width="11.5" style="258" bestFit="1" customWidth="1"/>
    <col min="3" max="3" width="8.875" style="258"/>
    <col min="4" max="4" width="11.875" style="258" customWidth="1"/>
    <col min="5" max="5" width="13.875" style="258" customWidth="1"/>
    <col min="6" max="6" width="16.125" style="269" customWidth="1"/>
    <col min="7" max="7" width="10.625" style="258" customWidth="1"/>
    <col min="8" max="8" width="11.625" style="258" customWidth="1"/>
    <col min="9" max="9" width="16.125" style="258" customWidth="1"/>
    <col min="10" max="10" width="12.125" style="258" customWidth="1"/>
    <col min="11" max="11" width="12.875" style="258" customWidth="1"/>
    <col min="12" max="12" width="13.375" style="258" customWidth="1"/>
    <col min="13" max="13" width="13" style="258" customWidth="1"/>
    <col min="14" max="14" width="9.5" style="282" customWidth="1"/>
    <col min="15" max="15" width="11.125" style="258" customWidth="1"/>
    <col min="16" max="16" width="14.125" style="282" customWidth="1"/>
    <col min="17" max="17" width="14.125" style="258" customWidth="1"/>
    <col min="18" max="18" width="15.875" style="258" customWidth="1"/>
    <col min="19" max="19" width="13.375" style="258" customWidth="1"/>
    <col min="20" max="21" width="10.125" style="258" customWidth="1"/>
    <col min="22" max="29" width="8.875" style="258"/>
    <col min="30" max="30" width="11.5" style="258" bestFit="1" customWidth="1"/>
    <col min="31" max="32" width="11.625" style="258" customWidth="1"/>
    <col min="33" max="33" width="10.875" style="258" customWidth="1"/>
    <col min="34" max="35" width="11" style="258" customWidth="1"/>
    <col min="36" max="36" width="8.875" style="258"/>
    <col min="37" max="38" width="13.125" style="258" bestFit="1" customWidth="1"/>
    <col min="39" max="40" width="13" style="258" bestFit="1" customWidth="1"/>
    <col min="41" max="41" width="11.5" style="258" bestFit="1" customWidth="1"/>
    <col min="42" max="43" width="11.5" style="258" customWidth="1"/>
    <col min="44" max="44" width="12.375" style="258" customWidth="1"/>
    <col min="45" max="45" width="14.875" style="258" customWidth="1"/>
    <col min="46" max="46" width="16.375" style="258" customWidth="1"/>
    <col min="47" max="51" width="11.5" style="258" customWidth="1"/>
    <col min="52" max="61" width="8.875" style="258"/>
    <col min="62" max="63" width="12.625" style="258" customWidth="1"/>
    <col min="64" max="65" width="10.375" style="258" customWidth="1"/>
    <col min="66" max="66" width="10.5" style="258" customWidth="1"/>
    <col min="67" max="68" width="11.5" style="258" customWidth="1"/>
    <col min="69" max="69" width="15.5" style="258" customWidth="1"/>
    <col min="70" max="70" width="16.125" style="258" customWidth="1"/>
    <col min="71" max="71" width="18.125" style="258" customWidth="1"/>
    <col min="72" max="75" width="11.5" style="258" customWidth="1"/>
    <col min="76" max="77" width="8.875" style="258"/>
    <col min="78" max="78" width="11.5" style="258" bestFit="1" customWidth="1"/>
    <col min="79" max="84" width="8.875" style="258"/>
    <col min="85" max="85" width="11.5" style="258" bestFit="1" customWidth="1"/>
    <col min="86" max="88" width="8.875" style="258"/>
    <col min="89" max="90" width="11.5" style="258" bestFit="1" customWidth="1"/>
    <col min="91" max="16384" width="8.875" style="258"/>
  </cols>
  <sheetData>
    <row r="1" spans="1:83" ht="64">
      <c r="A1" s="729" t="s">
        <v>205</v>
      </c>
      <c r="B1" s="472" t="s">
        <v>206</v>
      </c>
      <c r="C1" s="473" t="s">
        <v>218</v>
      </c>
      <c r="D1" s="472" t="s">
        <v>394</v>
      </c>
      <c r="E1" s="472" t="s">
        <v>395</v>
      </c>
      <c r="F1" s="268" t="s">
        <v>209</v>
      </c>
      <c r="G1" s="1049" t="s">
        <v>208</v>
      </c>
      <c r="H1" s="116" t="s">
        <v>396</v>
      </c>
      <c r="I1" s="116"/>
      <c r="J1" s="116"/>
      <c r="K1" s="116"/>
      <c r="L1" s="116"/>
      <c r="M1" s="317"/>
      <c r="N1" s="278"/>
      <c r="O1" s="98"/>
      <c r="P1" s="116" t="s">
        <v>276</v>
      </c>
      <c r="Q1" s="116"/>
      <c r="R1" s="116"/>
      <c r="S1" s="116"/>
      <c r="T1" s="116"/>
      <c r="U1" s="318"/>
      <c r="V1"/>
      <c r="W1" s="116" t="s">
        <v>207</v>
      </c>
      <c r="X1" s="116"/>
      <c r="Y1" s="116"/>
      <c r="Z1" s="116"/>
      <c r="AA1" s="116"/>
      <c r="AB1" s="318"/>
      <c r="AC1"/>
      <c r="AD1" s="116" t="s">
        <v>279</v>
      </c>
      <c r="AE1" s="116"/>
      <c r="AF1" s="116"/>
      <c r="AG1" s="116"/>
      <c r="AH1" s="116"/>
      <c r="AI1" s="318"/>
      <c r="AK1" s="283" t="s">
        <v>225</v>
      </c>
      <c r="AL1" s="318"/>
      <c r="AM1" s="116"/>
      <c r="AN1" s="116"/>
      <c r="AO1" s="116"/>
      <c r="AQ1" s="318"/>
      <c r="AR1" s="318"/>
      <c r="AS1" s="471" t="s">
        <v>384</v>
      </c>
      <c r="AT1" s="666"/>
      <c r="AU1" s="666"/>
      <c r="AV1" s="666"/>
      <c r="AW1" s="666"/>
      <c r="AX1" s="666"/>
      <c r="AY1" s="318"/>
      <c r="BA1" s="471" t="s">
        <v>277</v>
      </c>
      <c r="BB1" s="666"/>
      <c r="BC1" s="666"/>
      <c r="BD1" s="666"/>
      <c r="BE1" s="666"/>
      <c r="BF1" s="666"/>
      <c r="BJ1" s="1161" t="s">
        <v>242</v>
      </c>
      <c r="BK1" s="1162"/>
      <c r="BL1" s="1162"/>
      <c r="BM1" s="1162"/>
      <c r="BN1" s="1162"/>
      <c r="BO1" s="318"/>
      <c r="BP1" s="318"/>
      <c r="BQ1" s="318"/>
      <c r="BR1" s="471" t="s">
        <v>397</v>
      </c>
      <c r="BS1" s="666"/>
      <c r="BT1" s="666"/>
      <c r="BU1" s="666"/>
      <c r="BV1" s="666"/>
      <c r="BW1" s="666"/>
      <c r="BY1"/>
      <c r="BZ1" s="116" t="s">
        <v>243</v>
      </c>
      <c r="CA1" s="116"/>
      <c r="CB1" s="116"/>
      <c r="CC1" s="116"/>
      <c r="CD1" s="116"/>
    </row>
    <row r="2" spans="1:83" ht="48">
      <c r="A2" s="474"/>
      <c r="B2" s="474"/>
      <c r="C2" s="474"/>
      <c r="D2" s="474"/>
      <c r="E2" s="474"/>
      <c r="H2" s="277" t="s">
        <v>239</v>
      </c>
      <c r="I2" s="277" t="s">
        <v>219</v>
      </c>
      <c r="J2" s="277" t="s">
        <v>220</v>
      </c>
      <c r="K2" s="277" t="s">
        <v>221</v>
      </c>
      <c r="L2" s="277" t="s">
        <v>222</v>
      </c>
      <c r="M2" s="319" t="s">
        <v>244</v>
      </c>
      <c r="N2" s="279"/>
      <c r="O2" s="115" t="s">
        <v>234</v>
      </c>
      <c r="P2" s="277" t="s">
        <v>217</v>
      </c>
      <c r="Q2" s="277" t="s">
        <v>219</v>
      </c>
      <c r="R2" s="277" t="s">
        <v>220</v>
      </c>
      <c r="S2" s="277" t="s">
        <v>221</v>
      </c>
      <c r="T2" s="277" t="s">
        <v>222</v>
      </c>
      <c r="U2" s="319" t="s">
        <v>244</v>
      </c>
      <c r="V2" s="7"/>
      <c r="W2" s="277" t="s">
        <v>217</v>
      </c>
      <c r="X2" s="277" t="s">
        <v>219</v>
      </c>
      <c r="Y2" s="277" t="s">
        <v>220</v>
      </c>
      <c r="Z2" s="277" t="s">
        <v>221</v>
      </c>
      <c r="AA2" s="277" t="s">
        <v>222</v>
      </c>
      <c r="AB2" s="319" t="s">
        <v>244</v>
      </c>
      <c r="AC2" s="7"/>
      <c r="AD2" s="277" t="s">
        <v>217</v>
      </c>
      <c r="AE2" s="277" t="s">
        <v>219</v>
      </c>
      <c r="AF2" s="277" t="s">
        <v>220</v>
      </c>
      <c r="AG2" s="277" t="s">
        <v>221</v>
      </c>
      <c r="AH2" s="277" t="s">
        <v>222</v>
      </c>
      <c r="AI2" s="319" t="s">
        <v>244</v>
      </c>
      <c r="AK2" s="277" t="s">
        <v>217</v>
      </c>
      <c r="AL2" s="277" t="s">
        <v>219</v>
      </c>
      <c r="AM2" s="277" t="s">
        <v>220</v>
      </c>
      <c r="AN2" s="277" t="s">
        <v>221</v>
      </c>
      <c r="AO2" s="277" t="s">
        <v>222</v>
      </c>
      <c r="AP2" s="319" t="s">
        <v>244</v>
      </c>
      <c r="AQ2" s="470"/>
      <c r="AR2" s="470"/>
      <c r="AS2" s="277" t="s">
        <v>217</v>
      </c>
      <c r="AT2" s="277" t="s">
        <v>219</v>
      </c>
      <c r="AU2" s="277" t="s">
        <v>220</v>
      </c>
      <c r="AV2" s="277" t="s">
        <v>221</v>
      </c>
      <c r="AW2" s="277" t="s">
        <v>222</v>
      </c>
      <c r="AX2" s="277" t="s">
        <v>244</v>
      </c>
      <c r="AY2" s="470"/>
      <c r="BA2" s="277" t="s">
        <v>217</v>
      </c>
      <c r="BB2" s="277" t="s">
        <v>219</v>
      </c>
      <c r="BC2" s="277" t="s">
        <v>220</v>
      </c>
      <c r="BD2" s="277" t="s">
        <v>221</v>
      </c>
      <c r="BE2" s="277" t="s">
        <v>222</v>
      </c>
      <c r="BF2" s="277" t="s">
        <v>244</v>
      </c>
      <c r="BJ2" s="277" t="s">
        <v>217</v>
      </c>
      <c r="BK2" s="277" t="s">
        <v>219</v>
      </c>
      <c r="BL2" s="277" t="s">
        <v>220</v>
      </c>
      <c r="BM2" s="277" t="s">
        <v>221</v>
      </c>
      <c r="BN2" s="277" t="s">
        <v>222</v>
      </c>
      <c r="BO2" s="319" t="s">
        <v>244</v>
      </c>
      <c r="BP2" s="470"/>
      <c r="BQ2" s="470"/>
      <c r="BR2" s="277" t="s">
        <v>217</v>
      </c>
      <c r="BS2" s="277" t="s">
        <v>219</v>
      </c>
      <c r="BT2" s="277" t="s">
        <v>220</v>
      </c>
      <c r="BU2" s="277" t="s">
        <v>221</v>
      </c>
      <c r="BV2" s="277" t="s">
        <v>222</v>
      </c>
      <c r="BW2" s="277" t="s">
        <v>244</v>
      </c>
      <c r="BY2" s="7"/>
      <c r="BZ2" s="277" t="s">
        <v>217</v>
      </c>
      <c r="CA2" s="277" t="s">
        <v>219</v>
      </c>
      <c r="CB2" s="277" t="s">
        <v>220</v>
      </c>
      <c r="CC2" s="277" t="s">
        <v>221</v>
      </c>
      <c r="CD2" s="277" t="s">
        <v>222</v>
      </c>
      <c r="CE2" s="319" t="s">
        <v>244</v>
      </c>
    </row>
    <row r="3" spans="1:83" ht="20.25" customHeight="1">
      <c r="A3" s="285">
        <f>Odd_Even!A8</f>
        <v>1960</v>
      </c>
      <c r="B3" s="285">
        <f>A3+2</f>
        <v>1962</v>
      </c>
      <c r="C3" s="475">
        <v>-1.1583333330000001</v>
      </c>
      <c r="D3" s="623">
        <f>Odd_Even!E8</f>
        <v>1350722</v>
      </c>
      <c r="E3" s="623">
        <f>Odd_Even!H8</f>
        <v>8760326</v>
      </c>
      <c r="F3" s="1083" t="b">
        <f>ISEVEN(B3)</f>
        <v>1</v>
      </c>
      <c r="G3" s="259">
        <f>B3</f>
        <v>1962</v>
      </c>
      <c r="H3" s="465"/>
      <c r="I3" s="465"/>
      <c r="J3" s="465"/>
      <c r="K3" s="465"/>
      <c r="L3" s="465"/>
      <c r="M3" s="465"/>
      <c r="N3" s="280"/>
      <c r="O3" s="262"/>
      <c r="P3" s="264"/>
      <c r="Q3" s="264"/>
      <c r="R3" s="264"/>
      <c r="S3" s="264"/>
      <c r="T3" s="264"/>
      <c r="U3" s="264"/>
      <c r="V3" s="262"/>
      <c r="W3" s="261"/>
      <c r="X3" s="261"/>
      <c r="Y3" s="261"/>
      <c r="Z3" s="261"/>
      <c r="AA3" s="261"/>
      <c r="AB3" s="261"/>
      <c r="AC3" s="262"/>
      <c r="AD3" s="262"/>
      <c r="AE3" s="262"/>
      <c r="AF3" s="262"/>
      <c r="AG3" s="262"/>
      <c r="AH3" s="262"/>
      <c r="AI3" s="262"/>
      <c r="AK3" s="1038"/>
      <c r="AL3" s="1038"/>
      <c r="AM3" s="1038"/>
      <c r="AN3" s="1038"/>
      <c r="AO3" s="1038"/>
      <c r="AP3" s="1038"/>
      <c r="AQ3" s="1038"/>
      <c r="AR3" s="1038"/>
      <c r="AS3" s="1038"/>
      <c r="AT3" s="1038"/>
      <c r="AU3" s="1038"/>
      <c r="AV3" s="1038"/>
      <c r="AW3" s="1038"/>
      <c r="AX3" s="1038"/>
      <c r="BJ3" s="624"/>
      <c r="BK3" s="1038"/>
      <c r="BL3" s="1038"/>
      <c r="BM3" s="1038"/>
      <c r="BN3" s="1038"/>
      <c r="BO3" s="1038"/>
      <c r="BP3" s="1038"/>
      <c r="BQ3" s="1038"/>
      <c r="BR3" s="1069"/>
      <c r="BS3" s="1069"/>
      <c r="BT3" s="1038"/>
      <c r="BU3" s="1038"/>
      <c r="BV3" s="1038"/>
      <c r="BW3" s="1038"/>
      <c r="BY3" s="262"/>
      <c r="BZ3" s="262"/>
      <c r="CA3" s="262"/>
      <c r="CB3" s="262"/>
      <c r="CC3" s="262"/>
      <c r="CD3" s="262"/>
    </row>
    <row r="4" spans="1:83">
      <c r="A4" s="285">
        <f>Odd_Even!A9</f>
        <v>1961</v>
      </c>
      <c r="B4" s="285">
        <f t="shared" ref="B4:B54" si="0">A4+2</f>
        <v>1963</v>
      </c>
      <c r="C4" s="475">
        <v>-0.68583333300000004</v>
      </c>
      <c r="D4" s="623">
        <f>Odd_Even!E9</f>
        <v>2198980</v>
      </c>
      <c r="E4" s="623">
        <f>Odd_Even!H9</f>
        <v>6651118</v>
      </c>
      <c r="F4" s="1083" t="b">
        <f t="shared" ref="F4:F56" si="1">ISEVEN(B4)</f>
        <v>0</v>
      </c>
      <c r="G4" s="259">
        <f t="shared" ref="G4:G50" si="2">B4</f>
        <v>1963</v>
      </c>
      <c r="H4" s="465"/>
      <c r="I4" s="465"/>
      <c r="J4" s="465"/>
      <c r="K4" s="465"/>
      <c r="L4" s="465"/>
      <c r="M4" s="465"/>
      <c r="N4" s="280"/>
      <c r="O4" s="262"/>
      <c r="P4" s="264"/>
      <c r="Q4" s="459"/>
      <c r="R4" s="264"/>
      <c r="S4" s="264"/>
      <c r="T4" s="264"/>
      <c r="U4" s="264"/>
      <c r="V4" s="262"/>
      <c r="W4" s="261"/>
      <c r="X4" s="261"/>
      <c r="Y4" s="261"/>
      <c r="Z4" s="261"/>
      <c r="AA4" s="261"/>
      <c r="AB4" s="261"/>
      <c r="AC4" s="262"/>
      <c r="AD4" s="262"/>
      <c r="AE4" s="262"/>
      <c r="AF4" s="262"/>
      <c r="AG4" s="262"/>
      <c r="AH4" s="262"/>
      <c r="AI4" s="262"/>
      <c r="AK4" s="1038"/>
      <c r="AL4" s="1038"/>
      <c r="AM4" s="1038"/>
      <c r="AN4" s="1038"/>
      <c r="AO4" s="1038"/>
      <c r="AP4" s="1038"/>
      <c r="AQ4" s="1038"/>
      <c r="AR4" s="1038"/>
      <c r="AS4" s="1038"/>
      <c r="AT4" s="1038"/>
      <c r="AU4" s="1038"/>
      <c r="AV4" s="1038"/>
      <c r="AW4" s="1038"/>
      <c r="AX4" s="1038"/>
      <c r="BJ4" s="624" t="str">
        <f t="shared" ref="BJ4:BJ35" si="3">IF($F4=TRUE,ABS($E4-H4),"")</f>
        <v/>
      </c>
      <c r="BK4" s="1038"/>
      <c r="BL4" s="1038"/>
      <c r="BM4" s="1038"/>
      <c r="BN4" s="1038"/>
      <c r="BO4" s="1038"/>
      <c r="BP4" s="1038"/>
      <c r="BQ4" s="1038"/>
      <c r="BR4" s="1069" t="str">
        <f t="shared" ref="BR4:BW53" si="4">IF($F4 =TRUE,(P4/$E4), " ")</f>
        <v xml:space="preserve"> </v>
      </c>
      <c r="BS4" s="1069"/>
      <c r="BT4" s="1038"/>
      <c r="BU4" s="1038"/>
      <c r="BV4" s="1038"/>
      <c r="BW4" s="1038"/>
      <c r="BY4" s="262"/>
      <c r="BZ4" s="262"/>
      <c r="CA4" s="262"/>
      <c r="CB4" s="262"/>
      <c r="CC4" s="262"/>
      <c r="CD4" s="262"/>
    </row>
    <row r="5" spans="1:83">
      <c r="A5" s="285">
        <f>Odd_Even!A10</f>
        <v>1962</v>
      </c>
      <c r="B5" s="285">
        <f t="shared" si="0"/>
        <v>1964</v>
      </c>
      <c r="C5" s="475">
        <v>-0.77</v>
      </c>
      <c r="D5" s="623">
        <f>Odd_Even!E10</f>
        <v>2018010</v>
      </c>
      <c r="E5" s="623">
        <f>Odd_Even!H10</f>
        <v>6048576</v>
      </c>
      <c r="F5" s="1083" t="b">
        <f t="shared" si="1"/>
        <v>1</v>
      </c>
      <c r="G5" s="259">
        <f t="shared" si="2"/>
        <v>1964</v>
      </c>
      <c r="H5" s="465">
        <f>$E3</f>
        <v>8760326</v>
      </c>
      <c r="I5" s="465"/>
      <c r="J5" s="465"/>
      <c r="K5" s="465"/>
      <c r="L5" s="465"/>
      <c r="M5" s="465"/>
      <c r="N5" s="280"/>
      <c r="O5" s="276">
        <f>RANK(P5,$P$5:$P$59)</f>
        <v>14</v>
      </c>
      <c r="P5" s="459">
        <f>H5-E5</f>
        <v>2711750</v>
      </c>
      <c r="Q5" s="459"/>
      <c r="R5" s="459"/>
      <c r="S5" s="459"/>
      <c r="T5" s="459"/>
      <c r="U5" s="459"/>
      <c r="V5" s="262"/>
      <c r="W5" s="261">
        <f>(P5/$E5)</f>
        <v>0.44832866446581809</v>
      </c>
      <c r="X5" s="261"/>
      <c r="Y5" s="261"/>
      <c r="Z5" s="261"/>
      <c r="AA5" s="261"/>
      <c r="AB5" s="261"/>
      <c r="AC5" s="262"/>
      <c r="AD5" s="302">
        <f>ABS(W5)</f>
        <v>0.44832866446581809</v>
      </c>
      <c r="AE5" s="302"/>
      <c r="AF5" s="302"/>
      <c r="AG5" s="302"/>
      <c r="AH5" s="302"/>
      <c r="AI5" s="302"/>
      <c r="AK5" s="624"/>
      <c r="AL5" s="1038"/>
      <c r="AM5" s="1038"/>
      <c r="AN5" s="1038"/>
      <c r="AO5" s="1038"/>
      <c r="AP5" s="1038"/>
      <c r="AQ5" s="1038"/>
      <c r="AR5" s="1038"/>
      <c r="AS5" s="1038"/>
      <c r="AT5" s="1038"/>
      <c r="AU5" s="1038"/>
      <c r="AV5" s="1038"/>
      <c r="AW5" s="1038"/>
      <c r="AX5" s="1038"/>
      <c r="BJ5" s="624">
        <f t="shared" si="3"/>
        <v>2711750</v>
      </c>
      <c r="BK5" s="1038"/>
      <c r="BL5" s="1038"/>
      <c r="BM5" s="1038"/>
      <c r="BN5" s="1038"/>
      <c r="BO5" s="1038"/>
      <c r="BP5" s="1038"/>
      <c r="BQ5" s="1038"/>
      <c r="BR5" s="1069">
        <f>IF($F5 =TRUE,(P5/$E5), " ")</f>
        <v>0.44832866446581809</v>
      </c>
      <c r="BS5" s="1069"/>
      <c r="BT5" s="1038"/>
      <c r="BU5" s="1038"/>
      <c r="BV5" s="1038"/>
      <c r="BW5" s="1038"/>
      <c r="BY5" s="262"/>
      <c r="BZ5" s="302">
        <f t="shared" ref="BZ5:BZ36" si="5">IF($F5 =TRUE,ABS(BJ5/$E5), " ")</f>
        <v>0.44832866446581809</v>
      </c>
      <c r="CA5" s="301"/>
      <c r="CB5" s="301"/>
      <c r="CC5" s="301"/>
      <c r="CD5" s="301"/>
    </row>
    <row r="6" spans="1:83">
      <c r="A6" s="285">
        <f>Odd_Even!A11</f>
        <v>1963</v>
      </c>
      <c r="B6" s="285">
        <f t="shared" si="0"/>
        <v>1965</v>
      </c>
      <c r="C6" s="475">
        <v>-0.31416666700000001</v>
      </c>
      <c r="D6" s="623">
        <f>Odd_Even!E11</f>
        <v>1355740</v>
      </c>
      <c r="E6" s="623">
        <f>Odd_Even!H11</f>
        <v>3436427</v>
      </c>
      <c r="F6" s="1083" t="b">
        <f t="shared" si="1"/>
        <v>0</v>
      </c>
      <c r="G6" s="259">
        <f t="shared" si="2"/>
        <v>1965</v>
      </c>
      <c r="H6" s="465">
        <f t="shared" ref="H6:H49" si="6">$E4</f>
        <v>6651118</v>
      </c>
      <c r="I6" s="465"/>
      <c r="J6" s="465"/>
      <c r="K6" s="465"/>
      <c r="L6" s="465"/>
      <c r="M6" s="465"/>
      <c r="N6" s="280"/>
      <c r="O6" s="276">
        <f t="shared" ref="O6:O36" si="7">RANK(P6,$P$5:$P$59)</f>
        <v>12</v>
      </c>
      <c r="P6" s="459">
        <f t="shared" ref="P6:P54" si="8">H6-E6</f>
        <v>3214691</v>
      </c>
      <c r="Q6" s="459"/>
      <c r="R6" s="459"/>
      <c r="S6" s="459"/>
      <c r="T6" s="459"/>
      <c r="U6" s="459"/>
      <c r="V6" s="262"/>
      <c r="W6" s="261">
        <f t="shared" ref="W6:W50" si="9">(P6/$E6)</f>
        <v>0.93547484058296593</v>
      </c>
      <c r="X6" s="261"/>
      <c r="Y6" s="261"/>
      <c r="Z6" s="261"/>
      <c r="AA6" s="261"/>
      <c r="AB6" s="261"/>
      <c r="AC6" s="262"/>
      <c r="AD6" s="302">
        <f t="shared" ref="AD6:AD48" si="10">ABS(W6)</f>
        <v>0.93547484058296593</v>
      </c>
      <c r="AE6" s="302"/>
      <c r="AF6" s="302"/>
      <c r="AG6" s="302"/>
      <c r="AH6" s="302"/>
      <c r="AI6" s="302"/>
      <c r="AK6" s="624">
        <f>IF($F6=FALSE,ABS($E6-H6),"")</f>
        <v>3214691</v>
      </c>
      <c r="AL6" s="1038"/>
      <c r="AM6" s="1038"/>
      <c r="AN6" s="1038"/>
      <c r="AO6" s="1038"/>
      <c r="AP6" s="1038"/>
      <c r="AQ6" s="1038"/>
      <c r="AR6" s="1038"/>
      <c r="AS6" s="1069">
        <f>IF($F6 =FALSE,(P6/$E6), " ")</f>
        <v>0.93547484058296593</v>
      </c>
      <c r="AT6" s="1038"/>
      <c r="AU6" s="1038"/>
      <c r="AV6" s="1038"/>
      <c r="AW6" s="1038"/>
      <c r="AX6" s="1038"/>
      <c r="BA6" s="302">
        <f t="shared" ref="BA6:BA50" si="11">IF($F6 =FALSE,ABS(AK6/$E6), " ")</f>
        <v>0.93547484058296593</v>
      </c>
      <c r="BB6" s="302"/>
      <c r="BC6" s="302"/>
      <c r="BD6" s="302"/>
      <c r="BE6" s="302"/>
      <c r="BF6" s="302"/>
      <c r="BJ6" s="624" t="str">
        <f t="shared" si="3"/>
        <v/>
      </c>
      <c r="BK6" s="1038"/>
      <c r="BL6" s="1038"/>
      <c r="BM6" s="1038"/>
      <c r="BN6" s="1038"/>
      <c r="BO6" s="1038"/>
      <c r="BP6" s="1038"/>
      <c r="BQ6" s="1038"/>
      <c r="BR6" s="1069" t="str">
        <f t="shared" si="4"/>
        <v xml:space="preserve"> </v>
      </c>
      <c r="BS6" s="1069" t="str">
        <f t="shared" si="4"/>
        <v xml:space="preserve"> </v>
      </c>
      <c r="BT6" s="1038"/>
      <c r="BU6" s="1038"/>
      <c r="BV6" s="1038"/>
      <c r="BW6" s="1038"/>
      <c r="BY6" s="262"/>
      <c r="BZ6" s="302" t="str">
        <f t="shared" si="5"/>
        <v xml:space="preserve"> </v>
      </c>
      <c r="CA6" s="301"/>
      <c r="CB6" s="301"/>
      <c r="CC6" s="301"/>
      <c r="CD6" s="301"/>
    </row>
    <row r="7" spans="1:83">
      <c r="A7" s="285">
        <f>Odd_Even!A12</f>
        <v>1964</v>
      </c>
      <c r="B7" s="285">
        <f t="shared" si="0"/>
        <v>1966</v>
      </c>
      <c r="C7" s="475">
        <v>-0.45916666699999997</v>
      </c>
      <c r="D7" s="623">
        <f>Odd_Even!E12</f>
        <v>1841680</v>
      </c>
      <c r="E7" s="623">
        <f>Odd_Even!H12</f>
        <v>4122588</v>
      </c>
      <c r="F7" s="1083" t="b">
        <f t="shared" si="1"/>
        <v>1</v>
      </c>
      <c r="G7" s="259">
        <f t="shared" si="2"/>
        <v>1966</v>
      </c>
      <c r="H7" s="465">
        <f t="shared" si="6"/>
        <v>6048576</v>
      </c>
      <c r="I7" s="465">
        <f>AVERAGE($E5,$E3)</f>
        <v>7404451</v>
      </c>
      <c r="J7" s="465"/>
      <c r="K7" s="465"/>
      <c r="L7" s="465"/>
      <c r="M7" s="465"/>
      <c r="N7" s="280"/>
      <c r="O7" s="276">
        <f t="shared" si="7"/>
        <v>15</v>
      </c>
      <c r="P7" s="459">
        <f t="shared" si="8"/>
        <v>1925988</v>
      </c>
      <c r="Q7" s="459">
        <f>I7-E7</f>
        <v>3281863</v>
      </c>
      <c r="R7" s="459"/>
      <c r="S7" s="459"/>
      <c r="T7" s="459"/>
      <c r="U7" s="459"/>
      <c r="V7" s="262"/>
      <c r="W7" s="261">
        <f t="shared" si="9"/>
        <v>0.46717935432791247</v>
      </c>
      <c r="X7" s="261">
        <f t="shared" ref="X7:AA20" si="12">(Q7/$E7)</f>
        <v>0.7960686345567396</v>
      </c>
      <c r="Y7" s="261"/>
      <c r="Z7" s="261"/>
      <c r="AA7" s="261"/>
      <c r="AB7" s="261"/>
      <c r="AC7" s="262"/>
      <c r="AD7" s="302">
        <f>ABS(W7)</f>
        <v>0.46717935432791247</v>
      </c>
      <c r="AE7" s="302">
        <f>ABS(X7)</f>
        <v>0.7960686345567396</v>
      </c>
      <c r="AF7" s="302"/>
      <c r="AG7" s="302"/>
      <c r="AH7" s="302"/>
      <c r="AI7" s="302"/>
      <c r="AK7" s="624" t="str">
        <f t="shared" ref="AK7:AK49" si="13">IF($F7=FALSE,ABS($E7-H7),"")</f>
        <v/>
      </c>
      <c r="AL7" s="1038"/>
      <c r="AM7" s="1038"/>
      <c r="AN7" s="1038"/>
      <c r="AO7" s="1038"/>
      <c r="AP7" s="1038"/>
      <c r="AQ7" s="1038"/>
      <c r="AR7" s="1038"/>
      <c r="AS7" s="1069" t="str">
        <f t="shared" ref="AS7:AS52" si="14">IF($F7 =FALSE,(P7/$E7), " ")</f>
        <v xml:space="preserve"> </v>
      </c>
      <c r="AT7" s="1038"/>
      <c r="AU7" s="1038"/>
      <c r="AV7" s="1038"/>
      <c r="AW7" s="1038"/>
      <c r="AX7" s="1038"/>
      <c r="BA7" s="302" t="str">
        <f t="shared" si="11"/>
        <v xml:space="preserve"> </v>
      </c>
      <c r="BJ7" s="624">
        <f t="shared" si="3"/>
        <v>1925988</v>
      </c>
      <c r="BK7" s="624">
        <f>IF($F7=TRUE,ABS($E7-I7),"")</f>
        <v>3281863</v>
      </c>
      <c r="BL7" s="624"/>
      <c r="BM7" s="624"/>
      <c r="BN7" s="624"/>
      <c r="BO7" s="624"/>
      <c r="BP7" s="624"/>
      <c r="BQ7" s="624"/>
      <c r="BR7" s="1069">
        <f t="shared" si="4"/>
        <v>0.46717935432791247</v>
      </c>
      <c r="BS7" s="1069">
        <f t="shared" si="4"/>
        <v>0.7960686345567396</v>
      </c>
      <c r="BT7" s="624"/>
      <c r="BU7" s="624"/>
      <c r="BV7" s="624"/>
      <c r="BW7" s="624"/>
      <c r="BY7" s="262"/>
      <c r="BZ7" s="302">
        <f t="shared" si="5"/>
        <v>0.46717935432791247</v>
      </c>
      <c r="CA7" s="302">
        <f t="shared" ref="CA7:CA53" si="15">IF($F7 =TRUE,ABS(BK7/$E7), " ")</f>
        <v>0.7960686345567396</v>
      </c>
      <c r="CB7" s="302"/>
      <c r="CC7" s="302"/>
      <c r="CD7" s="302"/>
    </row>
    <row r="8" spans="1:83">
      <c r="A8" s="285">
        <f>Odd_Even!A13</f>
        <v>1965</v>
      </c>
      <c r="B8" s="285">
        <f t="shared" si="0"/>
        <v>1967</v>
      </c>
      <c r="C8" s="475">
        <v>-0.734166667</v>
      </c>
      <c r="D8" s="623">
        <f>Odd_Even!E13</f>
        <v>975956</v>
      </c>
      <c r="E8" s="623">
        <f>Odd_Even!H13</f>
        <v>3468600</v>
      </c>
      <c r="F8" s="1083" t="b">
        <f t="shared" si="1"/>
        <v>0</v>
      </c>
      <c r="G8" s="259">
        <f t="shared" si="2"/>
        <v>1967</v>
      </c>
      <c r="H8" s="465">
        <f t="shared" si="6"/>
        <v>3436427</v>
      </c>
      <c r="I8" s="465">
        <f t="shared" ref="I8:I51" si="16">AVERAGE($E6,$E4)</f>
        <v>5043772.5</v>
      </c>
      <c r="J8" s="465"/>
      <c r="K8" s="465"/>
      <c r="L8" s="465"/>
      <c r="M8" s="465"/>
      <c r="N8" s="280"/>
      <c r="O8" s="276">
        <f t="shared" si="7"/>
        <v>25</v>
      </c>
      <c r="P8" s="459">
        <f t="shared" si="8"/>
        <v>-32173</v>
      </c>
      <c r="Q8" s="459">
        <f t="shared" ref="Q8:Q54" si="17">I8-E8</f>
        <v>1575172.5</v>
      </c>
      <c r="R8" s="459"/>
      <c r="S8" s="459"/>
      <c r="T8" s="459"/>
      <c r="U8" s="459"/>
      <c r="V8" s="262"/>
      <c r="W8" s="261">
        <f t="shared" si="9"/>
        <v>-9.2755002018105291E-3</v>
      </c>
      <c r="X8" s="261">
        <f t="shared" si="12"/>
        <v>0.45412342155336449</v>
      </c>
      <c r="Y8" s="261"/>
      <c r="Z8" s="261"/>
      <c r="AA8" s="261"/>
      <c r="AB8" s="261"/>
      <c r="AC8" s="262"/>
      <c r="AD8" s="302">
        <f t="shared" si="10"/>
        <v>9.2755002018105291E-3</v>
      </c>
      <c r="AE8" s="302">
        <f t="shared" ref="AE8:AE49" si="18">ABS(X8)</f>
        <v>0.45412342155336449</v>
      </c>
      <c r="AF8" s="302"/>
      <c r="AG8" s="302"/>
      <c r="AH8" s="302"/>
      <c r="AI8" s="302"/>
      <c r="AK8" s="624">
        <f t="shared" si="13"/>
        <v>32173</v>
      </c>
      <c r="AL8" s="624">
        <f t="shared" ref="AL8:AL50" si="19">IF($F8=FALSE,ABS($E8-I8),"")</f>
        <v>1575172.5</v>
      </c>
      <c r="AM8" s="1038"/>
      <c r="AN8" s="1038"/>
      <c r="AO8" s="1038"/>
      <c r="AP8" s="1038"/>
      <c r="AQ8" s="1038"/>
      <c r="AR8" s="1038"/>
      <c r="AS8" s="1069">
        <f t="shared" si="14"/>
        <v>-9.2755002018105291E-3</v>
      </c>
      <c r="AT8" s="1069">
        <f>IF($F8 =FALSE,(Q8/$E8), " ")</f>
        <v>0.45412342155336449</v>
      </c>
      <c r="AU8" s="1038"/>
      <c r="AV8" s="1038"/>
      <c r="AW8" s="1038"/>
      <c r="AX8" s="1038"/>
      <c r="BA8" s="314">
        <f t="shared" si="11"/>
        <v>9.2755002018105291E-3</v>
      </c>
      <c r="BB8" s="302">
        <f t="shared" ref="BB8:BB50" si="20">IF($F8 =FALSE,ABS(AL8/$E8), " ")</f>
        <v>0.45412342155336449</v>
      </c>
      <c r="BJ8" s="624" t="str">
        <f t="shared" si="3"/>
        <v/>
      </c>
      <c r="BK8" s="624" t="str">
        <f>IF($F8=TRUE,ABS($E8-Q8),"")</f>
        <v/>
      </c>
      <c r="BL8" s="1038"/>
      <c r="BM8" s="1038"/>
      <c r="BN8" s="1038"/>
      <c r="BO8" s="1038"/>
      <c r="BP8" s="1038"/>
      <c r="BQ8" s="1038"/>
      <c r="BR8" s="1069" t="str">
        <f t="shared" si="4"/>
        <v xml:space="preserve"> </v>
      </c>
      <c r="BS8" s="1069" t="str">
        <f t="shared" si="4"/>
        <v xml:space="preserve"> </v>
      </c>
      <c r="BT8" s="1038"/>
      <c r="BU8" s="1038"/>
      <c r="BV8" s="1038"/>
      <c r="BW8" s="1038"/>
      <c r="BY8" s="262"/>
      <c r="BZ8" s="302" t="str">
        <f t="shared" si="5"/>
        <v xml:space="preserve"> </v>
      </c>
      <c r="CA8" s="302" t="str">
        <f t="shared" si="15"/>
        <v xml:space="preserve"> </v>
      </c>
      <c r="CB8" s="302" t="str">
        <f>IF($F8 =TRUE,ABS(BL8/$E8), " ")</f>
        <v xml:space="preserve"> </v>
      </c>
      <c r="CC8" s="302" t="str">
        <f>IF($F8 =TRUE,ABS(BM8/$E8), " ")</f>
        <v xml:space="preserve"> </v>
      </c>
      <c r="CD8" s="302" t="str">
        <f>IF($F8 =TRUE,ABS(BN8/$E8), " ")</f>
        <v xml:space="preserve"> </v>
      </c>
    </row>
    <row r="9" spans="1:83">
      <c r="A9" s="285">
        <f>Odd_Even!A14</f>
        <v>1966</v>
      </c>
      <c r="B9" s="285">
        <f t="shared" si="0"/>
        <v>1968</v>
      </c>
      <c r="C9" s="475">
        <v>-0.40333333300000002</v>
      </c>
      <c r="D9" s="623">
        <f>Odd_Even!E14</f>
        <v>1423170</v>
      </c>
      <c r="E9" s="623">
        <f>Odd_Even!H14</f>
        <v>3608678</v>
      </c>
      <c r="F9" s="1083" t="b">
        <f t="shared" si="1"/>
        <v>1</v>
      </c>
      <c r="G9" s="259">
        <f t="shared" si="2"/>
        <v>1968</v>
      </c>
      <c r="H9" s="465">
        <f t="shared" si="6"/>
        <v>4122588</v>
      </c>
      <c r="I9" s="465">
        <f t="shared" si="16"/>
        <v>5085582</v>
      </c>
      <c r="J9" s="465">
        <f>AVERAGE($E7,$E5,$E3)</f>
        <v>6310496.666666667</v>
      </c>
      <c r="K9" s="465"/>
      <c r="L9" s="465"/>
      <c r="M9" s="465"/>
      <c r="N9" s="280"/>
      <c r="O9" s="276">
        <f t="shared" si="7"/>
        <v>22</v>
      </c>
      <c r="P9" s="459">
        <f t="shared" si="8"/>
        <v>513910</v>
      </c>
      <c r="Q9" s="459">
        <f t="shared" si="17"/>
        <v>1476904</v>
      </c>
      <c r="R9" s="459">
        <f>J9-E9</f>
        <v>2701818.666666667</v>
      </c>
      <c r="S9" s="459"/>
      <c r="T9" s="459"/>
      <c r="U9" s="459"/>
      <c r="V9" s="262"/>
      <c r="W9" s="261">
        <f t="shared" si="9"/>
        <v>0.14240949178618872</v>
      </c>
      <c r="X9" s="261">
        <f t="shared" si="12"/>
        <v>0.40926455616156387</v>
      </c>
      <c r="Y9" s="261">
        <f t="shared" si="12"/>
        <v>0.74870040127344883</v>
      </c>
      <c r="Z9" s="261"/>
      <c r="AA9" s="261"/>
      <c r="AB9" s="261"/>
      <c r="AC9" s="262"/>
      <c r="AD9" s="302">
        <f t="shared" si="10"/>
        <v>0.14240949178618872</v>
      </c>
      <c r="AE9" s="302">
        <f t="shared" si="18"/>
        <v>0.40926455616156387</v>
      </c>
      <c r="AF9" s="302">
        <f>ABS(Y9)</f>
        <v>0.74870040127344883</v>
      </c>
      <c r="AG9" s="302"/>
      <c r="AH9" s="302"/>
      <c r="AI9" s="302"/>
      <c r="AK9" s="624" t="str">
        <f t="shared" si="13"/>
        <v/>
      </c>
      <c r="AL9" s="624" t="str">
        <f t="shared" si="19"/>
        <v/>
      </c>
      <c r="AM9" s="1038"/>
      <c r="AN9" s="1038"/>
      <c r="AO9" s="1038"/>
      <c r="AP9" s="1038"/>
      <c r="AQ9" s="1038"/>
      <c r="AR9" s="1038"/>
      <c r="AS9" s="1069" t="str">
        <f t="shared" si="14"/>
        <v xml:space="preserve"> </v>
      </c>
      <c r="AT9" s="1069" t="str">
        <f t="shared" ref="AT9:AT52" si="21">IF($F9 =FALSE,(Q9/$E9), " ")</f>
        <v xml:space="preserve"> </v>
      </c>
      <c r="AU9" s="1038"/>
      <c r="AV9" s="1038"/>
      <c r="AW9" s="1038"/>
      <c r="AX9" s="1038"/>
      <c r="BA9" s="302" t="str">
        <f t="shared" si="11"/>
        <v xml:space="preserve"> </v>
      </c>
      <c r="BB9" s="302" t="str">
        <f t="shared" si="20"/>
        <v xml:space="preserve"> </v>
      </c>
      <c r="BJ9" s="624">
        <f t="shared" si="3"/>
        <v>513910</v>
      </c>
      <c r="BK9" s="624">
        <f>IF($F9=TRUE,ABS($E9-I9),"")</f>
        <v>1476904</v>
      </c>
      <c r="BL9" s="624">
        <f>IF($F9=TRUE,ABS($E9-J9),"")</f>
        <v>2701818.666666667</v>
      </c>
      <c r="BM9" s="1038"/>
      <c r="BN9" s="1038"/>
      <c r="BO9" s="1038"/>
      <c r="BP9" s="1038"/>
      <c r="BQ9" s="1038"/>
      <c r="BR9" s="1069">
        <f t="shared" si="4"/>
        <v>0.14240949178618872</v>
      </c>
      <c r="BS9" s="1069">
        <f t="shared" si="4"/>
        <v>0.40926455616156387</v>
      </c>
      <c r="BT9" s="1069">
        <f t="shared" si="4"/>
        <v>0.74870040127344883</v>
      </c>
      <c r="BU9" s="1038"/>
      <c r="BV9" s="1038"/>
      <c r="BW9" s="1038"/>
      <c r="BY9" s="262"/>
      <c r="BZ9" s="302">
        <f t="shared" si="5"/>
        <v>0.14240949178618872</v>
      </c>
      <c r="CA9" s="302">
        <f t="shared" si="15"/>
        <v>0.40926455616156387</v>
      </c>
      <c r="CB9" s="302">
        <f t="shared" ref="CB9:CB53" si="22">IF($F9 =TRUE,ABS(BL9/$E9), " ")</f>
        <v>0.74870040127344883</v>
      </c>
      <c r="CC9" s="302"/>
      <c r="CD9" s="302"/>
    </row>
    <row r="10" spans="1:83">
      <c r="A10" s="285">
        <f>Odd_Even!A15</f>
        <v>1967</v>
      </c>
      <c r="B10" s="285">
        <f t="shared" si="0"/>
        <v>1969</v>
      </c>
      <c r="C10" s="477">
        <v>-9.8333332999999995E-2</v>
      </c>
      <c r="D10" s="623">
        <f>Odd_Even!E15</f>
        <v>842260</v>
      </c>
      <c r="E10" s="623">
        <f>Odd_Even!H15</f>
        <v>5233149</v>
      </c>
      <c r="F10" s="1083" t="b">
        <f t="shared" si="1"/>
        <v>0</v>
      </c>
      <c r="G10" s="259">
        <f t="shared" si="2"/>
        <v>1969</v>
      </c>
      <c r="H10" s="465">
        <f t="shared" si="6"/>
        <v>3468600</v>
      </c>
      <c r="I10" s="465">
        <f t="shared" si="16"/>
        <v>3452513.5</v>
      </c>
      <c r="J10" s="465">
        <f t="shared" ref="J10:J56" si="23">AVERAGE($E8,$E6,$E4)</f>
        <v>4518715</v>
      </c>
      <c r="K10" s="465"/>
      <c r="L10" s="465"/>
      <c r="M10" s="465"/>
      <c r="N10" s="281"/>
      <c r="O10" s="276">
        <f t="shared" si="7"/>
        <v>31</v>
      </c>
      <c r="P10" s="459">
        <f t="shared" si="8"/>
        <v>-1764549</v>
      </c>
      <c r="Q10" s="459">
        <f t="shared" si="17"/>
        <v>-1780635.5</v>
      </c>
      <c r="R10" s="459">
        <f>J10-E10</f>
        <v>-714434</v>
      </c>
      <c r="S10" s="459"/>
      <c r="T10" s="459"/>
      <c r="U10" s="459"/>
      <c r="V10" s="262"/>
      <c r="W10" s="261">
        <f t="shared" si="9"/>
        <v>-0.33718684486147826</v>
      </c>
      <c r="X10" s="261">
        <f t="shared" si="12"/>
        <v>-0.34026080663860325</v>
      </c>
      <c r="Y10" s="261">
        <f t="shared" si="12"/>
        <v>-0.13652085962008725</v>
      </c>
      <c r="Z10" s="261"/>
      <c r="AA10" s="261"/>
      <c r="AB10" s="261"/>
      <c r="AC10" s="262"/>
      <c r="AD10" s="302">
        <f t="shared" si="10"/>
        <v>0.33718684486147826</v>
      </c>
      <c r="AE10" s="302">
        <f t="shared" si="18"/>
        <v>0.34026080663860325</v>
      </c>
      <c r="AF10" s="302">
        <f t="shared" ref="AF10:AF48" si="24">ABS(Y10)</f>
        <v>0.13652085962008725</v>
      </c>
      <c r="AG10" s="302"/>
      <c r="AH10" s="302"/>
      <c r="AI10" s="302"/>
      <c r="AK10" s="624">
        <f t="shared" si="13"/>
        <v>1764549</v>
      </c>
      <c r="AL10" s="624">
        <f t="shared" si="19"/>
        <v>1780635.5</v>
      </c>
      <c r="AM10" s="624">
        <f t="shared" ref="AM10:AM50" si="25">IF($F10=FALSE,ABS($E10-J10),"")</f>
        <v>714434</v>
      </c>
      <c r="AN10" s="1038"/>
      <c r="AO10" s="1038"/>
      <c r="AP10" s="1038"/>
      <c r="AQ10" s="1038"/>
      <c r="AR10" s="1038"/>
      <c r="AS10" s="1069">
        <f t="shared" si="14"/>
        <v>-0.33718684486147826</v>
      </c>
      <c r="AT10" s="1069">
        <f t="shared" si="21"/>
        <v>-0.34026080663860325</v>
      </c>
      <c r="AU10" s="1069">
        <f>IF($F10 =FALSE,(R10/$E10), " ")</f>
        <v>-0.13652085962008725</v>
      </c>
      <c r="AV10" s="1038"/>
      <c r="AW10" s="1038"/>
      <c r="AX10" s="1038"/>
      <c r="BA10" s="302">
        <f t="shared" si="11"/>
        <v>0.33718684486147826</v>
      </c>
      <c r="BB10" s="302">
        <f t="shared" si="20"/>
        <v>0.34026080663860325</v>
      </c>
      <c r="BC10" s="314">
        <f t="shared" ref="BC10:BC50" si="26">IF($F10 =FALSE,ABS(AM10/$E10), " ")</f>
        <v>0.13652085962008725</v>
      </c>
      <c r="BJ10" s="624" t="str">
        <f t="shared" si="3"/>
        <v/>
      </c>
      <c r="BK10" s="624" t="str">
        <f t="shared" ref="BK10:BK53" si="27">IF($F10=TRUE,ABS($E10-I10),"")</f>
        <v/>
      </c>
      <c r="BL10" s="624" t="str">
        <f>IF($F10=TRUE,ABS($E10-R10),"")</f>
        <v/>
      </c>
      <c r="BM10" s="1038"/>
      <c r="BN10" s="1038"/>
      <c r="BO10" s="1038"/>
      <c r="BP10" s="1038"/>
      <c r="BQ10" s="1038"/>
      <c r="BR10" s="1069" t="str">
        <f t="shared" si="4"/>
        <v xml:space="preserve"> </v>
      </c>
      <c r="BS10" s="1069" t="str">
        <f t="shared" si="4"/>
        <v xml:space="preserve"> </v>
      </c>
      <c r="BT10" s="1069" t="str">
        <f t="shared" si="4"/>
        <v xml:space="preserve"> </v>
      </c>
      <c r="BU10" s="1038"/>
      <c r="BV10" s="1038"/>
      <c r="BW10" s="1038"/>
      <c r="BY10" s="262"/>
      <c r="BZ10" s="302" t="str">
        <f t="shared" si="5"/>
        <v xml:space="preserve"> </v>
      </c>
      <c r="CA10" s="302" t="str">
        <f t="shared" si="15"/>
        <v xml:space="preserve"> </v>
      </c>
      <c r="CB10" s="302" t="str">
        <f t="shared" si="22"/>
        <v xml:space="preserve"> </v>
      </c>
      <c r="CC10" s="302" t="str">
        <f>IF($F10 =TRUE,ABS(BM10/$E10), " ")</f>
        <v xml:space="preserve"> </v>
      </c>
      <c r="CD10" s="302" t="str">
        <f>IF($F10 =TRUE,ABS(BN10/$E10), " ")</f>
        <v xml:space="preserve"> </v>
      </c>
    </row>
    <row r="11" spans="1:83">
      <c r="A11" s="285">
        <f>Odd_Even!A16</f>
        <v>1968</v>
      </c>
      <c r="B11" s="285">
        <f t="shared" si="0"/>
        <v>1970</v>
      </c>
      <c r="C11" s="475">
        <v>-0.39750000000000002</v>
      </c>
      <c r="D11" s="623">
        <f>Odd_Even!E16</f>
        <v>1156510</v>
      </c>
      <c r="E11" s="623">
        <f>Odd_Even!H16</f>
        <v>3789216</v>
      </c>
      <c r="F11" s="1083" t="b">
        <f t="shared" si="1"/>
        <v>1</v>
      </c>
      <c r="G11" s="259">
        <f t="shared" si="2"/>
        <v>1970</v>
      </c>
      <c r="H11" s="465">
        <f t="shared" si="6"/>
        <v>3608678</v>
      </c>
      <c r="I11" s="465">
        <f t="shared" si="16"/>
        <v>3865633</v>
      </c>
      <c r="J11" s="465">
        <f t="shared" si="23"/>
        <v>4593280.666666667</v>
      </c>
      <c r="K11" s="465">
        <f>AVERAGE($E9,$E7,$E5,$E3)</f>
        <v>5635042</v>
      </c>
      <c r="L11" s="465"/>
      <c r="M11" s="465"/>
      <c r="N11" s="280"/>
      <c r="O11" s="276">
        <f t="shared" si="7"/>
        <v>28</v>
      </c>
      <c r="P11" s="459">
        <f t="shared" si="8"/>
        <v>-180538</v>
      </c>
      <c r="Q11" s="459">
        <f t="shared" si="17"/>
        <v>76417</v>
      </c>
      <c r="R11" s="459">
        <f t="shared" ref="R11:R54" si="28">J11-E11</f>
        <v>804064.66666666698</v>
      </c>
      <c r="S11" s="459">
        <f>K11-E11</f>
        <v>1845826</v>
      </c>
      <c r="T11" s="459"/>
      <c r="U11" s="459"/>
      <c r="V11" s="262"/>
      <c r="W11" s="261">
        <f t="shared" si="9"/>
        <v>-4.7645212096644796E-2</v>
      </c>
      <c r="X11" s="261">
        <f t="shared" si="12"/>
        <v>2.0166968576085395E-2</v>
      </c>
      <c r="Y11" s="261">
        <f t="shared" si="12"/>
        <v>0.2121981609564266</v>
      </c>
      <c r="Z11" s="261">
        <f t="shared" si="12"/>
        <v>0.48712609679680441</v>
      </c>
      <c r="AA11" s="261"/>
      <c r="AB11" s="261"/>
      <c r="AC11" s="262"/>
      <c r="AD11" s="302">
        <f t="shared" si="10"/>
        <v>4.7645212096644796E-2</v>
      </c>
      <c r="AE11" s="302">
        <f t="shared" si="18"/>
        <v>2.0166968576085395E-2</v>
      </c>
      <c r="AF11" s="302">
        <f t="shared" si="24"/>
        <v>0.2121981609564266</v>
      </c>
      <c r="AG11" s="302">
        <f>ABS(Z11)</f>
        <v>0.48712609679680441</v>
      </c>
      <c r="AH11" s="302"/>
      <c r="AI11" s="302"/>
      <c r="AK11" s="624" t="str">
        <f t="shared" si="13"/>
        <v/>
      </c>
      <c r="AL11" s="624" t="str">
        <f t="shared" si="19"/>
        <v/>
      </c>
      <c r="AM11" s="624" t="str">
        <f t="shared" si="25"/>
        <v/>
      </c>
      <c r="AN11" s="1038"/>
      <c r="AO11" s="1038"/>
      <c r="AP11" s="1038"/>
      <c r="AQ11" s="1038"/>
      <c r="AR11" s="1038"/>
      <c r="AS11" s="1069" t="str">
        <f t="shared" si="14"/>
        <v xml:space="preserve"> </v>
      </c>
      <c r="AT11" s="1069" t="str">
        <f t="shared" si="21"/>
        <v xml:space="preserve"> </v>
      </c>
      <c r="AU11" s="1069" t="str">
        <f t="shared" ref="AU11:AU52" si="29">IF($F11 =FALSE,(R11/$E11), " ")</f>
        <v xml:space="preserve"> </v>
      </c>
      <c r="AV11" s="1038"/>
      <c r="AW11" s="1038"/>
      <c r="AX11" s="1038"/>
      <c r="BA11" s="302" t="str">
        <f t="shared" si="11"/>
        <v xml:space="preserve"> </v>
      </c>
      <c r="BB11" s="302" t="str">
        <f t="shared" si="20"/>
        <v xml:space="preserve"> </v>
      </c>
      <c r="BC11" s="302" t="str">
        <f t="shared" si="26"/>
        <v xml:space="preserve"> </v>
      </c>
      <c r="BJ11" s="624">
        <f t="shared" si="3"/>
        <v>180538</v>
      </c>
      <c r="BK11" s="624">
        <f t="shared" si="27"/>
        <v>76417</v>
      </c>
      <c r="BL11" s="624">
        <f>IF($F11=TRUE,ABS($E11-J11),"")</f>
        <v>804064.66666666698</v>
      </c>
      <c r="BM11" s="624">
        <f>IF($F11=TRUE,ABS($E11-K11),"")</f>
        <v>1845826</v>
      </c>
      <c r="BN11" s="1038"/>
      <c r="BO11" s="1038"/>
      <c r="BP11" s="1038"/>
      <c r="BQ11" s="1038"/>
      <c r="BR11" s="1069">
        <f t="shared" si="4"/>
        <v>-4.7645212096644796E-2</v>
      </c>
      <c r="BS11" s="1069">
        <f t="shared" si="4"/>
        <v>2.0166968576085395E-2</v>
      </c>
      <c r="BT11" s="1069">
        <f t="shared" si="4"/>
        <v>0.2121981609564266</v>
      </c>
      <c r="BU11" s="1069">
        <f t="shared" si="4"/>
        <v>0.48712609679680441</v>
      </c>
      <c r="BV11" s="1038"/>
      <c r="BW11" s="1038"/>
      <c r="BY11" s="262"/>
      <c r="BZ11" s="302">
        <f t="shared" si="5"/>
        <v>4.7645212096644796E-2</v>
      </c>
      <c r="CA11" s="302">
        <f t="shared" si="15"/>
        <v>2.0166968576085395E-2</v>
      </c>
      <c r="CB11" s="302">
        <f t="shared" si="22"/>
        <v>0.2121981609564266</v>
      </c>
      <c r="CC11" s="302">
        <f t="shared" ref="CC11:CC53" si="30">IF($F11 =TRUE,ABS(BM11/$E11), " ")</f>
        <v>0.48712609679680441</v>
      </c>
      <c r="CD11" s="302"/>
    </row>
    <row r="12" spans="1:83">
      <c r="A12" s="285">
        <f>Odd_Even!A17</f>
        <v>1969</v>
      </c>
      <c r="B12" s="285">
        <f t="shared" si="0"/>
        <v>1971</v>
      </c>
      <c r="C12" s="475">
        <v>-1.2908333329999999</v>
      </c>
      <c r="D12" s="623">
        <f>Odd_Even!E17</f>
        <v>404570</v>
      </c>
      <c r="E12" s="623">
        <f>Odd_Even!H17</f>
        <v>8423514</v>
      </c>
      <c r="F12" s="1083" t="b">
        <f t="shared" si="1"/>
        <v>0</v>
      </c>
      <c r="G12" s="259">
        <f t="shared" si="2"/>
        <v>1971</v>
      </c>
      <c r="H12" s="465">
        <f t="shared" si="6"/>
        <v>5233149</v>
      </c>
      <c r="I12" s="465">
        <f t="shared" si="16"/>
        <v>4350874.5</v>
      </c>
      <c r="J12" s="465">
        <f t="shared" si="23"/>
        <v>4046058.6666666665</v>
      </c>
      <c r="K12" s="465">
        <f t="shared" ref="K12:K56" si="31">AVERAGE($E10,$E8,$E6,$E4)</f>
        <v>4697323.5</v>
      </c>
      <c r="L12" s="466"/>
      <c r="M12" s="466"/>
      <c r="N12" s="280"/>
      <c r="O12" s="276">
        <f t="shared" si="7"/>
        <v>40</v>
      </c>
      <c r="P12" s="459">
        <f t="shared" si="8"/>
        <v>-3190365</v>
      </c>
      <c r="Q12" s="459">
        <f t="shared" si="17"/>
        <v>-4072639.5</v>
      </c>
      <c r="R12" s="459">
        <f t="shared" si="28"/>
        <v>-4377455.333333334</v>
      </c>
      <c r="S12" s="459">
        <f t="shared" ref="S12:S54" si="32">K12-E12</f>
        <v>-3726190.5</v>
      </c>
      <c r="T12" s="459"/>
      <c r="U12" s="459"/>
      <c r="V12" s="262"/>
      <c r="W12" s="261">
        <f t="shared" si="9"/>
        <v>-0.37874514127951825</v>
      </c>
      <c r="X12" s="261">
        <f t="shared" si="12"/>
        <v>-0.48348462411292958</v>
      </c>
      <c r="Y12" s="261">
        <f t="shared" si="12"/>
        <v>-0.51967092751710675</v>
      </c>
      <c r="Z12" s="261">
        <f t="shared" si="12"/>
        <v>-0.44235582679627528</v>
      </c>
      <c r="AA12" s="261"/>
      <c r="AB12" s="261"/>
      <c r="AC12" s="265"/>
      <c r="AD12" s="302">
        <f t="shared" si="10"/>
        <v>0.37874514127951825</v>
      </c>
      <c r="AE12" s="302">
        <f t="shared" si="18"/>
        <v>0.48348462411292958</v>
      </c>
      <c r="AF12" s="302">
        <f t="shared" si="24"/>
        <v>0.51967092751710675</v>
      </c>
      <c r="AG12" s="302">
        <f t="shared" ref="AG12:AG48" si="33">ABS(Z12)</f>
        <v>0.44235582679627528</v>
      </c>
      <c r="AH12" s="313"/>
      <c r="AI12" s="313"/>
      <c r="AJ12" s="267"/>
      <c r="AK12" s="624">
        <f t="shared" si="13"/>
        <v>3190365</v>
      </c>
      <c r="AL12" s="624">
        <f t="shared" si="19"/>
        <v>4072639.5</v>
      </c>
      <c r="AM12" s="624">
        <f t="shared" si="25"/>
        <v>4377455.333333334</v>
      </c>
      <c r="AN12" s="624">
        <f t="shared" ref="AN12:AN50" si="34">IF($F12=FALSE,ABS($E12-K12),"")</f>
        <v>3726190.5</v>
      </c>
      <c r="AO12" s="1038"/>
      <c r="AP12" s="1038"/>
      <c r="AQ12" s="1038"/>
      <c r="AR12" s="1038"/>
      <c r="AS12" s="1069">
        <f t="shared" si="14"/>
        <v>-0.37874514127951825</v>
      </c>
      <c r="AT12" s="1069">
        <f t="shared" si="21"/>
        <v>-0.48348462411292958</v>
      </c>
      <c r="AU12" s="1069">
        <f t="shared" si="29"/>
        <v>-0.51967092751710675</v>
      </c>
      <c r="AV12" s="1069">
        <f>IF($F12 =FALSE,(S12/$E12), " ")</f>
        <v>-0.44235582679627528</v>
      </c>
      <c r="AW12" s="1038"/>
      <c r="AX12" s="1038"/>
      <c r="BA12" s="314">
        <f t="shared" si="11"/>
        <v>0.37874514127951825</v>
      </c>
      <c r="BB12" s="302">
        <f t="shared" si="20"/>
        <v>0.48348462411292958</v>
      </c>
      <c r="BC12" s="302">
        <f t="shared" si="26"/>
        <v>0.51967092751710675</v>
      </c>
      <c r="BD12" s="302">
        <f t="shared" ref="BD12:BD50" si="35">IF($F12 =FALSE,ABS(AN12/$E12), " ")</f>
        <v>0.44235582679627528</v>
      </c>
      <c r="BI12" s="267"/>
      <c r="BJ12" s="624" t="str">
        <f t="shared" si="3"/>
        <v/>
      </c>
      <c r="BK12" s="624" t="str">
        <f t="shared" si="27"/>
        <v/>
      </c>
      <c r="BL12" s="624" t="str">
        <f t="shared" ref="BL12:BL53" si="36">IF($F12=TRUE,ABS($E12-J12),"")</f>
        <v/>
      </c>
      <c r="BM12" s="624" t="str">
        <f>IF($F12=TRUE,ABS($E12-S12),"")</f>
        <v/>
      </c>
      <c r="BN12" s="1038"/>
      <c r="BO12" s="1038"/>
      <c r="BP12" s="1038"/>
      <c r="BQ12" s="1038"/>
      <c r="BR12" s="1069" t="str">
        <f t="shared" si="4"/>
        <v xml:space="preserve"> </v>
      </c>
      <c r="BS12" s="1069" t="str">
        <f t="shared" si="4"/>
        <v xml:space="preserve"> </v>
      </c>
      <c r="BT12" s="1069" t="str">
        <f t="shared" si="4"/>
        <v xml:space="preserve"> </v>
      </c>
      <c r="BU12" s="1069" t="str">
        <f t="shared" si="4"/>
        <v xml:space="preserve"> </v>
      </c>
      <c r="BV12" s="1038"/>
      <c r="BW12" s="1038"/>
      <c r="BY12" s="265"/>
      <c r="BZ12" s="302" t="str">
        <f t="shared" si="5"/>
        <v xml:space="preserve"> </v>
      </c>
      <c r="CA12" s="302" t="str">
        <f t="shared" si="15"/>
        <v xml:space="preserve"> </v>
      </c>
      <c r="CB12" s="302" t="str">
        <f t="shared" si="22"/>
        <v xml:space="preserve"> </v>
      </c>
      <c r="CC12" s="302" t="str">
        <f t="shared" si="30"/>
        <v xml:space="preserve"> </v>
      </c>
      <c r="CD12" s="302" t="str">
        <f t="shared" ref="CD12:CD53" si="37">IF($F12 =TRUE,ABS(BN12/$E12), " ")</f>
        <v xml:space="preserve"> </v>
      </c>
    </row>
    <row r="13" spans="1:83">
      <c r="A13" s="285">
        <f>Odd_Even!A18</f>
        <v>1970</v>
      </c>
      <c r="B13" s="285">
        <f t="shared" si="0"/>
        <v>1972</v>
      </c>
      <c r="C13" s="475">
        <v>-0.921666667</v>
      </c>
      <c r="D13" s="623">
        <f>Odd_Even!E18</f>
        <v>979220</v>
      </c>
      <c r="E13" s="623">
        <f>Odd_Even!H18</f>
        <v>695963</v>
      </c>
      <c r="F13" s="1083" t="b">
        <f t="shared" si="1"/>
        <v>1</v>
      </c>
      <c r="G13" s="259">
        <f t="shared" si="2"/>
        <v>1972</v>
      </c>
      <c r="H13" s="465">
        <f t="shared" si="6"/>
        <v>3789216</v>
      </c>
      <c r="I13" s="465">
        <f t="shared" si="16"/>
        <v>3698947</v>
      </c>
      <c r="J13" s="465">
        <f t="shared" si="23"/>
        <v>3840160.6666666665</v>
      </c>
      <c r="K13" s="465">
        <f t="shared" si="31"/>
        <v>4392264.5</v>
      </c>
      <c r="L13" s="465">
        <f>AVERAGE($E11,$E9,$E7,$E5,$E3)</f>
        <v>5265876.8</v>
      </c>
      <c r="M13" s="465"/>
      <c r="N13" s="280"/>
      <c r="O13" s="276">
        <f t="shared" si="7"/>
        <v>13</v>
      </c>
      <c r="P13" s="459">
        <f t="shared" si="8"/>
        <v>3093253</v>
      </c>
      <c r="Q13" s="459">
        <f t="shared" si="17"/>
        <v>3002984</v>
      </c>
      <c r="R13" s="459">
        <f t="shared" si="28"/>
        <v>3144197.6666666665</v>
      </c>
      <c r="S13" s="459">
        <f t="shared" si="32"/>
        <v>3696301.5</v>
      </c>
      <c r="T13" s="459">
        <f>L13-E13</f>
        <v>4569913.8</v>
      </c>
      <c r="U13" s="459"/>
      <c r="V13" s="262"/>
      <c r="W13" s="261">
        <f t="shared" si="9"/>
        <v>4.4445653001668193</v>
      </c>
      <c r="X13" s="261">
        <f>(Q13/$E13)</f>
        <v>4.314861565916579</v>
      </c>
      <c r="Y13" s="261">
        <f t="shared" si="12"/>
        <v>4.5177655517127588</v>
      </c>
      <c r="Z13" s="261">
        <f t="shared" si="12"/>
        <v>5.3110603580937497</v>
      </c>
      <c r="AA13" s="261">
        <f t="shared" si="12"/>
        <v>6.5663171749072866</v>
      </c>
      <c r="AB13" s="261"/>
      <c r="AC13" s="266"/>
      <c r="AD13" s="302">
        <f t="shared" si="10"/>
        <v>4.4445653001668193</v>
      </c>
      <c r="AE13" s="314">
        <f t="shared" si="18"/>
        <v>4.314861565916579</v>
      </c>
      <c r="AF13" s="302">
        <f t="shared" si="24"/>
        <v>4.5177655517127588</v>
      </c>
      <c r="AG13" s="302">
        <f t="shared" si="33"/>
        <v>5.3110603580937497</v>
      </c>
      <c r="AH13" s="313">
        <f>ABS(AA13)</f>
        <v>6.5663171749072866</v>
      </c>
      <c r="AI13" s="313"/>
      <c r="AJ13" s="267"/>
      <c r="AK13" s="624" t="str">
        <f t="shared" si="13"/>
        <v/>
      </c>
      <c r="AL13" s="624" t="str">
        <f t="shared" si="19"/>
        <v/>
      </c>
      <c r="AM13" s="624" t="str">
        <f t="shared" si="25"/>
        <v/>
      </c>
      <c r="AN13" s="624" t="str">
        <f t="shared" si="34"/>
        <v/>
      </c>
      <c r="AO13" s="624" t="str">
        <f>IF($F13=FALSE,$E13-L13,"")</f>
        <v/>
      </c>
      <c r="AP13" s="624"/>
      <c r="AQ13" s="624"/>
      <c r="AR13" s="624"/>
      <c r="AS13" s="1069" t="str">
        <f t="shared" si="14"/>
        <v xml:space="preserve"> </v>
      </c>
      <c r="AT13" s="1069" t="str">
        <f t="shared" si="21"/>
        <v xml:space="preserve"> </v>
      </c>
      <c r="AU13" s="1069" t="str">
        <f t="shared" si="29"/>
        <v xml:space="preserve"> </v>
      </c>
      <c r="AV13" s="1069" t="str">
        <f t="shared" ref="AV13:AV52" si="38">IF($F13 =FALSE,(S13/$E13), " ")</f>
        <v xml:space="preserve"> </v>
      </c>
      <c r="AW13" s="624"/>
      <c r="AX13" s="624"/>
      <c r="AY13" s="259"/>
      <c r="BA13" s="302" t="str">
        <f t="shared" si="11"/>
        <v xml:space="preserve"> </v>
      </c>
      <c r="BB13" s="302" t="str">
        <f t="shared" si="20"/>
        <v xml:space="preserve"> </v>
      </c>
      <c r="BC13" s="302" t="str">
        <f t="shared" si="26"/>
        <v xml:space="preserve"> </v>
      </c>
      <c r="BD13" s="302" t="str">
        <f t="shared" si="35"/>
        <v xml:space="preserve"> </v>
      </c>
      <c r="BI13" s="267"/>
      <c r="BJ13" s="624">
        <f t="shared" si="3"/>
        <v>3093253</v>
      </c>
      <c r="BK13" s="624">
        <f t="shared" si="27"/>
        <v>3002984</v>
      </c>
      <c r="BL13" s="624">
        <f t="shared" si="36"/>
        <v>3144197.6666666665</v>
      </c>
      <c r="BM13" s="624">
        <f>IF($F13=TRUE,ABS($E13-K13),"")</f>
        <v>3696301.5</v>
      </c>
      <c r="BN13" s="624">
        <f>IF($F13=TRUE,ABS($E13-L13),"")</f>
        <v>4569913.8</v>
      </c>
      <c r="BO13" s="624"/>
      <c r="BP13" s="624"/>
      <c r="BQ13" s="624"/>
      <c r="BR13" s="1069">
        <f t="shared" si="4"/>
        <v>4.4445653001668193</v>
      </c>
      <c r="BS13" s="1069">
        <f t="shared" si="4"/>
        <v>4.314861565916579</v>
      </c>
      <c r="BT13" s="1069">
        <f t="shared" si="4"/>
        <v>4.5177655517127588</v>
      </c>
      <c r="BU13" s="1069">
        <f t="shared" si="4"/>
        <v>5.3110603580937497</v>
      </c>
      <c r="BV13" s="1069">
        <f t="shared" si="4"/>
        <v>6.5663171749072866</v>
      </c>
      <c r="BW13" s="624"/>
      <c r="BY13" s="266"/>
      <c r="BZ13" s="302">
        <f t="shared" si="5"/>
        <v>4.4445653001668193</v>
      </c>
      <c r="CA13" s="302">
        <f t="shared" si="15"/>
        <v>4.314861565916579</v>
      </c>
      <c r="CB13" s="302">
        <f t="shared" si="22"/>
        <v>4.5177655517127588</v>
      </c>
      <c r="CC13" s="302">
        <f t="shared" si="30"/>
        <v>5.3110603580937497</v>
      </c>
      <c r="CD13" s="302">
        <f t="shared" si="37"/>
        <v>6.5663171749072866</v>
      </c>
    </row>
    <row r="14" spans="1:83">
      <c r="A14" s="285">
        <f>Odd_Even!A19</f>
        <v>1971</v>
      </c>
      <c r="B14" s="285">
        <f t="shared" si="0"/>
        <v>1973</v>
      </c>
      <c r="C14" s="475">
        <v>-0.80416666699999995</v>
      </c>
      <c r="D14" s="623">
        <f>Odd_Even!E19</f>
        <v>1112550</v>
      </c>
      <c r="E14" s="623">
        <f>Odd_Even!H19</f>
        <v>8535974</v>
      </c>
      <c r="F14" s="1083" t="b">
        <f t="shared" si="1"/>
        <v>0</v>
      </c>
      <c r="G14" s="259">
        <f t="shared" si="2"/>
        <v>1973</v>
      </c>
      <c r="H14" s="465">
        <f t="shared" si="6"/>
        <v>8423514</v>
      </c>
      <c r="I14" s="465">
        <f t="shared" si="16"/>
        <v>6828331.5</v>
      </c>
      <c r="J14" s="465">
        <f t="shared" si="23"/>
        <v>5708421</v>
      </c>
      <c r="K14" s="465">
        <f t="shared" si="31"/>
        <v>5140422.5</v>
      </c>
      <c r="L14" s="465">
        <f t="shared" ref="L14:L56" si="39">AVERAGE($E12,$E10,$E8,$E6,$E4)</f>
        <v>5442561.5999999996</v>
      </c>
      <c r="M14" s="465"/>
      <c r="N14" s="280"/>
      <c r="O14" s="276">
        <f t="shared" si="7"/>
        <v>26</v>
      </c>
      <c r="P14" s="459">
        <f t="shared" si="8"/>
        <v>-112460</v>
      </c>
      <c r="Q14" s="459">
        <f t="shared" si="17"/>
        <v>-1707642.5</v>
      </c>
      <c r="R14" s="459">
        <f t="shared" si="28"/>
        <v>-2827553</v>
      </c>
      <c r="S14" s="459">
        <f t="shared" si="32"/>
        <v>-3395551.5</v>
      </c>
      <c r="T14" s="459">
        <f t="shared" ref="T14:T54" si="40">L14-E14</f>
        <v>-3093412.4000000004</v>
      </c>
      <c r="U14" s="459"/>
      <c r="V14" s="262"/>
      <c r="W14" s="261">
        <f t="shared" si="9"/>
        <v>-1.3174829257914796E-2</v>
      </c>
      <c r="X14" s="261">
        <f t="shared" si="12"/>
        <v>-0.20005244861336269</v>
      </c>
      <c r="Y14" s="261">
        <f t="shared" si="12"/>
        <v>-0.33125136041885789</v>
      </c>
      <c r="Z14" s="261">
        <f t="shared" si="12"/>
        <v>-0.39779309309048971</v>
      </c>
      <c r="AA14" s="261">
        <f t="shared" si="12"/>
        <v>-0.36239712070350732</v>
      </c>
      <c r="AB14" s="261"/>
      <c r="AC14" s="266"/>
      <c r="AD14" s="302">
        <f t="shared" si="10"/>
        <v>1.3174829257914796E-2</v>
      </c>
      <c r="AE14" s="302">
        <f t="shared" si="18"/>
        <v>0.20005244861336269</v>
      </c>
      <c r="AF14" s="302">
        <f t="shared" si="24"/>
        <v>0.33125136041885789</v>
      </c>
      <c r="AG14" s="314">
        <f t="shared" si="33"/>
        <v>0.39779309309048971</v>
      </c>
      <c r="AH14" s="313">
        <f t="shared" ref="AH14:AI48" si="41">ABS(AA14)</f>
        <v>0.36239712070350732</v>
      </c>
      <c r="AI14" s="313"/>
      <c r="AJ14" s="267"/>
      <c r="AK14" s="624">
        <f t="shared" si="13"/>
        <v>112460</v>
      </c>
      <c r="AL14" s="624">
        <f t="shared" si="19"/>
        <v>1707642.5</v>
      </c>
      <c r="AM14" s="624">
        <f t="shared" si="25"/>
        <v>2827553</v>
      </c>
      <c r="AN14" s="1047">
        <f t="shared" si="34"/>
        <v>3395551.5</v>
      </c>
      <c r="AO14" s="624">
        <f>IF($F14=FALSE,ABS($E14-L14),"")</f>
        <v>3093412.4000000004</v>
      </c>
      <c r="AP14" s="624"/>
      <c r="AQ14" s="624"/>
      <c r="AR14" s="624"/>
      <c r="AS14" s="1069">
        <f t="shared" si="14"/>
        <v>-1.3174829257914796E-2</v>
      </c>
      <c r="AT14" s="1069">
        <f t="shared" si="21"/>
        <v>-0.20005244861336269</v>
      </c>
      <c r="AU14" s="1069">
        <f t="shared" si="29"/>
        <v>-0.33125136041885789</v>
      </c>
      <c r="AV14" s="1069">
        <f t="shared" si="38"/>
        <v>-0.39779309309048971</v>
      </c>
      <c r="AW14" s="1069">
        <f>IF($F14 =FALSE,(T14/$E14), " ")</f>
        <v>-0.36239712070350732</v>
      </c>
      <c r="AX14" s="624"/>
      <c r="AY14" s="259"/>
      <c r="BA14" s="314">
        <f t="shared" si="11"/>
        <v>1.3174829257914796E-2</v>
      </c>
      <c r="BB14" s="302">
        <f t="shared" si="20"/>
        <v>0.20005244861336269</v>
      </c>
      <c r="BC14" s="302">
        <f t="shared" si="26"/>
        <v>0.33125136041885789</v>
      </c>
      <c r="BD14" s="302">
        <f t="shared" si="35"/>
        <v>0.39779309309048971</v>
      </c>
      <c r="BE14" s="302">
        <f t="shared" ref="BE14:BE50" si="42">IF($F14 =FALSE,ABS(AO14/$E14), " ")</f>
        <v>0.36239712070350732</v>
      </c>
      <c r="BI14" s="267"/>
      <c r="BJ14" s="624" t="str">
        <f t="shared" si="3"/>
        <v/>
      </c>
      <c r="BK14" s="624" t="str">
        <f t="shared" si="27"/>
        <v/>
      </c>
      <c r="BL14" s="624" t="str">
        <f t="shared" si="36"/>
        <v/>
      </c>
      <c r="BM14" s="624" t="str">
        <f t="shared" ref="BM14:BM51" si="43">IF($F14=TRUE,ABS($E14-K14),"")</f>
        <v/>
      </c>
      <c r="BN14" s="624" t="str">
        <f t="shared" ref="BN14:BN53" si="44">IF($F14=TRUE,ABS($E14-L14),"")</f>
        <v/>
      </c>
      <c r="BO14" s="624"/>
      <c r="BP14" s="624"/>
      <c r="BQ14" s="624"/>
      <c r="BR14" s="1069" t="str">
        <f t="shared" si="4"/>
        <v xml:space="preserve"> </v>
      </c>
      <c r="BS14" s="1069" t="str">
        <f t="shared" si="4"/>
        <v xml:space="preserve"> </v>
      </c>
      <c r="BT14" s="1069" t="str">
        <f t="shared" si="4"/>
        <v xml:space="preserve"> </v>
      </c>
      <c r="BU14" s="1069" t="str">
        <f t="shared" si="4"/>
        <v xml:space="preserve"> </v>
      </c>
      <c r="BV14" s="1069" t="str">
        <f t="shared" si="4"/>
        <v xml:space="preserve"> </v>
      </c>
      <c r="BW14" s="624"/>
      <c r="BY14" s="266"/>
      <c r="BZ14" s="302" t="str">
        <f t="shared" si="5"/>
        <v xml:space="preserve"> </v>
      </c>
      <c r="CA14" s="302" t="str">
        <f t="shared" si="15"/>
        <v xml:space="preserve"> </v>
      </c>
      <c r="CB14" s="302" t="str">
        <f t="shared" si="22"/>
        <v xml:space="preserve"> </v>
      </c>
      <c r="CC14" s="302" t="str">
        <f t="shared" si="30"/>
        <v xml:space="preserve"> </v>
      </c>
      <c r="CD14" s="302" t="str">
        <f t="shared" si="37"/>
        <v xml:space="preserve"> </v>
      </c>
    </row>
    <row r="15" spans="1:83">
      <c r="A15" s="285">
        <f>Odd_Even!A20</f>
        <v>1972</v>
      </c>
      <c r="B15" s="285">
        <f t="shared" si="0"/>
        <v>1974</v>
      </c>
      <c r="C15" s="475">
        <v>-0.33666666699999998</v>
      </c>
      <c r="D15" s="623">
        <f>Odd_Even!E20</f>
        <v>641180</v>
      </c>
      <c r="E15" s="623">
        <f>Odd_Even!H20</f>
        <v>1012903</v>
      </c>
      <c r="F15" s="1083" t="b">
        <f t="shared" si="1"/>
        <v>1</v>
      </c>
      <c r="G15" s="259">
        <f t="shared" si="2"/>
        <v>1974</v>
      </c>
      <c r="H15" s="465">
        <f t="shared" si="6"/>
        <v>695963</v>
      </c>
      <c r="I15" s="465">
        <f t="shared" si="16"/>
        <v>2242589.5</v>
      </c>
      <c r="J15" s="465">
        <f t="shared" si="23"/>
        <v>2697952.3333333335</v>
      </c>
      <c r="K15" s="465">
        <f t="shared" si="31"/>
        <v>3054111.25</v>
      </c>
      <c r="L15" s="465">
        <f t="shared" si="39"/>
        <v>3653004.2</v>
      </c>
      <c r="M15" s="465"/>
      <c r="N15" s="280"/>
      <c r="O15" s="276">
        <f t="shared" si="7"/>
        <v>29</v>
      </c>
      <c r="P15" s="459">
        <f t="shared" si="8"/>
        <v>-316940</v>
      </c>
      <c r="Q15" s="459">
        <f t="shared" si="17"/>
        <v>1229686.5</v>
      </c>
      <c r="R15" s="459">
        <f t="shared" si="28"/>
        <v>1685049.3333333335</v>
      </c>
      <c r="S15" s="459">
        <f t="shared" si="32"/>
        <v>2041208.25</v>
      </c>
      <c r="T15" s="459">
        <f t="shared" si="40"/>
        <v>2640101.2000000002</v>
      </c>
      <c r="U15" s="459"/>
      <c r="V15" s="263"/>
      <c r="W15" s="261">
        <f t="shared" si="9"/>
        <v>-0.31290261752606124</v>
      </c>
      <c r="X15" s="261">
        <f t="shared" si="12"/>
        <v>1.2140219744634975</v>
      </c>
      <c r="Y15" s="261">
        <f t="shared" si="12"/>
        <v>1.6635841075930602</v>
      </c>
      <c r="Z15" s="261">
        <f t="shared" si="12"/>
        <v>2.0152060463835135</v>
      </c>
      <c r="AA15" s="261">
        <f t="shared" si="12"/>
        <v>2.6064699186397911</v>
      </c>
      <c r="AB15" s="261"/>
      <c r="AC15" s="265"/>
      <c r="AD15" s="314">
        <f t="shared" si="10"/>
        <v>0.31290261752606124</v>
      </c>
      <c r="AE15" s="302">
        <f t="shared" si="18"/>
        <v>1.2140219744634975</v>
      </c>
      <c r="AF15" s="302">
        <f t="shared" si="24"/>
        <v>1.6635841075930602</v>
      </c>
      <c r="AG15" s="302">
        <f t="shared" si="33"/>
        <v>2.0152060463835135</v>
      </c>
      <c r="AH15" s="313">
        <f t="shared" si="41"/>
        <v>2.6064699186397911</v>
      </c>
      <c r="AI15" s="313"/>
      <c r="AJ15" s="267"/>
      <c r="AK15" s="624" t="str">
        <f t="shared" si="13"/>
        <v/>
      </c>
      <c r="AL15" s="624" t="str">
        <f t="shared" si="19"/>
        <v/>
      </c>
      <c r="AM15" s="624" t="str">
        <f t="shared" si="25"/>
        <v/>
      </c>
      <c r="AN15" s="624" t="str">
        <f t="shared" si="34"/>
        <v/>
      </c>
      <c r="AO15" s="624" t="str">
        <f t="shared" ref="AO15:AO50" si="45">IF($F15=FALSE,ABS($E15-L15),"")</f>
        <v/>
      </c>
      <c r="AP15" s="624"/>
      <c r="AQ15" s="624"/>
      <c r="AR15" s="624"/>
      <c r="AS15" s="1069" t="str">
        <f t="shared" si="14"/>
        <v xml:space="preserve"> </v>
      </c>
      <c r="AT15" s="1069" t="str">
        <f t="shared" si="21"/>
        <v xml:space="preserve"> </v>
      </c>
      <c r="AU15" s="1069" t="str">
        <f t="shared" si="29"/>
        <v xml:space="preserve"> </v>
      </c>
      <c r="AV15" s="1069" t="str">
        <f t="shared" si="38"/>
        <v xml:space="preserve"> </v>
      </c>
      <c r="AW15" s="1069" t="str">
        <f t="shared" ref="AW15:AW52" si="46">IF($F15 =FALSE,(T15/$E15), " ")</f>
        <v xml:space="preserve"> </v>
      </c>
      <c r="AX15" s="624"/>
      <c r="AY15" s="259"/>
      <c r="BA15" s="302" t="str">
        <f t="shared" si="11"/>
        <v xml:space="preserve"> </v>
      </c>
      <c r="BB15" s="302" t="str">
        <f t="shared" si="20"/>
        <v xml:space="preserve"> </v>
      </c>
      <c r="BC15" s="302" t="str">
        <f t="shared" si="26"/>
        <v xml:space="preserve"> </v>
      </c>
      <c r="BD15" s="302" t="str">
        <f t="shared" si="35"/>
        <v xml:space="preserve"> </v>
      </c>
      <c r="BE15" s="302" t="str">
        <f t="shared" si="42"/>
        <v xml:space="preserve"> </v>
      </c>
      <c r="BI15" s="267"/>
      <c r="BJ15" s="624">
        <f t="shared" si="3"/>
        <v>316940</v>
      </c>
      <c r="BK15" s="624">
        <f t="shared" si="27"/>
        <v>1229686.5</v>
      </c>
      <c r="BL15" s="624">
        <f t="shared" si="36"/>
        <v>1685049.3333333335</v>
      </c>
      <c r="BM15" s="624">
        <f t="shared" si="43"/>
        <v>2041208.25</v>
      </c>
      <c r="BN15" s="624">
        <f t="shared" si="44"/>
        <v>2640101.2000000002</v>
      </c>
      <c r="BO15" s="624"/>
      <c r="BP15" s="624"/>
      <c r="BQ15" s="624"/>
      <c r="BR15" s="1069">
        <f t="shared" si="4"/>
        <v>-0.31290261752606124</v>
      </c>
      <c r="BS15" s="1069">
        <f t="shared" si="4"/>
        <v>1.2140219744634975</v>
      </c>
      <c r="BT15" s="1069">
        <f t="shared" si="4"/>
        <v>1.6635841075930602</v>
      </c>
      <c r="BU15" s="1069">
        <f t="shared" si="4"/>
        <v>2.0152060463835135</v>
      </c>
      <c r="BV15" s="1069">
        <f t="shared" si="4"/>
        <v>2.6064699186397911</v>
      </c>
      <c r="BW15" s="1069"/>
      <c r="BY15" s="265"/>
      <c r="BZ15" s="302">
        <f t="shared" si="5"/>
        <v>0.31290261752606124</v>
      </c>
      <c r="CA15" s="302">
        <f t="shared" si="15"/>
        <v>1.2140219744634975</v>
      </c>
      <c r="CB15" s="302">
        <f t="shared" si="22"/>
        <v>1.6635841075930602</v>
      </c>
      <c r="CC15" s="302">
        <f t="shared" si="30"/>
        <v>2.0152060463835135</v>
      </c>
      <c r="CD15" s="302">
        <f t="shared" si="37"/>
        <v>2.6064699186397911</v>
      </c>
    </row>
    <row r="16" spans="1:83">
      <c r="A16" s="285">
        <f>Odd_Even!A21</f>
        <v>1973</v>
      </c>
      <c r="B16" s="285">
        <f t="shared" si="0"/>
        <v>1975</v>
      </c>
      <c r="C16" s="475">
        <v>-1.1016666669999999</v>
      </c>
      <c r="D16" s="623">
        <f>Odd_Even!E21</f>
        <v>1225010</v>
      </c>
      <c r="E16" s="623">
        <f>Odd_Even!H21</f>
        <v>3322438</v>
      </c>
      <c r="F16" s="1083" t="b">
        <f t="shared" si="1"/>
        <v>0</v>
      </c>
      <c r="G16" s="259">
        <f t="shared" si="2"/>
        <v>1975</v>
      </c>
      <c r="H16" s="465">
        <f t="shared" si="6"/>
        <v>8535974</v>
      </c>
      <c r="I16" s="465">
        <f t="shared" si="16"/>
        <v>8479744</v>
      </c>
      <c r="J16" s="465">
        <f t="shared" si="23"/>
        <v>7397545.666666667</v>
      </c>
      <c r="K16" s="465">
        <f t="shared" si="31"/>
        <v>6415309.25</v>
      </c>
      <c r="L16" s="465">
        <f t="shared" si="39"/>
        <v>5819532.7999999998</v>
      </c>
      <c r="M16" s="465"/>
      <c r="N16" s="280"/>
      <c r="O16" s="276">
        <f t="shared" si="7"/>
        <v>10</v>
      </c>
      <c r="P16" s="459">
        <f t="shared" si="8"/>
        <v>5213536</v>
      </c>
      <c r="Q16" s="459">
        <f t="shared" si="17"/>
        <v>5157306</v>
      </c>
      <c r="R16" s="459">
        <f t="shared" si="28"/>
        <v>4075107.666666667</v>
      </c>
      <c r="S16" s="459">
        <f t="shared" si="32"/>
        <v>3092871.25</v>
      </c>
      <c r="T16" s="459">
        <f t="shared" si="40"/>
        <v>2497094.7999999998</v>
      </c>
      <c r="U16" s="459"/>
      <c r="W16" s="261">
        <f t="shared" si="9"/>
        <v>1.5691898539566427</v>
      </c>
      <c r="X16" s="261">
        <f t="shared" si="12"/>
        <v>1.5522655351281198</v>
      </c>
      <c r="Y16" s="261">
        <f t="shared" si="12"/>
        <v>1.2265413731322201</v>
      </c>
      <c r="Z16" s="261">
        <f t="shared" si="12"/>
        <v>0.93090412823354418</v>
      </c>
      <c r="AA16" s="261">
        <f t="shared" si="12"/>
        <v>0.75158507096294946</v>
      </c>
      <c r="AB16" s="261"/>
      <c r="AC16" s="267"/>
      <c r="AD16" s="302">
        <f t="shared" si="10"/>
        <v>1.5691898539566427</v>
      </c>
      <c r="AE16" s="302">
        <f t="shared" si="18"/>
        <v>1.5522655351281198</v>
      </c>
      <c r="AF16" s="314">
        <f t="shared" si="24"/>
        <v>1.2265413731322201</v>
      </c>
      <c r="AG16" s="302">
        <f t="shared" si="33"/>
        <v>0.93090412823354418</v>
      </c>
      <c r="AH16" s="313">
        <f t="shared" si="41"/>
        <v>0.75158507096294946</v>
      </c>
      <c r="AI16" s="313"/>
      <c r="AJ16" s="267"/>
      <c r="AK16" s="624">
        <f t="shared" si="13"/>
        <v>5213536</v>
      </c>
      <c r="AL16" s="624">
        <f t="shared" si="19"/>
        <v>5157306</v>
      </c>
      <c r="AM16" s="1047">
        <f t="shared" si="25"/>
        <v>4075107.666666667</v>
      </c>
      <c r="AN16" s="624">
        <f t="shared" si="34"/>
        <v>3092871.25</v>
      </c>
      <c r="AO16" s="624">
        <f t="shared" si="45"/>
        <v>2497094.7999999998</v>
      </c>
      <c r="AP16" s="624"/>
      <c r="AQ16" s="624"/>
      <c r="AR16" s="624"/>
      <c r="AS16" s="1069">
        <f t="shared" si="14"/>
        <v>1.5691898539566427</v>
      </c>
      <c r="AT16" s="1069">
        <f t="shared" si="21"/>
        <v>1.5522655351281198</v>
      </c>
      <c r="AU16" s="1069">
        <f t="shared" si="29"/>
        <v>1.2265413731322201</v>
      </c>
      <c r="AV16" s="1069">
        <f t="shared" si="38"/>
        <v>0.93090412823354418</v>
      </c>
      <c r="AW16" s="1069">
        <f t="shared" si="46"/>
        <v>0.75158507096294946</v>
      </c>
      <c r="AX16" s="624"/>
      <c r="AY16" s="259"/>
      <c r="BA16" s="302">
        <f t="shared" si="11"/>
        <v>1.5691898539566427</v>
      </c>
      <c r="BB16" s="302">
        <f t="shared" si="20"/>
        <v>1.5522655351281198</v>
      </c>
      <c r="BC16" s="302">
        <f t="shared" si="26"/>
        <v>1.2265413731322201</v>
      </c>
      <c r="BD16" s="302">
        <f t="shared" si="35"/>
        <v>0.93090412823354418</v>
      </c>
      <c r="BE16" s="314">
        <f t="shared" si="42"/>
        <v>0.75158507096294946</v>
      </c>
      <c r="BI16" s="267"/>
      <c r="BJ16" s="624" t="str">
        <f t="shared" si="3"/>
        <v/>
      </c>
      <c r="BK16" s="624" t="str">
        <f t="shared" si="27"/>
        <v/>
      </c>
      <c r="BL16" s="624" t="str">
        <f t="shared" si="36"/>
        <v/>
      </c>
      <c r="BM16" s="624" t="str">
        <f t="shared" si="43"/>
        <v/>
      </c>
      <c r="BN16" s="624" t="str">
        <f t="shared" si="44"/>
        <v/>
      </c>
      <c r="BO16" s="624"/>
      <c r="BP16" s="624"/>
      <c r="BQ16" s="624"/>
      <c r="BR16" s="1069" t="str">
        <f t="shared" si="4"/>
        <v xml:space="preserve"> </v>
      </c>
      <c r="BS16" s="1069" t="str">
        <f t="shared" si="4"/>
        <v xml:space="preserve"> </v>
      </c>
      <c r="BT16" s="1069" t="str">
        <f t="shared" si="4"/>
        <v xml:space="preserve"> </v>
      </c>
      <c r="BU16" s="1069" t="str">
        <f t="shared" si="4"/>
        <v xml:space="preserve"> </v>
      </c>
      <c r="BV16" s="1069" t="str">
        <f t="shared" si="4"/>
        <v xml:space="preserve"> </v>
      </c>
      <c r="BW16" s="1069"/>
      <c r="BY16" s="267"/>
      <c r="BZ16" s="302" t="str">
        <f t="shared" si="5"/>
        <v xml:space="preserve"> </v>
      </c>
      <c r="CA16" s="302" t="str">
        <f t="shared" si="15"/>
        <v xml:space="preserve"> </v>
      </c>
      <c r="CB16" s="302" t="str">
        <f t="shared" si="22"/>
        <v xml:space="preserve"> </v>
      </c>
      <c r="CC16" s="302" t="str">
        <f t="shared" si="30"/>
        <v xml:space="preserve"> </v>
      </c>
      <c r="CD16" s="302" t="str">
        <f t="shared" si="37"/>
        <v xml:space="preserve"> </v>
      </c>
    </row>
    <row r="17" spans="1:83">
      <c r="A17" s="285">
        <f>Odd_Even!A22</f>
        <v>1974</v>
      </c>
      <c r="B17" s="285">
        <f t="shared" si="0"/>
        <v>1976</v>
      </c>
      <c r="C17" s="475">
        <v>8.3333330000000001E-3</v>
      </c>
      <c r="D17" s="623">
        <f>Odd_Even!E22</f>
        <v>958120</v>
      </c>
      <c r="E17" s="623">
        <f>Odd_Even!H22</f>
        <v>1161051</v>
      </c>
      <c r="F17" s="1083" t="b">
        <f t="shared" si="1"/>
        <v>1</v>
      </c>
      <c r="G17" s="259">
        <f t="shared" si="2"/>
        <v>1976</v>
      </c>
      <c r="H17" s="465">
        <f t="shared" si="6"/>
        <v>1012903</v>
      </c>
      <c r="I17" s="465">
        <f t="shared" si="16"/>
        <v>854433</v>
      </c>
      <c r="J17" s="465">
        <f t="shared" si="23"/>
        <v>1832694</v>
      </c>
      <c r="K17" s="465">
        <f t="shared" si="31"/>
        <v>2276690</v>
      </c>
      <c r="L17" s="465">
        <f t="shared" si="39"/>
        <v>2645869.6</v>
      </c>
      <c r="M17" s="465"/>
      <c r="N17" s="280"/>
      <c r="O17" s="276">
        <f t="shared" si="7"/>
        <v>27</v>
      </c>
      <c r="P17" s="459">
        <f t="shared" si="8"/>
        <v>-148148</v>
      </c>
      <c r="Q17" s="459">
        <f t="shared" si="17"/>
        <v>-306618</v>
      </c>
      <c r="R17" s="459">
        <f t="shared" si="28"/>
        <v>671643</v>
      </c>
      <c r="S17" s="459">
        <f t="shared" si="32"/>
        <v>1115639</v>
      </c>
      <c r="T17" s="459">
        <f t="shared" si="40"/>
        <v>1484818.6</v>
      </c>
      <c r="U17" s="459"/>
      <c r="W17" s="261">
        <f t="shared" si="9"/>
        <v>-0.12759818474812906</v>
      </c>
      <c r="X17" s="261">
        <f t="shared" si="12"/>
        <v>-0.26408659051152794</v>
      </c>
      <c r="Y17" s="261">
        <f t="shared" si="12"/>
        <v>0.57847846477028142</v>
      </c>
      <c r="Z17" s="261">
        <f t="shared" si="12"/>
        <v>0.96088716171813293</v>
      </c>
      <c r="AA17" s="261">
        <f t="shared" si="12"/>
        <v>1.2788573456290895</v>
      </c>
      <c r="AB17" s="261"/>
      <c r="AD17" s="302">
        <f t="shared" si="10"/>
        <v>0.12759818474812906</v>
      </c>
      <c r="AE17" s="302">
        <f t="shared" si="18"/>
        <v>0.26408659051152794</v>
      </c>
      <c r="AF17" s="302">
        <f t="shared" si="24"/>
        <v>0.57847846477028142</v>
      </c>
      <c r="AG17" s="302">
        <f t="shared" si="33"/>
        <v>0.96088716171813293</v>
      </c>
      <c r="AH17" s="315">
        <f t="shared" si="41"/>
        <v>1.2788573456290895</v>
      </c>
      <c r="AI17" s="315"/>
      <c r="AK17" s="624" t="str">
        <f t="shared" si="13"/>
        <v/>
      </c>
      <c r="AL17" s="624" t="str">
        <f t="shared" si="19"/>
        <v/>
      </c>
      <c r="AM17" s="624" t="str">
        <f t="shared" si="25"/>
        <v/>
      </c>
      <c r="AN17" s="624" t="str">
        <f t="shared" si="34"/>
        <v/>
      </c>
      <c r="AO17" s="624" t="str">
        <f t="shared" si="45"/>
        <v/>
      </c>
      <c r="AP17" s="624"/>
      <c r="AQ17" s="624"/>
      <c r="AR17" s="624"/>
      <c r="AS17" s="1069" t="str">
        <f t="shared" si="14"/>
        <v xml:space="preserve"> </v>
      </c>
      <c r="AT17" s="1069" t="str">
        <f t="shared" si="21"/>
        <v xml:space="preserve"> </v>
      </c>
      <c r="AU17" s="1069" t="str">
        <f t="shared" si="29"/>
        <v xml:space="preserve"> </v>
      </c>
      <c r="AV17" s="1069" t="str">
        <f t="shared" si="38"/>
        <v xml:space="preserve"> </v>
      </c>
      <c r="AW17" s="1069" t="str">
        <f t="shared" si="46"/>
        <v xml:space="preserve"> </v>
      </c>
      <c r="AX17" s="624"/>
      <c r="AY17" s="259"/>
      <c r="BA17" s="302" t="str">
        <f t="shared" si="11"/>
        <v xml:space="preserve"> </v>
      </c>
      <c r="BB17" s="302" t="str">
        <f t="shared" si="20"/>
        <v xml:space="preserve"> </v>
      </c>
      <c r="BC17" s="302" t="str">
        <f t="shared" si="26"/>
        <v xml:space="preserve"> </v>
      </c>
      <c r="BD17" s="302" t="str">
        <f t="shared" si="35"/>
        <v xml:space="preserve"> </v>
      </c>
      <c r="BE17" s="302" t="str">
        <f t="shared" si="42"/>
        <v xml:space="preserve"> </v>
      </c>
      <c r="BJ17" s="624">
        <f t="shared" si="3"/>
        <v>148148</v>
      </c>
      <c r="BK17" s="624">
        <f t="shared" si="27"/>
        <v>306618</v>
      </c>
      <c r="BL17" s="624">
        <f t="shared" si="36"/>
        <v>671643</v>
      </c>
      <c r="BM17" s="624">
        <f t="shared" si="43"/>
        <v>1115639</v>
      </c>
      <c r="BN17" s="624">
        <f t="shared" si="44"/>
        <v>1484818.6</v>
      </c>
      <c r="BO17" s="624"/>
      <c r="BP17" s="624"/>
      <c r="BQ17" s="624"/>
      <c r="BR17" s="1069">
        <f t="shared" si="4"/>
        <v>-0.12759818474812906</v>
      </c>
      <c r="BS17" s="1069">
        <f t="shared" si="4"/>
        <v>-0.26408659051152794</v>
      </c>
      <c r="BT17" s="1069">
        <f t="shared" si="4"/>
        <v>0.57847846477028142</v>
      </c>
      <c r="BU17" s="1069">
        <f t="shared" si="4"/>
        <v>0.96088716171813293</v>
      </c>
      <c r="BV17" s="1069">
        <f t="shared" si="4"/>
        <v>1.2788573456290895</v>
      </c>
      <c r="BW17" s="1069"/>
      <c r="BZ17" s="302">
        <f t="shared" si="5"/>
        <v>0.12759818474812906</v>
      </c>
      <c r="CA17" s="302">
        <f t="shared" si="15"/>
        <v>0.26408659051152794</v>
      </c>
      <c r="CB17" s="302">
        <f t="shared" si="22"/>
        <v>0.57847846477028142</v>
      </c>
      <c r="CC17" s="302">
        <f t="shared" si="30"/>
        <v>0.96088716171813293</v>
      </c>
      <c r="CD17" s="302">
        <f t="shared" si="37"/>
        <v>1.2788573456290895</v>
      </c>
    </row>
    <row r="18" spans="1:83">
      <c r="A18" s="285">
        <f>Odd_Even!A23</f>
        <v>1975</v>
      </c>
      <c r="B18" s="285">
        <f t="shared" si="0"/>
        <v>1977</v>
      </c>
      <c r="C18" s="475">
        <v>0.230833333</v>
      </c>
      <c r="D18" s="623">
        <f>Odd_Even!E23</f>
        <v>1265560</v>
      </c>
      <c r="E18" s="623">
        <f>Odd_Even!H23</f>
        <v>5816401</v>
      </c>
      <c r="F18" s="1083" t="b">
        <f t="shared" si="1"/>
        <v>0</v>
      </c>
      <c r="G18" s="259">
        <f t="shared" si="2"/>
        <v>1977</v>
      </c>
      <c r="H18" s="465">
        <f t="shared" si="6"/>
        <v>3322438</v>
      </c>
      <c r="I18" s="465">
        <f>AVERAGE($E16,$E14)</f>
        <v>5929206</v>
      </c>
      <c r="J18" s="465">
        <f t="shared" si="23"/>
        <v>6760642</v>
      </c>
      <c r="K18" s="465">
        <f t="shared" si="31"/>
        <v>6378768.75</v>
      </c>
      <c r="L18" s="465">
        <f t="shared" si="39"/>
        <v>5796735</v>
      </c>
      <c r="M18" s="465"/>
      <c r="N18" s="280"/>
      <c r="O18" s="276">
        <f t="shared" si="7"/>
        <v>36</v>
      </c>
      <c r="P18" s="459">
        <f t="shared" si="8"/>
        <v>-2493963</v>
      </c>
      <c r="Q18" s="459">
        <f t="shared" si="17"/>
        <v>112805</v>
      </c>
      <c r="R18" s="459">
        <f t="shared" si="28"/>
        <v>944241</v>
      </c>
      <c r="S18" s="459">
        <f t="shared" si="32"/>
        <v>562367.75</v>
      </c>
      <c r="T18" s="459">
        <f t="shared" si="40"/>
        <v>-19666</v>
      </c>
      <c r="U18" s="459"/>
      <c r="W18" s="261">
        <f t="shared" si="9"/>
        <v>-0.42878113114965766</v>
      </c>
      <c r="X18" s="261">
        <f t="shared" si="12"/>
        <v>1.9394295544615994E-2</v>
      </c>
      <c r="Y18" s="261">
        <f t="shared" si="12"/>
        <v>0.16234111093784628</v>
      </c>
      <c r="Z18" s="261">
        <f t="shared" si="12"/>
        <v>9.6686550669391608E-2</v>
      </c>
      <c r="AA18" s="261">
        <f t="shared" si="12"/>
        <v>-3.3811286395143665E-3</v>
      </c>
      <c r="AB18" s="261"/>
      <c r="AD18" s="302">
        <f t="shared" si="10"/>
        <v>0.42878113114965766</v>
      </c>
      <c r="AE18" s="302">
        <f t="shared" si="18"/>
        <v>1.9394295544615994E-2</v>
      </c>
      <c r="AF18" s="302">
        <f t="shared" si="24"/>
        <v>0.16234111093784628</v>
      </c>
      <c r="AG18" s="302">
        <f t="shared" si="33"/>
        <v>9.6686550669391608E-2</v>
      </c>
      <c r="AH18" s="315">
        <f t="shared" si="41"/>
        <v>3.3811286395143665E-3</v>
      </c>
      <c r="AI18" s="315"/>
      <c r="AK18" s="624">
        <f t="shared" si="13"/>
        <v>2493963</v>
      </c>
      <c r="AL18" s="624">
        <f t="shared" si="19"/>
        <v>112805</v>
      </c>
      <c r="AM18" s="624">
        <f t="shared" si="25"/>
        <v>944241</v>
      </c>
      <c r="AN18" s="624">
        <f t="shared" si="34"/>
        <v>562367.75</v>
      </c>
      <c r="AO18" s="1047">
        <f t="shared" si="45"/>
        <v>19666</v>
      </c>
      <c r="AP18" s="624"/>
      <c r="AQ18" s="624"/>
      <c r="AR18" s="624"/>
      <c r="AS18" s="1069">
        <f t="shared" si="14"/>
        <v>-0.42878113114965766</v>
      </c>
      <c r="AT18" s="1069">
        <f t="shared" si="21"/>
        <v>1.9394295544615994E-2</v>
      </c>
      <c r="AU18" s="1069">
        <f t="shared" si="29"/>
        <v>0.16234111093784628</v>
      </c>
      <c r="AV18" s="1069">
        <f t="shared" si="38"/>
        <v>9.6686550669391608E-2</v>
      </c>
      <c r="AW18" s="1069">
        <f t="shared" si="46"/>
        <v>-3.3811286395143665E-3</v>
      </c>
      <c r="AX18" s="624"/>
      <c r="AY18" s="286"/>
      <c r="BA18" s="302">
        <f t="shared" si="11"/>
        <v>0.42878113114965766</v>
      </c>
      <c r="BB18" s="302">
        <f t="shared" si="20"/>
        <v>1.9394295544615994E-2</v>
      </c>
      <c r="BC18" s="302">
        <f t="shared" si="26"/>
        <v>0.16234111093784628</v>
      </c>
      <c r="BD18" s="302">
        <f t="shared" si="35"/>
        <v>9.6686550669391608E-2</v>
      </c>
      <c r="BE18" s="314">
        <f t="shared" si="42"/>
        <v>3.3811286395143665E-3</v>
      </c>
      <c r="BJ18" s="624" t="str">
        <f t="shared" si="3"/>
        <v/>
      </c>
      <c r="BK18" s="624" t="str">
        <f t="shared" si="27"/>
        <v/>
      </c>
      <c r="BL18" s="624" t="str">
        <f t="shared" si="36"/>
        <v/>
      </c>
      <c r="BM18" s="624" t="str">
        <f t="shared" si="43"/>
        <v/>
      </c>
      <c r="BN18" s="624" t="str">
        <f t="shared" si="44"/>
        <v/>
      </c>
      <c r="BO18" s="624"/>
      <c r="BP18" s="624"/>
      <c r="BQ18" s="624"/>
      <c r="BR18" s="1069" t="str">
        <f t="shared" si="4"/>
        <v xml:space="preserve"> </v>
      </c>
      <c r="BS18" s="1069" t="str">
        <f t="shared" si="4"/>
        <v xml:space="preserve"> </v>
      </c>
      <c r="BT18" s="1069" t="str">
        <f t="shared" si="4"/>
        <v xml:space="preserve"> </v>
      </c>
      <c r="BU18" s="1069" t="str">
        <f t="shared" si="4"/>
        <v xml:space="preserve"> </v>
      </c>
      <c r="BV18" s="1069" t="str">
        <f t="shared" si="4"/>
        <v xml:space="preserve"> </v>
      </c>
      <c r="BW18" s="1069"/>
      <c r="BZ18" s="302" t="str">
        <f t="shared" si="5"/>
        <v xml:space="preserve"> </v>
      </c>
      <c r="CA18" s="302" t="str">
        <f t="shared" si="15"/>
        <v xml:space="preserve"> </v>
      </c>
      <c r="CB18" s="302" t="str">
        <f t="shared" si="22"/>
        <v xml:space="preserve"> </v>
      </c>
      <c r="CC18" s="302" t="str">
        <f t="shared" si="30"/>
        <v xml:space="preserve"> </v>
      </c>
      <c r="CD18" s="302" t="str">
        <f t="shared" si="37"/>
        <v xml:space="preserve"> </v>
      </c>
    </row>
    <row r="19" spans="1:83">
      <c r="A19" s="285">
        <f>Odd_Even!A24</f>
        <v>1976</v>
      </c>
      <c r="B19" s="285">
        <f t="shared" si="0"/>
        <v>1978</v>
      </c>
      <c r="C19" s="475">
        <v>0.23583333300000001</v>
      </c>
      <c r="D19" s="623">
        <f>Odd_Even!E24</f>
        <v>712278</v>
      </c>
      <c r="E19" s="623">
        <f>Odd_Even!H24</f>
        <v>3925083</v>
      </c>
      <c r="F19" s="1083" t="b">
        <f t="shared" si="1"/>
        <v>1</v>
      </c>
      <c r="G19" s="259">
        <f t="shared" si="2"/>
        <v>1978</v>
      </c>
      <c r="H19" s="465">
        <f t="shared" si="6"/>
        <v>1161051</v>
      </c>
      <c r="I19" s="465">
        <f t="shared" si="16"/>
        <v>1086977</v>
      </c>
      <c r="J19" s="465">
        <f t="shared" si="23"/>
        <v>956639</v>
      </c>
      <c r="K19" s="465">
        <f t="shared" si="31"/>
        <v>1664783.25</v>
      </c>
      <c r="L19" s="465">
        <f t="shared" si="39"/>
        <v>2053562.2</v>
      </c>
      <c r="M19" s="465"/>
      <c r="N19" s="280"/>
      <c r="O19" s="276">
        <f t="shared" si="7"/>
        <v>37</v>
      </c>
      <c r="P19" s="459">
        <f t="shared" si="8"/>
        <v>-2764032</v>
      </c>
      <c r="Q19" s="459">
        <f t="shared" si="17"/>
        <v>-2838106</v>
      </c>
      <c r="R19" s="459">
        <f t="shared" si="28"/>
        <v>-2968444</v>
      </c>
      <c r="S19" s="459">
        <f t="shared" si="32"/>
        <v>-2260299.75</v>
      </c>
      <c r="T19" s="459">
        <f t="shared" si="40"/>
        <v>-1871520.8</v>
      </c>
      <c r="U19" s="459"/>
      <c r="W19" s="261">
        <f t="shared" si="9"/>
        <v>-0.70419708322091534</v>
      </c>
      <c r="X19" s="261">
        <f t="shared" si="12"/>
        <v>-0.72306904083302193</v>
      </c>
      <c r="Y19" s="261">
        <f t="shared" si="12"/>
        <v>-0.75627547239128445</v>
      </c>
      <c r="Z19" s="261">
        <f t="shared" si="12"/>
        <v>-0.57586037034121318</v>
      </c>
      <c r="AA19" s="261">
        <f t="shared" si="12"/>
        <v>-0.47681050311547551</v>
      </c>
      <c r="AB19" s="261"/>
      <c r="AD19" s="314">
        <f t="shared" si="10"/>
        <v>0.70419708322091534</v>
      </c>
      <c r="AE19" s="302">
        <f t="shared" si="18"/>
        <v>0.72306904083302193</v>
      </c>
      <c r="AF19" s="302">
        <f t="shared" si="24"/>
        <v>0.75627547239128445</v>
      </c>
      <c r="AG19" s="302">
        <f t="shared" si="33"/>
        <v>0.57586037034121318</v>
      </c>
      <c r="AH19" s="313">
        <f t="shared" si="41"/>
        <v>0.47681050311547551</v>
      </c>
      <c r="AI19" s="313"/>
      <c r="AK19" s="624" t="str">
        <f t="shared" si="13"/>
        <v/>
      </c>
      <c r="AL19" s="624" t="str">
        <f t="shared" si="19"/>
        <v/>
      </c>
      <c r="AM19" s="624" t="str">
        <f t="shared" si="25"/>
        <v/>
      </c>
      <c r="AN19" s="624" t="str">
        <f t="shared" si="34"/>
        <v/>
      </c>
      <c r="AO19" s="624" t="str">
        <f t="shared" si="45"/>
        <v/>
      </c>
      <c r="AP19" s="624"/>
      <c r="AQ19" s="624"/>
      <c r="AR19" s="624"/>
      <c r="AS19" s="1069" t="str">
        <f t="shared" si="14"/>
        <v xml:space="preserve"> </v>
      </c>
      <c r="AT19" s="1069" t="str">
        <f t="shared" si="21"/>
        <v xml:space="preserve"> </v>
      </c>
      <c r="AU19" s="1069" t="str">
        <f t="shared" si="29"/>
        <v xml:space="preserve"> </v>
      </c>
      <c r="AV19" s="1069" t="str">
        <f t="shared" si="38"/>
        <v xml:space="preserve"> </v>
      </c>
      <c r="AW19" s="1069" t="str">
        <f t="shared" si="46"/>
        <v xml:space="preserve"> </v>
      </c>
      <c r="AX19" s="624"/>
      <c r="AY19" s="259"/>
      <c r="BA19" s="302" t="str">
        <f t="shared" si="11"/>
        <v xml:space="preserve"> </v>
      </c>
      <c r="BB19" s="302" t="str">
        <f t="shared" si="20"/>
        <v xml:space="preserve"> </v>
      </c>
      <c r="BC19" s="302" t="str">
        <f t="shared" si="26"/>
        <v xml:space="preserve"> </v>
      </c>
      <c r="BD19" s="302" t="str">
        <f t="shared" si="35"/>
        <v xml:space="preserve"> </v>
      </c>
      <c r="BE19" s="302" t="str">
        <f t="shared" si="42"/>
        <v xml:space="preserve"> </v>
      </c>
      <c r="BJ19" s="624">
        <f t="shared" si="3"/>
        <v>2764032</v>
      </c>
      <c r="BK19" s="624">
        <f t="shared" si="27"/>
        <v>2838106</v>
      </c>
      <c r="BL19" s="624">
        <f t="shared" si="36"/>
        <v>2968444</v>
      </c>
      <c r="BM19" s="624">
        <f t="shared" si="43"/>
        <v>2260299.75</v>
      </c>
      <c r="BN19" s="624">
        <f t="shared" si="44"/>
        <v>1871520.8</v>
      </c>
      <c r="BO19" s="624"/>
      <c r="BP19" s="624"/>
      <c r="BQ19" s="624"/>
      <c r="BR19" s="1069">
        <f t="shared" si="4"/>
        <v>-0.70419708322091534</v>
      </c>
      <c r="BS19" s="1069">
        <f t="shared" si="4"/>
        <v>-0.72306904083302193</v>
      </c>
      <c r="BT19" s="1069">
        <f t="shared" si="4"/>
        <v>-0.75627547239128445</v>
      </c>
      <c r="BU19" s="1069">
        <f t="shared" si="4"/>
        <v>-0.57586037034121318</v>
      </c>
      <c r="BV19" s="1069">
        <f t="shared" si="4"/>
        <v>-0.47681050311547551</v>
      </c>
      <c r="BW19" s="1069"/>
      <c r="BZ19" s="302">
        <f t="shared" si="5"/>
        <v>0.70419708322091534</v>
      </c>
      <c r="CA19" s="302">
        <f t="shared" si="15"/>
        <v>0.72306904083302193</v>
      </c>
      <c r="CB19" s="302">
        <f t="shared" si="22"/>
        <v>0.75627547239128445</v>
      </c>
      <c r="CC19" s="302">
        <f t="shared" si="30"/>
        <v>0.57586037034121318</v>
      </c>
      <c r="CD19" s="302">
        <f t="shared" si="37"/>
        <v>0.47681050311547551</v>
      </c>
    </row>
    <row r="20" spans="1:83">
      <c r="A20" s="285">
        <f>Odd_Even!A25</f>
        <v>1977</v>
      </c>
      <c r="B20" s="285">
        <f t="shared" si="0"/>
        <v>1979</v>
      </c>
      <c r="C20" s="475">
        <v>0.33500000000000002</v>
      </c>
      <c r="D20" s="623">
        <f>Odd_Even!E25</f>
        <v>1517667</v>
      </c>
      <c r="E20" s="623">
        <f>Odd_Even!H25</f>
        <v>17335503</v>
      </c>
      <c r="F20" s="1083" t="b">
        <f t="shared" si="1"/>
        <v>0</v>
      </c>
      <c r="G20" s="259">
        <f t="shared" si="2"/>
        <v>1979</v>
      </c>
      <c r="H20" s="465">
        <f t="shared" si="6"/>
        <v>5816401</v>
      </c>
      <c r="I20" s="465">
        <f t="shared" si="16"/>
        <v>4569419.5</v>
      </c>
      <c r="J20" s="465">
        <f t="shared" si="23"/>
        <v>5891604.333333333</v>
      </c>
      <c r="K20" s="465">
        <f t="shared" si="31"/>
        <v>6524581.75</v>
      </c>
      <c r="L20" s="465">
        <f t="shared" si="39"/>
        <v>6266295.2000000002</v>
      </c>
      <c r="M20" s="465"/>
      <c r="N20" s="280"/>
      <c r="O20" s="276">
        <f t="shared" si="7"/>
        <v>50</v>
      </c>
      <c r="P20" s="459">
        <f t="shared" si="8"/>
        <v>-11519102</v>
      </c>
      <c r="Q20" s="459">
        <f t="shared" si="17"/>
        <v>-12766083.5</v>
      </c>
      <c r="R20" s="459">
        <f t="shared" si="28"/>
        <v>-11443898.666666668</v>
      </c>
      <c r="S20" s="459">
        <f t="shared" si="32"/>
        <v>-10810921.25</v>
      </c>
      <c r="T20" s="459">
        <f t="shared" si="40"/>
        <v>-11069207.800000001</v>
      </c>
      <c r="U20" s="459"/>
      <c r="W20" s="261">
        <f t="shared" si="9"/>
        <v>-0.66448040186662016</v>
      </c>
      <c r="X20" s="261">
        <f t="shared" si="12"/>
        <v>-0.73641263827187475</v>
      </c>
      <c r="Y20" s="261">
        <f t="shared" si="12"/>
        <v>-0.66014229103514721</v>
      </c>
      <c r="Z20" s="261">
        <f t="shared" si="12"/>
        <v>-0.62362893363982574</v>
      </c>
      <c r="AA20" s="261">
        <f t="shared" si="12"/>
        <v>-0.63852821576622265</v>
      </c>
      <c r="AB20" s="261"/>
      <c r="AD20" s="302">
        <f t="shared" si="10"/>
        <v>0.66448040186662016</v>
      </c>
      <c r="AE20" s="302">
        <f t="shared" si="18"/>
        <v>0.73641263827187475</v>
      </c>
      <c r="AF20" s="302">
        <f t="shared" si="24"/>
        <v>0.66014229103514721</v>
      </c>
      <c r="AG20" s="314">
        <f t="shared" si="33"/>
        <v>0.62362893363982574</v>
      </c>
      <c r="AH20" s="313">
        <f t="shared" si="41"/>
        <v>0.63852821576622265</v>
      </c>
      <c r="AI20" s="313"/>
      <c r="AK20" s="624">
        <f t="shared" si="13"/>
        <v>11519102</v>
      </c>
      <c r="AL20" s="624">
        <f t="shared" si="19"/>
        <v>12766083.5</v>
      </c>
      <c r="AM20" s="624">
        <f t="shared" si="25"/>
        <v>11443898.666666668</v>
      </c>
      <c r="AN20" s="1047">
        <f t="shared" si="34"/>
        <v>10810921.25</v>
      </c>
      <c r="AO20" s="624">
        <f t="shared" si="45"/>
        <v>11069207.800000001</v>
      </c>
      <c r="AP20" s="624"/>
      <c r="AQ20" s="624"/>
      <c r="AR20" s="624"/>
      <c r="AS20" s="1069">
        <f t="shared" si="14"/>
        <v>-0.66448040186662016</v>
      </c>
      <c r="AT20" s="1069">
        <f>IF($F20 =FALSE,(Q20/$E20), " ")</f>
        <v>-0.73641263827187475</v>
      </c>
      <c r="AU20" s="1069">
        <f t="shared" si="29"/>
        <v>-0.66014229103514721</v>
      </c>
      <c r="AV20" s="1069">
        <f t="shared" si="38"/>
        <v>-0.62362893363982574</v>
      </c>
      <c r="AW20" s="1069">
        <f t="shared" si="46"/>
        <v>-0.63852821576622265</v>
      </c>
      <c r="AX20" s="624"/>
      <c r="AY20" s="259"/>
      <c r="BA20" s="302">
        <f t="shared" si="11"/>
        <v>0.66448040186662016</v>
      </c>
      <c r="BB20" s="302">
        <f t="shared" si="20"/>
        <v>0.73641263827187475</v>
      </c>
      <c r="BC20" s="302">
        <f t="shared" si="26"/>
        <v>0.66014229103514721</v>
      </c>
      <c r="BD20" s="314">
        <f t="shared" si="35"/>
        <v>0.62362893363982574</v>
      </c>
      <c r="BE20" s="302">
        <f t="shared" si="42"/>
        <v>0.63852821576622265</v>
      </c>
      <c r="BJ20" s="624" t="str">
        <f t="shared" si="3"/>
        <v/>
      </c>
      <c r="BK20" s="624" t="str">
        <f t="shared" si="27"/>
        <v/>
      </c>
      <c r="BL20" s="624" t="str">
        <f t="shared" si="36"/>
        <v/>
      </c>
      <c r="BM20" s="624" t="str">
        <f t="shared" si="43"/>
        <v/>
      </c>
      <c r="BN20" s="624" t="str">
        <f t="shared" si="44"/>
        <v/>
      </c>
      <c r="BO20" s="624"/>
      <c r="BP20" s="624"/>
      <c r="BQ20" s="624"/>
      <c r="BR20" s="1069" t="str">
        <f t="shared" si="4"/>
        <v xml:space="preserve"> </v>
      </c>
      <c r="BS20" s="1069" t="str">
        <f t="shared" si="4"/>
        <v xml:space="preserve"> </v>
      </c>
      <c r="BT20" s="1069" t="str">
        <f t="shared" si="4"/>
        <v xml:space="preserve"> </v>
      </c>
      <c r="BU20" s="1069" t="str">
        <f t="shared" si="4"/>
        <v xml:space="preserve"> </v>
      </c>
      <c r="BV20" s="1069" t="str">
        <f t="shared" si="4"/>
        <v xml:space="preserve"> </v>
      </c>
      <c r="BW20" s="1069"/>
      <c r="BZ20" s="302" t="str">
        <f t="shared" si="5"/>
        <v xml:space="preserve"> </v>
      </c>
      <c r="CA20" s="302" t="str">
        <f t="shared" si="15"/>
        <v xml:space="preserve"> </v>
      </c>
      <c r="CB20" s="302" t="str">
        <f t="shared" si="22"/>
        <v xml:space="preserve"> </v>
      </c>
      <c r="CC20" s="302" t="str">
        <f t="shared" si="30"/>
        <v xml:space="preserve"> </v>
      </c>
      <c r="CD20" s="302" t="str">
        <f t="shared" si="37"/>
        <v xml:space="preserve"> </v>
      </c>
    </row>
    <row r="21" spans="1:83">
      <c r="A21" s="285">
        <f>Odd_Even!A26</f>
        <v>1978</v>
      </c>
      <c r="B21" s="285">
        <f t="shared" si="0"/>
        <v>1980</v>
      </c>
      <c r="C21" s="475">
        <v>0.60250000000000004</v>
      </c>
      <c r="D21" s="623">
        <f>Odd_Even!E26</f>
        <v>755386</v>
      </c>
      <c r="E21" s="623">
        <f>Odd_Even!H26</f>
        <v>14013916</v>
      </c>
      <c r="F21" s="1083" t="b">
        <f t="shared" si="1"/>
        <v>1</v>
      </c>
      <c r="G21" s="259">
        <f t="shared" si="2"/>
        <v>1980</v>
      </c>
      <c r="H21" s="465">
        <f t="shared" si="6"/>
        <v>3925083</v>
      </c>
      <c r="I21" s="465">
        <f t="shared" si="16"/>
        <v>2543067</v>
      </c>
      <c r="J21" s="465">
        <f t="shared" si="23"/>
        <v>2033012.3333333333</v>
      </c>
      <c r="K21" s="465">
        <f t="shared" si="31"/>
        <v>1698750</v>
      </c>
      <c r="L21" s="465">
        <f t="shared" si="39"/>
        <v>2116843.2000000002</v>
      </c>
      <c r="M21" s="465"/>
      <c r="N21" s="280"/>
      <c r="O21" s="276">
        <f t="shared" si="7"/>
        <v>48</v>
      </c>
      <c r="P21" s="459">
        <f t="shared" si="8"/>
        <v>-10088833</v>
      </c>
      <c r="Q21" s="459">
        <f t="shared" si="17"/>
        <v>-11470849</v>
      </c>
      <c r="R21" s="459">
        <f t="shared" si="28"/>
        <v>-11980903.666666666</v>
      </c>
      <c r="S21" s="459">
        <f t="shared" si="32"/>
        <v>-12315166</v>
      </c>
      <c r="T21" s="459">
        <f t="shared" si="40"/>
        <v>-11897072.800000001</v>
      </c>
      <c r="U21" s="459"/>
      <c r="W21" s="261">
        <f t="shared" si="9"/>
        <v>-0.7199153327306943</v>
      </c>
      <c r="X21" s="261">
        <f>(Q21/$E21)</f>
        <v>-0.81853273560366713</v>
      </c>
      <c r="Y21" s="261">
        <f t="shared" ref="Y21:Y50" si="47">(R21/$E21)</f>
        <v>-0.85492903387366281</v>
      </c>
      <c r="Z21" s="261">
        <f t="shared" ref="Z21:Z50" si="48">(S21/$E21)</f>
        <v>-0.87878120576718166</v>
      </c>
      <c r="AA21" s="261">
        <f t="shared" ref="AA21:AB50" si="49">(T21/$E21)</f>
        <v>-0.84894706090717265</v>
      </c>
      <c r="AB21" s="261"/>
      <c r="AD21" s="314">
        <f t="shared" si="10"/>
        <v>0.7199153327306943</v>
      </c>
      <c r="AE21" s="302">
        <f t="shared" si="18"/>
        <v>0.81853273560366713</v>
      </c>
      <c r="AF21" s="302">
        <f t="shared" si="24"/>
        <v>0.85492903387366281</v>
      </c>
      <c r="AG21" s="302">
        <f t="shared" si="33"/>
        <v>0.87878120576718166</v>
      </c>
      <c r="AH21" s="313">
        <f t="shared" si="41"/>
        <v>0.84894706090717265</v>
      </c>
      <c r="AI21" s="313"/>
      <c r="AK21" s="624" t="str">
        <f t="shared" si="13"/>
        <v/>
      </c>
      <c r="AL21" s="624" t="str">
        <f t="shared" si="19"/>
        <v/>
      </c>
      <c r="AM21" s="624" t="str">
        <f t="shared" si="25"/>
        <v/>
      </c>
      <c r="AN21" s="624" t="str">
        <f t="shared" si="34"/>
        <v/>
      </c>
      <c r="AO21" s="624" t="str">
        <f t="shared" si="45"/>
        <v/>
      </c>
      <c r="AP21" s="624"/>
      <c r="AQ21" s="624"/>
      <c r="AR21" s="624"/>
      <c r="AS21" s="1069" t="str">
        <f t="shared" si="14"/>
        <v xml:space="preserve"> </v>
      </c>
      <c r="AT21" s="1069" t="str">
        <f t="shared" si="21"/>
        <v xml:space="preserve"> </v>
      </c>
      <c r="AU21" s="1069" t="str">
        <f t="shared" si="29"/>
        <v xml:space="preserve"> </v>
      </c>
      <c r="AV21" s="1069" t="str">
        <f t="shared" si="38"/>
        <v xml:space="preserve"> </v>
      </c>
      <c r="AW21" s="1069" t="str">
        <f t="shared" si="46"/>
        <v xml:space="preserve"> </v>
      </c>
      <c r="AX21" s="624"/>
      <c r="AY21" s="259"/>
      <c r="BA21" s="302" t="str">
        <f t="shared" si="11"/>
        <v xml:space="preserve"> </v>
      </c>
      <c r="BB21" s="302" t="str">
        <f t="shared" si="20"/>
        <v xml:space="preserve"> </v>
      </c>
      <c r="BC21" s="302" t="str">
        <f t="shared" si="26"/>
        <v xml:space="preserve"> </v>
      </c>
      <c r="BD21" s="302" t="str">
        <f t="shared" si="35"/>
        <v xml:space="preserve"> </v>
      </c>
      <c r="BE21" s="302" t="str">
        <f t="shared" si="42"/>
        <v xml:space="preserve"> </v>
      </c>
      <c r="BJ21" s="624">
        <f t="shared" si="3"/>
        <v>10088833</v>
      </c>
      <c r="BK21" s="624">
        <f t="shared" si="27"/>
        <v>11470849</v>
      </c>
      <c r="BL21" s="624">
        <f t="shared" si="36"/>
        <v>11980903.666666666</v>
      </c>
      <c r="BM21" s="624">
        <f t="shared" si="43"/>
        <v>12315166</v>
      </c>
      <c r="BN21" s="624">
        <f t="shared" si="44"/>
        <v>11897072.800000001</v>
      </c>
      <c r="BO21" s="624"/>
      <c r="BP21" s="624"/>
      <c r="BQ21" s="624"/>
      <c r="BR21" s="1069">
        <f t="shared" si="4"/>
        <v>-0.7199153327306943</v>
      </c>
      <c r="BS21" s="1069">
        <f t="shared" si="4"/>
        <v>-0.81853273560366713</v>
      </c>
      <c r="BT21" s="1069">
        <f t="shared" si="4"/>
        <v>-0.85492903387366281</v>
      </c>
      <c r="BU21" s="1069">
        <f t="shared" si="4"/>
        <v>-0.87878120576718166</v>
      </c>
      <c r="BV21" s="1069">
        <f t="shared" si="4"/>
        <v>-0.84894706090717265</v>
      </c>
      <c r="BW21" s="1069"/>
      <c r="BZ21" s="302">
        <f t="shared" si="5"/>
        <v>0.7199153327306943</v>
      </c>
      <c r="CA21" s="302">
        <f t="shared" si="15"/>
        <v>0.81853273560366713</v>
      </c>
      <c r="CB21" s="302">
        <f t="shared" si="22"/>
        <v>0.85492903387366281</v>
      </c>
      <c r="CC21" s="302">
        <f t="shared" si="30"/>
        <v>0.87878120576718166</v>
      </c>
      <c r="CD21" s="302">
        <f t="shared" si="37"/>
        <v>0.84894706090717265</v>
      </c>
    </row>
    <row r="22" spans="1:83">
      <c r="A22" s="285">
        <f>Odd_Even!A27</f>
        <v>1979</v>
      </c>
      <c r="B22" s="285">
        <f t="shared" si="0"/>
        <v>1981</v>
      </c>
      <c r="C22" s="475">
        <v>0.91833333299999997</v>
      </c>
      <c r="D22" s="623">
        <f>Odd_Even!E27</f>
        <v>2901977</v>
      </c>
      <c r="E22" s="623">
        <f>Odd_Even!H27</f>
        <v>19568866</v>
      </c>
      <c r="F22" s="1083" t="b">
        <f t="shared" si="1"/>
        <v>0</v>
      </c>
      <c r="G22" s="259">
        <f t="shared" si="2"/>
        <v>1981</v>
      </c>
      <c r="H22" s="465">
        <f t="shared" si="6"/>
        <v>17335503</v>
      </c>
      <c r="I22" s="465">
        <f t="shared" si="16"/>
        <v>11575952</v>
      </c>
      <c r="J22" s="465">
        <f t="shared" si="23"/>
        <v>8824780.666666666</v>
      </c>
      <c r="K22" s="465">
        <f t="shared" si="31"/>
        <v>8752579</v>
      </c>
      <c r="L22" s="465">
        <f t="shared" si="39"/>
        <v>8686766</v>
      </c>
      <c r="M22" s="465"/>
      <c r="N22" s="280"/>
      <c r="O22" s="276">
        <f t="shared" si="7"/>
        <v>34</v>
      </c>
      <c r="P22" s="459">
        <f t="shared" si="8"/>
        <v>-2233363</v>
      </c>
      <c r="Q22" s="459">
        <f t="shared" si="17"/>
        <v>-7992914</v>
      </c>
      <c r="R22" s="459">
        <f t="shared" si="28"/>
        <v>-10744085.333333334</v>
      </c>
      <c r="S22" s="459">
        <f t="shared" si="32"/>
        <v>-10816287</v>
      </c>
      <c r="T22" s="459">
        <f t="shared" si="40"/>
        <v>-10882100</v>
      </c>
      <c r="U22" s="459"/>
      <c r="W22" s="261">
        <f t="shared" si="9"/>
        <v>-0.11412838127666672</v>
      </c>
      <c r="X22" s="261">
        <f t="shared" ref="X22:X49" si="50">(Q22/$E22)</f>
        <v>-0.40845054588242363</v>
      </c>
      <c r="Y22" s="261">
        <f t="shared" si="47"/>
        <v>-0.54903975188615084</v>
      </c>
      <c r="Z22" s="261">
        <f t="shared" si="48"/>
        <v>-0.55272937123694343</v>
      </c>
      <c r="AA22" s="261">
        <f t="shared" si="49"/>
        <v>-0.55609251961764161</v>
      </c>
      <c r="AB22" s="261"/>
      <c r="AD22" s="314">
        <f t="shared" si="10"/>
        <v>0.11412838127666672</v>
      </c>
      <c r="AE22" s="302">
        <f t="shared" si="18"/>
        <v>0.40845054588242363</v>
      </c>
      <c r="AF22" s="302">
        <f t="shared" si="24"/>
        <v>0.54903975188615084</v>
      </c>
      <c r="AG22" s="302">
        <f t="shared" si="33"/>
        <v>0.55272937123694343</v>
      </c>
      <c r="AH22" s="313">
        <f t="shared" si="41"/>
        <v>0.55609251961764161</v>
      </c>
      <c r="AI22" s="313"/>
      <c r="AK22" s="1047">
        <f t="shared" si="13"/>
        <v>2233363</v>
      </c>
      <c r="AL22" s="624">
        <f t="shared" si="19"/>
        <v>7992914</v>
      </c>
      <c r="AM22" s="624">
        <f t="shared" si="25"/>
        <v>10744085.333333334</v>
      </c>
      <c r="AN22" s="624">
        <f t="shared" si="34"/>
        <v>10816287</v>
      </c>
      <c r="AO22" s="624">
        <f t="shared" si="45"/>
        <v>10882100</v>
      </c>
      <c r="AP22" s="624"/>
      <c r="AQ22" s="624"/>
      <c r="AR22" s="624"/>
      <c r="AS22" s="1069">
        <f t="shared" si="14"/>
        <v>-0.11412838127666672</v>
      </c>
      <c r="AT22" s="1069">
        <f t="shared" si="21"/>
        <v>-0.40845054588242363</v>
      </c>
      <c r="AU22" s="1069">
        <f t="shared" si="29"/>
        <v>-0.54903975188615084</v>
      </c>
      <c r="AV22" s="1069">
        <f t="shared" si="38"/>
        <v>-0.55272937123694343</v>
      </c>
      <c r="AW22" s="1069">
        <f t="shared" si="46"/>
        <v>-0.55609251961764161</v>
      </c>
      <c r="AX22" s="624"/>
      <c r="AY22" s="259"/>
      <c r="BA22" s="314">
        <f t="shared" si="11"/>
        <v>0.11412838127666672</v>
      </c>
      <c r="BB22" s="302">
        <f t="shared" si="20"/>
        <v>0.40845054588242363</v>
      </c>
      <c r="BC22" s="302">
        <f t="shared" si="26"/>
        <v>0.54903975188615084</v>
      </c>
      <c r="BD22" s="302">
        <f t="shared" si="35"/>
        <v>0.55272937123694343</v>
      </c>
      <c r="BE22" s="302">
        <f t="shared" si="42"/>
        <v>0.55609251961764161</v>
      </c>
      <c r="BJ22" s="624" t="str">
        <f t="shared" si="3"/>
        <v/>
      </c>
      <c r="BK22" s="624" t="str">
        <f t="shared" si="27"/>
        <v/>
      </c>
      <c r="BL22" s="624" t="str">
        <f t="shared" si="36"/>
        <v/>
      </c>
      <c r="BM22" s="624" t="str">
        <f t="shared" si="43"/>
        <v/>
      </c>
      <c r="BN22" s="624" t="str">
        <f t="shared" si="44"/>
        <v/>
      </c>
      <c r="BO22" s="624"/>
      <c r="BP22" s="624"/>
      <c r="BQ22" s="624"/>
      <c r="BR22" s="1069" t="str">
        <f t="shared" si="4"/>
        <v xml:space="preserve"> </v>
      </c>
      <c r="BS22" s="1069" t="str">
        <f t="shared" si="4"/>
        <v xml:space="preserve"> </v>
      </c>
      <c r="BT22" s="1069" t="str">
        <f t="shared" si="4"/>
        <v xml:space="preserve"> </v>
      </c>
      <c r="BU22" s="1069" t="str">
        <f t="shared" si="4"/>
        <v xml:space="preserve"> </v>
      </c>
      <c r="BV22" s="1069" t="str">
        <f t="shared" si="4"/>
        <v xml:space="preserve"> </v>
      </c>
      <c r="BW22" s="1069" t="str">
        <f t="shared" si="4"/>
        <v xml:space="preserve"> </v>
      </c>
      <c r="BZ22" s="302" t="str">
        <f t="shared" si="5"/>
        <v xml:space="preserve"> </v>
      </c>
      <c r="CA22" s="302" t="str">
        <f t="shared" si="15"/>
        <v xml:space="preserve"> </v>
      </c>
      <c r="CB22" s="302" t="str">
        <f t="shared" si="22"/>
        <v xml:space="preserve"> </v>
      </c>
      <c r="CC22" s="302" t="str">
        <f t="shared" si="30"/>
        <v xml:space="preserve"> </v>
      </c>
      <c r="CD22" s="302" t="str">
        <f t="shared" si="37"/>
        <v xml:space="preserve"> </v>
      </c>
    </row>
    <row r="23" spans="1:83">
      <c r="A23" s="285">
        <f>Odd_Even!A28</f>
        <v>1980</v>
      </c>
      <c r="B23" s="285">
        <f t="shared" si="0"/>
        <v>1982</v>
      </c>
      <c r="C23" s="475">
        <v>0.114166667</v>
      </c>
      <c r="D23" s="623">
        <f>Odd_Even!E28</f>
        <v>1095042</v>
      </c>
      <c r="E23" s="623">
        <f>Odd_Even!H28</f>
        <v>16794317</v>
      </c>
      <c r="F23" s="1083" t="b">
        <f t="shared" si="1"/>
        <v>1</v>
      </c>
      <c r="G23" s="259">
        <f t="shared" si="2"/>
        <v>1982</v>
      </c>
      <c r="H23" s="465">
        <f t="shared" si="6"/>
        <v>14013916</v>
      </c>
      <c r="I23" s="465">
        <f t="shared" si="16"/>
        <v>8969499.5</v>
      </c>
      <c r="J23" s="465">
        <f t="shared" si="23"/>
        <v>6366683.333333333</v>
      </c>
      <c r="K23" s="465">
        <f t="shared" si="31"/>
        <v>5028238.25</v>
      </c>
      <c r="L23" s="465">
        <f t="shared" si="39"/>
        <v>4161783.2</v>
      </c>
      <c r="M23" s="465">
        <f>AVERAGE($E21,$E19,$E17,$E15,$E13,$E11,$E9,$E7,$E5,$E3)</f>
        <v>4713830</v>
      </c>
      <c r="N23" s="280"/>
      <c r="O23" s="276">
        <f t="shared" si="7"/>
        <v>38</v>
      </c>
      <c r="P23" s="459">
        <f t="shared" si="8"/>
        <v>-2780401</v>
      </c>
      <c r="Q23" s="459">
        <f t="shared" si="17"/>
        <v>-7824817.5</v>
      </c>
      <c r="R23" s="459">
        <f t="shared" si="28"/>
        <v>-10427633.666666668</v>
      </c>
      <c r="S23" s="459">
        <f t="shared" si="32"/>
        <v>-11766078.75</v>
      </c>
      <c r="T23" s="459">
        <f t="shared" si="40"/>
        <v>-12632533.800000001</v>
      </c>
      <c r="U23" s="459">
        <f>M23-E23</f>
        <v>-12080487</v>
      </c>
      <c r="W23" s="261">
        <f t="shared" si="9"/>
        <v>-0.16555606280386395</v>
      </c>
      <c r="X23" s="261">
        <f t="shared" si="50"/>
        <v>-0.46592055514969738</v>
      </c>
      <c r="Y23" s="261">
        <f t="shared" si="47"/>
        <v>-0.62090251521789586</v>
      </c>
      <c r="Z23" s="261">
        <f t="shared" si="48"/>
        <v>-0.70059882459048495</v>
      </c>
      <c r="AA23" s="261">
        <f t="shared" si="49"/>
        <v>-0.75219098222333192</v>
      </c>
      <c r="AB23" s="261">
        <f t="shared" si="49"/>
        <v>-0.71931993423727802</v>
      </c>
      <c r="AD23" s="314">
        <f t="shared" si="10"/>
        <v>0.16555606280386395</v>
      </c>
      <c r="AE23" s="302">
        <f t="shared" si="18"/>
        <v>0.46592055514969738</v>
      </c>
      <c r="AF23" s="302">
        <f t="shared" si="24"/>
        <v>0.62090251521789586</v>
      </c>
      <c r="AG23" s="302">
        <f t="shared" si="33"/>
        <v>0.70059882459048495</v>
      </c>
      <c r="AH23" s="313">
        <f t="shared" si="41"/>
        <v>0.75219098222333192</v>
      </c>
      <c r="AI23" s="313">
        <f>ABS(AB23)</f>
        <v>0.71931993423727802</v>
      </c>
      <c r="AK23" s="624" t="str">
        <f t="shared" si="13"/>
        <v/>
      </c>
      <c r="AL23" s="624" t="str">
        <f t="shared" si="19"/>
        <v/>
      </c>
      <c r="AM23" s="624" t="str">
        <f t="shared" si="25"/>
        <v/>
      </c>
      <c r="AN23" s="624" t="str">
        <f t="shared" si="34"/>
        <v/>
      </c>
      <c r="AO23" s="624" t="str">
        <f t="shared" si="45"/>
        <v/>
      </c>
      <c r="AP23" s="624" t="str">
        <f t="shared" ref="AP23:AP54" si="51">IF($F23=FALSE,ABS($E23-M23),"")</f>
        <v/>
      </c>
      <c r="AQ23" s="624"/>
      <c r="AR23" s="624"/>
      <c r="AS23" s="1069" t="str">
        <f t="shared" si="14"/>
        <v xml:space="preserve"> </v>
      </c>
      <c r="AT23" s="1069" t="str">
        <f t="shared" si="21"/>
        <v xml:space="preserve"> </v>
      </c>
      <c r="AU23" s="1069" t="str">
        <f t="shared" si="29"/>
        <v xml:space="preserve"> </v>
      </c>
      <c r="AV23" s="1069" t="str">
        <f t="shared" si="38"/>
        <v xml:space="preserve"> </v>
      </c>
      <c r="AW23" s="1069" t="str">
        <f t="shared" si="46"/>
        <v xml:space="preserve"> </v>
      </c>
      <c r="AX23" s="624"/>
      <c r="AY23" s="259"/>
      <c r="BA23" s="302" t="str">
        <f t="shared" si="11"/>
        <v xml:space="preserve"> </v>
      </c>
      <c r="BB23" s="302" t="str">
        <f t="shared" si="20"/>
        <v xml:space="preserve"> </v>
      </c>
      <c r="BC23" s="302" t="str">
        <f t="shared" si="26"/>
        <v xml:space="preserve"> </v>
      </c>
      <c r="BD23" s="302" t="str">
        <f t="shared" si="35"/>
        <v xml:space="preserve"> </v>
      </c>
      <c r="BE23" s="302" t="str">
        <f t="shared" si="42"/>
        <v xml:space="preserve"> </v>
      </c>
      <c r="BJ23" s="624">
        <f t="shared" si="3"/>
        <v>2780401</v>
      </c>
      <c r="BK23" s="624">
        <f t="shared" si="27"/>
        <v>7824817.5</v>
      </c>
      <c r="BL23" s="624">
        <f t="shared" si="36"/>
        <v>10427633.666666668</v>
      </c>
      <c r="BM23" s="624">
        <f t="shared" si="43"/>
        <v>11766078.75</v>
      </c>
      <c r="BN23" s="624">
        <f t="shared" si="44"/>
        <v>12632533.800000001</v>
      </c>
      <c r="BO23" s="624">
        <f t="shared" ref="BO23:BO53" si="52">IF($F23=TRUE,ABS($E23-M23),"")</f>
        <v>12080487</v>
      </c>
      <c r="BP23" s="624"/>
      <c r="BQ23" s="624"/>
      <c r="BR23" s="1069">
        <f t="shared" si="4"/>
        <v>-0.16555606280386395</v>
      </c>
      <c r="BS23" s="1069">
        <f t="shared" si="4"/>
        <v>-0.46592055514969738</v>
      </c>
      <c r="BT23" s="1069">
        <f t="shared" si="4"/>
        <v>-0.62090251521789586</v>
      </c>
      <c r="BU23" s="1069">
        <f t="shared" si="4"/>
        <v>-0.70059882459048495</v>
      </c>
      <c r="BV23" s="1069">
        <f t="shared" si="4"/>
        <v>-0.75219098222333192</v>
      </c>
      <c r="BW23" s="1069">
        <f t="shared" si="4"/>
        <v>-0.71931993423727802</v>
      </c>
      <c r="BZ23" s="302">
        <f t="shared" si="5"/>
        <v>0.16555606280386395</v>
      </c>
      <c r="CA23" s="302">
        <f t="shared" si="15"/>
        <v>0.46592055514969738</v>
      </c>
      <c r="CB23" s="302">
        <f t="shared" si="22"/>
        <v>0.62090251521789586</v>
      </c>
      <c r="CC23" s="302">
        <f t="shared" si="30"/>
        <v>0.70059882459048495</v>
      </c>
      <c r="CD23" s="302">
        <f t="shared" si="37"/>
        <v>0.75219098222333192</v>
      </c>
      <c r="CE23" s="302">
        <f t="shared" ref="CE23:CE53" si="53">IF($F23 =TRUE,ABS(BO23/$E23), " ")</f>
        <v>0.71931993423727802</v>
      </c>
    </row>
    <row r="24" spans="1:83">
      <c r="A24" s="285">
        <f>Odd_Even!A29</f>
        <v>1981</v>
      </c>
      <c r="B24" s="285">
        <f t="shared" si="0"/>
        <v>1983</v>
      </c>
      <c r="C24" s="475">
        <v>1.6483333330000001</v>
      </c>
      <c r="D24" s="623">
        <f>Odd_Even!E29</f>
        <v>2166319</v>
      </c>
      <c r="E24" s="623">
        <f>Odd_Even!H29</f>
        <v>11567348</v>
      </c>
      <c r="F24" s="1083" t="b">
        <f t="shared" si="1"/>
        <v>0</v>
      </c>
      <c r="G24" s="259">
        <f t="shared" si="2"/>
        <v>1983</v>
      </c>
      <c r="H24" s="465">
        <f t="shared" si="6"/>
        <v>19568866</v>
      </c>
      <c r="I24" s="465">
        <f t="shared" si="16"/>
        <v>18452184.5</v>
      </c>
      <c r="J24" s="465">
        <f t="shared" si="23"/>
        <v>14240256.666666666</v>
      </c>
      <c r="K24" s="465">
        <f t="shared" si="31"/>
        <v>11510802</v>
      </c>
      <c r="L24" s="465">
        <f t="shared" si="39"/>
        <v>10915836.4</v>
      </c>
      <c r="M24" s="465">
        <f t="shared" ref="M24:M56" si="54">AVERAGE($E22,$E20,$E18,$E16,$E14,$E12,$E10,$E8,$E6,$E4)</f>
        <v>8179199</v>
      </c>
      <c r="N24" s="280"/>
      <c r="O24" s="276">
        <f t="shared" si="7"/>
        <v>5</v>
      </c>
      <c r="P24" s="459">
        <f t="shared" si="8"/>
        <v>8001518</v>
      </c>
      <c r="Q24" s="459">
        <f t="shared" si="17"/>
        <v>6884836.5</v>
      </c>
      <c r="R24" s="459">
        <f t="shared" si="28"/>
        <v>2672908.666666666</v>
      </c>
      <c r="S24" s="459">
        <f t="shared" si="32"/>
        <v>-56546</v>
      </c>
      <c r="T24" s="459">
        <f t="shared" si="40"/>
        <v>-651511.59999999963</v>
      </c>
      <c r="U24" s="459">
        <f t="shared" ref="U24:U54" si="55">M24-E24</f>
        <v>-3388149</v>
      </c>
      <c r="W24" s="261">
        <f t="shared" si="9"/>
        <v>0.69173314401883645</v>
      </c>
      <c r="X24" s="261">
        <f t="shared" si="50"/>
        <v>0.59519576137935848</v>
      </c>
      <c r="Y24" s="261">
        <f t="shared" si="47"/>
        <v>0.23107359324424803</v>
      </c>
      <c r="Z24" s="261">
        <f t="shared" si="48"/>
        <v>-4.8884152184234453E-3</v>
      </c>
      <c r="AA24" s="261">
        <f t="shared" si="49"/>
        <v>-5.632333357654664E-2</v>
      </c>
      <c r="AB24" s="261">
        <f t="shared" si="49"/>
        <v>-0.29290629105305727</v>
      </c>
      <c r="AD24" s="302">
        <f t="shared" si="10"/>
        <v>0.69173314401883645</v>
      </c>
      <c r="AE24" s="302">
        <f t="shared" si="18"/>
        <v>0.59519576137935848</v>
      </c>
      <c r="AF24" s="302">
        <f t="shared" si="24"/>
        <v>0.23107359324424803</v>
      </c>
      <c r="AG24" s="314">
        <f t="shared" si="33"/>
        <v>4.8884152184234453E-3</v>
      </c>
      <c r="AH24" s="313">
        <f t="shared" si="41"/>
        <v>5.632333357654664E-2</v>
      </c>
      <c r="AI24" s="313">
        <f t="shared" si="41"/>
        <v>0.29290629105305727</v>
      </c>
      <c r="AK24" s="624">
        <f t="shared" si="13"/>
        <v>8001518</v>
      </c>
      <c r="AL24" s="624">
        <f t="shared" si="19"/>
        <v>6884836.5</v>
      </c>
      <c r="AM24" s="624">
        <f t="shared" si="25"/>
        <v>2672908.666666666</v>
      </c>
      <c r="AN24" s="1047">
        <f t="shared" si="34"/>
        <v>56546</v>
      </c>
      <c r="AO24" s="624">
        <f t="shared" si="45"/>
        <v>651511.59999999963</v>
      </c>
      <c r="AP24" s="624">
        <f t="shared" si="51"/>
        <v>3388149</v>
      </c>
      <c r="AQ24" s="624"/>
      <c r="AR24" s="624"/>
      <c r="AS24" s="1069">
        <f t="shared" si="14"/>
        <v>0.69173314401883645</v>
      </c>
      <c r="AT24" s="1069">
        <f t="shared" si="21"/>
        <v>0.59519576137935848</v>
      </c>
      <c r="AU24" s="1069">
        <f t="shared" si="29"/>
        <v>0.23107359324424803</v>
      </c>
      <c r="AV24" s="1069">
        <f t="shared" si="38"/>
        <v>-4.8884152184234453E-3</v>
      </c>
      <c r="AW24" s="1069">
        <f t="shared" si="46"/>
        <v>-5.632333357654664E-2</v>
      </c>
      <c r="AX24" s="1069">
        <f>IF($F24 =FALSE,(U24/$E24), " ")</f>
        <v>-0.29290629105305727</v>
      </c>
      <c r="AY24" s="259"/>
      <c r="BA24" s="302">
        <f t="shared" si="11"/>
        <v>0.69173314401883645</v>
      </c>
      <c r="BB24" s="302">
        <f t="shared" si="20"/>
        <v>0.59519576137935848</v>
      </c>
      <c r="BC24" s="302">
        <f t="shared" si="26"/>
        <v>0.23107359324424803</v>
      </c>
      <c r="BD24" s="314">
        <f t="shared" si="35"/>
        <v>4.8884152184234453E-3</v>
      </c>
      <c r="BE24" s="302">
        <f t="shared" si="42"/>
        <v>5.632333357654664E-2</v>
      </c>
      <c r="BF24" s="302">
        <f t="shared" ref="BF24:BF50" si="56">IF($F24 =FALSE,ABS(AP24/$E24), " ")</f>
        <v>0.29290629105305727</v>
      </c>
      <c r="BJ24" s="624" t="str">
        <f t="shared" si="3"/>
        <v/>
      </c>
      <c r="BK24" s="624" t="str">
        <f t="shared" si="27"/>
        <v/>
      </c>
      <c r="BL24" s="624" t="str">
        <f t="shared" si="36"/>
        <v/>
      </c>
      <c r="BM24" s="624" t="str">
        <f t="shared" si="43"/>
        <v/>
      </c>
      <c r="BN24" s="624" t="str">
        <f t="shared" si="44"/>
        <v/>
      </c>
      <c r="BO24" s="624" t="str">
        <f t="shared" si="52"/>
        <v/>
      </c>
      <c r="BP24" s="624"/>
      <c r="BQ24" s="624"/>
      <c r="BR24" s="1069" t="str">
        <f t="shared" si="4"/>
        <v xml:space="preserve"> </v>
      </c>
      <c r="BS24" s="1069" t="str">
        <f t="shared" si="4"/>
        <v xml:space="preserve"> </v>
      </c>
      <c r="BT24" s="1069" t="str">
        <f t="shared" si="4"/>
        <v xml:space="preserve"> </v>
      </c>
      <c r="BU24" s="1069" t="str">
        <f t="shared" si="4"/>
        <v xml:space="preserve"> </v>
      </c>
      <c r="BV24" s="1069" t="str">
        <f t="shared" si="4"/>
        <v xml:space="preserve"> </v>
      </c>
      <c r="BW24" s="1069" t="str">
        <f t="shared" si="4"/>
        <v xml:space="preserve"> </v>
      </c>
      <c r="BZ24" s="302" t="str">
        <f t="shared" si="5"/>
        <v xml:space="preserve"> </v>
      </c>
      <c r="CA24" s="302" t="str">
        <f t="shared" si="15"/>
        <v xml:space="preserve"> </v>
      </c>
      <c r="CB24" s="302" t="str">
        <f t="shared" si="22"/>
        <v xml:space="preserve"> </v>
      </c>
      <c r="CC24" s="302" t="str">
        <f t="shared" si="30"/>
        <v xml:space="preserve"> </v>
      </c>
      <c r="CD24" s="302" t="str">
        <f t="shared" si="37"/>
        <v xml:space="preserve"> </v>
      </c>
      <c r="CE24" s="302" t="str">
        <f t="shared" si="53"/>
        <v xml:space="preserve"> </v>
      </c>
    </row>
    <row r="25" spans="1:83">
      <c r="A25" s="285">
        <f>Odd_Even!A30</f>
        <v>1982</v>
      </c>
      <c r="B25" s="285">
        <f t="shared" si="0"/>
        <v>1984</v>
      </c>
      <c r="C25" s="475">
        <v>0.83750000000000002</v>
      </c>
      <c r="D25" s="623">
        <f>Odd_Even!E30</f>
        <v>1849118</v>
      </c>
      <c r="E25" s="623">
        <f>Odd_Even!H30</f>
        <v>21201513</v>
      </c>
      <c r="F25" s="1083" t="b">
        <f t="shared" si="1"/>
        <v>1</v>
      </c>
      <c r="G25" s="259">
        <f t="shared" si="2"/>
        <v>1984</v>
      </c>
      <c r="H25" s="465">
        <f t="shared" si="6"/>
        <v>16794317</v>
      </c>
      <c r="I25" s="465">
        <f t="shared" si="16"/>
        <v>15404116.5</v>
      </c>
      <c r="J25" s="465">
        <f t="shared" si="23"/>
        <v>11577772</v>
      </c>
      <c r="K25" s="465">
        <f t="shared" si="31"/>
        <v>8973591.75</v>
      </c>
      <c r="L25" s="465">
        <f t="shared" si="39"/>
        <v>7381454</v>
      </c>
      <c r="M25" s="465">
        <f t="shared" si="54"/>
        <v>5517229.0999999996</v>
      </c>
      <c r="N25" s="280"/>
      <c r="O25" s="276">
        <f t="shared" si="7"/>
        <v>43</v>
      </c>
      <c r="P25" s="459">
        <f t="shared" si="8"/>
        <v>-4407196</v>
      </c>
      <c r="Q25" s="459">
        <f t="shared" si="17"/>
        <v>-5797396.5</v>
      </c>
      <c r="R25" s="459">
        <f t="shared" si="28"/>
        <v>-9623741</v>
      </c>
      <c r="S25" s="459">
        <f t="shared" si="32"/>
        <v>-12227921.25</v>
      </c>
      <c r="T25" s="459">
        <f t="shared" si="40"/>
        <v>-13820059</v>
      </c>
      <c r="U25" s="459">
        <f t="shared" si="55"/>
        <v>-15684283.9</v>
      </c>
      <c r="W25" s="261">
        <f t="shared" si="9"/>
        <v>-0.20787176839690638</v>
      </c>
      <c r="X25" s="261">
        <f t="shared" si="50"/>
        <v>-0.27344258402690413</v>
      </c>
      <c r="Y25" s="261">
        <f t="shared" si="47"/>
        <v>-0.45391765200908069</v>
      </c>
      <c r="Z25" s="261">
        <f t="shared" si="48"/>
        <v>-0.576747576930005</v>
      </c>
      <c r="AA25" s="261">
        <f t="shared" si="49"/>
        <v>-0.65184305478575988</v>
      </c>
      <c r="AB25" s="261">
        <f t="shared" si="49"/>
        <v>-0.73977191627786187</v>
      </c>
      <c r="AD25" s="314">
        <f t="shared" si="10"/>
        <v>0.20787176839690638</v>
      </c>
      <c r="AE25" s="302">
        <f t="shared" si="18"/>
        <v>0.27344258402690413</v>
      </c>
      <c r="AF25" s="302">
        <f t="shared" si="24"/>
        <v>0.45391765200908069</v>
      </c>
      <c r="AG25" s="302">
        <f t="shared" si="33"/>
        <v>0.576747576930005</v>
      </c>
      <c r="AH25" s="313">
        <f t="shared" si="41"/>
        <v>0.65184305478575988</v>
      </c>
      <c r="AI25" s="313">
        <f t="shared" si="41"/>
        <v>0.73977191627786187</v>
      </c>
      <c r="AK25" s="624" t="str">
        <f t="shared" si="13"/>
        <v/>
      </c>
      <c r="AL25" s="624" t="str">
        <f t="shared" si="19"/>
        <v/>
      </c>
      <c r="AM25" s="624" t="str">
        <f t="shared" si="25"/>
        <v/>
      </c>
      <c r="AN25" s="624" t="str">
        <f t="shared" si="34"/>
        <v/>
      </c>
      <c r="AO25" s="624" t="str">
        <f t="shared" si="45"/>
        <v/>
      </c>
      <c r="AP25" s="624" t="str">
        <f t="shared" si="51"/>
        <v/>
      </c>
      <c r="AQ25" s="624"/>
      <c r="AR25" s="624"/>
      <c r="AS25" s="1069" t="str">
        <f t="shared" si="14"/>
        <v xml:space="preserve"> </v>
      </c>
      <c r="AT25" s="1069" t="str">
        <f t="shared" si="21"/>
        <v xml:space="preserve"> </v>
      </c>
      <c r="AU25" s="1069" t="str">
        <f t="shared" si="29"/>
        <v xml:space="preserve"> </v>
      </c>
      <c r="AV25" s="1069" t="str">
        <f t="shared" si="38"/>
        <v xml:space="preserve"> </v>
      </c>
      <c r="AW25" s="1069" t="str">
        <f t="shared" si="46"/>
        <v xml:space="preserve"> </v>
      </c>
      <c r="AX25" s="1069" t="str">
        <f t="shared" ref="AX25:AX52" si="57">IF($F25 =FALSE,(U25/$E25), " ")</f>
        <v xml:space="preserve"> </v>
      </c>
      <c r="AY25" s="259"/>
      <c r="BA25" s="302" t="str">
        <f t="shared" si="11"/>
        <v xml:space="preserve"> </v>
      </c>
      <c r="BB25" s="302" t="str">
        <f t="shared" si="20"/>
        <v xml:space="preserve"> </v>
      </c>
      <c r="BC25" s="302" t="str">
        <f t="shared" si="26"/>
        <v xml:space="preserve"> </v>
      </c>
      <c r="BD25" s="302" t="str">
        <f t="shared" si="35"/>
        <v xml:space="preserve"> </v>
      </c>
      <c r="BE25" s="302" t="str">
        <f t="shared" si="42"/>
        <v xml:space="preserve"> </v>
      </c>
      <c r="BF25" s="302" t="str">
        <f t="shared" si="56"/>
        <v xml:space="preserve"> </v>
      </c>
      <c r="BJ25" s="624">
        <f t="shared" si="3"/>
        <v>4407196</v>
      </c>
      <c r="BK25" s="624">
        <f t="shared" si="27"/>
        <v>5797396.5</v>
      </c>
      <c r="BL25" s="624">
        <f t="shared" si="36"/>
        <v>9623741</v>
      </c>
      <c r="BM25" s="624">
        <f t="shared" si="43"/>
        <v>12227921.25</v>
      </c>
      <c r="BN25" s="624">
        <f t="shared" si="44"/>
        <v>13820059</v>
      </c>
      <c r="BO25" s="624">
        <f t="shared" si="52"/>
        <v>15684283.9</v>
      </c>
      <c r="BP25" s="624"/>
      <c r="BQ25" s="624"/>
      <c r="BR25" s="1069">
        <f t="shared" si="4"/>
        <v>-0.20787176839690638</v>
      </c>
      <c r="BS25" s="1069">
        <f t="shared" si="4"/>
        <v>-0.27344258402690413</v>
      </c>
      <c r="BT25" s="1069">
        <f t="shared" si="4"/>
        <v>-0.45391765200908069</v>
      </c>
      <c r="BU25" s="1069">
        <f t="shared" si="4"/>
        <v>-0.576747576930005</v>
      </c>
      <c r="BV25" s="1069">
        <f t="shared" si="4"/>
        <v>-0.65184305478575988</v>
      </c>
      <c r="BW25" s="1069">
        <f t="shared" si="4"/>
        <v>-0.73977191627786187</v>
      </c>
      <c r="BZ25" s="302">
        <f t="shared" si="5"/>
        <v>0.20787176839690638</v>
      </c>
      <c r="CA25" s="302">
        <f t="shared" si="15"/>
        <v>0.27344258402690413</v>
      </c>
      <c r="CB25" s="302">
        <f t="shared" si="22"/>
        <v>0.45391765200908069</v>
      </c>
      <c r="CC25" s="302">
        <f t="shared" si="30"/>
        <v>0.576747576930005</v>
      </c>
      <c r="CD25" s="302">
        <f t="shared" si="37"/>
        <v>0.65184305478575988</v>
      </c>
      <c r="CE25" s="302">
        <f t="shared" si="53"/>
        <v>0.73977191627786187</v>
      </c>
    </row>
    <row r="26" spans="1:83">
      <c r="A26" s="285">
        <f>Odd_Even!A31</f>
        <v>1983</v>
      </c>
      <c r="B26" s="285">
        <f t="shared" si="0"/>
        <v>1985</v>
      </c>
      <c r="C26" s="475">
        <v>0.44916666700000002</v>
      </c>
      <c r="D26" s="623">
        <f>Odd_Even!E31</f>
        <v>2003106</v>
      </c>
      <c r="E26" s="623">
        <f>Odd_Even!H31</f>
        <v>19938105</v>
      </c>
      <c r="F26" s="1083" t="b">
        <f t="shared" si="1"/>
        <v>0</v>
      </c>
      <c r="G26" s="259">
        <f t="shared" si="2"/>
        <v>1985</v>
      </c>
      <c r="H26" s="465">
        <f t="shared" si="6"/>
        <v>11567348</v>
      </c>
      <c r="I26" s="465">
        <f t="shared" si="16"/>
        <v>15568107</v>
      </c>
      <c r="J26" s="465">
        <f t="shared" si="23"/>
        <v>16157239</v>
      </c>
      <c r="K26" s="465">
        <f t="shared" si="31"/>
        <v>13572029.5</v>
      </c>
      <c r="L26" s="465">
        <f t="shared" si="39"/>
        <v>11522111.199999999</v>
      </c>
      <c r="M26" s="465">
        <f t="shared" si="54"/>
        <v>8670822</v>
      </c>
      <c r="N26" s="280"/>
      <c r="O26" s="276">
        <f t="shared" si="7"/>
        <v>46</v>
      </c>
      <c r="P26" s="459">
        <f t="shared" si="8"/>
        <v>-8370757</v>
      </c>
      <c r="Q26" s="459">
        <f t="shared" si="17"/>
        <v>-4369998</v>
      </c>
      <c r="R26" s="459">
        <f t="shared" si="28"/>
        <v>-3780866</v>
      </c>
      <c r="S26" s="459">
        <f t="shared" si="32"/>
        <v>-6366075.5</v>
      </c>
      <c r="T26" s="459">
        <f t="shared" si="40"/>
        <v>-8415993.8000000007</v>
      </c>
      <c r="U26" s="459">
        <f t="shared" si="55"/>
        <v>-11267283</v>
      </c>
      <c r="W26" s="261">
        <f t="shared" si="9"/>
        <v>-0.41983714099208524</v>
      </c>
      <c r="X26" s="261">
        <f t="shared" si="50"/>
        <v>-0.21917820173983435</v>
      </c>
      <c r="Y26" s="261">
        <f t="shared" si="47"/>
        <v>-0.18963015793125776</v>
      </c>
      <c r="Z26" s="261">
        <f t="shared" si="48"/>
        <v>-0.31929190361872406</v>
      </c>
      <c r="AA26" s="261">
        <f t="shared" si="49"/>
        <v>-0.42210600255139596</v>
      </c>
      <c r="AB26" s="261">
        <f t="shared" si="49"/>
        <v>-0.56511303356061171</v>
      </c>
      <c r="AD26" s="302">
        <f t="shared" si="10"/>
        <v>0.41983714099208524</v>
      </c>
      <c r="AE26" s="302">
        <f t="shared" si="18"/>
        <v>0.21917820173983435</v>
      </c>
      <c r="AF26" s="314">
        <f t="shared" si="24"/>
        <v>0.18963015793125776</v>
      </c>
      <c r="AG26" s="302">
        <f t="shared" si="33"/>
        <v>0.31929190361872406</v>
      </c>
      <c r="AH26" s="313">
        <f t="shared" si="41"/>
        <v>0.42210600255139596</v>
      </c>
      <c r="AI26" s="313">
        <f t="shared" si="41"/>
        <v>0.56511303356061171</v>
      </c>
      <c r="AK26" s="624">
        <f t="shared" si="13"/>
        <v>8370757</v>
      </c>
      <c r="AL26" s="624">
        <f t="shared" si="19"/>
        <v>4369998</v>
      </c>
      <c r="AM26" s="1047">
        <f t="shared" si="25"/>
        <v>3780866</v>
      </c>
      <c r="AN26" s="624">
        <f t="shared" si="34"/>
        <v>6366075.5</v>
      </c>
      <c r="AO26" s="624">
        <f t="shared" si="45"/>
        <v>8415993.8000000007</v>
      </c>
      <c r="AP26" s="624">
        <f t="shared" si="51"/>
        <v>11267283</v>
      </c>
      <c r="AQ26" s="624"/>
      <c r="AR26" s="624"/>
      <c r="AS26" s="1069">
        <f t="shared" si="14"/>
        <v>-0.41983714099208524</v>
      </c>
      <c r="AT26" s="1069">
        <f t="shared" si="21"/>
        <v>-0.21917820173983435</v>
      </c>
      <c r="AU26" s="1069">
        <f t="shared" si="29"/>
        <v>-0.18963015793125776</v>
      </c>
      <c r="AV26" s="1069">
        <f t="shared" si="38"/>
        <v>-0.31929190361872406</v>
      </c>
      <c r="AW26" s="1069">
        <f t="shared" si="46"/>
        <v>-0.42210600255139596</v>
      </c>
      <c r="AX26" s="1069">
        <f t="shared" si="57"/>
        <v>-0.56511303356061171</v>
      </c>
      <c r="AY26" s="259"/>
      <c r="BA26" s="302">
        <f t="shared" si="11"/>
        <v>0.41983714099208524</v>
      </c>
      <c r="BB26" s="302">
        <f t="shared" si="20"/>
        <v>0.21917820173983435</v>
      </c>
      <c r="BC26" s="314">
        <f t="shared" si="26"/>
        <v>0.18963015793125776</v>
      </c>
      <c r="BD26" s="302">
        <f t="shared" si="35"/>
        <v>0.31929190361872406</v>
      </c>
      <c r="BE26" s="302">
        <f t="shared" si="42"/>
        <v>0.42210600255139596</v>
      </c>
      <c r="BF26" s="302">
        <f t="shared" si="56"/>
        <v>0.56511303356061171</v>
      </c>
      <c r="BJ26" s="624" t="str">
        <f t="shared" si="3"/>
        <v/>
      </c>
      <c r="BK26" s="624" t="str">
        <f t="shared" si="27"/>
        <v/>
      </c>
      <c r="BL26" s="624" t="str">
        <f t="shared" si="36"/>
        <v/>
      </c>
      <c r="BM26" s="624" t="str">
        <f t="shared" si="43"/>
        <v/>
      </c>
      <c r="BN26" s="624" t="str">
        <f t="shared" si="44"/>
        <v/>
      </c>
      <c r="BO26" s="624" t="str">
        <f t="shared" si="52"/>
        <v/>
      </c>
      <c r="BP26" s="624"/>
      <c r="BQ26" s="624"/>
      <c r="BR26" s="1069" t="str">
        <f t="shared" si="4"/>
        <v xml:space="preserve"> </v>
      </c>
      <c r="BS26" s="1069" t="str">
        <f t="shared" si="4"/>
        <v xml:space="preserve"> </v>
      </c>
      <c r="BT26" s="1069" t="str">
        <f t="shared" si="4"/>
        <v xml:space="preserve"> </v>
      </c>
      <c r="BU26" s="1069" t="str">
        <f t="shared" si="4"/>
        <v xml:space="preserve"> </v>
      </c>
      <c r="BV26" s="1069" t="str">
        <f t="shared" si="4"/>
        <v xml:space="preserve"> </v>
      </c>
      <c r="BW26" s="1069" t="str">
        <f t="shared" si="4"/>
        <v xml:space="preserve"> </v>
      </c>
      <c r="BZ26" s="302" t="str">
        <f t="shared" si="5"/>
        <v xml:space="preserve"> </v>
      </c>
      <c r="CA26" s="302" t="str">
        <f t="shared" si="15"/>
        <v xml:space="preserve"> </v>
      </c>
      <c r="CB26" s="302" t="str">
        <f t="shared" si="22"/>
        <v xml:space="preserve"> </v>
      </c>
      <c r="CC26" s="302" t="str">
        <f t="shared" si="30"/>
        <v xml:space="preserve"> </v>
      </c>
      <c r="CD26" s="302" t="str">
        <f t="shared" si="37"/>
        <v xml:space="preserve"> </v>
      </c>
      <c r="CE26" s="302" t="str">
        <f t="shared" si="53"/>
        <v xml:space="preserve"> </v>
      </c>
    </row>
    <row r="27" spans="1:83">
      <c r="A27" s="285">
        <f>Odd_Even!A32</f>
        <v>1984</v>
      </c>
      <c r="B27" s="285">
        <f t="shared" si="0"/>
        <v>1986</v>
      </c>
      <c r="C27" s="475">
        <v>1.2391666670000001</v>
      </c>
      <c r="D27" s="623">
        <f>Odd_Even!E32</f>
        <v>3569838</v>
      </c>
      <c r="E27" s="623">
        <f>Odd_Even!H32</f>
        <v>5563957</v>
      </c>
      <c r="F27" s="1083" t="b">
        <f t="shared" si="1"/>
        <v>1</v>
      </c>
      <c r="G27" s="259">
        <f t="shared" si="2"/>
        <v>1986</v>
      </c>
      <c r="H27" s="465">
        <f t="shared" si="6"/>
        <v>21201513</v>
      </c>
      <c r="I27" s="465">
        <f t="shared" si="16"/>
        <v>18997915</v>
      </c>
      <c r="J27" s="465">
        <f t="shared" si="23"/>
        <v>17336582</v>
      </c>
      <c r="K27" s="465">
        <f t="shared" si="31"/>
        <v>13983707.25</v>
      </c>
      <c r="L27" s="465">
        <f t="shared" si="39"/>
        <v>11419176</v>
      </c>
      <c r="M27" s="465">
        <f t="shared" si="54"/>
        <v>7032522.7999999998</v>
      </c>
      <c r="N27" s="280"/>
      <c r="O27" s="276">
        <f t="shared" si="7"/>
        <v>1</v>
      </c>
      <c r="P27" s="459">
        <f t="shared" si="8"/>
        <v>15637556</v>
      </c>
      <c r="Q27" s="459">
        <f t="shared" si="17"/>
        <v>13433958</v>
      </c>
      <c r="R27" s="459">
        <f t="shared" si="28"/>
        <v>11772625</v>
      </c>
      <c r="S27" s="459">
        <f t="shared" si="32"/>
        <v>8419750.25</v>
      </c>
      <c r="T27" s="459">
        <f t="shared" si="40"/>
        <v>5855219</v>
      </c>
      <c r="U27" s="459">
        <f t="shared" si="55"/>
        <v>1468565.7999999998</v>
      </c>
      <c r="W27" s="261">
        <f t="shared" si="9"/>
        <v>2.8105098583615939</v>
      </c>
      <c r="X27" s="261">
        <f t="shared" si="50"/>
        <v>2.4144611469858592</v>
      </c>
      <c r="Y27" s="261">
        <f t="shared" si="47"/>
        <v>2.1158727502746695</v>
      </c>
      <c r="Z27" s="261">
        <f t="shared" si="48"/>
        <v>1.5132665924628821</v>
      </c>
      <c r="AA27" s="261">
        <f t="shared" si="49"/>
        <v>1.0523479962192375</v>
      </c>
      <c r="AB27" s="261">
        <f t="shared" si="49"/>
        <v>0.26394269402153897</v>
      </c>
      <c r="AD27" s="302">
        <f t="shared" si="10"/>
        <v>2.8105098583615939</v>
      </c>
      <c r="AE27" s="302">
        <f t="shared" si="18"/>
        <v>2.4144611469858592</v>
      </c>
      <c r="AF27" s="302">
        <f t="shared" si="24"/>
        <v>2.1158727502746695</v>
      </c>
      <c r="AG27" s="302">
        <f t="shared" si="33"/>
        <v>1.5132665924628821</v>
      </c>
      <c r="AH27" s="315">
        <f t="shared" si="41"/>
        <v>1.0523479962192375</v>
      </c>
      <c r="AI27" s="313">
        <f t="shared" si="41"/>
        <v>0.26394269402153897</v>
      </c>
      <c r="AK27" s="624" t="str">
        <f t="shared" si="13"/>
        <v/>
      </c>
      <c r="AL27" s="624" t="str">
        <f t="shared" si="19"/>
        <v/>
      </c>
      <c r="AM27" s="624" t="str">
        <f t="shared" si="25"/>
        <v/>
      </c>
      <c r="AN27" s="624" t="str">
        <f t="shared" si="34"/>
        <v/>
      </c>
      <c r="AO27" s="624" t="str">
        <f t="shared" si="45"/>
        <v/>
      </c>
      <c r="AP27" s="624" t="str">
        <f t="shared" si="51"/>
        <v/>
      </c>
      <c r="AQ27" s="624"/>
      <c r="AR27" s="624"/>
      <c r="AS27" s="1069" t="str">
        <f t="shared" si="14"/>
        <v xml:space="preserve"> </v>
      </c>
      <c r="AT27" s="1069" t="str">
        <f t="shared" si="21"/>
        <v xml:space="preserve"> </v>
      </c>
      <c r="AU27" s="1069" t="str">
        <f t="shared" si="29"/>
        <v xml:space="preserve"> </v>
      </c>
      <c r="AV27" s="1069" t="str">
        <f t="shared" si="38"/>
        <v xml:space="preserve"> </v>
      </c>
      <c r="AW27" s="1069" t="str">
        <f t="shared" si="46"/>
        <v xml:space="preserve"> </v>
      </c>
      <c r="AX27" s="1069" t="str">
        <f t="shared" si="57"/>
        <v xml:space="preserve"> </v>
      </c>
      <c r="AY27" s="259"/>
      <c r="BA27" s="302" t="str">
        <f t="shared" si="11"/>
        <v xml:space="preserve"> </v>
      </c>
      <c r="BB27" s="302" t="str">
        <f t="shared" si="20"/>
        <v xml:space="preserve"> </v>
      </c>
      <c r="BC27" s="302" t="str">
        <f t="shared" si="26"/>
        <v xml:space="preserve"> </v>
      </c>
      <c r="BD27" s="302" t="str">
        <f t="shared" si="35"/>
        <v xml:space="preserve"> </v>
      </c>
      <c r="BE27" s="302" t="str">
        <f t="shared" si="42"/>
        <v xml:space="preserve"> </v>
      </c>
      <c r="BF27" s="302" t="str">
        <f t="shared" si="56"/>
        <v xml:space="preserve"> </v>
      </c>
      <c r="BJ27" s="624">
        <f t="shared" si="3"/>
        <v>15637556</v>
      </c>
      <c r="BK27" s="624">
        <f t="shared" si="27"/>
        <v>13433958</v>
      </c>
      <c r="BL27" s="624">
        <f t="shared" si="36"/>
        <v>11772625</v>
      </c>
      <c r="BM27" s="624">
        <f t="shared" si="43"/>
        <v>8419750.25</v>
      </c>
      <c r="BN27" s="624">
        <f t="shared" si="44"/>
        <v>5855219</v>
      </c>
      <c r="BO27" s="624">
        <f t="shared" si="52"/>
        <v>1468565.7999999998</v>
      </c>
      <c r="BP27" s="624"/>
      <c r="BQ27" s="624"/>
      <c r="BR27" s="1069">
        <f t="shared" si="4"/>
        <v>2.8105098583615939</v>
      </c>
      <c r="BS27" s="1069">
        <f t="shared" si="4"/>
        <v>2.4144611469858592</v>
      </c>
      <c r="BT27" s="1069">
        <f t="shared" si="4"/>
        <v>2.1158727502746695</v>
      </c>
      <c r="BU27" s="1069">
        <f t="shared" si="4"/>
        <v>1.5132665924628821</v>
      </c>
      <c r="BV27" s="1069">
        <f t="shared" si="4"/>
        <v>1.0523479962192375</v>
      </c>
      <c r="BW27" s="1069">
        <f t="shared" si="4"/>
        <v>0.26394269402153897</v>
      </c>
      <c r="BZ27" s="302">
        <f t="shared" si="5"/>
        <v>2.8105098583615939</v>
      </c>
      <c r="CA27" s="302">
        <f t="shared" si="15"/>
        <v>2.4144611469858592</v>
      </c>
      <c r="CB27" s="302">
        <f t="shared" si="22"/>
        <v>2.1158727502746695</v>
      </c>
      <c r="CC27" s="302">
        <f t="shared" si="30"/>
        <v>1.5132665924628821</v>
      </c>
      <c r="CD27" s="302">
        <f t="shared" si="37"/>
        <v>1.0523479962192375</v>
      </c>
      <c r="CE27" s="302">
        <f t="shared" si="53"/>
        <v>0.26394269402153897</v>
      </c>
    </row>
    <row r="28" spans="1:83">
      <c r="A28" s="285">
        <f>Odd_Even!A33</f>
        <v>1985</v>
      </c>
      <c r="B28" s="285">
        <f t="shared" si="0"/>
        <v>1987</v>
      </c>
      <c r="C28" s="475">
        <v>1.8208333329999999</v>
      </c>
      <c r="D28" s="623">
        <f>Odd_Even!E33</f>
        <v>2347997</v>
      </c>
      <c r="E28" s="623">
        <f>Odd_Even!H33</f>
        <v>13066944</v>
      </c>
      <c r="F28" s="1083" t="b">
        <f t="shared" si="1"/>
        <v>0</v>
      </c>
      <c r="G28" s="259">
        <f t="shared" si="2"/>
        <v>1987</v>
      </c>
      <c r="H28" s="465">
        <f t="shared" si="6"/>
        <v>19938105</v>
      </c>
      <c r="I28" s="465">
        <f t="shared" si="16"/>
        <v>15752726.5</v>
      </c>
      <c r="J28" s="465">
        <f t="shared" si="23"/>
        <v>17024773</v>
      </c>
      <c r="K28" s="465">
        <f t="shared" si="31"/>
        <v>17102455.5</v>
      </c>
      <c r="L28" s="465">
        <f t="shared" si="39"/>
        <v>14845244.6</v>
      </c>
      <c r="M28" s="465">
        <f t="shared" si="54"/>
        <v>10320989.800000001</v>
      </c>
      <c r="N28" s="280"/>
      <c r="O28" s="276">
        <f t="shared" si="7"/>
        <v>6</v>
      </c>
      <c r="P28" s="459">
        <f t="shared" si="8"/>
        <v>6871161</v>
      </c>
      <c r="Q28" s="459">
        <f t="shared" si="17"/>
        <v>2685782.5</v>
      </c>
      <c r="R28" s="459">
        <f t="shared" si="28"/>
        <v>3957829</v>
      </c>
      <c r="S28" s="459">
        <f t="shared" si="32"/>
        <v>4035511.5</v>
      </c>
      <c r="T28" s="459">
        <f t="shared" si="40"/>
        <v>1778300.5999999996</v>
      </c>
      <c r="U28" s="459">
        <f t="shared" si="55"/>
        <v>-2745954.1999999993</v>
      </c>
      <c r="W28" s="261">
        <f t="shared" si="9"/>
        <v>0.52584299741393248</v>
      </c>
      <c r="X28" s="261">
        <f t="shared" si="50"/>
        <v>0.20554021659540286</v>
      </c>
      <c r="Y28" s="261">
        <f t="shared" si="47"/>
        <v>0.30288864787359615</v>
      </c>
      <c r="Z28" s="261">
        <f t="shared" si="48"/>
        <v>0.30883361098050166</v>
      </c>
      <c r="AA28" s="261">
        <f t="shared" si="49"/>
        <v>0.13609154519985694</v>
      </c>
      <c r="AB28" s="261">
        <f t="shared" si="49"/>
        <v>-0.21014509590000532</v>
      </c>
      <c r="AD28" s="302">
        <f t="shared" si="10"/>
        <v>0.52584299741393248</v>
      </c>
      <c r="AE28" s="302">
        <f t="shared" si="18"/>
        <v>0.20554021659540286</v>
      </c>
      <c r="AF28" s="302">
        <f t="shared" si="24"/>
        <v>0.30288864787359615</v>
      </c>
      <c r="AG28" s="302">
        <f t="shared" si="33"/>
        <v>0.30883361098050166</v>
      </c>
      <c r="AH28" s="315">
        <f t="shared" si="41"/>
        <v>0.13609154519985694</v>
      </c>
      <c r="AI28" s="313">
        <f t="shared" si="41"/>
        <v>0.21014509590000532</v>
      </c>
      <c r="AK28" s="624">
        <f t="shared" si="13"/>
        <v>6871161</v>
      </c>
      <c r="AL28" s="624">
        <f t="shared" si="19"/>
        <v>2685782.5</v>
      </c>
      <c r="AM28" s="624">
        <f t="shared" si="25"/>
        <v>3957829</v>
      </c>
      <c r="AN28" s="624">
        <f t="shared" si="34"/>
        <v>4035511.5</v>
      </c>
      <c r="AO28" s="1047">
        <f t="shared" si="45"/>
        <v>1778300.5999999996</v>
      </c>
      <c r="AP28" s="624">
        <f t="shared" si="51"/>
        <v>2745954.1999999993</v>
      </c>
      <c r="AQ28" s="624"/>
      <c r="AR28" s="624"/>
      <c r="AS28" s="1069">
        <f t="shared" si="14"/>
        <v>0.52584299741393248</v>
      </c>
      <c r="AT28" s="1069">
        <f t="shared" si="21"/>
        <v>0.20554021659540286</v>
      </c>
      <c r="AU28" s="1069">
        <f t="shared" si="29"/>
        <v>0.30288864787359615</v>
      </c>
      <c r="AV28" s="1069">
        <f t="shared" si="38"/>
        <v>0.30883361098050166</v>
      </c>
      <c r="AW28" s="1069">
        <f t="shared" si="46"/>
        <v>0.13609154519985694</v>
      </c>
      <c r="AX28" s="1069">
        <f t="shared" si="57"/>
        <v>-0.21014509590000532</v>
      </c>
      <c r="AY28" s="286"/>
      <c r="BA28" s="302">
        <f t="shared" si="11"/>
        <v>0.52584299741393248</v>
      </c>
      <c r="BB28" s="302">
        <f t="shared" si="20"/>
        <v>0.20554021659540286</v>
      </c>
      <c r="BC28" s="302">
        <f t="shared" si="26"/>
        <v>0.30288864787359615</v>
      </c>
      <c r="BD28" s="302">
        <f t="shared" si="35"/>
        <v>0.30883361098050166</v>
      </c>
      <c r="BE28" s="314">
        <f t="shared" si="42"/>
        <v>0.13609154519985694</v>
      </c>
      <c r="BF28" s="302">
        <f t="shared" si="56"/>
        <v>0.21014509590000532</v>
      </c>
      <c r="BJ28" s="624" t="str">
        <f t="shared" si="3"/>
        <v/>
      </c>
      <c r="BK28" s="624" t="str">
        <f t="shared" si="27"/>
        <v/>
      </c>
      <c r="BL28" s="624" t="str">
        <f t="shared" si="36"/>
        <v/>
      </c>
      <c r="BM28" s="624" t="str">
        <f t="shared" si="43"/>
        <v/>
      </c>
      <c r="BN28" s="624" t="str">
        <f t="shared" si="44"/>
        <v/>
      </c>
      <c r="BO28" s="624" t="str">
        <f t="shared" si="52"/>
        <v/>
      </c>
      <c r="BP28" s="624"/>
      <c r="BQ28" s="624"/>
      <c r="BR28" s="1069" t="str">
        <f t="shared" si="4"/>
        <v xml:space="preserve"> </v>
      </c>
      <c r="BS28" s="1069" t="str">
        <f t="shared" si="4"/>
        <v xml:space="preserve"> </v>
      </c>
      <c r="BT28" s="1069" t="str">
        <f t="shared" si="4"/>
        <v xml:space="preserve"> </v>
      </c>
      <c r="BU28" s="1069" t="str">
        <f t="shared" si="4"/>
        <v xml:space="preserve"> </v>
      </c>
      <c r="BV28" s="1069" t="str">
        <f t="shared" si="4"/>
        <v xml:space="preserve"> </v>
      </c>
      <c r="BW28" s="1069" t="str">
        <f t="shared" si="4"/>
        <v xml:space="preserve"> </v>
      </c>
      <c r="BZ28" s="302" t="str">
        <f t="shared" si="5"/>
        <v xml:space="preserve"> </v>
      </c>
      <c r="CA28" s="302" t="str">
        <f t="shared" si="15"/>
        <v xml:space="preserve"> </v>
      </c>
      <c r="CB28" s="302" t="str">
        <f t="shared" si="22"/>
        <v xml:space="preserve"> </v>
      </c>
      <c r="CC28" s="302" t="str">
        <f t="shared" si="30"/>
        <v xml:space="preserve"> </v>
      </c>
      <c r="CD28" s="302" t="str">
        <f t="shared" si="37"/>
        <v xml:space="preserve"> </v>
      </c>
      <c r="CE28" s="302" t="str">
        <f t="shared" si="53"/>
        <v xml:space="preserve"> </v>
      </c>
    </row>
    <row r="29" spans="1:83">
      <c r="A29" s="285">
        <f>Odd_Even!A34</f>
        <v>1986</v>
      </c>
      <c r="B29" s="285">
        <f t="shared" si="0"/>
        <v>1988</v>
      </c>
      <c r="C29" s="475">
        <v>0.53166666699999998</v>
      </c>
      <c r="D29" s="623">
        <f>Odd_Even!E34</f>
        <v>985934</v>
      </c>
      <c r="E29" s="623">
        <f>Odd_Even!H34</f>
        <v>1766936</v>
      </c>
      <c r="F29" s="1083" t="b">
        <f t="shared" si="1"/>
        <v>1</v>
      </c>
      <c r="G29" s="259">
        <f t="shared" si="2"/>
        <v>1988</v>
      </c>
      <c r="H29" s="465">
        <f t="shared" si="6"/>
        <v>5563957</v>
      </c>
      <c r="I29" s="465">
        <f t="shared" si="16"/>
        <v>13382735</v>
      </c>
      <c r="J29" s="465">
        <f t="shared" si="23"/>
        <v>14519929</v>
      </c>
      <c r="K29" s="465">
        <f t="shared" si="31"/>
        <v>14393425.75</v>
      </c>
      <c r="L29" s="465">
        <f t="shared" si="39"/>
        <v>12299757.199999999</v>
      </c>
      <c r="M29" s="465">
        <f t="shared" si="54"/>
        <v>7176659.7000000002</v>
      </c>
      <c r="N29" s="280"/>
      <c r="O29" s="276">
        <f t="shared" si="7"/>
        <v>11</v>
      </c>
      <c r="P29" s="459">
        <f t="shared" si="8"/>
        <v>3797021</v>
      </c>
      <c r="Q29" s="459">
        <f t="shared" si="17"/>
        <v>11615799</v>
      </c>
      <c r="R29" s="459">
        <f t="shared" si="28"/>
        <v>12752993</v>
      </c>
      <c r="S29" s="459">
        <f t="shared" si="32"/>
        <v>12626489.75</v>
      </c>
      <c r="T29" s="459">
        <f t="shared" si="40"/>
        <v>10532821.199999999</v>
      </c>
      <c r="U29" s="459">
        <f t="shared" si="55"/>
        <v>5409723.7000000002</v>
      </c>
      <c r="W29" s="261">
        <f t="shared" si="9"/>
        <v>2.1489295594181113</v>
      </c>
      <c r="X29" s="261">
        <f>(Q29/$E29)</f>
        <v>6.5739783444335282</v>
      </c>
      <c r="Y29" s="261">
        <f t="shared" si="47"/>
        <v>7.2175749432916643</v>
      </c>
      <c r="Z29" s="261">
        <f t="shared" si="48"/>
        <v>7.1459802448985137</v>
      </c>
      <c r="AA29" s="261">
        <f t="shared" si="49"/>
        <v>5.9610654828471432</v>
      </c>
      <c r="AB29" s="261">
        <f t="shared" si="49"/>
        <v>3.0616409988816802</v>
      </c>
      <c r="AD29" s="314">
        <f t="shared" si="10"/>
        <v>2.1489295594181113</v>
      </c>
      <c r="AE29" s="302">
        <f t="shared" si="18"/>
        <v>6.5739783444335282</v>
      </c>
      <c r="AF29" s="302">
        <f t="shared" si="24"/>
        <v>7.2175749432916643</v>
      </c>
      <c r="AG29" s="302">
        <f t="shared" si="33"/>
        <v>7.1459802448985137</v>
      </c>
      <c r="AH29" s="313">
        <f t="shared" si="41"/>
        <v>5.9610654828471432</v>
      </c>
      <c r="AI29" s="313">
        <f t="shared" si="41"/>
        <v>3.0616409988816802</v>
      </c>
      <c r="AK29" s="624" t="str">
        <f t="shared" si="13"/>
        <v/>
      </c>
      <c r="AL29" s="624" t="str">
        <f t="shared" si="19"/>
        <v/>
      </c>
      <c r="AM29" s="624" t="str">
        <f t="shared" si="25"/>
        <v/>
      </c>
      <c r="AN29" s="624" t="str">
        <f t="shared" si="34"/>
        <v/>
      </c>
      <c r="AO29" s="624" t="str">
        <f t="shared" si="45"/>
        <v/>
      </c>
      <c r="AP29" s="624" t="str">
        <f t="shared" si="51"/>
        <v/>
      </c>
      <c r="AQ29" s="624"/>
      <c r="AR29" s="624"/>
      <c r="AS29" s="1069" t="str">
        <f t="shared" si="14"/>
        <v xml:space="preserve"> </v>
      </c>
      <c r="AT29" s="1069" t="str">
        <f t="shared" si="21"/>
        <v xml:space="preserve"> </v>
      </c>
      <c r="AU29" s="1069" t="str">
        <f t="shared" si="29"/>
        <v xml:space="preserve"> </v>
      </c>
      <c r="AV29" s="1069" t="str">
        <f t="shared" si="38"/>
        <v xml:space="preserve"> </v>
      </c>
      <c r="AW29" s="1069" t="str">
        <f t="shared" si="46"/>
        <v xml:space="preserve"> </v>
      </c>
      <c r="AX29" s="1069" t="str">
        <f t="shared" si="57"/>
        <v xml:space="preserve"> </v>
      </c>
      <c r="AY29" s="259"/>
      <c r="BA29" s="302" t="str">
        <f t="shared" si="11"/>
        <v xml:space="preserve"> </v>
      </c>
      <c r="BB29" s="302" t="str">
        <f t="shared" si="20"/>
        <v xml:space="preserve"> </v>
      </c>
      <c r="BC29" s="302" t="str">
        <f t="shared" si="26"/>
        <v xml:space="preserve"> </v>
      </c>
      <c r="BD29" s="302" t="str">
        <f t="shared" si="35"/>
        <v xml:space="preserve"> </v>
      </c>
      <c r="BE29" s="302" t="str">
        <f t="shared" si="42"/>
        <v xml:space="preserve"> </v>
      </c>
      <c r="BF29" s="302" t="str">
        <f t="shared" si="56"/>
        <v xml:space="preserve"> </v>
      </c>
      <c r="BJ29" s="624">
        <f t="shared" si="3"/>
        <v>3797021</v>
      </c>
      <c r="BK29" s="624">
        <f t="shared" si="27"/>
        <v>11615799</v>
      </c>
      <c r="BL29" s="624">
        <f t="shared" si="36"/>
        <v>12752993</v>
      </c>
      <c r="BM29" s="624">
        <f t="shared" si="43"/>
        <v>12626489.75</v>
      </c>
      <c r="BN29" s="624">
        <f t="shared" si="44"/>
        <v>10532821.199999999</v>
      </c>
      <c r="BO29" s="624">
        <f t="shared" si="52"/>
        <v>5409723.7000000002</v>
      </c>
      <c r="BP29" s="624"/>
      <c r="BQ29" s="624"/>
      <c r="BR29" s="1069">
        <f t="shared" si="4"/>
        <v>2.1489295594181113</v>
      </c>
      <c r="BS29" s="1069">
        <f t="shared" si="4"/>
        <v>6.5739783444335282</v>
      </c>
      <c r="BT29" s="1069">
        <f t="shared" si="4"/>
        <v>7.2175749432916643</v>
      </c>
      <c r="BU29" s="1069">
        <f t="shared" si="4"/>
        <v>7.1459802448985137</v>
      </c>
      <c r="BV29" s="1069">
        <f t="shared" si="4"/>
        <v>5.9610654828471432</v>
      </c>
      <c r="BW29" s="1069">
        <f t="shared" si="4"/>
        <v>3.0616409988816802</v>
      </c>
      <c r="BZ29" s="302">
        <f t="shared" si="5"/>
        <v>2.1489295594181113</v>
      </c>
      <c r="CA29" s="302">
        <f t="shared" si="15"/>
        <v>6.5739783444335282</v>
      </c>
      <c r="CB29" s="302">
        <f t="shared" si="22"/>
        <v>7.2175749432916643</v>
      </c>
      <c r="CC29" s="302">
        <f t="shared" si="30"/>
        <v>7.1459802448985137</v>
      </c>
      <c r="CD29" s="302">
        <f t="shared" si="37"/>
        <v>5.9610654828471432</v>
      </c>
      <c r="CE29" s="302">
        <f t="shared" si="53"/>
        <v>3.0616409988816802</v>
      </c>
    </row>
    <row r="30" spans="1:83">
      <c r="A30" s="285">
        <f>Odd_Even!A35</f>
        <v>1987</v>
      </c>
      <c r="B30" s="285">
        <f t="shared" si="0"/>
        <v>1989</v>
      </c>
      <c r="C30" s="475">
        <v>-0.179166667</v>
      </c>
      <c r="D30" s="623">
        <f>Odd_Even!E35</f>
        <v>1372217</v>
      </c>
      <c r="E30" s="623">
        <f>Odd_Even!H35</f>
        <v>4743750</v>
      </c>
      <c r="F30" s="1083" t="b">
        <f t="shared" si="1"/>
        <v>0</v>
      </c>
      <c r="G30" s="259">
        <f t="shared" si="2"/>
        <v>1989</v>
      </c>
      <c r="H30" s="465">
        <f t="shared" si="6"/>
        <v>13066944</v>
      </c>
      <c r="I30" s="465">
        <f t="shared" si="16"/>
        <v>16502524.5</v>
      </c>
      <c r="J30" s="465">
        <f t="shared" si="23"/>
        <v>14857465.666666666</v>
      </c>
      <c r="K30" s="465">
        <f t="shared" si="31"/>
        <v>16035315.75</v>
      </c>
      <c r="L30" s="465">
        <f t="shared" si="39"/>
        <v>16295353.199999999</v>
      </c>
      <c r="M30" s="465">
        <f t="shared" si="54"/>
        <v>11280824.199999999</v>
      </c>
      <c r="N30" s="280"/>
      <c r="O30" s="276">
        <f t="shared" si="7"/>
        <v>4</v>
      </c>
      <c r="P30" s="459">
        <f t="shared" si="8"/>
        <v>8323194</v>
      </c>
      <c r="Q30" s="459">
        <f t="shared" si="17"/>
        <v>11758774.5</v>
      </c>
      <c r="R30" s="459">
        <f t="shared" si="28"/>
        <v>10113715.666666666</v>
      </c>
      <c r="S30" s="459">
        <f t="shared" si="32"/>
        <v>11291565.75</v>
      </c>
      <c r="T30" s="459">
        <f t="shared" si="40"/>
        <v>11551603.199999999</v>
      </c>
      <c r="U30" s="459">
        <f t="shared" si="55"/>
        <v>6537074.1999999993</v>
      </c>
      <c r="W30" s="261">
        <f t="shared" si="9"/>
        <v>1.7545599999999999</v>
      </c>
      <c r="X30" s="261">
        <f t="shared" si="50"/>
        <v>2.478793043478261</v>
      </c>
      <c r="Y30" s="261">
        <f t="shared" si="47"/>
        <v>2.1320085726833553</v>
      </c>
      <c r="Z30" s="261">
        <f t="shared" si="48"/>
        <v>2.3803037154150197</v>
      </c>
      <c r="AA30" s="261">
        <f t="shared" si="49"/>
        <v>2.4351205691699604</v>
      </c>
      <c r="AB30" s="261">
        <f t="shared" si="49"/>
        <v>1.3780393570487481</v>
      </c>
      <c r="AD30" s="314">
        <f t="shared" si="10"/>
        <v>1.7545599999999999</v>
      </c>
      <c r="AE30" s="302">
        <f t="shared" si="18"/>
        <v>2.478793043478261</v>
      </c>
      <c r="AF30" s="302">
        <f t="shared" si="24"/>
        <v>2.1320085726833553</v>
      </c>
      <c r="AG30" s="302">
        <f t="shared" si="33"/>
        <v>2.3803037154150197</v>
      </c>
      <c r="AH30" s="313">
        <f t="shared" si="41"/>
        <v>2.4351205691699604</v>
      </c>
      <c r="AI30" s="313">
        <f t="shared" si="41"/>
        <v>1.3780393570487481</v>
      </c>
      <c r="AK30" s="1047">
        <f t="shared" si="13"/>
        <v>8323194</v>
      </c>
      <c r="AL30" s="624">
        <f t="shared" si="19"/>
        <v>11758774.5</v>
      </c>
      <c r="AM30" s="624">
        <f t="shared" si="25"/>
        <v>10113715.666666666</v>
      </c>
      <c r="AN30" s="624">
        <f t="shared" si="34"/>
        <v>11291565.75</v>
      </c>
      <c r="AO30" s="624">
        <f t="shared" si="45"/>
        <v>11551603.199999999</v>
      </c>
      <c r="AP30" s="624">
        <f t="shared" si="51"/>
        <v>6537074.1999999993</v>
      </c>
      <c r="AQ30" s="624"/>
      <c r="AR30" s="624"/>
      <c r="AS30" s="1069">
        <f t="shared" si="14"/>
        <v>1.7545599999999999</v>
      </c>
      <c r="AT30" s="1069">
        <f t="shared" si="21"/>
        <v>2.478793043478261</v>
      </c>
      <c r="AU30" s="1069">
        <f t="shared" si="29"/>
        <v>2.1320085726833553</v>
      </c>
      <c r="AV30" s="1069">
        <f t="shared" si="38"/>
        <v>2.3803037154150197</v>
      </c>
      <c r="AW30" s="1069">
        <f t="shared" si="46"/>
        <v>2.4351205691699604</v>
      </c>
      <c r="AX30" s="1069">
        <f t="shared" si="57"/>
        <v>1.3780393570487481</v>
      </c>
      <c r="AY30" s="259"/>
      <c r="BA30" s="302">
        <f t="shared" si="11"/>
        <v>1.7545599999999999</v>
      </c>
      <c r="BB30" s="302">
        <f t="shared" si="20"/>
        <v>2.478793043478261</v>
      </c>
      <c r="BC30" s="302">
        <f t="shared" si="26"/>
        <v>2.1320085726833553</v>
      </c>
      <c r="BD30" s="302">
        <f t="shared" si="35"/>
        <v>2.3803037154150197</v>
      </c>
      <c r="BE30" s="302">
        <f t="shared" si="42"/>
        <v>2.4351205691699604</v>
      </c>
      <c r="BF30" s="314">
        <f t="shared" si="56"/>
        <v>1.3780393570487481</v>
      </c>
      <c r="BJ30" s="624" t="str">
        <f t="shared" si="3"/>
        <v/>
      </c>
      <c r="BK30" s="624" t="str">
        <f t="shared" si="27"/>
        <v/>
      </c>
      <c r="BL30" s="624" t="str">
        <f t="shared" si="36"/>
        <v/>
      </c>
      <c r="BM30" s="624" t="str">
        <f t="shared" si="43"/>
        <v/>
      </c>
      <c r="BN30" s="624" t="str">
        <f t="shared" si="44"/>
        <v/>
      </c>
      <c r="BO30" s="624" t="str">
        <f t="shared" si="52"/>
        <v/>
      </c>
      <c r="BP30" s="624"/>
      <c r="BQ30" s="624"/>
      <c r="BR30" s="1069" t="str">
        <f t="shared" si="4"/>
        <v xml:space="preserve"> </v>
      </c>
      <c r="BS30" s="1069" t="str">
        <f t="shared" si="4"/>
        <v xml:space="preserve"> </v>
      </c>
      <c r="BT30" s="1069" t="str">
        <f t="shared" si="4"/>
        <v xml:space="preserve"> </v>
      </c>
      <c r="BU30" s="1069" t="str">
        <f t="shared" si="4"/>
        <v xml:space="preserve"> </v>
      </c>
      <c r="BV30" s="1069" t="str">
        <f t="shared" si="4"/>
        <v xml:space="preserve"> </v>
      </c>
      <c r="BW30" s="1069" t="str">
        <f t="shared" si="4"/>
        <v xml:space="preserve"> </v>
      </c>
      <c r="BZ30" s="302" t="str">
        <f t="shared" si="5"/>
        <v xml:space="preserve"> </v>
      </c>
      <c r="CA30" s="302" t="str">
        <f t="shared" si="15"/>
        <v xml:space="preserve"> </v>
      </c>
      <c r="CB30" s="302" t="str">
        <f t="shared" si="22"/>
        <v xml:space="preserve"> </v>
      </c>
      <c r="CC30" s="302" t="str">
        <f t="shared" si="30"/>
        <v xml:space="preserve"> </v>
      </c>
      <c r="CD30" s="302" t="str">
        <f t="shared" si="37"/>
        <v xml:space="preserve"> </v>
      </c>
      <c r="CE30" s="302" t="str">
        <f t="shared" si="53"/>
        <v xml:space="preserve"> </v>
      </c>
    </row>
    <row r="31" spans="1:83">
      <c r="A31" s="285">
        <f>Odd_Even!A36</f>
        <v>1988</v>
      </c>
      <c r="B31" s="285">
        <f t="shared" si="0"/>
        <v>1990</v>
      </c>
      <c r="C31" s="475">
        <v>-0.35583333299999997</v>
      </c>
      <c r="D31" s="623">
        <f>Odd_Even!E36</f>
        <v>971164</v>
      </c>
      <c r="E31" s="623">
        <f>Odd_Even!H36</f>
        <v>12923662</v>
      </c>
      <c r="F31" s="1083" t="b">
        <f t="shared" si="1"/>
        <v>1</v>
      </c>
      <c r="G31" s="259">
        <f t="shared" si="2"/>
        <v>1990</v>
      </c>
      <c r="H31" s="465">
        <f t="shared" si="6"/>
        <v>1766936</v>
      </c>
      <c r="I31" s="465">
        <f t="shared" si="16"/>
        <v>3665446.5</v>
      </c>
      <c r="J31" s="465">
        <f t="shared" si="23"/>
        <v>9510802</v>
      </c>
      <c r="K31" s="465">
        <f t="shared" si="31"/>
        <v>11331680.75</v>
      </c>
      <c r="L31" s="465">
        <f t="shared" si="39"/>
        <v>11868127.800000001</v>
      </c>
      <c r="M31" s="465">
        <f t="shared" si="54"/>
        <v>6992485.5</v>
      </c>
      <c r="N31" s="280"/>
      <c r="O31" s="276">
        <f t="shared" si="7"/>
        <v>49</v>
      </c>
      <c r="P31" s="459">
        <f t="shared" si="8"/>
        <v>-11156726</v>
      </c>
      <c r="Q31" s="459">
        <f t="shared" si="17"/>
        <v>-9258215.5</v>
      </c>
      <c r="R31" s="459">
        <f t="shared" si="28"/>
        <v>-3412860</v>
      </c>
      <c r="S31" s="459">
        <f t="shared" si="32"/>
        <v>-1591981.25</v>
      </c>
      <c r="T31" s="459">
        <f t="shared" si="40"/>
        <v>-1055534.1999999993</v>
      </c>
      <c r="U31" s="459">
        <f t="shared" si="55"/>
        <v>-5931176.5</v>
      </c>
      <c r="W31" s="261">
        <f t="shared" si="9"/>
        <v>-0.86327899940434838</v>
      </c>
      <c r="X31" s="261">
        <f t="shared" si="50"/>
        <v>-0.71637709961773988</v>
      </c>
      <c r="Y31" s="261">
        <f t="shared" si="47"/>
        <v>-0.26407840130761701</v>
      </c>
      <c r="Z31" s="261">
        <f t="shared" si="48"/>
        <v>-0.12318344831364361</v>
      </c>
      <c r="AA31" s="261">
        <f t="shared" si="49"/>
        <v>-8.1674543948920916E-2</v>
      </c>
      <c r="AB31" s="261">
        <f t="shared" si="49"/>
        <v>-0.45893930837869329</v>
      </c>
      <c r="AD31" s="302">
        <f t="shared" si="10"/>
        <v>0.86327899940434838</v>
      </c>
      <c r="AE31" s="302">
        <f t="shared" si="18"/>
        <v>0.71637709961773988</v>
      </c>
      <c r="AF31" s="302">
        <f t="shared" si="24"/>
        <v>0.26407840130761701</v>
      </c>
      <c r="AG31" s="302">
        <f t="shared" si="33"/>
        <v>0.12318344831364361</v>
      </c>
      <c r="AH31" s="315">
        <f t="shared" si="41"/>
        <v>8.1674543948920916E-2</v>
      </c>
      <c r="AI31" s="313">
        <f t="shared" si="41"/>
        <v>0.45893930837869329</v>
      </c>
      <c r="AK31" s="624" t="str">
        <f t="shared" si="13"/>
        <v/>
      </c>
      <c r="AL31" s="624" t="str">
        <f t="shared" si="19"/>
        <v/>
      </c>
      <c r="AM31" s="624" t="str">
        <f t="shared" si="25"/>
        <v/>
      </c>
      <c r="AN31" s="624" t="str">
        <f t="shared" si="34"/>
        <v/>
      </c>
      <c r="AO31" s="624" t="str">
        <f t="shared" si="45"/>
        <v/>
      </c>
      <c r="AP31" s="624" t="str">
        <f t="shared" si="51"/>
        <v/>
      </c>
      <c r="AQ31" s="624"/>
      <c r="AR31" s="624"/>
      <c r="AS31" s="1069" t="str">
        <f t="shared" si="14"/>
        <v xml:space="preserve"> </v>
      </c>
      <c r="AT31" s="1069" t="str">
        <f t="shared" si="21"/>
        <v xml:space="preserve"> </v>
      </c>
      <c r="AU31" s="1069" t="str">
        <f t="shared" si="29"/>
        <v xml:space="preserve"> </v>
      </c>
      <c r="AV31" s="1069" t="str">
        <f t="shared" si="38"/>
        <v xml:space="preserve"> </v>
      </c>
      <c r="AW31" s="1069" t="str">
        <f t="shared" si="46"/>
        <v xml:space="preserve"> </v>
      </c>
      <c r="AX31" s="1069" t="str">
        <f t="shared" si="57"/>
        <v xml:space="preserve"> </v>
      </c>
      <c r="AY31" s="259"/>
      <c r="BA31" s="302" t="str">
        <f t="shared" si="11"/>
        <v xml:space="preserve"> </v>
      </c>
      <c r="BB31" s="302" t="str">
        <f t="shared" si="20"/>
        <v xml:space="preserve"> </v>
      </c>
      <c r="BC31" s="302" t="str">
        <f t="shared" si="26"/>
        <v xml:space="preserve"> </v>
      </c>
      <c r="BD31" s="302" t="str">
        <f t="shared" si="35"/>
        <v xml:space="preserve"> </v>
      </c>
      <c r="BE31" s="302" t="str">
        <f t="shared" si="42"/>
        <v xml:space="preserve"> </v>
      </c>
      <c r="BF31" s="302" t="str">
        <f t="shared" si="56"/>
        <v xml:space="preserve"> </v>
      </c>
      <c r="BJ31" s="624">
        <f t="shared" si="3"/>
        <v>11156726</v>
      </c>
      <c r="BK31" s="624">
        <f t="shared" si="27"/>
        <v>9258215.5</v>
      </c>
      <c r="BL31" s="624">
        <f t="shared" si="36"/>
        <v>3412860</v>
      </c>
      <c r="BM31" s="624">
        <f t="shared" si="43"/>
        <v>1591981.25</v>
      </c>
      <c r="BN31" s="624">
        <f t="shared" si="44"/>
        <v>1055534.1999999993</v>
      </c>
      <c r="BO31" s="624">
        <f t="shared" si="52"/>
        <v>5931176.5</v>
      </c>
      <c r="BP31" s="624"/>
      <c r="BQ31" s="624"/>
      <c r="BR31" s="1069">
        <f t="shared" si="4"/>
        <v>-0.86327899940434838</v>
      </c>
      <c r="BS31" s="1069">
        <f t="shared" si="4"/>
        <v>-0.71637709961773988</v>
      </c>
      <c r="BT31" s="1069">
        <f t="shared" si="4"/>
        <v>-0.26407840130761701</v>
      </c>
      <c r="BU31" s="1069">
        <f t="shared" si="4"/>
        <v>-0.12318344831364361</v>
      </c>
      <c r="BV31" s="1069">
        <f t="shared" si="4"/>
        <v>-8.1674543948920916E-2</v>
      </c>
      <c r="BW31" s="1069">
        <f t="shared" si="4"/>
        <v>-0.45893930837869329</v>
      </c>
      <c r="BZ31" s="302">
        <f t="shared" si="5"/>
        <v>0.86327899940434838</v>
      </c>
      <c r="CA31" s="302">
        <f t="shared" si="15"/>
        <v>0.71637709961773988</v>
      </c>
      <c r="CB31" s="302">
        <f t="shared" si="22"/>
        <v>0.26407840130761701</v>
      </c>
      <c r="CC31" s="302">
        <f t="shared" si="30"/>
        <v>0.12318344831364361</v>
      </c>
      <c r="CD31" s="302">
        <f t="shared" si="37"/>
        <v>8.1674543948920916E-2</v>
      </c>
      <c r="CE31" s="302">
        <f t="shared" si="53"/>
        <v>0.45893930837869329</v>
      </c>
    </row>
    <row r="32" spans="1:83">
      <c r="A32" s="285">
        <f>Odd_Even!A37</f>
        <v>1989</v>
      </c>
      <c r="B32" s="285">
        <f t="shared" si="0"/>
        <v>1991</v>
      </c>
      <c r="C32" s="475">
        <v>-0.41916666699999999</v>
      </c>
      <c r="D32" s="623">
        <f>Odd_Even!E37</f>
        <v>1233676</v>
      </c>
      <c r="E32" s="623">
        <f>Odd_Even!H37</f>
        <v>7544776</v>
      </c>
      <c r="F32" s="1083" t="b">
        <f t="shared" si="1"/>
        <v>0</v>
      </c>
      <c r="G32" s="259">
        <f t="shared" si="2"/>
        <v>1991</v>
      </c>
      <c r="H32" s="465">
        <f t="shared" si="6"/>
        <v>4743750</v>
      </c>
      <c r="I32" s="465">
        <f t="shared" si="16"/>
        <v>8905347</v>
      </c>
      <c r="J32" s="465">
        <f t="shared" si="23"/>
        <v>12582933</v>
      </c>
      <c r="K32" s="465">
        <f t="shared" si="31"/>
        <v>12329036.75</v>
      </c>
      <c r="L32" s="465">
        <f t="shared" si="39"/>
        <v>13777002.6</v>
      </c>
      <c r="M32" s="465">
        <f t="shared" si="54"/>
        <v>11231884.300000001</v>
      </c>
      <c r="N32" s="280"/>
      <c r="O32" s="276">
        <f t="shared" si="7"/>
        <v>39</v>
      </c>
      <c r="P32" s="459">
        <f t="shared" si="8"/>
        <v>-2801026</v>
      </c>
      <c r="Q32" s="459">
        <f t="shared" si="17"/>
        <v>1360571</v>
      </c>
      <c r="R32" s="459">
        <f t="shared" si="28"/>
        <v>5038157</v>
      </c>
      <c r="S32" s="459">
        <f t="shared" si="32"/>
        <v>4784260.75</v>
      </c>
      <c r="T32" s="459">
        <f t="shared" si="40"/>
        <v>6232226.5999999996</v>
      </c>
      <c r="U32" s="459">
        <f t="shared" si="55"/>
        <v>3687108.3000000007</v>
      </c>
      <c r="W32" s="261">
        <f t="shared" si="9"/>
        <v>-0.37125369924832757</v>
      </c>
      <c r="X32" s="261">
        <f t="shared" si="50"/>
        <v>0.18033285547509958</v>
      </c>
      <c r="Y32" s="261">
        <f t="shared" si="47"/>
        <v>0.66776760502896304</v>
      </c>
      <c r="Z32" s="261">
        <f t="shared" si="48"/>
        <v>0.63411567818580694</v>
      </c>
      <c r="AA32" s="261">
        <f t="shared" si="49"/>
        <v>0.82603202533779663</v>
      </c>
      <c r="AB32" s="261">
        <f t="shared" si="49"/>
        <v>0.48869685461834794</v>
      </c>
      <c r="AD32" s="302">
        <f t="shared" si="10"/>
        <v>0.37125369924832757</v>
      </c>
      <c r="AE32" s="314">
        <f t="shared" si="18"/>
        <v>0.18033285547509958</v>
      </c>
      <c r="AF32" s="302">
        <f t="shared" si="24"/>
        <v>0.66776760502896304</v>
      </c>
      <c r="AG32" s="302">
        <f t="shared" si="33"/>
        <v>0.63411567818580694</v>
      </c>
      <c r="AH32" s="313">
        <f t="shared" si="41"/>
        <v>0.82603202533779663</v>
      </c>
      <c r="AI32" s="313">
        <f t="shared" si="41"/>
        <v>0.48869685461834794</v>
      </c>
      <c r="AK32" s="624">
        <f t="shared" si="13"/>
        <v>2801026</v>
      </c>
      <c r="AL32" s="1047">
        <f t="shared" si="19"/>
        <v>1360571</v>
      </c>
      <c r="AM32" s="624">
        <f t="shared" si="25"/>
        <v>5038157</v>
      </c>
      <c r="AN32" s="624">
        <f t="shared" si="34"/>
        <v>4784260.75</v>
      </c>
      <c r="AO32" s="624">
        <f t="shared" si="45"/>
        <v>6232226.5999999996</v>
      </c>
      <c r="AP32" s="624">
        <f t="shared" si="51"/>
        <v>3687108.3000000007</v>
      </c>
      <c r="AQ32" s="624"/>
      <c r="AR32" s="624"/>
      <c r="AS32" s="1069">
        <f t="shared" si="14"/>
        <v>-0.37125369924832757</v>
      </c>
      <c r="AT32" s="1069">
        <f t="shared" si="21"/>
        <v>0.18033285547509958</v>
      </c>
      <c r="AU32" s="1069">
        <f t="shared" si="29"/>
        <v>0.66776760502896304</v>
      </c>
      <c r="AV32" s="1069">
        <f t="shared" si="38"/>
        <v>0.63411567818580694</v>
      </c>
      <c r="AW32" s="1069">
        <f t="shared" si="46"/>
        <v>0.82603202533779663</v>
      </c>
      <c r="AX32" s="1069">
        <f t="shared" si="57"/>
        <v>0.48869685461834794</v>
      </c>
      <c r="AY32" s="259"/>
      <c r="BA32" s="302">
        <f t="shared" si="11"/>
        <v>0.37125369924832757</v>
      </c>
      <c r="BB32" s="314">
        <f t="shared" si="20"/>
        <v>0.18033285547509958</v>
      </c>
      <c r="BC32" s="302">
        <f t="shared" si="26"/>
        <v>0.66776760502896304</v>
      </c>
      <c r="BD32" s="302">
        <f t="shared" si="35"/>
        <v>0.63411567818580694</v>
      </c>
      <c r="BE32" s="302">
        <f t="shared" si="42"/>
        <v>0.82603202533779663</v>
      </c>
      <c r="BF32" s="302">
        <f t="shared" si="56"/>
        <v>0.48869685461834794</v>
      </c>
      <c r="BJ32" s="624" t="str">
        <f t="shared" si="3"/>
        <v/>
      </c>
      <c r="BK32" s="624" t="str">
        <f t="shared" si="27"/>
        <v/>
      </c>
      <c r="BL32" s="624" t="str">
        <f t="shared" si="36"/>
        <v/>
      </c>
      <c r="BM32" s="624" t="str">
        <f t="shared" si="43"/>
        <v/>
      </c>
      <c r="BN32" s="624" t="str">
        <f t="shared" si="44"/>
        <v/>
      </c>
      <c r="BO32" s="624" t="str">
        <f t="shared" si="52"/>
        <v/>
      </c>
      <c r="BP32" s="624"/>
      <c r="BQ32" s="624"/>
      <c r="BR32" s="1069" t="str">
        <f t="shared" si="4"/>
        <v xml:space="preserve"> </v>
      </c>
      <c r="BS32" s="1069" t="str">
        <f t="shared" si="4"/>
        <v xml:space="preserve"> </v>
      </c>
      <c r="BT32" s="1069" t="str">
        <f t="shared" si="4"/>
        <v xml:space="preserve"> </v>
      </c>
      <c r="BU32" s="1069" t="str">
        <f t="shared" si="4"/>
        <v xml:space="preserve"> </v>
      </c>
      <c r="BV32" s="1069" t="str">
        <f t="shared" si="4"/>
        <v xml:space="preserve"> </v>
      </c>
      <c r="BW32" s="1069" t="str">
        <f t="shared" si="4"/>
        <v xml:space="preserve"> </v>
      </c>
      <c r="BZ32" s="302" t="str">
        <f t="shared" si="5"/>
        <v xml:space="preserve"> </v>
      </c>
      <c r="CA32" s="302" t="str">
        <f t="shared" si="15"/>
        <v xml:space="preserve"> </v>
      </c>
      <c r="CB32" s="302" t="str">
        <f t="shared" si="22"/>
        <v xml:space="preserve"> </v>
      </c>
      <c r="CC32" s="302" t="str">
        <f t="shared" si="30"/>
        <v xml:space="preserve"> </v>
      </c>
      <c r="CD32" s="302" t="str">
        <f t="shared" si="37"/>
        <v xml:space="preserve"> </v>
      </c>
      <c r="CE32" s="302" t="str">
        <f t="shared" si="53"/>
        <v xml:space="preserve"> </v>
      </c>
    </row>
    <row r="33" spans="1:85">
      <c r="A33" s="285">
        <f>Odd_Even!A38</f>
        <v>1990</v>
      </c>
      <c r="B33" s="285">
        <f t="shared" si="0"/>
        <v>1992</v>
      </c>
      <c r="C33" s="475">
        <v>0.92833333299999998</v>
      </c>
      <c r="D33" s="623">
        <f>Odd_Even!E38</f>
        <v>1235905</v>
      </c>
      <c r="E33" s="623">
        <f>Odd_Even!H38</f>
        <v>1405383</v>
      </c>
      <c r="F33" s="1083" t="b">
        <f t="shared" si="1"/>
        <v>1</v>
      </c>
      <c r="G33" s="259">
        <f t="shared" si="2"/>
        <v>1992</v>
      </c>
      <c r="H33" s="465">
        <f t="shared" si="6"/>
        <v>12923662</v>
      </c>
      <c r="I33" s="465">
        <f t="shared" si="16"/>
        <v>7345299</v>
      </c>
      <c r="J33" s="465">
        <f t="shared" si="23"/>
        <v>6751518.333333333</v>
      </c>
      <c r="K33" s="465">
        <f t="shared" si="31"/>
        <v>10364017</v>
      </c>
      <c r="L33" s="465">
        <f t="shared" si="39"/>
        <v>11650077</v>
      </c>
      <c r="M33" s="465">
        <f t="shared" si="54"/>
        <v>7905930.0999999996</v>
      </c>
      <c r="N33" s="280"/>
      <c r="O33" s="276">
        <f t="shared" si="7"/>
        <v>2</v>
      </c>
      <c r="P33" s="459">
        <f t="shared" si="8"/>
        <v>11518279</v>
      </c>
      <c r="Q33" s="459">
        <f t="shared" si="17"/>
        <v>5939916</v>
      </c>
      <c r="R33" s="459">
        <f t="shared" si="28"/>
        <v>5346135.333333333</v>
      </c>
      <c r="S33" s="459">
        <f t="shared" si="32"/>
        <v>8958634</v>
      </c>
      <c r="T33" s="459">
        <f t="shared" si="40"/>
        <v>10244694</v>
      </c>
      <c r="U33" s="459">
        <f t="shared" si="55"/>
        <v>6500547.0999999996</v>
      </c>
      <c r="W33" s="261">
        <f t="shared" si="9"/>
        <v>8.1958291796613452</v>
      </c>
      <c r="X33" s="261">
        <f t="shared" si="50"/>
        <v>4.2265460732056672</v>
      </c>
      <c r="Y33" s="261">
        <f t="shared" si="47"/>
        <v>3.8040415554573617</v>
      </c>
      <c r="Z33" s="261">
        <f t="shared" si="48"/>
        <v>6.3745142783141677</v>
      </c>
      <c r="AA33" s="261">
        <f t="shared" si="49"/>
        <v>7.289610020898218</v>
      </c>
      <c r="AB33" s="261">
        <f t="shared" si="49"/>
        <v>4.6254630232470433</v>
      </c>
      <c r="AD33" s="302">
        <f t="shared" si="10"/>
        <v>8.1958291796613452</v>
      </c>
      <c r="AE33" s="302">
        <f t="shared" si="18"/>
        <v>4.2265460732056672</v>
      </c>
      <c r="AF33" s="314">
        <f t="shared" si="24"/>
        <v>3.8040415554573617</v>
      </c>
      <c r="AG33" s="302">
        <f t="shared" si="33"/>
        <v>6.3745142783141677</v>
      </c>
      <c r="AH33" s="313">
        <f t="shared" si="41"/>
        <v>7.289610020898218</v>
      </c>
      <c r="AI33" s="313">
        <f t="shared" si="41"/>
        <v>4.6254630232470433</v>
      </c>
      <c r="AK33" s="624" t="str">
        <f t="shared" si="13"/>
        <v/>
      </c>
      <c r="AL33" s="624" t="str">
        <f t="shared" si="19"/>
        <v/>
      </c>
      <c r="AM33" s="624" t="str">
        <f t="shared" si="25"/>
        <v/>
      </c>
      <c r="AN33" s="624" t="str">
        <f t="shared" si="34"/>
        <v/>
      </c>
      <c r="AO33" s="624" t="str">
        <f t="shared" si="45"/>
        <v/>
      </c>
      <c r="AP33" s="624" t="str">
        <f t="shared" si="51"/>
        <v/>
      </c>
      <c r="AQ33" s="624"/>
      <c r="AR33" s="624"/>
      <c r="AS33" s="1069" t="str">
        <f t="shared" si="14"/>
        <v xml:space="preserve"> </v>
      </c>
      <c r="AT33" s="1069" t="str">
        <f t="shared" si="21"/>
        <v xml:space="preserve"> </v>
      </c>
      <c r="AU33" s="1069" t="str">
        <f t="shared" si="29"/>
        <v xml:space="preserve"> </v>
      </c>
      <c r="AV33" s="1069" t="str">
        <f t="shared" si="38"/>
        <v xml:space="preserve"> </v>
      </c>
      <c r="AW33" s="1069" t="str">
        <f t="shared" si="46"/>
        <v xml:space="preserve"> </v>
      </c>
      <c r="AX33" s="1069" t="str">
        <f t="shared" si="57"/>
        <v xml:space="preserve"> </v>
      </c>
      <c r="AY33" s="259"/>
      <c r="BA33" s="302" t="str">
        <f t="shared" si="11"/>
        <v xml:space="preserve"> </v>
      </c>
      <c r="BB33" s="302" t="str">
        <f t="shared" si="20"/>
        <v xml:space="preserve"> </v>
      </c>
      <c r="BC33" s="302" t="str">
        <f t="shared" si="26"/>
        <v xml:space="preserve"> </v>
      </c>
      <c r="BD33" s="302" t="str">
        <f t="shared" si="35"/>
        <v xml:space="preserve"> </v>
      </c>
      <c r="BE33" s="302" t="str">
        <f t="shared" si="42"/>
        <v xml:space="preserve"> </v>
      </c>
      <c r="BF33" s="302" t="str">
        <f t="shared" si="56"/>
        <v xml:space="preserve"> </v>
      </c>
      <c r="BJ33" s="624">
        <f t="shared" si="3"/>
        <v>11518279</v>
      </c>
      <c r="BK33" s="624">
        <f t="shared" si="27"/>
        <v>5939916</v>
      </c>
      <c r="BL33" s="624">
        <f t="shared" si="36"/>
        <v>5346135.333333333</v>
      </c>
      <c r="BM33" s="624">
        <f t="shared" si="43"/>
        <v>8958634</v>
      </c>
      <c r="BN33" s="624">
        <f t="shared" si="44"/>
        <v>10244694</v>
      </c>
      <c r="BO33" s="624">
        <f t="shared" si="52"/>
        <v>6500547.0999999996</v>
      </c>
      <c r="BP33" s="624"/>
      <c r="BQ33" s="624"/>
      <c r="BR33" s="1069">
        <f>IF($F33 =TRUE,(P33/$E33), " ")</f>
        <v>8.1958291796613452</v>
      </c>
      <c r="BS33" s="1069">
        <f t="shared" si="4"/>
        <v>4.2265460732056672</v>
      </c>
      <c r="BT33" s="1069">
        <f t="shared" si="4"/>
        <v>3.8040415554573617</v>
      </c>
      <c r="BU33" s="1069">
        <f t="shared" si="4"/>
        <v>6.3745142783141677</v>
      </c>
      <c r="BV33" s="1069">
        <f t="shared" si="4"/>
        <v>7.289610020898218</v>
      </c>
      <c r="BW33" s="1069">
        <f t="shared" ref="BW33:BW53" si="58">IF($F33 =TRUE,(U33/$E33), " ")</f>
        <v>4.6254630232470433</v>
      </c>
      <c r="BZ33" s="302">
        <f t="shared" si="5"/>
        <v>8.1958291796613452</v>
      </c>
      <c r="CA33" s="302">
        <f t="shared" si="15"/>
        <v>4.2265460732056672</v>
      </c>
      <c r="CB33" s="302">
        <f t="shared" si="22"/>
        <v>3.8040415554573617</v>
      </c>
      <c r="CC33" s="302">
        <f t="shared" si="30"/>
        <v>6.3745142783141677</v>
      </c>
      <c r="CD33" s="302">
        <f t="shared" si="37"/>
        <v>7.289610020898218</v>
      </c>
      <c r="CE33" s="302">
        <f t="shared" si="53"/>
        <v>4.6254630232470433</v>
      </c>
      <c r="CG33" s="1048"/>
    </row>
    <row r="34" spans="1:85">
      <c r="A34" s="285">
        <f>Odd_Even!A39</f>
        <v>1991</v>
      </c>
      <c r="B34" s="285">
        <f t="shared" si="0"/>
        <v>1993</v>
      </c>
      <c r="C34" s="475">
        <v>1.4166666670000001</v>
      </c>
      <c r="D34" s="623">
        <f>Odd_Even!E39</f>
        <v>1725792</v>
      </c>
      <c r="E34" s="623">
        <f>Odd_Even!H39</f>
        <v>1542942</v>
      </c>
      <c r="F34" s="1083" t="b">
        <f t="shared" si="1"/>
        <v>0</v>
      </c>
      <c r="G34" s="259">
        <f t="shared" si="2"/>
        <v>1993</v>
      </c>
      <c r="H34" s="465">
        <f t="shared" si="6"/>
        <v>7544776</v>
      </c>
      <c r="I34" s="465">
        <f t="shared" si="16"/>
        <v>6144263</v>
      </c>
      <c r="J34" s="465">
        <f t="shared" si="23"/>
        <v>8451823.333333334</v>
      </c>
      <c r="K34" s="465">
        <f t="shared" si="31"/>
        <v>11323393.75</v>
      </c>
      <c r="L34" s="465">
        <f t="shared" si="39"/>
        <v>11372184.6</v>
      </c>
      <c r="M34" s="465">
        <f t="shared" si="54"/>
        <v>11144010.5</v>
      </c>
      <c r="N34" s="280"/>
      <c r="O34" s="276">
        <f t="shared" si="7"/>
        <v>8</v>
      </c>
      <c r="P34" s="459">
        <f t="shared" si="8"/>
        <v>6001834</v>
      </c>
      <c r="Q34" s="459">
        <f t="shared" si="17"/>
        <v>4601321</v>
      </c>
      <c r="R34" s="459">
        <f t="shared" si="28"/>
        <v>6908881.333333334</v>
      </c>
      <c r="S34" s="459">
        <f t="shared" si="32"/>
        <v>9780451.75</v>
      </c>
      <c r="T34" s="459">
        <f t="shared" si="40"/>
        <v>9829242.5999999996</v>
      </c>
      <c r="U34" s="459">
        <f t="shared" si="55"/>
        <v>9601068.5</v>
      </c>
      <c r="W34" s="261">
        <f t="shared" si="9"/>
        <v>3.8898636500918373</v>
      </c>
      <c r="X34" s="261">
        <f t="shared" si="50"/>
        <v>2.9821736656335753</v>
      </c>
      <c r="Y34" s="261">
        <f t="shared" si="47"/>
        <v>4.4777323666951405</v>
      </c>
      <c r="Z34" s="261">
        <f t="shared" si="48"/>
        <v>6.3388330539968454</v>
      </c>
      <c r="AA34" s="261">
        <f t="shared" si="49"/>
        <v>6.3704550138631264</v>
      </c>
      <c r="AB34" s="261">
        <f t="shared" si="49"/>
        <v>6.2225725270295316</v>
      </c>
      <c r="AD34" s="302">
        <f t="shared" si="10"/>
        <v>3.8898636500918373</v>
      </c>
      <c r="AE34" s="314">
        <f t="shared" si="18"/>
        <v>2.9821736656335753</v>
      </c>
      <c r="AF34" s="302">
        <f t="shared" si="24"/>
        <v>4.4777323666951405</v>
      </c>
      <c r="AG34" s="302">
        <f t="shared" si="33"/>
        <v>6.3388330539968454</v>
      </c>
      <c r="AH34" s="313">
        <f t="shared" si="41"/>
        <v>6.3704550138631264</v>
      </c>
      <c r="AI34" s="313">
        <f t="shared" si="41"/>
        <v>6.2225725270295316</v>
      </c>
      <c r="AK34" s="624">
        <f t="shared" si="13"/>
        <v>6001834</v>
      </c>
      <c r="AL34" s="1047">
        <f t="shared" si="19"/>
        <v>4601321</v>
      </c>
      <c r="AM34" s="624">
        <f t="shared" si="25"/>
        <v>6908881.333333334</v>
      </c>
      <c r="AN34" s="624">
        <f t="shared" si="34"/>
        <v>9780451.75</v>
      </c>
      <c r="AO34" s="624">
        <f t="shared" si="45"/>
        <v>9829242.5999999996</v>
      </c>
      <c r="AP34" s="624">
        <f t="shared" si="51"/>
        <v>9601068.5</v>
      </c>
      <c r="AQ34" s="624"/>
      <c r="AR34" s="624"/>
      <c r="AS34" s="1069">
        <f t="shared" si="14"/>
        <v>3.8898636500918373</v>
      </c>
      <c r="AT34" s="1069">
        <f t="shared" si="21"/>
        <v>2.9821736656335753</v>
      </c>
      <c r="AU34" s="1069">
        <f t="shared" si="29"/>
        <v>4.4777323666951405</v>
      </c>
      <c r="AV34" s="1069">
        <f t="shared" si="38"/>
        <v>6.3388330539968454</v>
      </c>
      <c r="AW34" s="1069">
        <f t="shared" si="46"/>
        <v>6.3704550138631264</v>
      </c>
      <c r="AX34" s="1069">
        <f t="shared" si="57"/>
        <v>6.2225725270295316</v>
      </c>
      <c r="AY34" s="259"/>
      <c r="BA34" s="302">
        <f t="shared" si="11"/>
        <v>3.8898636500918373</v>
      </c>
      <c r="BB34" s="314">
        <f t="shared" si="20"/>
        <v>2.9821736656335753</v>
      </c>
      <c r="BC34" s="302">
        <f t="shared" si="26"/>
        <v>4.4777323666951405</v>
      </c>
      <c r="BD34" s="302">
        <f t="shared" si="35"/>
        <v>6.3388330539968454</v>
      </c>
      <c r="BE34" s="302">
        <f t="shared" si="42"/>
        <v>6.3704550138631264</v>
      </c>
      <c r="BF34" s="302">
        <f t="shared" si="56"/>
        <v>6.2225725270295316</v>
      </c>
      <c r="BJ34" s="624" t="str">
        <f t="shared" si="3"/>
        <v/>
      </c>
      <c r="BK34" s="624" t="str">
        <f t="shared" si="27"/>
        <v/>
      </c>
      <c r="BL34" s="624" t="str">
        <f t="shared" si="36"/>
        <v/>
      </c>
      <c r="BM34" s="624" t="str">
        <f t="shared" si="43"/>
        <v/>
      </c>
      <c r="BN34" s="624" t="str">
        <f t="shared" si="44"/>
        <v/>
      </c>
      <c r="BO34" s="624" t="str">
        <f t="shared" si="52"/>
        <v/>
      </c>
      <c r="BP34" s="624"/>
      <c r="BQ34" s="624"/>
      <c r="BR34" s="1069" t="str">
        <f t="shared" si="4"/>
        <v xml:space="preserve"> </v>
      </c>
      <c r="BS34" s="1069" t="str">
        <f t="shared" si="4"/>
        <v xml:space="preserve"> </v>
      </c>
      <c r="BT34" s="1069" t="str">
        <f t="shared" si="4"/>
        <v xml:space="preserve"> </v>
      </c>
      <c r="BU34" s="1069" t="str">
        <f t="shared" si="4"/>
        <v xml:space="preserve"> </v>
      </c>
      <c r="BV34" s="1069" t="str">
        <f t="shared" si="4"/>
        <v xml:space="preserve"> </v>
      </c>
      <c r="BW34" s="1069" t="str">
        <f t="shared" si="58"/>
        <v xml:space="preserve"> </v>
      </c>
      <c r="BZ34" s="302" t="str">
        <f t="shared" si="5"/>
        <v xml:space="preserve"> </v>
      </c>
      <c r="CA34" s="302" t="str">
        <f t="shared" si="15"/>
        <v xml:space="preserve"> </v>
      </c>
      <c r="CB34" s="302" t="str">
        <f t="shared" si="22"/>
        <v xml:space="preserve"> </v>
      </c>
      <c r="CC34" s="302" t="str">
        <f t="shared" si="30"/>
        <v xml:space="preserve"> </v>
      </c>
      <c r="CD34" s="302" t="str">
        <f t="shared" si="37"/>
        <v xml:space="preserve"> </v>
      </c>
      <c r="CE34" s="302" t="str">
        <f t="shared" si="53"/>
        <v xml:space="preserve"> </v>
      </c>
      <c r="CG34" s="1048"/>
    </row>
    <row r="35" spans="1:85">
      <c r="A35" s="285">
        <f>Odd_Even!A40</f>
        <v>1992</v>
      </c>
      <c r="B35" s="285">
        <f t="shared" si="0"/>
        <v>1994</v>
      </c>
      <c r="C35" s="475">
        <v>-0.15166666700000001</v>
      </c>
      <c r="D35" s="623">
        <f>Odd_Even!E40</f>
        <v>542537</v>
      </c>
      <c r="E35" s="623">
        <f>Odd_Even!H40</f>
        <v>4666639</v>
      </c>
      <c r="F35" s="1083" t="b">
        <f t="shared" si="1"/>
        <v>1</v>
      </c>
      <c r="G35" s="259">
        <f t="shared" si="2"/>
        <v>1994</v>
      </c>
      <c r="H35" s="465">
        <f t="shared" si="6"/>
        <v>1405383</v>
      </c>
      <c r="I35" s="465">
        <f t="shared" si="16"/>
        <v>7164522.5</v>
      </c>
      <c r="J35" s="465">
        <f t="shared" si="23"/>
        <v>5365327</v>
      </c>
      <c r="K35" s="465">
        <f t="shared" si="31"/>
        <v>5414984.5</v>
      </c>
      <c r="L35" s="465">
        <f t="shared" si="39"/>
        <v>8572290.1999999993</v>
      </c>
      <c r="M35" s="465">
        <f t="shared" si="54"/>
        <v>7976872.0999999996</v>
      </c>
      <c r="N35" s="280"/>
      <c r="O35" s="276">
        <f t="shared" si="7"/>
        <v>41</v>
      </c>
      <c r="P35" s="459">
        <f t="shared" si="8"/>
        <v>-3261256</v>
      </c>
      <c r="Q35" s="459">
        <f t="shared" si="17"/>
        <v>2497883.5</v>
      </c>
      <c r="R35" s="459">
        <f t="shared" si="28"/>
        <v>698688</v>
      </c>
      <c r="S35" s="459">
        <f t="shared" si="32"/>
        <v>748345.5</v>
      </c>
      <c r="T35" s="459">
        <f t="shared" si="40"/>
        <v>3905651.1999999993</v>
      </c>
      <c r="U35" s="459">
        <f t="shared" si="55"/>
        <v>3310233.0999999996</v>
      </c>
      <c r="W35" s="261">
        <f t="shared" si="9"/>
        <v>-0.69884471457937924</v>
      </c>
      <c r="X35" s="261">
        <f t="shared" si="50"/>
        <v>0.53526392335040274</v>
      </c>
      <c r="Y35" s="261">
        <f t="shared" si="47"/>
        <v>0.14971974476705827</v>
      </c>
      <c r="Z35" s="261">
        <f t="shared" si="48"/>
        <v>0.16036070070986849</v>
      </c>
      <c r="AA35" s="261">
        <f t="shared" si="49"/>
        <v>0.83693021894344077</v>
      </c>
      <c r="AB35" s="261">
        <f t="shared" si="49"/>
        <v>0.70933986965779861</v>
      </c>
      <c r="AD35" s="302">
        <f t="shared" si="10"/>
        <v>0.69884471457937924</v>
      </c>
      <c r="AE35" s="302">
        <f t="shared" si="18"/>
        <v>0.53526392335040274</v>
      </c>
      <c r="AF35" s="314">
        <f t="shared" si="24"/>
        <v>0.14971974476705827</v>
      </c>
      <c r="AG35" s="302">
        <f t="shared" si="33"/>
        <v>0.16036070070986849</v>
      </c>
      <c r="AH35" s="313">
        <f t="shared" si="41"/>
        <v>0.83693021894344077</v>
      </c>
      <c r="AI35" s="313">
        <f t="shared" si="41"/>
        <v>0.70933986965779861</v>
      </c>
      <c r="AK35" s="624" t="str">
        <f t="shared" si="13"/>
        <v/>
      </c>
      <c r="AL35" s="624" t="str">
        <f t="shared" si="19"/>
        <v/>
      </c>
      <c r="AM35" s="624" t="str">
        <f t="shared" si="25"/>
        <v/>
      </c>
      <c r="AN35" s="624" t="str">
        <f t="shared" si="34"/>
        <v/>
      </c>
      <c r="AO35" s="624" t="str">
        <f t="shared" si="45"/>
        <v/>
      </c>
      <c r="AP35" s="624" t="str">
        <f t="shared" si="51"/>
        <v/>
      </c>
      <c r="AQ35" s="624"/>
      <c r="AR35" s="624"/>
      <c r="AS35" s="1069" t="str">
        <f t="shared" si="14"/>
        <v xml:space="preserve"> </v>
      </c>
      <c r="AT35" s="1069" t="str">
        <f t="shared" si="21"/>
        <v xml:space="preserve"> </v>
      </c>
      <c r="AU35" s="1069" t="str">
        <f t="shared" si="29"/>
        <v xml:space="preserve"> </v>
      </c>
      <c r="AV35" s="1069" t="str">
        <f t="shared" si="38"/>
        <v xml:space="preserve"> </v>
      </c>
      <c r="AW35" s="1069" t="str">
        <f t="shared" si="46"/>
        <v xml:space="preserve"> </v>
      </c>
      <c r="AX35" s="1069" t="str">
        <f t="shared" si="57"/>
        <v xml:space="preserve"> </v>
      </c>
      <c r="AY35" s="259"/>
      <c r="BA35" s="302" t="str">
        <f t="shared" si="11"/>
        <v xml:space="preserve"> </v>
      </c>
      <c r="BB35" s="302" t="str">
        <f t="shared" si="20"/>
        <v xml:space="preserve"> </v>
      </c>
      <c r="BC35" s="302" t="str">
        <f t="shared" si="26"/>
        <v xml:space="preserve"> </v>
      </c>
      <c r="BD35" s="302" t="str">
        <f t="shared" si="35"/>
        <v xml:space="preserve"> </v>
      </c>
      <c r="BE35" s="302" t="str">
        <f t="shared" si="42"/>
        <v xml:space="preserve"> </v>
      </c>
      <c r="BF35" s="302" t="str">
        <f t="shared" si="56"/>
        <v xml:space="preserve"> </v>
      </c>
      <c r="BJ35" s="624">
        <f t="shared" si="3"/>
        <v>3261256</v>
      </c>
      <c r="BK35" s="624">
        <f t="shared" si="27"/>
        <v>2497883.5</v>
      </c>
      <c r="BL35" s="624">
        <f t="shared" si="36"/>
        <v>698688</v>
      </c>
      <c r="BM35" s="624">
        <f t="shared" si="43"/>
        <v>748345.5</v>
      </c>
      <c r="BN35" s="624">
        <f t="shared" si="44"/>
        <v>3905651.1999999993</v>
      </c>
      <c r="BO35" s="624">
        <f t="shared" si="52"/>
        <v>3310233.0999999996</v>
      </c>
      <c r="BP35" s="624"/>
      <c r="BQ35" s="624"/>
      <c r="BR35" s="1069">
        <f t="shared" si="4"/>
        <v>-0.69884471457937924</v>
      </c>
      <c r="BS35" s="1069">
        <f t="shared" si="4"/>
        <v>0.53526392335040274</v>
      </c>
      <c r="BT35" s="1069">
        <f t="shared" si="4"/>
        <v>0.14971974476705827</v>
      </c>
      <c r="BU35" s="1069">
        <f t="shared" si="4"/>
        <v>0.16036070070986849</v>
      </c>
      <c r="BV35" s="1069">
        <f t="shared" si="4"/>
        <v>0.83693021894344077</v>
      </c>
      <c r="BW35" s="1069">
        <f t="shared" si="58"/>
        <v>0.70933986965779861</v>
      </c>
      <c r="BZ35" s="302">
        <f t="shared" si="5"/>
        <v>0.69884471457937924</v>
      </c>
      <c r="CA35" s="302">
        <f t="shared" si="15"/>
        <v>0.53526392335040274</v>
      </c>
      <c r="CB35" s="302">
        <f t="shared" si="22"/>
        <v>0.14971974476705827</v>
      </c>
      <c r="CC35" s="302">
        <f t="shared" si="30"/>
        <v>0.16036070070986849</v>
      </c>
      <c r="CD35" s="302">
        <f t="shared" si="37"/>
        <v>0.83693021894344077</v>
      </c>
      <c r="CE35" s="302">
        <f t="shared" si="53"/>
        <v>0.70933986965779861</v>
      </c>
      <c r="CG35" s="1048"/>
    </row>
    <row r="36" spans="1:85">
      <c r="A36" s="285">
        <f>Odd_Even!A41</f>
        <v>1993</v>
      </c>
      <c r="B36" s="285">
        <f t="shared" si="0"/>
        <v>1995</v>
      </c>
      <c r="C36" s="475">
        <v>0.64249999999999996</v>
      </c>
      <c r="D36" s="623">
        <f>Odd_Even!E41</f>
        <v>1065640</v>
      </c>
      <c r="E36" s="623">
        <f>Odd_Even!H41</f>
        <v>3934208</v>
      </c>
      <c r="F36" s="1083" t="b">
        <f t="shared" si="1"/>
        <v>0</v>
      </c>
      <c r="G36" s="259">
        <f t="shared" si="2"/>
        <v>1995</v>
      </c>
      <c r="H36" s="465">
        <f t="shared" si="6"/>
        <v>1542942</v>
      </c>
      <c r="I36" s="465">
        <f t="shared" si="16"/>
        <v>4543859</v>
      </c>
      <c r="J36" s="465">
        <f t="shared" si="23"/>
        <v>4610489.333333333</v>
      </c>
      <c r="K36" s="465">
        <f t="shared" si="31"/>
        <v>6724603</v>
      </c>
      <c r="L36" s="465">
        <f t="shared" si="39"/>
        <v>9367303.4000000004</v>
      </c>
      <c r="M36" s="465">
        <f t="shared" si="54"/>
        <v>10444707.300000001</v>
      </c>
      <c r="N36" s="280"/>
      <c r="O36" s="276">
        <f t="shared" si="7"/>
        <v>35</v>
      </c>
      <c r="P36" s="459">
        <f t="shared" si="8"/>
        <v>-2391266</v>
      </c>
      <c r="Q36" s="459">
        <f t="shared" si="17"/>
        <v>609651</v>
      </c>
      <c r="R36" s="459">
        <f t="shared" si="28"/>
        <v>676281.33333333302</v>
      </c>
      <c r="S36" s="459">
        <f t="shared" si="32"/>
        <v>2790395</v>
      </c>
      <c r="T36" s="459">
        <f t="shared" si="40"/>
        <v>5433095.4000000004</v>
      </c>
      <c r="U36" s="459">
        <f t="shared" si="55"/>
        <v>6510499.3000000007</v>
      </c>
      <c r="W36" s="261">
        <f t="shared" si="9"/>
        <v>-0.60781382173997922</v>
      </c>
      <c r="X36" s="261">
        <f t="shared" si="50"/>
        <v>0.15496155770106715</v>
      </c>
      <c r="Y36" s="261">
        <f t="shared" si="47"/>
        <v>0.17189770681502681</v>
      </c>
      <c r="Z36" s="261">
        <f t="shared" si="48"/>
        <v>0.70926473638404475</v>
      </c>
      <c r="AA36" s="261">
        <f t="shared" si="49"/>
        <v>1.3809883463202759</v>
      </c>
      <c r="AB36" s="261">
        <f t="shared" si="49"/>
        <v>1.6548436940802318</v>
      </c>
      <c r="AD36" s="302">
        <f t="shared" si="10"/>
        <v>0.60781382173997922</v>
      </c>
      <c r="AE36" s="314">
        <f t="shared" si="18"/>
        <v>0.15496155770106715</v>
      </c>
      <c r="AF36" s="302">
        <f t="shared" si="24"/>
        <v>0.17189770681502681</v>
      </c>
      <c r="AG36" s="302">
        <f t="shared" si="33"/>
        <v>0.70926473638404475</v>
      </c>
      <c r="AH36" s="313">
        <f t="shared" si="41"/>
        <v>1.3809883463202759</v>
      </c>
      <c r="AI36" s="313">
        <f t="shared" si="41"/>
        <v>1.6548436940802318</v>
      </c>
      <c r="AK36" s="624">
        <f t="shared" si="13"/>
        <v>2391266</v>
      </c>
      <c r="AL36" s="624">
        <f t="shared" si="19"/>
        <v>609651</v>
      </c>
      <c r="AM36" s="1047">
        <f t="shared" si="25"/>
        <v>676281.33333333302</v>
      </c>
      <c r="AN36" s="624">
        <f t="shared" si="34"/>
        <v>2790395</v>
      </c>
      <c r="AO36" s="624">
        <f t="shared" si="45"/>
        <v>5433095.4000000004</v>
      </c>
      <c r="AP36" s="624">
        <f t="shared" si="51"/>
        <v>6510499.3000000007</v>
      </c>
      <c r="AQ36" s="624"/>
      <c r="AR36" s="624"/>
      <c r="AS36" s="1069">
        <f t="shared" si="14"/>
        <v>-0.60781382173997922</v>
      </c>
      <c r="AT36" s="1069">
        <f t="shared" si="21"/>
        <v>0.15496155770106715</v>
      </c>
      <c r="AU36" s="1069">
        <f t="shared" si="29"/>
        <v>0.17189770681502681</v>
      </c>
      <c r="AV36" s="1069">
        <f t="shared" si="38"/>
        <v>0.70926473638404475</v>
      </c>
      <c r="AW36" s="1069">
        <f t="shared" si="46"/>
        <v>1.3809883463202759</v>
      </c>
      <c r="AX36" s="1069">
        <f t="shared" si="57"/>
        <v>1.6548436940802318</v>
      </c>
      <c r="AY36" s="259"/>
      <c r="BA36" s="302">
        <f t="shared" si="11"/>
        <v>0.60781382173997922</v>
      </c>
      <c r="BB36" s="314">
        <f t="shared" si="20"/>
        <v>0.15496155770106715</v>
      </c>
      <c r="BC36" s="302">
        <f t="shared" si="26"/>
        <v>0.17189770681502681</v>
      </c>
      <c r="BD36" s="302">
        <f t="shared" si="35"/>
        <v>0.70926473638404475</v>
      </c>
      <c r="BE36" s="302">
        <f t="shared" si="42"/>
        <v>1.3809883463202759</v>
      </c>
      <c r="BF36" s="302">
        <f t="shared" si="56"/>
        <v>1.6548436940802318</v>
      </c>
      <c r="BJ36" s="624" t="str">
        <f t="shared" ref="BJ36:BJ52" si="59">IF($F36=TRUE,ABS($E36-H36),"")</f>
        <v/>
      </c>
      <c r="BK36" s="624" t="str">
        <f t="shared" si="27"/>
        <v/>
      </c>
      <c r="BL36" s="624" t="str">
        <f t="shared" si="36"/>
        <v/>
      </c>
      <c r="BM36" s="624" t="str">
        <f t="shared" si="43"/>
        <v/>
      </c>
      <c r="BN36" s="624" t="str">
        <f t="shared" si="44"/>
        <v/>
      </c>
      <c r="BO36" s="624" t="str">
        <f t="shared" si="52"/>
        <v/>
      </c>
      <c r="BP36" s="624"/>
      <c r="BQ36" s="624"/>
      <c r="BR36" s="1069" t="str">
        <f t="shared" si="4"/>
        <v xml:space="preserve"> </v>
      </c>
      <c r="BS36" s="1069" t="str">
        <f t="shared" si="4"/>
        <v xml:space="preserve"> </v>
      </c>
      <c r="BT36" s="1069" t="str">
        <f t="shared" si="4"/>
        <v xml:space="preserve"> </v>
      </c>
      <c r="BU36" s="1069" t="str">
        <f t="shared" si="4"/>
        <v xml:space="preserve"> </v>
      </c>
      <c r="BV36" s="1069" t="str">
        <f t="shared" si="4"/>
        <v xml:space="preserve"> </v>
      </c>
      <c r="BW36" s="1069" t="str">
        <f t="shared" si="58"/>
        <v xml:space="preserve"> </v>
      </c>
      <c r="BZ36" s="302" t="str">
        <f t="shared" si="5"/>
        <v xml:space="preserve"> </v>
      </c>
      <c r="CA36" s="302" t="str">
        <f t="shared" si="15"/>
        <v xml:space="preserve"> </v>
      </c>
      <c r="CB36" s="302" t="str">
        <f t="shared" si="22"/>
        <v xml:space="preserve"> </v>
      </c>
      <c r="CC36" s="302" t="str">
        <f t="shared" si="30"/>
        <v xml:space="preserve"> </v>
      </c>
      <c r="CD36" s="302" t="str">
        <f t="shared" si="37"/>
        <v xml:space="preserve"> </v>
      </c>
      <c r="CE36" s="302" t="str">
        <f t="shared" si="53"/>
        <v xml:space="preserve"> </v>
      </c>
      <c r="CG36" s="1048"/>
    </row>
    <row r="37" spans="1:85">
      <c r="A37" s="285">
        <f>Odd_Even!A42</f>
        <v>1994</v>
      </c>
      <c r="B37" s="285">
        <f t="shared" si="0"/>
        <v>1996</v>
      </c>
      <c r="C37" s="475">
        <v>0.640833333</v>
      </c>
      <c r="D37" s="623">
        <f>Odd_Even!E42</f>
        <v>1409281</v>
      </c>
      <c r="E37" s="623">
        <f>Odd_Even!H42</f>
        <v>4500085</v>
      </c>
      <c r="F37" s="1083" t="b">
        <f t="shared" si="1"/>
        <v>1</v>
      </c>
      <c r="G37" s="259">
        <f t="shared" si="2"/>
        <v>1996</v>
      </c>
      <c r="H37" s="465">
        <f t="shared" si="6"/>
        <v>4666639</v>
      </c>
      <c r="I37" s="465">
        <f t="shared" si="16"/>
        <v>3036011</v>
      </c>
      <c r="J37" s="465">
        <f t="shared" si="23"/>
        <v>6331894.666666667</v>
      </c>
      <c r="K37" s="465">
        <f t="shared" si="31"/>
        <v>5190655</v>
      </c>
      <c r="L37" s="465">
        <f t="shared" si="39"/>
        <v>5265315.4000000004</v>
      </c>
      <c r="M37" s="465">
        <f t="shared" si="54"/>
        <v>8342245.7000000002</v>
      </c>
      <c r="N37" s="280"/>
      <c r="O37" s="276">
        <f t="shared" ref="O37:O54" si="60">RANK(P37,$P$5:$P$59)</f>
        <v>23</v>
      </c>
      <c r="P37" s="459">
        <f t="shared" si="8"/>
        <v>166554</v>
      </c>
      <c r="Q37" s="459">
        <f t="shared" si="17"/>
        <v>-1464074</v>
      </c>
      <c r="R37" s="459">
        <f t="shared" si="28"/>
        <v>1831809.666666667</v>
      </c>
      <c r="S37" s="459">
        <f t="shared" si="32"/>
        <v>690570</v>
      </c>
      <c r="T37" s="459">
        <f t="shared" si="40"/>
        <v>765230.40000000037</v>
      </c>
      <c r="U37" s="459">
        <f t="shared" si="55"/>
        <v>3842160.7</v>
      </c>
      <c r="W37" s="261">
        <f t="shared" si="9"/>
        <v>3.7011300897649708E-2</v>
      </c>
      <c r="X37" s="261">
        <f t="shared" si="50"/>
        <v>-0.32534363239805469</v>
      </c>
      <c r="Y37" s="261">
        <f t="shared" si="47"/>
        <v>0.40706112588243709</v>
      </c>
      <c r="Z37" s="261">
        <f t="shared" si="48"/>
        <v>0.1534571013658631</v>
      </c>
      <c r="AA37" s="261">
        <f t="shared" si="49"/>
        <v>0.1700479879824493</v>
      </c>
      <c r="AB37" s="261">
        <f t="shared" si="49"/>
        <v>0.85379736160539199</v>
      </c>
      <c r="AD37" s="314">
        <f t="shared" si="10"/>
        <v>3.7011300897649708E-2</v>
      </c>
      <c r="AE37" s="302">
        <f t="shared" si="18"/>
        <v>0.32534363239805469</v>
      </c>
      <c r="AF37" s="302">
        <f t="shared" si="24"/>
        <v>0.40706112588243709</v>
      </c>
      <c r="AG37" s="302">
        <f t="shared" si="33"/>
        <v>0.1534571013658631</v>
      </c>
      <c r="AH37" s="313">
        <f t="shared" si="41"/>
        <v>0.1700479879824493</v>
      </c>
      <c r="AI37" s="313">
        <f t="shared" si="41"/>
        <v>0.85379736160539199</v>
      </c>
      <c r="AK37" s="624" t="str">
        <f t="shared" si="13"/>
        <v/>
      </c>
      <c r="AL37" s="624" t="str">
        <f t="shared" si="19"/>
        <v/>
      </c>
      <c r="AM37" s="624" t="str">
        <f t="shared" si="25"/>
        <v/>
      </c>
      <c r="AN37" s="624" t="str">
        <f t="shared" si="34"/>
        <v/>
      </c>
      <c r="AO37" s="624" t="str">
        <f t="shared" si="45"/>
        <v/>
      </c>
      <c r="AP37" s="624" t="str">
        <f t="shared" si="51"/>
        <v/>
      </c>
      <c r="AQ37" s="624"/>
      <c r="AR37" s="624"/>
      <c r="AS37" s="1069" t="str">
        <f t="shared" si="14"/>
        <v xml:space="preserve"> </v>
      </c>
      <c r="AT37" s="1069" t="str">
        <f t="shared" si="21"/>
        <v xml:space="preserve"> </v>
      </c>
      <c r="AU37" s="1069" t="str">
        <f t="shared" si="29"/>
        <v xml:space="preserve"> </v>
      </c>
      <c r="AV37" s="1069" t="str">
        <f t="shared" si="38"/>
        <v xml:space="preserve"> </v>
      </c>
      <c r="AW37" s="1069" t="str">
        <f t="shared" si="46"/>
        <v xml:space="preserve"> </v>
      </c>
      <c r="AX37" s="1069" t="str">
        <f t="shared" si="57"/>
        <v xml:space="preserve"> </v>
      </c>
      <c r="AY37" s="259"/>
      <c r="BA37" s="302" t="str">
        <f t="shared" si="11"/>
        <v xml:space="preserve"> </v>
      </c>
      <c r="BB37" s="302" t="str">
        <f t="shared" si="20"/>
        <v xml:space="preserve"> </v>
      </c>
      <c r="BC37" s="302" t="str">
        <f t="shared" si="26"/>
        <v xml:space="preserve"> </v>
      </c>
      <c r="BD37" s="302" t="str">
        <f t="shared" si="35"/>
        <v xml:space="preserve"> </v>
      </c>
      <c r="BE37" s="302" t="str">
        <f t="shared" si="42"/>
        <v xml:space="preserve"> </v>
      </c>
      <c r="BF37" s="302" t="str">
        <f t="shared" si="56"/>
        <v xml:space="preserve"> </v>
      </c>
      <c r="BJ37" s="624">
        <f t="shared" si="59"/>
        <v>166554</v>
      </c>
      <c r="BK37" s="624">
        <f t="shared" si="27"/>
        <v>1464074</v>
      </c>
      <c r="BL37" s="624">
        <f t="shared" si="36"/>
        <v>1831809.666666667</v>
      </c>
      <c r="BM37" s="624">
        <f t="shared" si="43"/>
        <v>690570</v>
      </c>
      <c r="BN37" s="624">
        <f t="shared" si="44"/>
        <v>765230.40000000037</v>
      </c>
      <c r="BO37" s="624">
        <f t="shared" si="52"/>
        <v>3842160.7</v>
      </c>
      <c r="BP37" s="624"/>
      <c r="BQ37" s="624"/>
      <c r="BR37" s="1069">
        <f t="shared" si="4"/>
        <v>3.7011300897649708E-2</v>
      </c>
      <c r="BS37" s="1069">
        <f t="shared" si="4"/>
        <v>-0.32534363239805469</v>
      </c>
      <c r="BT37" s="1069">
        <f t="shared" si="4"/>
        <v>0.40706112588243709</v>
      </c>
      <c r="BU37" s="1069">
        <f t="shared" si="4"/>
        <v>0.1534571013658631</v>
      </c>
      <c r="BV37" s="1069">
        <f t="shared" si="4"/>
        <v>0.1700479879824493</v>
      </c>
      <c r="BW37" s="1069">
        <f t="shared" si="58"/>
        <v>0.85379736160539199</v>
      </c>
      <c r="BZ37" s="302">
        <f t="shared" ref="BZ37:BZ52" si="61">IF($F37 =TRUE,ABS(BJ37/$E37), " ")</f>
        <v>3.7011300897649708E-2</v>
      </c>
      <c r="CA37" s="302">
        <f t="shared" si="15"/>
        <v>0.32534363239805469</v>
      </c>
      <c r="CB37" s="302">
        <f t="shared" si="22"/>
        <v>0.40706112588243709</v>
      </c>
      <c r="CC37" s="302">
        <f t="shared" si="30"/>
        <v>0.1534571013658631</v>
      </c>
      <c r="CD37" s="302">
        <f t="shared" si="37"/>
        <v>0.1700479879824493</v>
      </c>
      <c r="CE37" s="302">
        <f t="shared" si="53"/>
        <v>0.85379736160539199</v>
      </c>
      <c r="CG37" s="1048"/>
    </row>
    <row r="38" spans="1:85">
      <c r="A38" s="285">
        <f>Odd_Even!A43</f>
        <v>1995</v>
      </c>
      <c r="B38" s="285">
        <f t="shared" si="0"/>
        <v>1997</v>
      </c>
      <c r="C38" s="475">
        <v>1.4608333330000001</v>
      </c>
      <c r="D38" s="623">
        <f>Odd_Even!E43</f>
        <v>1190184</v>
      </c>
      <c r="E38" s="623">
        <f>Odd_Even!H43</f>
        <v>2588682</v>
      </c>
      <c r="F38" s="1083" t="b">
        <f t="shared" si="1"/>
        <v>0</v>
      </c>
      <c r="G38" s="259">
        <f t="shared" si="2"/>
        <v>1997</v>
      </c>
      <c r="H38" s="465">
        <f t="shared" si="6"/>
        <v>3934208</v>
      </c>
      <c r="I38" s="465">
        <f t="shared" si="16"/>
        <v>2738575</v>
      </c>
      <c r="J38" s="465">
        <f t="shared" si="23"/>
        <v>4340642</v>
      </c>
      <c r="K38" s="465">
        <f t="shared" si="31"/>
        <v>4441419</v>
      </c>
      <c r="L38" s="465">
        <f t="shared" si="39"/>
        <v>6166524</v>
      </c>
      <c r="M38" s="465">
        <f t="shared" si="54"/>
        <v>10505884.300000001</v>
      </c>
      <c r="N38" s="280"/>
      <c r="O38" s="276">
        <f t="shared" si="60"/>
        <v>19</v>
      </c>
      <c r="P38" s="459">
        <f t="shared" si="8"/>
        <v>1345526</v>
      </c>
      <c r="Q38" s="459">
        <f t="shared" si="17"/>
        <v>149893</v>
      </c>
      <c r="R38" s="459">
        <f t="shared" si="28"/>
        <v>1751960</v>
      </c>
      <c r="S38" s="459">
        <f t="shared" si="32"/>
        <v>1852737</v>
      </c>
      <c r="T38" s="459">
        <f t="shared" si="40"/>
        <v>3577842</v>
      </c>
      <c r="U38" s="459">
        <f t="shared" si="55"/>
        <v>7917202.3000000007</v>
      </c>
      <c r="W38" s="261">
        <f t="shared" si="9"/>
        <v>0.51977261015451104</v>
      </c>
      <c r="X38" s="261">
        <f t="shared" si="50"/>
        <v>5.7903210977632631E-2</v>
      </c>
      <c r="Y38" s="261">
        <f t="shared" si="47"/>
        <v>0.67677683083515083</v>
      </c>
      <c r="Z38" s="261">
        <f t="shared" si="48"/>
        <v>0.71570668007889726</v>
      </c>
      <c r="AA38" s="261">
        <f t="shared" si="49"/>
        <v>1.3821095059184558</v>
      </c>
      <c r="AB38" s="261">
        <f t="shared" si="49"/>
        <v>3.0583912199335419</v>
      </c>
      <c r="AD38" s="314">
        <f t="shared" si="10"/>
        <v>0.51977261015451104</v>
      </c>
      <c r="AE38" s="302">
        <f t="shared" si="18"/>
        <v>5.7903210977632631E-2</v>
      </c>
      <c r="AF38" s="302">
        <f t="shared" si="24"/>
        <v>0.67677683083515083</v>
      </c>
      <c r="AG38" s="302">
        <f t="shared" si="33"/>
        <v>0.71570668007889726</v>
      </c>
      <c r="AH38" s="313">
        <f t="shared" si="41"/>
        <v>1.3821095059184558</v>
      </c>
      <c r="AI38" s="313">
        <f t="shared" si="41"/>
        <v>3.0583912199335419</v>
      </c>
      <c r="AK38" s="1047">
        <f t="shared" si="13"/>
        <v>1345526</v>
      </c>
      <c r="AL38" s="624">
        <f t="shared" si="19"/>
        <v>149893</v>
      </c>
      <c r="AM38" s="624">
        <f t="shared" si="25"/>
        <v>1751960</v>
      </c>
      <c r="AN38" s="624">
        <f t="shared" si="34"/>
        <v>1852737</v>
      </c>
      <c r="AO38" s="624">
        <f t="shared" si="45"/>
        <v>3577842</v>
      </c>
      <c r="AP38" s="624">
        <f t="shared" si="51"/>
        <v>7917202.3000000007</v>
      </c>
      <c r="AQ38" s="624"/>
      <c r="AR38" s="624"/>
      <c r="AS38" s="1069">
        <f t="shared" si="14"/>
        <v>0.51977261015451104</v>
      </c>
      <c r="AT38" s="1069">
        <f t="shared" si="21"/>
        <v>5.7903210977632631E-2</v>
      </c>
      <c r="AU38" s="1069">
        <f t="shared" si="29"/>
        <v>0.67677683083515083</v>
      </c>
      <c r="AV38" s="1069">
        <f t="shared" si="38"/>
        <v>0.71570668007889726</v>
      </c>
      <c r="AW38" s="1069">
        <f t="shared" si="46"/>
        <v>1.3821095059184558</v>
      </c>
      <c r="AX38" s="1069">
        <f t="shared" si="57"/>
        <v>3.0583912199335419</v>
      </c>
      <c r="AY38" s="259"/>
      <c r="BA38" s="302">
        <f t="shared" si="11"/>
        <v>0.51977261015451104</v>
      </c>
      <c r="BB38" s="314">
        <f t="shared" si="20"/>
        <v>5.7903210977632631E-2</v>
      </c>
      <c r="BC38" s="302">
        <f t="shared" si="26"/>
        <v>0.67677683083515083</v>
      </c>
      <c r="BD38" s="302">
        <f t="shared" si="35"/>
        <v>0.71570668007889726</v>
      </c>
      <c r="BE38" s="302">
        <f t="shared" si="42"/>
        <v>1.3821095059184558</v>
      </c>
      <c r="BF38" s="302">
        <f t="shared" si="56"/>
        <v>3.0583912199335419</v>
      </c>
      <c r="BJ38" s="624" t="str">
        <f t="shared" si="59"/>
        <v/>
      </c>
      <c r="BK38" s="624" t="str">
        <f t="shared" si="27"/>
        <v/>
      </c>
      <c r="BL38" s="624" t="str">
        <f t="shared" si="36"/>
        <v/>
      </c>
      <c r="BM38" s="624" t="str">
        <f t="shared" si="43"/>
        <v/>
      </c>
      <c r="BN38" s="624" t="str">
        <f t="shared" si="44"/>
        <v/>
      </c>
      <c r="BO38" s="624" t="str">
        <f t="shared" si="52"/>
        <v/>
      </c>
      <c r="BP38" s="624"/>
      <c r="BQ38" s="624"/>
      <c r="BR38" s="1069" t="str">
        <f t="shared" si="4"/>
        <v xml:space="preserve"> </v>
      </c>
      <c r="BS38" s="1069" t="str">
        <f t="shared" si="4"/>
        <v xml:space="preserve"> </v>
      </c>
      <c r="BT38" s="1069" t="str">
        <f t="shared" si="4"/>
        <v xml:space="preserve"> </v>
      </c>
      <c r="BU38" s="1069" t="str">
        <f t="shared" si="4"/>
        <v xml:space="preserve"> </v>
      </c>
      <c r="BV38" s="1069" t="str">
        <f t="shared" si="4"/>
        <v xml:space="preserve"> </v>
      </c>
      <c r="BW38" s="1069" t="str">
        <f t="shared" si="58"/>
        <v xml:space="preserve"> </v>
      </c>
      <c r="BZ38" s="302" t="str">
        <f t="shared" si="61"/>
        <v xml:space="preserve"> </v>
      </c>
      <c r="CA38" s="302" t="str">
        <f t="shared" si="15"/>
        <v xml:space="preserve"> </v>
      </c>
      <c r="CB38" s="302" t="str">
        <f t="shared" si="22"/>
        <v xml:space="preserve"> </v>
      </c>
      <c r="CC38" s="302" t="str">
        <f t="shared" si="30"/>
        <v xml:space="preserve"> </v>
      </c>
      <c r="CD38" s="302" t="str">
        <f t="shared" si="37"/>
        <v xml:space="preserve"> </v>
      </c>
      <c r="CE38" s="302" t="str">
        <f t="shared" si="53"/>
        <v xml:space="preserve"> </v>
      </c>
      <c r="CG38" s="1048"/>
    </row>
    <row r="39" spans="1:85">
      <c r="A39" s="285">
        <f>Odd_Even!A44</f>
        <v>1996</v>
      </c>
      <c r="B39" s="285">
        <f t="shared" si="0"/>
        <v>1998</v>
      </c>
      <c r="C39" s="475">
        <v>0.24583333299999999</v>
      </c>
      <c r="D39" s="623">
        <f>Odd_Even!E44</f>
        <v>1483336</v>
      </c>
      <c r="E39" s="623">
        <f>Odd_Even!H44</f>
        <v>5274275.5</v>
      </c>
      <c r="F39" s="1083" t="b">
        <f t="shared" si="1"/>
        <v>1</v>
      </c>
      <c r="G39" s="259">
        <f t="shared" si="2"/>
        <v>1998</v>
      </c>
      <c r="H39" s="465">
        <f t="shared" si="6"/>
        <v>4500085</v>
      </c>
      <c r="I39" s="465">
        <f t="shared" si="16"/>
        <v>4583362</v>
      </c>
      <c r="J39" s="465">
        <f t="shared" si="23"/>
        <v>3524035.6666666665</v>
      </c>
      <c r="K39" s="465">
        <f t="shared" si="31"/>
        <v>5873942.25</v>
      </c>
      <c r="L39" s="465">
        <f t="shared" si="39"/>
        <v>5052541</v>
      </c>
      <c r="M39" s="465">
        <f t="shared" si="54"/>
        <v>8676149.0999999996</v>
      </c>
      <c r="N39" s="280"/>
      <c r="O39" s="276">
        <f t="shared" si="60"/>
        <v>30</v>
      </c>
      <c r="P39" s="459">
        <f t="shared" si="8"/>
        <v>-774190.5</v>
      </c>
      <c r="Q39" s="459">
        <f t="shared" si="17"/>
        <v>-690913.5</v>
      </c>
      <c r="R39" s="459">
        <f t="shared" si="28"/>
        <v>-1750239.8333333335</v>
      </c>
      <c r="S39" s="459">
        <f t="shared" si="32"/>
        <v>599666.75</v>
      </c>
      <c r="T39" s="459">
        <f t="shared" si="40"/>
        <v>-221734.5</v>
      </c>
      <c r="U39" s="459">
        <f t="shared" si="55"/>
        <v>3401873.5999999996</v>
      </c>
      <c r="W39" s="261">
        <f t="shared" si="9"/>
        <v>-0.14678613204789928</v>
      </c>
      <c r="X39" s="261">
        <f t="shared" si="50"/>
        <v>-0.13099685444948789</v>
      </c>
      <c r="Y39" s="261">
        <f t="shared" si="47"/>
        <v>-0.33184459805585309</v>
      </c>
      <c r="Z39" s="261">
        <f t="shared" si="48"/>
        <v>0.11369651623241903</v>
      </c>
      <c r="AA39" s="261">
        <f t="shared" si="49"/>
        <v>-4.2040750431030761E-2</v>
      </c>
      <c r="AB39" s="261">
        <f t="shared" si="49"/>
        <v>0.64499353513103352</v>
      </c>
      <c r="AD39" s="302">
        <f t="shared" si="10"/>
        <v>0.14678613204789928</v>
      </c>
      <c r="AE39" s="302">
        <f t="shared" si="18"/>
        <v>0.13099685444948789</v>
      </c>
      <c r="AF39" s="302">
        <f t="shared" si="24"/>
        <v>0.33184459805585309</v>
      </c>
      <c r="AG39" s="302">
        <f t="shared" si="33"/>
        <v>0.11369651623241903</v>
      </c>
      <c r="AH39" s="315">
        <f t="shared" si="41"/>
        <v>4.2040750431030761E-2</v>
      </c>
      <c r="AI39" s="313">
        <f t="shared" si="41"/>
        <v>0.64499353513103352</v>
      </c>
      <c r="AK39" s="624" t="str">
        <f t="shared" si="13"/>
        <v/>
      </c>
      <c r="AL39" s="624" t="str">
        <f t="shared" si="19"/>
        <v/>
      </c>
      <c r="AM39" s="624" t="str">
        <f t="shared" si="25"/>
        <v/>
      </c>
      <c r="AN39" s="624" t="str">
        <f t="shared" si="34"/>
        <v/>
      </c>
      <c r="AO39" s="624" t="str">
        <f t="shared" si="45"/>
        <v/>
      </c>
      <c r="AP39" s="624" t="str">
        <f t="shared" si="51"/>
        <v/>
      </c>
      <c r="AQ39" s="624"/>
      <c r="AR39" s="624"/>
      <c r="AS39" s="1069" t="str">
        <f t="shared" si="14"/>
        <v xml:space="preserve"> </v>
      </c>
      <c r="AT39" s="1069" t="str">
        <f t="shared" si="21"/>
        <v xml:space="preserve"> </v>
      </c>
      <c r="AU39" s="1069" t="str">
        <f t="shared" si="29"/>
        <v xml:space="preserve"> </v>
      </c>
      <c r="AV39" s="1069" t="str">
        <f t="shared" si="38"/>
        <v xml:space="preserve"> </v>
      </c>
      <c r="AW39" s="1069" t="str">
        <f t="shared" si="46"/>
        <v xml:space="preserve"> </v>
      </c>
      <c r="AX39" s="1069" t="str">
        <f t="shared" si="57"/>
        <v xml:space="preserve"> </v>
      </c>
      <c r="AY39" s="259"/>
      <c r="BA39" s="302" t="str">
        <f t="shared" si="11"/>
        <v xml:space="preserve"> </v>
      </c>
      <c r="BB39" s="302" t="str">
        <f t="shared" si="20"/>
        <v xml:space="preserve"> </v>
      </c>
      <c r="BC39" s="302" t="str">
        <f t="shared" si="26"/>
        <v xml:space="preserve"> </v>
      </c>
      <c r="BD39" s="302" t="str">
        <f t="shared" si="35"/>
        <v xml:space="preserve"> </v>
      </c>
      <c r="BE39" s="302" t="str">
        <f t="shared" si="42"/>
        <v xml:space="preserve"> </v>
      </c>
      <c r="BF39" s="302" t="str">
        <f t="shared" si="56"/>
        <v xml:space="preserve"> </v>
      </c>
      <c r="BJ39" s="624">
        <f t="shared" si="59"/>
        <v>774190.5</v>
      </c>
      <c r="BK39" s="624">
        <f t="shared" si="27"/>
        <v>690913.5</v>
      </c>
      <c r="BL39" s="624">
        <f t="shared" si="36"/>
        <v>1750239.8333333335</v>
      </c>
      <c r="BM39" s="624">
        <f t="shared" si="43"/>
        <v>599666.75</v>
      </c>
      <c r="BN39" s="624">
        <f t="shared" si="44"/>
        <v>221734.5</v>
      </c>
      <c r="BO39" s="624">
        <f t="shared" si="52"/>
        <v>3401873.5999999996</v>
      </c>
      <c r="BP39" s="624"/>
      <c r="BQ39" s="624"/>
      <c r="BR39" s="1069">
        <f t="shared" si="4"/>
        <v>-0.14678613204789928</v>
      </c>
      <c r="BS39" s="1069">
        <f t="shared" si="4"/>
        <v>-0.13099685444948789</v>
      </c>
      <c r="BT39" s="1069">
        <f t="shared" si="4"/>
        <v>-0.33184459805585309</v>
      </c>
      <c r="BU39" s="1069">
        <f t="shared" si="4"/>
        <v>0.11369651623241903</v>
      </c>
      <c r="BV39" s="1069">
        <f t="shared" si="4"/>
        <v>-4.2040750431030761E-2</v>
      </c>
      <c r="BW39" s="1069">
        <f t="shared" si="58"/>
        <v>0.64499353513103352</v>
      </c>
      <c r="BZ39" s="302">
        <f t="shared" si="61"/>
        <v>0.14678613204789928</v>
      </c>
      <c r="CA39" s="302">
        <f t="shared" si="15"/>
        <v>0.13099685444948789</v>
      </c>
      <c r="CB39" s="302">
        <f t="shared" si="22"/>
        <v>0.33184459805585309</v>
      </c>
      <c r="CC39" s="302">
        <f t="shared" si="30"/>
        <v>0.11369651623241903</v>
      </c>
      <c r="CD39" s="302">
        <f t="shared" si="37"/>
        <v>4.2040750431030761E-2</v>
      </c>
      <c r="CE39" s="302">
        <f t="shared" si="53"/>
        <v>0.64499353513103352</v>
      </c>
      <c r="CG39" s="1048"/>
    </row>
    <row r="40" spans="1:85">
      <c r="A40" s="285">
        <f>Odd_Even!A45</f>
        <v>1997</v>
      </c>
      <c r="B40" s="285">
        <f t="shared" si="0"/>
        <v>1999</v>
      </c>
      <c r="C40" s="475">
        <v>-1.0633333330000001</v>
      </c>
      <c r="D40" s="623">
        <f>Odd_Even!E45</f>
        <v>1422688</v>
      </c>
      <c r="E40" s="623">
        <f>Odd_Even!H45</f>
        <v>9405198</v>
      </c>
      <c r="F40" s="1083" t="b">
        <f t="shared" si="1"/>
        <v>0</v>
      </c>
      <c r="G40" s="259">
        <f t="shared" si="2"/>
        <v>1999</v>
      </c>
      <c r="H40" s="465">
        <f t="shared" si="6"/>
        <v>2588682</v>
      </c>
      <c r="I40" s="465">
        <f t="shared" si="16"/>
        <v>3261445</v>
      </c>
      <c r="J40" s="465">
        <f t="shared" si="23"/>
        <v>2688610.6666666665</v>
      </c>
      <c r="K40" s="465">
        <f t="shared" si="31"/>
        <v>3902652</v>
      </c>
      <c r="L40" s="465">
        <f t="shared" si="39"/>
        <v>4070871.6</v>
      </c>
      <c r="M40" s="465">
        <f t="shared" si="54"/>
        <v>10183112.4</v>
      </c>
      <c r="N40" s="280"/>
      <c r="O40" s="276">
        <f t="shared" si="60"/>
        <v>44</v>
      </c>
      <c r="P40" s="459">
        <f t="shared" si="8"/>
        <v>-6816516</v>
      </c>
      <c r="Q40" s="459">
        <f t="shared" si="17"/>
        <v>-6143753</v>
      </c>
      <c r="R40" s="459">
        <f t="shared" si="28"/>
        <v>-6716587.333333334</v>
      </c>
      <c r="S40" s="459">
        <f t="shared" si="32"/>
        <v>-5502546</v>
      </c>
      <c r="T40" s="459">
        <f t="shared" si="40"/>
        <v>-5334326.4000000004</v>
      </c>
      <c r="U40" s="459">
        <f t="shared" si="55"/>
        <v>777914.40000000037</v>
      </c>
      <c r="W40" s="261">
        <f t="shared" si="9"/>
        <v>-0.72476049945997945</v>
      </c>
      <c r="X40" s="261">
        <f t="shared" si="50"/>
        <v>-0.65322952265332423</v>
      </c>
      <c r="Y40" s="261">
        <f t="shared" si="47"/>
        <v>-0.71413566554721486</v>
      </c>
      <c r="Z40" s="261">
        <f t="shared" si="48"/>
        <v>-0.58505371178788579</v>
      </c>
      <c r="AA40" s="261">
        <f t="shared" si="49"/>
        <v>-0.56716790013352192</v>
      </c>
      <c r="AB40" s="261">
        <f t="shared" si="49"/>
        <v>8.2711113577832215E-2</v>
      </c>
      <c r="AD40" s="302">
        <f t="shared" si="10"/>
        <v>0.72476049945997945</v>
      </c>
      <c r="AE40" s="302">
        <f t="shared" si="18"/>
        <v>0.65322952265332423</v>
      </c>
      <c r="AF40" s="302">
        <f t="shared" si="24"/>
        <v>0.71413566554721486</v>
      </c>
      <c r="AG40" s="302">
        <f t="shared" si="33"/>
        <v>0.58505371178788579</v>
      </c>
      <c r="AH40" s="315">
        <f t="shared" si="41"/>
        <v>0.56716790013352192</v>
      </c>
      <c r="AI40" s="313">
        <f t="shared" si="41"/>
        <v>8.2711113577832215E-2</v>
      </c>
      <c r="AK40" s="624">
        <f t="shared" si="13"/>
        <v>6816516</v>
      </c>
      <c r="AL40" s="624">
        <f t="shared" si="19"/>
        <v>6143753</v>
      </c>
      <c r="AM40" s="624">
        <f t="shared" si="25"/>
        <v>6716587.333333334</v>
      </c>
      <c r="AN40" s="624">
        <f t="shared" si="34"/>
        <v>5502546</v>
      </c>
      <c r="AO40" s="1047">
        <f t="shared" si="45"/>
        <v>5334326.4000000004</v>
      </c>
      <c r="AP40" s="624">
        <f t="shared" si="51"/>
        <v>777914.40000000037</v>
      </c>
      <c r="AQ40" s="624"/>
      <c r="AR40" s="624"/>
      <c r="AS40" s="1069">
        <f t="shared" si="14"/>
        <v>-0.72476049945997945</v>
      </c>
      <c r="AT40" s="1069">
        <f t="shared" si="21"/>
        <v>-0.65322952265332423</v>
      </c>
      <c r="AU40" s="1069">
        <f t="shared" si="29"/>
        <v>-0.71413566554721486</v>
      </c>
      <c r="AV40" s="1069">
        <f t="shared" si="38"/>
        <v>-0.58505371178788579</v>
      </c>
      <c r="AW40" s="1069">
        <f t="shared" si="46"/>
        <v>-0.56716790013352192</v>
      </c>
      <c r="AX40" s="1069">
        <f t="shared" si="57"/>
        <v>8.2711113577832215E-2</v>
      </c>
      <c r="AY40" s="286"/>
      <c r="BA40" s="302">
        <f t="shared" si="11"/>
        <v>0.72476049945997945</v>
      </c>
      <c r="BB40" s="302">
        <f t="shared" si="20"/>
        <v>0.65322952265332423</v>
      </c>
      <c r="BC40" s="302">
        <f t="shared" si="26"/>
        <v>0.71413566554721486</v>
      </c>
      <c r="BD40" s="302">
        <f t="shared" si="35"/>
        <v>0.58505371178788579</v>
      </c>
      <c r="BE40" s="302">
        <f t="shared" si="42"/>
        <v>0.56716790013352192</v>
      </c>
      <c r="BF40" s="314">
        <f t="shared" si="56"/>
        <v>8.2711113577832215E-2</v>
      </c>
      <c r="BJ40" s="624" t="str">
        <f t="shared" si="59"/>
        <v/>
      </c>
      <c r="BK40" s="624" t="str">
        <f t="shared" si="27"/>
        <v/>
      </c>
      <c r="BL40" s="624" t="str">
        <f t="shared" si="36"/>
        <v/>
      </c>
      <c r="BM40" s="624" t="str">
        <f t="shared" si="43"/>
        <v/>
      </c>
      <c r="BN40" s="624" t="str">
        <f t="shared" si="44"/>
        <v/>
      </c>
      <c r="BO40" s="624" t="str">
        <f t="shared" si="52"/>
        <v/>
      </c>
      <c r="BP40" s="624"/>
      <c r="BQ40" s="624"/>
      <c r="BR40" s="1069" t="str">
        <f t="shared" si="4"/>
        <v xml:space="preserve"> </v>
      </c>
      <c r="BS40" s="1069" t="str">
        <f t="shared" si="4"/>
        <v xml:space="preserve"> </v>
      </c>
      <c r="BT40" s="1069" t="str">
        <f t="shared" si="4"/>
        <v xml:space="preserve"> </v>
      </c>
      <c r="BU40" s="1069" t="str">
        <f t="shared" si="4"/>
        <v xml:space="preserve"> </v>
      </c>
      <c r="BV40" s="1069" t="str">
        <f t="shared" si="4"/>
        <v xml:space="preserve"> </v>
      </c>
      <c r="BW40" s="1069" t="str">
        <f t="shared" si="58"/>
        <v xml:space="preserve"> </v>
      </c>
      <c r="BZ40" s="302" t="str">
        <f t="shared" si="61"/>
        <v xml:space="preserve"> </v>
      </c>
      <c r="CA40" s="302" t="str">
        <f t="shared" si="15"/>
        <v xml:space="preserve"> </v>
      </c>
      <c r="CB40" s="302" t="str">
        <f t="shared" si="22"/>
        <v xml:space="preserve"> </v>
      </c>
      <c r="CC40" s="302" t="str">
        <f t="shared" si="30"/>
        <v xml:space="preserve"> </v>
      </c>
      <c r="CD40" s="302" t="str">
        <f t="shared" si="37"/>
        <v xml:space="preserve"> </v>
      </c>
      <c r="CE40" s="302" t="str">
        <f t="shared" si="53"/>
        <v xml:space="preserve"> </v>
      </c>
      <c r="CG40" s="1048"/>
    </row>
    <row r="41" spans="1:85">
      <c r="A41" s="285">
        <f>Odd_Even!A46</f>
        <v>1998</v>
      </c>
      <c r="B41" s="285">
        <f t="shared" si="0"/>
        <v>2000</v>
      </c>
      <c r="C41" s="475">
        <v>-0.59</v>
      </c>
      <c r="D41" s="623">
        <f>Odd_Even!E46</f>
        <v>1420105</v>
      </c>
      <c r="E41" s="623">
        <f>Odd_Even!H46</f>
        <v>7389941</v>
      </c>
      <c r="F41" s="1083" t="b">
        <f t="shared" si="1"/>
        <v>1</v>
      </c>
      <c r="G41" s="259">
        <f t="shared" si="2"/>
        <v>2000</v>
      </c>
      <c r="H41" s="465">
        <f t="shared" si="6"/>
        <v>5274275.5</v>
      </c>
      <c r="I41" s="465">
        <f t="shared" si="16"/>
        <v>4887180.25</v>
      </c>
      <c r="J41" s="465">
        <f t="shared" si="23"/>
        <v>4813666.5</v>
      </c>
      <c r="K41" s="465">
        <f t="shared" si="31"/>
        <v>3961595.625</v>
      </c>
      <c r="L41" s="465">
        <f t="shared" si="39"/>
        <v>5754008.9000000004</v>
      </c>
      <c r="M41" s="465">
        <f t="shared" si="54"/>
        <v>8811068.3499999996</v>
      </c>
      <c r="N41" s="280"/>
      <c r="O41" s="276">
        <f t="shared" si="60"/>
        <v>33</v>
      </c>
      <c r="P41" s="459">
        <f t="shared" si="8"/>
        <v>-2115665.5</v>
      </c>
      <c r="Q41" s="459">
        <f t="shared" si="17"/>
        <v>-2502760.75</v>
      </c>
      <c r="R41" s="459">
        <f t="shared" si="28"/>
        <v>-2576274.5</v>
      </c>
      <c r="S41" s="459">
        <f t="shared" si="32"/>
        <v>-3428345.375</v>
      </c>
      <c r="T41" s="459">
        <f t="shared" si="40"/>
        <v>-1635932.0999999996</v>
      </c>
      <c r="U41" s="459">
        <f t="shared" si="55"/>
        <v>1421127.3499999996</v>
      </c>
      <c r="W41" s="261">
        <f t="shared" si="9"/>
        <v>-0.28628990407365906</v>
      </c>
      <c r="X41" s="261">
        <f t="shared" si="50"/>
        <v>-0.3386712762659404</v>
      </c>
      <c r="Y41" s="261">
        <f t="shared" si="47"/>
        <v>-0.34861908911045431</v>
      </c>
      <c r="Z41" s="261">
        <f t="shared" si="48"/>
        <v>-0.46392053400696975</v>
      </c>
      <c r="AA41" s="261">
        <f t="shared" si="49"/>
        <v>-0.22137282286827453</v>
      </c>
      <c r="AB41" s="261">
        <f t="shared" si="49"/>
        <v>0.19230564222366586</v>
      </c>
      <c r="AD41" s="302">
        <f t="shared" si="10"/>
        <v>0.28628990407365906</v>
      </c>
      <c r="AE41" s="302">
        <f t="shared" si="18"/>
        <v>0.3386712762659404</v>
      </c>
      <c r="AF41" s="302">
        <f t="shared" si="24"/>
        <v>0.34861908911045431</v>
      </c>
      <c r="AG41" s="302">
        <f t="shared" si="33"/>
        <v>0.46392053400696975</v>
      </c>
      <c r="AH41" s="315">
        <f t="shared" si="41"/>
        <v>0.22137282286827453</v>
      </c>
      <c r="AI41" s="313">
        <f t="shared" si="41"/>
        <v>0.19230564222366586</v>
      </c>
      <c r="AK41" s="624" t="str">
        <f t="shared" si="13"/>
        <v/>
      </c>
      <c r="AL41" s="624" t="str">
        <f t="shared" si="19"/>
        <v/>
      </c>
      <c r="AM41" s="624" t="str">
        <f t="shared" si="25"/>
        <v/>
      </c>
      <c r="AN41" s="624" t="str">
        <f t="shared" si="34"/>
        <v/>
      </c>
      <c r="AO41" s="624" t="str">
        <f t="shared" si="45"/>
        <v/>
      </c>
      <c r="AP41" s="624" t="str">
        <f t="shared" si="51"/>
        <v/>
      </c>
      <c r="AQ41" s="624"/>
      <c r="AR41" s="624"/>
      <c r="AS41" s="1069" t="str">
        <f t="shared" si="14"/>
        <v xml:space="preserve"> </v>
      </c>
      <c r="AT41" s="1069" t="str">
        <f t="shared" si="21"/>
        <v xml:space="preserve"> </v>
      </c>
      <c r="AU41" s="1069" t="str">
        <f t="shared" si="29"/>
        <v xml:space="preserve"> </v>
      </c>
      <c r="AV41" s="1069" t="str">
        <f t="shared" si="38"/>
        <v xml:space="preserve"> </v>
      </c>
      <c r="AW41" s="1069" t="str">
        <f t="shared" si="46"/>
        <v xml:space="preserve"> </v>
      </c>
      <c r="AX41" s="1069" t="str">
        <f t="shared" si="57"/>
        <v xml:space="preserve"> </v>
      </c>
      <c r="AY41" s="259"/>
      <c r="BA41" s="302" t="str">
        <f t="shared" si="11"/>
        <v xml:space="preserve"> </v>
      </c>
      <c r="BB41" s="302" t="str">
        <f t="shared" si="20"/>
        <v xml:space="preserve"> </v>
      </c>
      <c r="BC41" s="302" t="str">
        <f t="shared" si="26"/>
        <v xml:space="preserve"> </v>
      </c>
      <c r="BD41" s="302" t="str">
        <f t="shared" si="35"/>
        <v xml:space="preserve"> </v>
      </c>
      <c r="BE41" s="302" t="str">
        <f t="shared" si="42"/>
        <v xml:space="preserve"> </v>
      </c>
      <c r="BF41" s="302" t="str">
        <f t="shared" si="56"/>
        <v xml:space="preserve"> </v>
      </c>
      <c r="BJ41" s="624">
        <f t="shared" si="59"/>
        <v>2115665.5</v>
      </c>
      <c r="BK41" s="624">
        <f t="shared" si="27"/>
        <v>2502760.75</v>
      </c>
      <c r="BL41" s="624">
        <f t="shared" si="36"/>
        <v>2576274.5</v>
      </c>
      <c r="BM41" s="624">
        <f t="shared" si="43"/>
        <v>3428345.375</v>
      </c>
      <c r="BN41" s="624">
        <f t="shared" si="44"/>
        <v>1635932.0999999996</v>
      </c>
      <c r="BO41" s="624">
        <f t="shared" si="52"/>
        <v>1421127.3499999996</v>
      </c>
      <c r="BP41" s="624"/>
      <c r="BQ41" s="624"/>
      <c r="BR41" s="1069">
        <f t="shared" si="4"/>
        <v>-0.28628990407365906</v>
      </c>
      <c r="BS41" s="1069">
        <f t="shared" si="4"/>
        <v>-0.3386712762659404</v>
      </c>
      <c r="BT41" s="1069">
        <f t="shared" si="4"/>
        <v>-0.34861908911045431</v>
      </c>
      <c r="BU41" s="1069">
        <f t="shared" si="4"/>
        <v>-0.46392053400696975</v>
      </c>
      <c r="BV41" s="1069">
        <f t="shared" si="4"/>
        <v>-0.22137282286827453</v>
      </c>
      <c r="BW41" s="1069">
        <f t="shared" si="58"/>
        <v>0.19230564222366586</v>
      </c>
      <c r="BZ41" s="302">
        <f t="shared" si="61"/>
        <v>0.28628990407365906</v>
      </c>
      <c r="CA41" s="302">
        <f t="shared" si="15"/>
        <v>0.3386712762659404</v>
      </c>
      <c r="CB41" s="302">
        <f t="shared" si="22"/>
        <v>0.34861908911045431</v>
      </c>
      <c r="CC41" s="302">
        <f t="shared" si="30"/>
        <v>0.46392053400696975</v>
      </c>
      <c r="CD41" s="302">
        <f t="shared" si="37"/>
        <v>0.22137282286827453</v>
      </c>
      <c r="CE41" s="302">
        <f t="shared" si="53"/>
        <v>0.19230564222366586</v>
      </c>
      <c r="CG41" s="1048"/>
    </row>
    <row r="42" spans="1:85">
      <c r="A42" s="285">
        <f>Odd_Even!A47</f>
        <v>1999</v>
      </c>
      <c r="B42" s="285">
        <f t="shared" si="0"/>
        <v>2001</v>
      </c>
      <c r="C42" s="475">
        <v>-0.5625</v>
      </c>
      <c r="D42" s="623">
        <f>Odd_Even!E47</f>
        <v>2462862</v>
      </c>
      <c r="E42" s="623">
        <f>Odd_Even!H47</f>
        <v>8854676.9808041956</v>
      </c>
      <c r="F42" s="1083" t="b">
        <f t="shared" si="1"/>
        <v>0</v>
      </c>
      <c r="G42" s="259">
        <f t="shared" si="2"/>
        <v>2001</v>
      </c>
      <c r="H42" s="465">
        <f t="shared" si="6"/>
        <v>9405198</v>
      </c>
      <c r="I42" s="465">
        <f t="shared" si="16"/>
        <v>5996940</v>
      </c>
      <c r="J42" s="465">
        <f t="shared" si="23"/>
        <v>5309362.666666667</v>
      </c>
      <c r="K42" s="465">
        <f t="shared" si="31"/>
        <v>4367757.5</v>
      </c>
      <c r="L42" s="465">
        <f t="shared" si="39"/>
        <v>5003161.2</v>
      </c>
      <c r="M42" s="465">
        <f t="shared" si="54"/>
        <v>9390081.9000000004</v>
      </c>
      <c r="N42" s="280"/>
      <c r="O42" s="276">
        <f t="shared" si="60"/>
        <v>21</v>
      </c>
      <c r="P42" s="459">
        <f t="shared" si="8"/>
        <v>550521.01919580437</v>
      </c>
      <c r="Q42" s="459">
        <f t="shared" si="17"/>
        <v>-2857736.9808041956</v>
      </c>
      <c r="R42" s="459">
        <f t="shared" si="28"/>
        <v>-3545314.3141375287</v>
      </c>
      <c r="S42" s="459">
        <f t="shared" si="32"/>
        <v>-4486919.4808041956</v>
      </c>
      <c r="T42" s="459">
        <f t="shared" si="40"/>
        <v>-3851515.7808041954</v>
      </c>
      <c r="U42" s="459">
        <f t="shared" si="55"/>
        <v>535404.91919580474</v>
      </c>
      <c r="W42" s="261">
        <f t="shared" si="9"/>
        <v>6.2172908214411814E-2</v>
      </c>
      <c r="X42" s="261">
        <f t="shared" si="50"/>
        <v>-0.32273757552075621</v>
      </c>
      <c r="Y42" s="261">
        <f t="shared" si="47"/>
        <v>-0.40038889299105046</v>
      </c>
      <c r="Z42" s="261">
        <f t="shared" si="48"/>
        <v>-0.5067287593360279</v>
      </c>
      <c r="AA42" s="261">
        <f t="shared" si="49"/>
        <v>-0.43496965379468816</v>
      </c>
      <c r="AB42" s="261">
        <f t="shared" si="49"/>
        <v>6.0465776488119662E-2</v>
      </c>
      <c r="AD42" s="302">
        <f t="shared" si="10"/>
        <v>6.2172908214411814E-2</v>
      </c>
      <c r="AE42" s="314">
        <f t="shared" si="18"/>
        <v>0.32273757552075621</v>
      </c>
      <c r="AF42" s="302">
        <f t="shared" si="24"/>
        <v>0.40038889299105046</v>
      </c>
      <c r="AG42" s="302">
        <f t="shared" si="33"/>
        <v>0.5067287593360279</v>
      </c>
      <c r="AH42" s="313">
        <f t="shared" si="41"/>
        <v>0.43496965379468816</v>
      </c>
      <c r="AI42" s="313">
        <f t="shared" si="41"/>
        <v>6.0465776488119662E-2</v>
      </c>
      <c r="AK42" s="624">
        <f t="shared" si="13"/>
        <v>550521.01919580437</v>
      </c>
      <c r="AL42" s="1047">
        <f t="shared" si="19"/>
        <v>2857736.9808041956</v>
      </c>
      <c r="AM42" s="624">
        <f t="shared" si="25"/>
        <v>3545314.3141375287</v>
      </c>
      <c r="AN42" s="624">
        <f t="shared" si="34"/>
        <v>4486919.4808041956</v>
      </c>
      <c r="AO42" s="624">
        <f t="shared" si="45"/>
        <v>3851515.7808041954</v>
      </c>
      <c r="AP42" s="624">
        <f t="shared" si="51"/>
        <v>535404.91919580474</v>
      </c>
      <c r="AQ42" s="624"/>
      <c r="AR42" s="624"/>
      <c r="AS42" s="1069">
        <f t="shared" si="14"/>
        <v>6.2172908214411814E-2</v>
      </c>
      <c r="AT42" s="1069">
        <f t="shared" si="21"/>
        <v>-0.32273757552075621</v>
      </c>
      <c r="AU42" s="1069">
        <f t="shared" si="29"/>
        <v>-0.40038889299105046</v>
      </c>
      <c r="AV42" s="1069">
        <f t="shared" si="38"/>
        <v>-0.5067287593360279</v>
      </c>
      <c r="AW42" s="1069">
        <f t="shared" si="46"/>
        <v>-0.43496965379468816</v>
      </c>
      <c r="AX42" s="1069">
        <f t="shared" si="57"/>
        <v>6.0465776488119662E-2</v>
      </c>
      <c r="AY42" s="259"/>
      <c r="BA42" s="302">
        <f t="shared" si="11"/>
        <v>6.2172908214411814E-2</v>
      </c>
      <c r="BB42" s="302">
        <f t="shared" si="20"/>
        <v>0.32273757552075621</v>
      </c>
      <c r="BC42" s="302">
        <f t="shared" si="26"/>
        <v>0.40038889299105046</v>
      </c>
      <c r="BD42" s="302">
        <f t="shared" si="35"/>
        <v>0.5067287593360279</v>
      </c>
      <c r="BE42" s="302">
        <f t="shared" si="42"/>
        <v>0.43496965379468816</v>
      </c>
      <c r="BF42" s="314">
        <f t="shared" si="56"/>
        <v>6.0465776488119662E-2</v>
      </c>
      <c r="BJ42" s="624" t="str">
        <f t="shared" si="59"/>
        <v/>
      </c>
      <c r="BK42" s="624" t="str">
        <f t="shared" si="27"/>
        <v/>
      </c>
      <c r="BL42" s="624" t="str">
        <f t="shared" si="36"/>
        <v/>
      </c>
      <c r="BM42" s="624" t="str">
        <f t="shared" si="43"/>
        <v/>
      </c>
      <c r="BN42" s="624" t="str">
        <f t="shared" si="44"/>
        <v/>
      </c>
      <c r="BO42" s="624" t="str">
        <f t="shared" si="52"/>
        <v/>
      </c>
      <c r="BP42" s="624"/>
      <c r="BQ42" s="624"/>
      <c r="BR42" s="1069" t="str">
        <f t="shared" si="4"/>
        <v xml:space="preserve"> </v>
      </c>
      <c r="BS42" s="1069" t="str">
        <f t="shared" si="4"/>
        <v xml:space="preserve"> </v>
      </c>
      <c r="BT42" s="1069" t="str">
        <f t="shared" si="4"/>
        <v xml:space="preserve"> </v>
      </c>
      <c r="BU42" s="1069" t="str">
        <f t="shared" si="4"/>
        <v xml:space="preserve"> </v>
      </c>
      <c r="BV42" s="1069" t="str">
        <f t="shared" si="4"/>
        <v xml:space="preserve"> </v>
      </c>
      <c r="BW42" s="1069" t="str">
        <f t="shared" si="58"/>
        <v xml:space="preserve"> </v>
      </c>
      <c r="BZ42" s="302" t="str">
        <f t="shared" si="61"/>
        <v xml:space="preserve"> </v>
      </c>
      <c r="CA42" s="302" t="str">
        <f t="shared" si="15"/>
        <v xml:space="preserve"> </v>
      </c>
      <c r="CB42" s="302" t="str">
        <f t="shared" si="22"/>
        <v xml:space="preserve"> </v>
      </c>
      <c r="CC42" s="302" t="str">
        <f t="shared" si="30"/>
        <v xml:space="preserve"> </v>
      </c>
      <c r="CD42" s="302" t="str">
        <f t="shared" si="37"/>
        <v xml:space="preserve"> </v>
      </c>
      <c r="CE42" s="302" t="str">
        <f t="shared" si="53"/>
        <v xml:space="preserve"> </v>
      </c>
      <c r="CG42" s="1048"/>
    </row>
    <row r="43" spans="1:85">
      <c r="A43" s="285">
        <f>Odd_Even!A48</f>
        <v>2000</v>
      </c>
      <c r="B43" s="285">
        <f t="shared" si="0"/>
        <v>2002</v>
      </c>
      <c r="C43" s="475">
        <v>0.22083333299999999</v>
      </c>
      <c r="D43" s="623">
        <f>Odd_Even!E48</f>
        <v>1659028</v>
      </c>
      <c r="E43" s="623">
        <f>Odd_Even!H48</f>
        <v>1264645.3102025923</v>
      </c>
      <c r="F43" s="1083" t="b">
        <f t="shared" si="1"/>
        <v>1</v>
      </c>
      <c r="G43" s="259">
        <f t="shared" si="2"/>
        <v>2002</v>
      </c>
      <c r="H43" s="465">
        <f t="shared" si="6"/>
        <v>7389941</v>
      </c>
      <c r="I43" s="465">
        <f t="shared" si="16"/>
        <v>6332108.25</v>
      </c>
      <c r="J43" s="465">
        <f t="shared" si="23"/>
        <v>5721433.833333333</v>
      </c>
      <c r="K43" s="465">
        <f t="shared" si="31"/>
        <v>5457735.125</v>
      </c>
      <c r="L43" s="465">
        <f t="shared" si="39"/>
        <v>4647264.7</v>
      </c>
      <c r="M43" s="465">
        <f t="shared" si="54"/>
        <v>8148670.8499999996</v>
      </c>
      <c r="N43" s="280"/>
      <c r="O43" s="276">
        <f t="shared" si="60"/>
        <v>7</v>
      </c>
      <c r="P43" s="459">
        <f t="shared" si="8"/>
        <v>6125295.6897974079</v>
      </c>
      <c r="Q43" s="459">
        <f t="shared" si="17"/>
        <v>5067462.9397974079</v>
      </c>
      <c r="R43" s="459">
        <f t="shared" si="28"/>
        <v>4456788.523130741</v>
      </c>
      <c r="S43" s="459">
        <f t="shared" si="32"/>
        <v>4193089.8147974079</v>
      </c>
      <c r="T43" s="459">
        <f t="shared" si="40"/>
        <v>3382619.3897974081</v>
      </c>
      <c r="U43" s="459">
        <f t="shared" si="55"/>
        <v>6884025.5397974076</v>
      </c>
      <c r="W43" s="261">
        <f t="shared" si="9"/>
        <v>4.8434890323644613</v>
      </c>
      <c r="X43" s="261">
        <f t="shared" si="50"/>
        <v>4.0070230750989113</v>
      </c>
      <c r="Y43" s="261">
        <f t="shared" si="47"/>
        <v>3.5241411067398629</v>
      </c>
      <c r="Z43" s="261">
        <f t="shared" si="48"/>
        <v>3.31562516459709</v>
      </c>
      <c r="AA43" s="261">
        <f t="shared" si="49"/>
        <v>2.6747573904777484</v>
      </c>
      <c r="AB43" s="261">
        <f t="shared" si="49"/>
        <v>5.4434436946550715</v>
      </c>
      <c r="AD43" s="302">
        <f t="shared" si="10"/>
        <v>4.8434890323644613</v>
      </c>
      <c r="AE43" s="302">
        <f t="shared" si="18"/>
        <v>4.0070230750989113</v>
      </c>
      <c r="AF43" s="302">
        <f t="shared" si="24"/>
        <v>3.5241411067398629</v>
      </c>
      <c r="AG43" s="302">
        <f t="shared" si="33"/>
        <v>3.31562516459709</v>
      </c>
      <c r="AH43" s="315">
        <f t="shared" si="41"/>
        <v>2.6747573904777484</v>
      </c>
      <c r="AI43" s="313">
        <f t="shared" si="41"/>
        <v>5.4434436946550715</v>
      </c>
      <c r="AK43" s="624" t="str">
        <f t="shared" si="13"/>
        <v/>
      </c>
      <c r="AL43" s="624" t="str">
        <f t="shared" si="19"/>
        <v/>
      </c>
      <c r="AM43" s="624" t="str">
        <f t="shared" si="25"/>
        <v/>
      </c>
      <c r="AN43" s="624" t="str">
        <f t="shared" si="34"/>
        <v/>
      </c>
      <c r="AO43" s="624" t="str">
        <f t="shared" si="45"/>
        <v/>
      </c>
      <c r="AP43" s="624" t="str">
        <f t="shared" si="51"/>
        <v/>
      </c>
      <c r="AQ43" s="624"/>
      <c r="AR43" s="624"/>
      <c r="AS43" s="1069" t="str">
        <f t="shared" si="14"/>
        <v xml:space="preserve"> </v>
      </c>
      <c r="AT43" s="1069" t="str">
        <f t="shared" si="21"/>
        <v xml:space="preserve"> </v>
      </c>
      <c r="AU43" s="1069" t="str">
        <f t="shared" si="29"/>
        <v xml:space="preserve"> </v>
      </c>
      <c r="AV43" s="1069" t="str">
        <f t="shared" si="38"/>
        <v xml:space="preserve"> </v>
      </c>
      <c r="AW43" s="1069" t="str">
        <f t="shared" si="46"/>
        <v xml:space="preserve"> </v>
      </c>
      <c r="AX43" s="1069" t="str">
        <f t="shared" si="57"/>
        <v xml:space="preserve"> </v>
      </c>
      <c r="AY43" s="259"/>
      <c r="BA43" s="302" t="str">
        <f t="shared" si="11"/>
        <v xml:space="preserve"> </v>
      </c>
      <c r="BB43" s="302" t="str">
        <f t="shared" si="20"/>
        <v xml:space="preserve"> </v>
      </c>
      <c r="BC43" s="302" t="str">
        <f t="shared" si="26"/>
        <v xml:space="preserve"> </v>
      </c>
      <c r="BD43" s="302" t="str">
        <f t="shared" si="35"/>
        <v xml:space="preserve"> </v>
      </c>
      <c r="BE43" s="302" t="str">
        <f t="shared" si="42"/>
        <v xml:space="preserve"> </v>
      </c>
      <c r="BF43" s="302" t="str">
        <f t="shared" si="56"/>
        <v xml:space="preserve"> </v>
      </c>
      <c r="BJ43" s="624">
        <f t="shared" si="59"/>
        <v>6125295.6897974079</v>
      </c>
      <c r="BK43" s="624">
        <f t="shared" si="27"/>
        <v>5067462.9397974079</v>
      </c>
      <c r="BL43" s="624">
        <f t="shared" si="36"/>
        <v>4456788.523130741</v>
      </c>
      <c r="BM43" s="624">
        <f t="shared" si="43"/>
        <v>4193089.8147974079</v>
      </c>
      <c r="BN43" s="624">
        <f t="shared" si="44"/>
        <v>3382619.3897974081</v>
      </c>
      <c r="BO43" s="624">
        <f t="shared" si="52"/>
        <v>6884025.5397974076</v>
      </c>
      <c r="BP43" s="624"/>
      <c r="BQ43" s="624"/>
      <c r="BR43" s="1069">
        <f t="shared" si="4"/>
        <v>4.8434890323644613</v>
      </c>
      <c r="BS43" s="1069">
        <f t="shared" si="4"/>
        <v>4.0070230750989113</v>
      </c>
      <c r="BT43" s="1069">
        <f t="shared" si="4"/>
        <v>3.5241411067398629</v>
      </c>
      <c r="BU43" s="1069">
        <f t="shared" si="4"/>
        <v>3.31562516459709</v>
      </c>
      <c r="BV43" s="1069">
        <f t="shared" si="4"/>
        <v>2.6747573904777484</v>
      </c>
      <c r="BW43" s="1069">
        <f t="shared" si="58"/>
        <v>5.4434436946550715</v>
      </c>
      <c r="BZ43" s="302">
        <f t="shared" si="61"/>
        <v>4.8434890323644613</v>
      </c>
      <c r="CA43" s="302">
        <f t="shared" si="15"/>
        <v>4.0070230750989113</v>
      </c>
      <c r="CB43" s="302">
        <f t="shared" si="22"/>
        <v>3.5241411067398629</v>
      </c>
      <c r="CC43" s="302">
        <f t="shared" si="30"/>
        <v>3.31562516459709</v>
      </c>
      <c r="CD43" s="302">
        <f t="shared" si="37"/>
        <v>2.6747573904777484</v>
      </c>
      <c r="CE43" s="302">
        <f t="shared" si="53"/>
        <v>5.4434436946550715</v>
      </c>
      <c r="CG43" s="1048"/>
    </row>
    <row r="44" spans="1:85">
      <c r="A44" s="285">
        <f>Odd_Even!A49</f>
        <v>2001</v>
      </c>
      <c r="B44" s="285">
        <f t="shared" si="0"/>
        <v>2003</v>
      </c>
      <c r="C44" s="475">
        <v>0.96916666699999998</v>
      </c>
      <c r="D44" s="623">
        <f>Odd_Even!E49</f>
        <v>2000386</v>
      </c>
      <c r="E44" s="623">
        <f>Odd_Even!H49</f>
        <v>7344511.9398193061</v>
      </c>
      <c r="F44" s="1083" t="b">
        <f t="shared" si="1"/>
        <v>0</v>
      </c>
      <c r="G44" s="1055">
        <f t="shared" si="2"/>
        <v>2003</v>
      </c>
      <c r="H44" s="466">
        <f t="shared" si="6"/>
        <v>8854676.9808041956</v>
      </c>
      <c r="I44" s="466">
        <f t="shared" si="16"/>
        <v>9129937.4904020987</v>
      </c>
      <c r="J44" s="466">
        <f t="shared" si="23"/>
        <v>6949518.9936013995</v>
      </c>
      <c r="K44" s="466">
        <f t="shared" si="31"/>
        <v>6195691.2452010494</v>
      </c>
      <c r="L44" s="466">
        <f t="shared" si="39"/>
        <v>5265141.3961608391</v>
      </c>
      <c r="M44" s="466">
        <f t="shared" si="54"/>
        <v>8318662.9980804203</v>
      </c>
      <c r="N44" s="280"/>
      <c r="O44" s="276">
        <f t="shared" si="60"/>
        <v>18</v>
      </c>
      <c r="P44" s="459">
        <f t="shared" si="8"/>
        <v>1510165.0409848895</v>
      </c>
      <c r="Q44" s="459">
        <f t="shared" si="17"/>
        <v>1785425.5505827926</v>
      </c>
      <c r="R44" s="459">
        <f t="shared" si="28"/>
        <v>-394992.94621790666</v>
      </c>
      <c r="S44" s="459">
        <f t="shared" si="32"/>
        <v>-1148820.6946182568</v>
      </c>
      <c r="T44" s="459">
        <f t="shared" si="40"/>
        <v>-2079370.543658467</v>
      </c>
      <c r="U44" s="459">
        <f t="shared" si="55"/>
        <v>974151.05826111417</v>
      </c>
      <c r="W44" s="261">
        <f t="shared" si="9"/>
        <v>0.20561816133721791</v>
      </c>
      <c r="X44" s="261">
        <f t="shared" si="50"/>
        <v>0.24309655498044144</v>
      </c>
      <c r="Y44" s="261">
        <f t="shared" si="47"/>
        <v>-5.3780693591959021E-2</v>
      </c>
      <c r="Z44" s="261">
        <f t="shared" si="48"/>
        <v>-0.1564189294035678</v>
      </c>
      <c r="AA44" s="261">
        <f t="shared" si="49"/>
        <v>-0.28311895476469534</v>
      </c>
      <c r="AB44" s="261">
        <f t="shared" si="49"/>
        <v>0.13263659535763253</v>
      </c>
      <c r="AD44" s="314">
        <f t="shared" si="10"/>
        <v>0.20561816133721791</v>
      </c>
      <c r="AE44" s="302">
        <f t="shared" si="18"/>
        <v>0.24309655498044144</v>
      </c>
      <c r="AF44" s="302">
        <f t="shared" si="24"/>
        <v>5.3780693591959021E-2</v>
      </c>
      <c r="AG44" s="302">
        <f t="shared" si="33"/>
        <v>0.1564189294035678</v>
      </c>
      <c r="AH44" s="313">
        <f t="shared" si="41"/>
        <v>0.28311895476469534</v>
      </c>
      <c r="AI44" s="313">
        <f t="shared" si="41"/>
        <v>0.13263659535763253</v>
      </c>
      <c r="AK44" s="1047">
        <f t="shared" si="13"/>
        <v>1510165.0409848895</v>
      </c>
      <c r="AL44" s="624">
        <f t="shared" si="19"/>
        <v>1785425.5505827926</v>
      </c>
      <c r="AM44" s="624">
        <f t="shared" si="25"/>
        <v>394992.94621790666</v>
      </c>
      <c r="AN44" s="624">
        <f t="shared" si="34"/>
        <v>1148820.6946182568</v>
      </c>
      <c r="AO44" s="624">
        <f t="shared" si="45"/>
        <v>2079370.543658467</v>
      </c>
      <c r="AP44" s="624">
        <f t="shared" si="51"/>
        <v>974151.05826111417</v>
      </c>
      <c r="AQ44" s="624"/>
      <c r="AR44" s="624"/>
      <c r="AS44" s="1069">
        <f t="shared" si="14"/>
        <v>0.20561816133721791</v>
      </c>
      <c r="AT44" s="1069">
        <f t="shared" si="21"/>
        <v>0.24309655498044144</v>
      </c>
      <c r="AU44" s="1069">
        <f t="shared" si="29"/>
        <v>-5.3780693591959021E-2</v>
      </c>
      <c r="AV44" s="1069">
        <f t="shared" si="38"/>
        <v>-0.1564189294035678</v>
      </c>
      <c r="AW44" s="1069">
        <f t="shared" si="46"/>
        <v>-0.28311895476469534</v>
      </c>
      <c r="AX44" s="1069">
        <f t="shared" si="57"/>
        <v>0.13263659535763253</v>
      </c>
      <c r="AY44" s="259"/>
      <c r="BA44" s="302">
        <f t="shared" si="11"/>
        <v>0.20561816133721791</v>
      </c>
      <c r="BB44" s="302">
        <f t="shared" si="20"/>
        <v>0.24309655498044144</v>
      </c>
      <c r="BC44" s="314">
        <f t="shared" si="26"/>
        <v>5.3780693591959021E-2</v>
      </c>
      <c r="BD44" s="302">
        <f t="shared" si="35"/>
        <v>0.1564189294035678</v>
      </c>
      <c r="BE44" s="302">
        <f t="shared" si="42"/>
        <v>0.28311895476469534</v>
      </c>
      <c r="BF44" s="302">
        <f t="shared" si="56"/>
        <v>0.13263659535763253</v>
      </c>
      <c r="BJ44" s="624" t="str">
        <f t="shared" si="59"/>
        <v/>
      </c>
      <c r="BK44" s="624" t="str">
        <f t="shared" si="27"/>
        <v/>
      </c>
      <c r="BL44" s="624" t="str">
        <f t="shared" si="36"/>
        <v/>
      </c>
      <c r="BM44" s="624" t="str">
        <f t="shared" si="43"/>
        <v/>
      </c>
      <c r="BN44" s="624" t="str">
        <f t="shared" si="44"/>
        <v/>
      </c>
      <c r="BO44" s="624" t="str">
        <f t="shared" si="52"/>
        <v/>
      </c>
      <c r="BP44" s="624"/>
      <c r="BQ44" s="624"/>
      <c r="BR44" s="1069" t="str">
        <f t="shared" si="4"/>
        <v xml:space="preserve"> </v>
      </c>
      <c r="BS44" s="1069" t="str">
        <f t="shared" si="4"/>
        <v xml:space="preserve"> </v>
      </c>
      <c r="BT44" s="1069" t="str">
        <f t="shared" si="4"/>
        <v xml:space="preserve"> </v>
      </c>
      <c r="BU44" s="1069" t="str">
        <f t="shared" si="4"/>
        <v xml:space="preserve"> </v>
      </c>
      <c r="BV44" s="1069" t="str">
        <f t="shared" si="4"/>
        <v xml:space="preserve"> </v>
      </c>
      <c r="BW44" s="1069" t="str">
        <f t="shared" si="58"/>
        <v xml:space="preserve"> </v>
      </c>
      <c r="BZ44" s="302" t="str">
        <f t="shared" si="61"/>
        <v xml:space="preserve"> </v>
      </c>
      <c r="CA44" s="302" t="str">
        <f t="shared" si="15"/>
        <v xml:space="preserve"> </v>
      </c>
      <c r="CB44" s="302" t="str">
        <f t="shared" si="22"/>
        <v xml:space="preserve"> </v>
      </c>
      <c r="CC44" s="302" t="str">
        <f t="shared" si="30"/>
        <v xml:space="preserve"> </v>
      </c>
      <c r="CD44" s="302" t="str">
        <f t="shared" si="37"/>
        <v xml:space="preserve"> </v>
      </c>
      <c r="CE44" s="302" t="str">
        <f t="shared" si="53"/>
        <v xml:space="preserve"> </v>
      </c>
      <c r="CG44" s="1048"/>
    </row>
    <row r="45" spans="1:85">
      <c r="A45" s="285">
        <f>Odd_Even!A50</f>
        <v>2002</v>
      </c>
      <c r="B45" s="285">
        <f t="shared" si="0"/>
        <v>2004</v>
      </c>
      <c r="C45" s="475">
        <v>0.34499999999999997</v>
      </c>
      <c r="D45" s="623">
        <f>Odd_Even!E50</f>
        <v>943177</v>
      </c>
      <c r="E45" s="623">
        <f>Odd_Even!H50</f>
        <v>4939431.0563474381</v>
      </c>
      <c r="F45" s="1083" t="b">
        <f t="shared" si="1"/>
        <v>1</v>
      </c>
      <c r="G45" s="1055">
        <f t="shared" si="2"/>
        <v>2004</v>
      </c>
      <c r="H45" s="466">
        <f t="shared" si="6"/>
        <v>1264645.3102025923</v>
      </c>
      <c r="I45" s="466">
        <f t="shared" si="16"/>
        <v>4327293.1551012965</v>
      </c>
      <c r="J45" s="466">
        <f t="shared" si="23"/>
        <v>4642953.9367341977</v>
      </c>
      <c r="K45" s="466">
        <f t="shared" si="31"/>
        <v>4607236.7025506478</v>
      </c>
      <c r="L45" s="466">
        <f t="shared" si="39"/>
        <v>4619117.1620405186</v>
      </c>
      <c r="M45" s="466">
        <f t="shared" si="54"/>
        <v>6595703.6810202589</v>
      </c>
      <c r="N45" s="280"/>
      <c r="O45" s="276">
        <f t="shared" si="60"/>
        <v>42</v>
      </c>
      <c r="P45" s="459">
        <f t="shared" si="8"/>
        <v>-3674785.7461448461</v>
      </c>
      <c r="Q45" s="459">
        <f t="shared" si="17"/>
        <v>-612137.90124614164</v>
      </c>
      <c r="R45" s="459">
        <f t="shared" si="28"/>
        <v>-296477.11961324047</v>
      </c>
      <c r="S45" s="459">
        <f t="shared" si="32"/>
        <v>-332194.35379679035</v>
      </c>
      <c r="T45" s="459">
        <f t="shared" si="40"/>
        <v>-320313.89430691954</v>
      </c>
      <c r="U45" s="459">
        <f t="shared" si="55"/>
        <v>1656272.6246728208</v>
      </c>
      <c r="W45" s="261">
        <f t="shared" si="9"/>
        <v>-0.74396943782068703</v>
      </c>
      <c r="X45" s="261">
        <f t="shared" si="50"/>
        <v>-0.12392882788788216</v>
      </c>
      <c r="Y45" s="261">
        <f t="shared" si="47"/>
        <v>-6.0022524098651241E-2</v>
      </c>
      <c r="Z45" s="261">
        <f t="shared" si="48"/>
        <v>-6.7253566252312103E-2</v>
      </c>
      <c r="AA45" s="261">
        <f t="shared" si="49"/>
        <v>-6.4848337926551022E-2</v>
      </c>
      <c r="AB45" s="261">
        <f t="shared" si="49"/>
        <v>0.33531647790577424</v>
      </c>
      <c r="AD45" s="302">
        <f t="shared" si="10"/>
        <v>0.74396943782068703</v>
      </c>
      <c r="AE45" s="302">
        <f t="shared" si="18"/>
        <v>0.12392882788788216</v>
      </c>
      <c r="AF45" s="314">
        <f t="shared" si="24"/>
        <v>6.0022524098651241E-2</v>
      </c>
      <c r="AG45" s="302">
        <f t="shared" si="33"/>
        <v>6.7253566252312103E-2</v>
      </c>
      <c r="AH45" s="313">
        <f t="shared" si="41"/>
        <v>6.4848337926551022E-2</v>
      </c>
      <c r="AI45" s="313">
        <f t="shared" si="41"/>
        <v>0.33531647790577424</v>
      </c>
      <c r="AK45" s="624" t="str">
        <f t="shared" si="13"/>
        <v/>
      </c>
      <c r="AL45" s="624" t="str">
        <f t="shared" si="19"/>
        <v/>
      </c>
      <c r="AM45" s="624" t="str">
        <f t="shared" si="25"/>
        <v/>
      </c>
      <c r="AN45" s="624" t="str">
        <f t="shared" si="34"/>
        <v/>
      </c>
      <c r="AO45" s="624" t="str">
        <f t="shared" si="45"/>
        <v/>
      </c>
      <c r="AP45" s="624" t="str">
        <f t="shared" si="51"/>
        <v/>
      </c>
      <c r="AQ45" s="624"/>
      <c r="AR45" s="624"/>
      <c r="AS45" s="1069" t="str">
        <f t="shared" si="14"/>
        <v xml:space="preserve"> </v>
      </c>
      <c r="AT45" s="1069" t="str">
        <f t="shared" si="21"/>
        <v xml:space="preserve"> </v>
      </c>
      <c r="AU45" s="1069" t="str">
        <f t="shared" si="29"/>
        <v xml:space="preserve"> </v>
      </c>
      <c r="AV45" s="1069" t="str">
        <f t="shared" si="38"/>
        <v xml:space="preserve"> </v>
      </c>
      <c r="AW45" s="1069" t="str">
        <f t="shared" si="46"/>
        <v xml:space="preserve"> </v>
      </c>
      <c r="AX45" s="1069" t="str">
        <f t="shared" si="57"/>
        <v xml:space="preserve"> </v>
      </c>
      <c r="AY45" s="259"/>
      <c r="BA45" s="302" t="str">
        <f t="shared" si="11"/>
        <v xml:space="preserve"> </v>
      </c>
      <c r="BB45" s="302" t="str">
        <f t="shared" si="20"/>
        <v xml:space="preserve"> </v>
      </c>
      <c r="BC45" s="302" t="str">
        <f t="shared" si="26"/>
        <v xml:space="preserve"> </v>
      </c>
      <c r="BD45" s="302" t="str">
        <f t="shared" si="35"/>
        <v xml:space="preserve"> </v>
      </c>
      <c r="BE45" s="302" t="str">
        <f t="shared" si="42"/>
        <v xml:space="preserve"> </v>
      </c>
      <c r="BF45" s="302" t="str">
        <f t="shared" si="56"/>
        <v xml:space="preserve"> </v>
      </c>
      <c r="BJ45" s="624">
        <f t="shared" si="59"/>
        <v>3674785.7461448461</v>
      </c>
      <c r="BK45" s="624">
        <f t="shared" si="27"/>
        <v>612137.90124614164</v>
      </c>
      <c r="BL45" s="624">
        <f t="shared" si="36"/>
        <v>296477.11961324047</v>
      </c>
      <c r="BM45" s="624">
        <f t="shared" si="43"/>
        <v>332194.35379679035</v>
      </c>
      <c r="BN45" s="624">
        <f t="shared" si="44"/>
        <v>320313.89430691954</v>
      </c>
      <c r="BO45" s="624">
        <f t="shared" si="52"/>
        <v>1656272.6246728208</v>
      </c>
      <c r="BP45" s="624"/>
      <c r="BQ45" s="624"/>
      <c r="BR45" s="1069">
        <f t="shared" si="4"/>
        <v>-0.74396943782068703</v>
      </c>
      <c r="BS45" s="1069">
        <f t="shared" si="4"/>
        <v>-0.12392882788788216</v>
      </c>
      <c r="BT45" s="1069">
        <f t="shared" si="4"/>
        <v>-6.0022524098651241E-2</v>
      </c>
      <c r="BU45" s="1069">
        <f t="shared" si="4"/>
        <v>-6.7253566252312103E-2</v>
      </c>
      <c r="BV45" s="1069">
        <f t="shared" si="4"/>
        <v>-6.4848337926551022E-2</v>
      </c>
      <c r="BW45" s="1069">
        <f t="shared" si="58"/>
        <v>0.33531647790577424</v>
      </c>
      <c r="BZ45" s="302">
        <f t="shared" si="61"/>
        <v>0.74396943782068703</v>
      </c>
      <c r="CA45" s="302">
        <f t="shared" si="15"/>
        <v>0.12392882788788216</v>
      </c>
      <c r="CB45" s="302">
        <f t="shared" si="22"/>
        <v>6.0022524098651241E-2</v>
      </c>
      <c r="CC45" s="302">
        <f t="shared" si="30"/>
        <v>6.7253566252312103E-2</v>
      </c>
      <c r="CD45" s="302">
        <f t="shared" si="37"/>
        <v>6.4848337926551022E-2</v>
      </c>
      <c r="CE45" s="302">
        <f t="shared" si="53"/>
        <v>0.33531647790577424</v>
      </c>
      <c r="CG45" s="1048"/>
    </row>
    <row r="46" spans="1:85">
      <c r="A46" s="285">
        <f>Odd_Even!A51</f>
        <v>2003</v>
      </c>
      <c r="B46" s="285">
        <f t="shared" si="0"/>
        <v>2005</v>
      </c>
      <c r="C46" s="475">
        <v>0.375</v>
      </c>
      <c r="D46" s="623">
        <f>Odd_Even!E51</f>
        <v>2846732</v>
      </c>
      <c r="E46" s="623">
        <f>Odd_Even!H51</f>
        <v>17032487.685321052</v>
      </c>
      <c r="F46" s="1083" t="b">
        <f t="shared" si="1"/>
        <v>0</v>
      </c>
      <c r="G46" s="1055">
        <f t="shared" si="2"/>
        <v>2005</v>
      </c>
      <c r="H46" s="466">
        <f t="shared" si="6"/>
        <v>7344511.9398193061</v>
      </c>
      <c r="I46" s="466">
        <f t="shared" si="16"/>
        <v>8099594.4603117509</v>
      </c>
      <c r="J46" s="466">
        <f t="shared" si="23"/>
        <v>8534795.6402078345</v>
      </c>
      <c r="K46" s="466">
        <f t="shared" si="31"/>
        <v>7048267.2301558759</v>
      </c>
      <c r="L46" s="466">
        <f t="shared" si="39"/>
        <v>6425455.3841247009</v>
      </c>
      <c r="M46" s="466">
        <f t="shared" si="54"/>
        <v>7896379.3920623511</v>
      </c>
      <c r="N46" s="280"/>
      <c r="O46" s="276">
        <f t="shared" si="60"/>
        <v>47</v>
      </c>
      <c r="P46" s="459">
        <f t="shared" si="8"/>
        <v>-9687975.7455017455</v>
      </c>
      <c r="Q46" s="459">
        <f t="shared" si="17"/>
        <v>-8932893.2250092998</v>
      </c>
      <c r="R46" s="459">
        <f t="shared" si="28"/>
        <v>-8497692.0451132171</v>
      </c>
      <c r="S46" s="459">
        <f t="shared" si="32"/>
        <v>-9984220.4551651757</v>
      </c>
      <c r="T46" s="459">
        <f t="shared" si="40"/>
        <v>-10607032.301196352</v>
      </c>
      <c r="U46" s="459">
        <f t="shared" si="55"/>
        <v>-9136108.2932587005</v>
      </c>
      <c r="W46" s="261">
        <f t="shared" si="9"/>
        <v>-0.56879393806055956</v>
      </c>
      <c r="X46" s="261">
        <f t="shared" si="50"/>
        <v>-0.52446203925383439</v>
      </c>
      <c r="Y46" s="261">
        <f t="shared" si="47"/>
        <v>-0.49891079929778565</v>
      </c>
      <c r="Z46" s="261">
        <f t="shared" si="48"/>
        <v>-0.58618685887967981</v>
      </c>
      <c r="AA46" s="261">
        <f t="shared" si="49"/>
        <v>-0.62275297050927625</v>
      </c>
      <c r="AB46" s="261">
        <f t="shared" si="49"/>
        <v>-0.53639306612459126</v>
      </c>
      <c r="AD46" s="314">
        <f t="shared" si="10"/>
        <v>0.56879393806055956</v>
      </c>
      <c r="AE46" s="302">
        <f t="shared" si="18"/>
        <v>0.52446203925383439</v>
      </c>
      <c r="AF46" s="302">
        <f t="shared" si="24"/>
        <v>0.49891079929778565</v>
      </c>
      <c r="AG46" s="302">
        <f t="shared" si="33"/>
        <v>0.58618685887967981</v>
      </c>
      <c r="AH46" s="313">
        <f t="shared" si="41"/>
        <v>0.62275297050927625</v>
      </c>
      <c r="AI46" s="313">
        <f t="shared" si="41"/>
        <v>0.53639306612459126</v>
      </c>
      <c r="AK46" s="624">
        <f t="shared" si="13"/>
        <v>9687975.7455017455</v>
      </c>
      <c r="AL46" s="624">
        <f t="shared" si="19"/>
        <v>8932893.2250092998</v>
      </c>
      <c r="AM46" s="1047">
        <f t="shared" si="25"/>
        <v>8497692.0451132171</v>
      </c>
      <c r="AN46" s="624">
        <f t="shared" si="34"/>
        <v>9984220.4551651757</v>
      </c>
      <c r="AO46" s="624">
        <f t="shared" si="45"/>
        <v>10607032.301196352</v>
      </c>
      <c r="AP46" s="624">
        <f t="shared" si="51"/>
        <v>9136108.2932587005</v>
      </c>
      <c r="AQ46" s="624"/>
      <c r="AR46" s="624"/>
      <c r="AS46" s="1069">
        <f t="shared" si="14"/>
        <v>-0.56879393806055956</v>
      </c>
      <c r="AT46" s="1069">
        <f t="shared" si="21"/>
        <v>-0.52446203925383439</v>
      </c>
      <c r="AU46" s="1069">
        <f t="shared" si="29"/>
        <v>-0.49891079929778565</v>
      </c>
      <c r="AV46" s="1069">
        <f t="shared" si="38"/>
        <v>-0.58618685887967981</v>
      </c>
      <c r="AW46" s="1069">
        <f t="shared" si="46"/>
        <v>-0.62275297050927625</v>
      </c>
      <c r="AX46" s="1069">
        <f t="shared" si="57"/>
        <v>-0.53639306612459126</v>
      </c>
      <c r="AY46" s="259"/>
      <c r="BA46" s="302">
        <f t="shared" si="11"/>
        <v>0.56879393806055956</v>
      </c>
      <c r="BB46" s="302">
        <f t="shared" si="20"/>
        <v>0.52446203925383439</v>
      </c>
      <c r="BC46" s="314">
        <f t="shared" si="26"/>
        <v>0.49891079929778565</v>
      </c>
      <c r="BD46" s="302">
        <f t="shared" si="35"/>
        <v>0.58618685887967981</v>
      </c>
      <c r="BE46" s="302">
        <f t="shared" si="42"/>
        <v>0.62275297050927625</v>
      </c>
      <c r="BF46" s="302">
        <f t="shared" si="56"/>
        <v>0.53639306612459126</v>
      </c>
      <c r="BJ46" s="624" t="str">
        <f t="shared" si="59"/>
        <v/>
      </c>
      <c r="BK46" s="624" t="str">
        <f t="shared" si="27"/>
        <v/>
      </c>
      <c r="BL46" s="624" t="str">
        <f t="shared" si="36"/>
        <v/>
      </c>
      <c r="BM46" s="624" t="str">
        <f t="shared" si="43"/>
        <v/>
      </c>
      <c r="BN46" s="624" t="str">
        <f t="shared" si="44"/>
        <v/>
      </c>
      <c r="BO46" s="624" t="str">
        <f t="shared" si="52"/>
        <v/>
      </c>
      <c r="BP46" s="624"/>
      <c r="BQ46" s="624"/>
      <c r="BR46" s="1069" t="str">
        <f t="shared" si="4"/>
        <v xml:space="preserve"> </v>
      </c>
      <c r="BS46" s="1069" t="str">
        <f t="shared" si="4"/>
        <v xml:space="preserve"> </v>
      </c>
      <c r="BT46" s="1069" t="str">
        <f t="shared" si="4"/>
        <v xml:space="preserve"> </v>
      </c>
      <c r="BU46" s="1069" t="str">
        <f t="shared" si="4"/>
        <v xml:space="preserve"> </v>
      </c>
      <c r="BV46" s="1069" t="str">
        <f t="shared" si="4"/>
        <v xml:space="preserve"> </v>
      </c>
      <c r="BW46" s="1069" t="str">
        <f t="shared" si="58"/>
        <v xml:space="preserve"> </v>
      </c>
      <c r="BZ46" s="302" t="str">
        <f t="shared" si="61"/>
        <v xml:space="preserve"> </v>
      </c>
      <c r="CA46" s="302" t="str">
        <f t="shared" si="15"/>
        <v xml:space="preserve"> </v>
      </c>
      <c r="CB46" s="302" t="str">
        <f t="shared" si="22"/>
        <v xml:space="preserve"> </v>
      </c>
      <c r="CC46" s="302" t="str">
        <f t="shared" si="30"/>
        <v xml:space="preserve"> </v>
      </c>
      <c r="CD46" s="302" t="str">
        <f t="shared" si="37"/>
        <v xml:space="preserve"> </v>
      </c>
      <c r="CE46" s="302" t="str">
        <f t="shared" si="53"/>
        <v xml:space="preserve"> </v>
      </c>
      <c r="CG46" s="1048"/>
    </row>
    <row r="47" spans="1:85">
      <c r="A47" s="285">
        <f>Odd_Even!A52</f>
        <v>2004</v>
      </c>
      <c r="B47" s="285">
        <f t="shared" si="0"/>
        <v>2006</v>
      </c>
      <c r="C47" s="475">
        <v>0.19083333299999999</v>
      </c>
      <c r="D47" s="623">
        <f>Odd_Even!E52</f>
        <v>2001123</v>
      </c>
      <c r="E47" s="623">
        <f>Odd_Even!H52</f>
        <v>3314702.7753436686</v>
      </c>
      <c r="F47" s="1083" t="b">
        <f t="shared" si="1"/>
        <v>1</v>
      </c>
      <c r="G47" s="1055">
        <f t="shared" si="2"/>
        <v>2006</v>
      </c>
      <c r="H47" s="466">
        <f t="shared" si="6"/>
        <v>4939431.0563474381</v>
      </c>
      <c r="I47" s="466">
        <f t="shared" si="16"/>
        <v>3102038.1832750151</v>
      </c>
      <c r="J47" s="466">
        <f t="shared" si="23"/>
        <v>4531339.1221833434</v>
      </c>
      <c r="K47" s="466">
        <f t="shared" si="31"/>
        <v>4717073.2166375071</v>
      </c>
      <c r="L47" s="466">
        <f t="shared" si="39"/>
        <v>4673675.5733100055</v>
      </c>
      <c r="M47" s="466">
        <f t="shared" si="54"/>
        <v>4969495.4866550025</v>
      </c>
      <c r="N47" s="280"/>
      <c r="O47" s="276">
        <f t="shared" si="60"/>
        <v>17</v>
      </c>
      <c r="P47" s="459">
        <f t="shared" si="8"/>
        <v>1624728.2810037695</v>
      </c>
      <c r="Q47" s="459">
        <f t="shared" si="17"/>
        <v>-212664.59206865355</v>
      </c>
      <c r="R47" s="459">
        <f t="shared" si="28"/>
        <v>1216636.3468396747</v>
      </c>
      <c r="S47" s="459">
        <f t="shared" si="32"/>
        <v>1402370.4412938384</v>
      </c>
      <c r="T47" s="459">
        <f t="shared" si="40"/>
        <v>1358972.7979663368</v>
      </c>
      <c r="U47" s="459">
        <f t="shared" si="55"/>
        <v>1654792.7113113338</v>
      </c>
      <c r="W47" s="261">
        <f t="shared" si="9"/>
        <v>0.49015805974800186</v>
      </c>
      <c r="X47" s="261">
        <f>(Q47/$E47)</f>
        <v>-6.4157967239341529E-2</v>
      </c>
      <c r="Y47" s="261">
        <f t="shared" si="47"/>
        <v>0.36704236527316808</v>
      </c>
      <c r="Z47" s="261">
        <f t="shared" si="48"/>
        <v>0.42307577370898375</v>
      </c>
      <c r="AA47" s="261">
        <f t="shared" si="49"/>
        <v>0.40998330470985844</v>
      </c>
      <c r="AB47" s="261">
        <f t="shared" si="49"/>
        <v>0.49922808271693825</v>
      </c>
      <c r="AD47" s="302">
        <f t="shared" si="10"/>
        <v>0.49015805974800186</v>
      </c>
      <c r="AE47" s="314">
        <f t="shared" si="18"/>
        <v>6.4157967239341529E-2</v>
      </c>
      <c r="AF47" s="302">
        <f t="shared" si="24"/>
        <v>0.36704236527316808</v>
      </c>
      <c r="AG47" s="302">
        <f t="shared" si="33"/>
        <v>0.42307577370898375</v>
      </c>
      <c r="AH47" s="313">
        <f t="shared" si="41"/>
        <v>0.40998330470985844</v>
      </c>
      <c r="AI47" s="313">
        <f t="shared" si="41"/>
        <v>0.49922808271693825</v>
      </c>
      <c r="AK47" s="624" t="str">
        <f t="shared" si="13"/>
        <v/>
      </c>
      <c r="AL47" s="624" t="str">
        <f t="shared" si="19"/>
        <v/>
      </c>
      <c r="AM47" s="624" t="str">
        <f t="shared" si="25"/>
        <v/>
      </c>
      <c r="AN47" s="624" t="str">
        <f t="shared" si="34"/>
        <v/>
      </c>
      <c r="AO47" s="624" t="str">
        <f t="shared" si="45"/>
        <v/>
      </c>
      <c r="AP47" s="624" t="str">
        <f t="shared" si="51"/>
        <v/>
      </c>
      <c r="AQ47" s="624"/>
      <c r="AR47" s="624"/>
      <c r="AS47" s="1069" t="str">
        <f t="shared" si="14"/>
        <v xml:space="preserve"> </v>
      </c>
      <c r="AT47" s="1069" t="str">
        <f t="shared" si="21"/>
        <v xml:space="preserve"> </v>
      </c>
      <c r="AU47" s="1069" t="str">
        <f t="shared" si="29"/>
        <v xml:space="preserve"> </v>
      </c>
      <c r="AV47" s="1069" t="str">
        <f t="shared" si="38"/>
        <v xml:space="preserve"> </v>
      </c>
      <c r="AW47" s="1069" t="str">
        <f t="shared" si="46"/>
        <v xml:space="preserve"> </v>
      </c>
      <c r="AX47" s="1069" t="str">
        <f t="shared" si="57"/>
        <v xml:space="preserve"> </v>
      </c>
      <c r="AY47" s="259"/>
      <c r="BA47" s="302" t="str">
        <f t="shared" si="11"/>
        <v xml:space="preserve"> </v>
      </c>
      <c r="BB47" s="302" t="str">
        <f t="shared" si="20"/>
        <v xml:space="preserve"> </v>
      </c>
      <c r="BC47" s="302" t="str">
        <f t="shared" si="26"/>
        <v xml:space="preserve"> </v>
      </c>
      <c r="BD47" s="302" t="str">
        <f t="shared" si="35"/>
        <v xml:space="preserve"> </v>
      </c>
      <c r="BE47" s="302" t="str">
        <f t="shared" si="42"/>
        <v xml:space="preserve"> </v>
      </c>
      <c r="BF47" s="302" t="str">
        <f t="shared" si="56"/>
        <v xml:space="preserve"> </v>
      </c>
      <c r="BJ47" s="624">
        <f t="shared" si="59"/>
        <v>1624728.2810037695</v>
      </c>
      <c r="BK47" s="624">
        <f t="shared" si="27"/>
        <v>212664.59206865355</v>
      </c>
      <c r="BL47" s="624">
        <f t="shared" si="36"/>
        <v>1216636.3468396747</v>
      </c>
      <c r="BM47" s="624">
        <f t="shared" si="43"/>
        <v>1402370.4412938384</v>
      </c>
      <c r="BN47" s="624">
        <f t="shared" si="44"/>
        <v>1358972.7979663368</v>
      </c>
      <c r="BO47" s="624">
        <f t="shared" si="52"/>
        <v>1654792.7113113338</v>
      </c>
      <c r="BP47" s="624"/>
      <c r="BQ47" s="624"/>
      <c r="BR47" s="1069">
        <f t="shared" si="4"/>
        <v>0.49015805974800186</v>
      </c>
      <c r="BS47" s="1069">
        <f t="shared" si="4"/>
        <v>-6.4157967239341529E-2</v>
      </c>
      <c r="BT47" s="1069">
        <f t="shared" si="4"/>
        <v>0.36704236527316808</v>
      </c>
      <c r="BU47" s="1069">
        <f t="shared" si="4"/>
        <v>0.42307577370898375</v>
      </c>
      <c r="BV47" s="1069">
        <f t="shared" si="4"/>
        <v>0.40998330470985844</v>
      </c>
      <c r="BW47" s="1069">
        <f t="shared" si="58"/>
        <v>0.49922808271693825</v>
      </c>
      <c r="BZ47" s="302">
        <f t="shared" si="61"/>
        <v>0.49015805974800186</v>
      </c>
      <c r="CA47" s="302">
        <f t="shared" si="15"/>
        <v>6.4157967239341529E-2</v>
      </c>
      <c r="CB47" s="302">
        <f t="shared" si="22"/>
        <v>0.36704236527316808</v>
      </c>
      <c r="CC47" s="302">
        <f t="shared" si="30"/>
        <v>0.42307577370898375</v>
      </c>
      <c r="CD47" s="302">
        <f t="shared" si="37"/>
        <v>0.40998330470985844</v>
      </c>
      <c r="CE47" s="302">
        <f t="shared" si="53"/>
        <v>0.49922808271693825</v>
      </c>
      <c r="CG47" s="1048"/>
    </row>
    <row r="48" spans="1:85">
      <c r="A48" s="285">
        <f>Odd_Even!A53</f>
        <v>2005</v>
      </c>
      <c r="B48" s="285">
        <f t="shared" si="0"/>
        <v>2007</v>
      </c>
      <c r="C48" s="475">
        <v>-0.195833333</v>
      </c>
      <c r="D48" s="623">
        <f>Odd_Even!E53</f>
        <v>4736115.8571428573</v>
      </c>
      <c r="E48" s="623">
        <f>Odd_Even!H53</f>
        <v>11526987.795003444</v>
      </c>
      <c r="F48" s="1083" t="b">
        <f t="shared" si="1"/>
        <v>0</v>
      </c>
      <c r="G48" s="1055">
        <f t="shared" si="2"/>
        <v>2007</v>
      </c>
      <c r="H48" s="466">
        <f t="shared" si="6"/>
        <v>17032487.685321052</v>
      </c>
      <c r="I48" s="466">
        <f t="shared" si="16"/>
        <v>12188499.812570179</v>
      </c>
      <c r="J48" s="466">
        <f t="shared" si="23"/>
        <v>11077225.535314851</v>
      </c>
      <c r="K48" s="466">
        <f t="shared" si="31"/>
        <v>10659218.651486138</v>
      </c>
      <c r="L48" s="466">
        <f t="shared" si="39"/>
        <v>9045111.3211889099</v>
      </c>
      <c r="M48" s="466">
        <f t="shared" si="54"/>
        <v>7605817.660594454</v>
      </c>
      <c r="N48" s="280"/>
      <c r="O48" s="276">
        <f t="shared" si="60"/>
        <v>9</v>
      </c>
      <c r="P48" s="459">
        <f t="shared" si="8"/>
        <v>5505499.8903176077</v>
      </c>
      <c r="Q48" s="459">
        <f t="shared" si="17"/>
        <v>661512.01756673492</v>
      </c>
      <c r="R48" s="459">
        <f t="shared" si="28"/>
        <v>-449762.25968859345</v>
      </c>
      <c r="S48" s="459">
        <f t="shared" si="32"/>
        <v>-867769.14351730607</v>
      </c>
      <c r="T48" s="459">
        <f t="shared" si="40"/>
        <v>-2481876.473814534</v>
      </c>
      <c r="U48" s="459">
        <f t="shared" si="55"/>
        <v>-3921170.1344089899</v>
      </c>
      <c r="W48" s="261">
        <f t="shared" si="9"/>
        <v>0.47761826317748457</v>
      </c>
      <c r="X48" s="261">
        <f t="shared" si="50"/>
        <v>5.7388107746021717E-2</v>
      </c>
      <c r="Y48" s="261">
        <f t="shared" si="47"/>
        <v>-3.9018195185697171E-2</v>
      </c>
      <c r="Z48" s="261">
        <f t="shared" si="48"/>
        <v>-7.5281518376678985E-2</v>
      </c>
      <c r="AA48" s="261">
        <f t="shared" si="49"/>
        <v>-0.2153100634747217</v>
      </c>
      <c r="AB48" s="261">
        <f t="shared" si="49"/>
        <v>-0.34017300999561079</v>
      </c>
      <c r="AD48" s="302">
        <f t="shared" si="10"/>
        <v>0.47761826317748457</v>
      </c>
      <c r="AE48" s="314">
        <f t="shared" si="18"/>
        <v>5.7388107746021717E-2</v>
      </c>
      <c r="AF48" s="302">
        <f t="shared" si="24"/>
        <v>3.9018195185697171E-2</v>
      </c>
      <c r="AG48" s="302">
        <f t="shared" si="33"/>
        <v>7.5281518376678985E-2</v>
      </c>
      <c r="AH48" s="313">
        <f t="shared" si="41"/>
        <v>0.2153100634747217</v>
      </c>
      <c r="AI48" s="313">
        <f t="shared" si="41"/>
        <v>0.34017300999561079</v>
      </c>
      <c r="AK48" s="624">
        <f t="shared" si="13"/>
        <v>5505499.8903176077</v>
      </c>
      <c r="AL48" s="1047">
        <f t="shared" si="19"/>
        <v>661512.01756673492</v>
      </c>
      <c r="AM48" s="624">
        <f t="shared" si="25"/>
        <v>449762.25968859345</v>
      </c>
      <c r="AN48" s="624">
        <f t="shared" si="34"/>
        <v>867769.14351730607</v>
      </c>
      <c r="AO48" s="624">
        <f t="shared" si="45"/>
        <v>2481876.473814534</v>
      </c>
      <c r="AP48" s="624">
        <f t="shared" si="51"/>
        <v>3921170.1344089899</v>
      </c>
      <c r="AQ48" s="624"/>
      <c r="AR48" s="624"/>
      <c r="AS48" s="1069">
        <f t="shared" si="14"/>
        <v>0.47761826317748457</v>
      </c>
      <c r="AT48" s="1069">
        <f t="shared" si="21"/>
        <v>5.7388107746021717E-2</v>
      </c>
      <c r="AU48" s="1069">
        <f t="shared" si="29"/>
        <v>-3.9018195185697171E-2</v>
      </c>
      <c r="AV48" s="1069">
        <f t="shared" si="38"/>
        <v>-7.5281518376678985E-2</v>
      </c>
      <c r="AW48" s="1069">
        <f t="shared" si="46"/>
        <v>-0.2153100634747217</v>
      </c>
      <c r="AX48" s="1069">
        <f t="shared" si="57"/>
        <v>-0.34017300999561079</v>
      </c>
      <c r="AY48" s="259"/>
      <c r="BA48" s="302">
        <f t="shared" si="11"/>
        <v>0.47761826317748457</v>
      </c>
      <c r="BB48" s="302">
        <f t="shared" si="20"/>
        <v>5.7388107746021717E-2</v>
      </c>
      <c r="BC48" s="314">
        <f t="shared" si="26"/>
        <v>3.9018195185697171E-2</v>
      </c>
      <c r="BD48" s="302">
        <f t="shared" si="35"/>
        <v>7.5281518376678985E-2</v>
      </c>
      <c r="BE48" s="302">
        <f t="shared" si="42"/>
        <v>0.2153100634747217</v>
      </c>
      <c r="BF48" s="302">
        <f t="shared" si="56"/>
        <v>0.34017300999561079</v>
      </c>
      <c r="BJ48" s="624" t="str">
        <f t="shared" si="59"/>
        <v/>
      </c>
      <c r="BK48" s="624" t="str">
        <f t="shared" si="27"/>
        <v/>
      </c>
      <c r="BL48" s="624" t="str">
        <f t="shared" si="36"/>
        <v/>
      </c>
      <c r="BM48" s="624" t="str">
        <f t="shared" si="43"/>
        <v/>
      </c>
      <c r="BN48" s="624" t="str">
        <f t="shared" si="44"/>
        <v/>
      </c>
      <c r="BO48" s="624" t="str">
        <f t="shared" si="52"/>
        <v/>
      </c>
      <c r="BP48" s="624"/>
      <c r="BQ48" s="624"/>
      <c r="BR48" s="1069" t="str">
        <f t="shared" si="4"/>
        <v xml:space="preserve"> </v>
      </c>
      <c r="BS48" s="1069" t="str">
        <f t="shared" si="4"/>
        <v xml:space="preserve"> </v>
      </c>
      <c r="BT48" s="1069" t="str">
        <f t="shared" si="4"/>
        <v xml:space="preserve"> </v>
      </c>
      <c r="BU48" s="1069" t="str">
        <f t="shared" si="4"/>
        <v xml:space="preserve"> </v>
      </c>
      <c r="BV48" s="1069" t="str">
        <f t="shared" si="4"/>
        <v xml:space="preserve"> </v>
      </c>
      <c r="BW48" s="1069" t="str">
        <f t="shared" si="58"/>
        <v xml:space="preserve"> </v>
      </c>
      <c r="BZ48" s="302" t="str">
        <f t="shared" si="61"/>
        <v xml:space="preserve"> </v>
      </c>
      <c r="CA48" s="302" t="str">
        <f t="shared" si="15"/>
        <v xml:space="preserve"> </v>
      </c>
      <c r="CB48" s="302" t="str">
        <f t="shared" si="22"/>
        <v xml:space="preserve"> </v>
      </c>
      <c r="CC48" s="302" t="str">
        <f t="shared" si="30"/>
        <v xml:space="preserve"> </v>
      </c>
      <c r="CD48" s="302" t="str">
        <f t="shared" si="37"/>
        <v xml:space="preserve"> </v>
      </c>
      <c r="CE48" s="302" t="str">
        <f t="shared" si="53"/>
        <v xml:space="preserve"> </v>
      </c>
      <c r="CG48" s="1048"/>
    </row>
    <row r="49" spans="1:90">
      <c r="A49" s="285">
        <f>Odd_Even!A54</f>
        <v>2006</v>
      </c>
      <c r="B49" s="285">
        <f t="shared" si="0"/>
        <v>2008</v>
      </c>
      <c r="C49" s="478">
        <v>-1.2924999999999998</v>
      </c>
      <c r="D49" s="623">
        <f>Odd_Even!E54</f>
        <v>1190801.6008809961</v>
      </c>
      <c r="E49" s="623">
        <f>Odd_Even!H54</f>
        <v>2290691.6775990888</v>
      </c>
      <c r="F49" s="1083" t="b">
        <f t="shared" si="1"/>
        <v>1</v>
      </c>
      <c r="G49" s="1055">
        <f t="shared" si="2"/>
        <v>2008</v>
      </c>
      <c r="H49" s="466">
        <f t="shared" si="6"/>
        <v>3314702.7753436686</v>
      </c>
      <c r="I49" s="466">
        <f t="shared" si="16"/>
        <v>4127066.9158455534</v>
      </c>
      <c r="J49" s="466">
        <f t="shared" si="23"/>
        <v>3172926.3806312331</v>
      </c>
      <c r="K49" s="466">
        <f t="shared" si="31"/>
        <v>4227180.0354734249</v>
      </c>
      <c r="L49" s="466">
        <f t="shared" si="39"/>
        <v>4436599.1283787396</v>
      </c>
      <c r="M49" s="466">
        <f t="shared" si="54"/>
        <v>4744570.0641893698</v>
      </c>
      <c r="O49" s="276">
        <f t="shared" si="60"/>
        <v>20</v>
      </c>
      <c r="P49" s="459">
        <f t="shared" si="8"/>
        <v>1024011.0977445799</v>
      </c>
      <c r="Q49" s="459">
        <f t="shared" si="17"/>
        <v>1836375.2382464646</v>
      </c>
      <c r="R49" s="459">
        <f t="shared" si="28"/>
        <v>882234.70303214435</v>
      </c>
      <c r="S49" s="459">
        <f t="shared" si="32"/>
        <v>1936488.3578743362</v>
      </c>
      <c r="T49" s="459">
        <f t="shared" si="40"/>
        <v>2145907.4507796508</v>
      </c>
      <c r="U49" s="459">
        <f t="shared" si="55"/>
        <v>2453878.386590281</v>
      </c>
      <c r="W49" s="261">
        <f t="shared" si="9"/>
        <v>0.44703139569523498</v>
      </c>
      <c r="X49" s="261">
        <f t="shared" si="50"/>
        <v>0.80166844634944479</v>
      </c>
      <c r="Y49" s="261">
        <f t="shared" si="47"/>
        <v>0.38513900044235938</v>
      </c>
      <c r="Z49" s="261">
        <f t="shared" si="48"/>
        <v>0.84537276527061955</v>
      </c>
      <c r="AA49" s="261">
        <f t="shared" si="49"/>
        <v>0.93679453754719677</v>
      </c>
      <c r="AB49" s="261">
        <f t="shared" si="49"/>
        <v>1.0712390543812649</v>
      </c>
      <c r="AD49" s="314">
        <f>ABS(W49)</f>
        <v>0.44703139569523498</v>
      </c>
      <c r="AE49" s="302">
        <f t="shared" si="18"/>
        <v>0.80166844634944479</v>
      </c>
      <c r="AF49" s="302">
        <f t="shared" ref="AF49:AI51" si="62">ABS(Y49)</f>
        <v>0.38513900044235938</v>
      </c>
      <c r="AG49" s="302">
        <f t="shared" si="62"/>
        <v>0.84537276527061955</v>
      </c>
      <c r="AH49" s="313">
        <f t="shared" si="62"/>
        <v>0.93679453754719677</v>
      </c>
      <c r="AI49" s="313">
        <f t="shared" si="62"/>
        <v>1.0712390543812649</v>
      </c>
      <c r="AK49" s="624" t="str">
        <f t="shared" si="13"/>
        <v/>
      </c>
      <c r="AL49" s="1047" t="str">
        <f t="shared" si="19"/>
        <v/>
      </c>
      <c r="AM49" s="624" t="str">
        <f t="shared" si="25"/>
        <v/>
      </c>
      <c r="AN49" s="624" t="str">
        <f t="shared" si="34"/>
        <v/>
      </c>
      <c r="AO49" s="624" t="str">
        <f t="shared" si="45"/>
        <v/>
      </c>
      <c r="AP49" s="624" t="str">
        <f t="shared" si="51"/>
        <v/>
      </c>
      <c r="AQ49" s="624"/>
      <c r="AR49" s="624"/>
      <c r="AS49" s="1069" t="str">
        <f t="shared" si="14"/>
        <v xml:space="preserve"> </v>
      </c>
      <c r="AT49" s="1069" t="str">
        <f t="shared" si="21"/>
        <v xml:space="preserve"> </v>
      </c>
      <c r="AU49" s="1069" t="str">
        <f t="shared" si="29"/>
        <v xml:space="preserve"> </v>
      </c>
      <c r="AV49" s="1069" t="str">
        <f t="shared" si="38"/>
        <v xml:space="preserve"> </v>
      </c>
      <c r="AW49" s="1069" t="str">
        <f t="shared" si="46"/>
        <v xml:space="preserve"> </v>
      </c>
      <c r="AX49" s="1069" t="str">
        <f t="shared" si="57"/>
        <v xml:space="preserve"> </v>
      </c>
      <c r="AY49" s="259"/>
      <c r="BA49" s="302" t="str">
        <f t="shared" si="11"/>
        <v xml:space="preserve"> </v>
      </c>
      <c r="BB49" s="302" t="str">
        <f t="shared" si="20"/>
        <v xml:space="preserve"> </v>
      </c>
      <c r="BC49" s="302" t="str">
        <f t="shared" si="26"/>
        <v xml:space="preserve"> </v>
      </c>
      <c r="BD49" s="302" t="str">
        <f t="shared" si="35"/>
        <v xml:space="preserve"> </v>
      </c>
      <c r="BE49" s="302" t="str">
        <f t="shared" si="42"/>
        <v xml:space="preserve"> </v>
      </c>
      <c r="BF49" s="302" t="str">
        <f t="shared" si="56"/>
        <v xml:space="preserve"> </v>
      </c>
      <c r="BJ49" s="624">
        <f t="shared" si="59"/>
        <v>1024011.0977445799</v>
      </c>
      <c r="BK49" s="624">
        <f t="shared" si="27"/>
        <v>1836375.2382464646</v>
      </c>
      <c r="BL49" s="624">
        <f t="shared" si="36"/>
        <v>882234.70303214435</v>
      </c>
      <c r="BM49" s="624">
        <f t="shared" si="43"/>
        <v>1936488.3578743362</v>
      </c>
      <c r="BN49" s="624">
        <f t="shared" si="44"/>
        <v>2145907.4507796508</v>
      </c>
      <c r="BO49" s="624">
        <f t="shared" si="52"/>
        <v>2453878.386590281</v>
      </c>
      <c r="BP49" s="624"/>
      <c r="BQ49" s="624"/>
      <c r="BR49" s="1069">
        <f t="shared" si="4"/>
        <v>0.44703139569523498</v>
      </c>
      <c r="BS49" s="1069">
        <f t="shared" si="4"/>
        <v>0.80166844634944479</v>
      </c>
      <c r="BT49" s="1069">
        <f t="shared" si="4"/>
        <v>0.38513900044235938</v>
      </c>
      <c r="BU49" s="1069">
        <f t="shared" si="4"/>
        <v>0.84537276527061955</v>
      </c>
      <c r="BV49" s="1069">
        <f t="shared" si="4"/>
        <v>0.93679453754719677</v>
      </c>
      <c r="BW49" s="1069">
        <f t="shared" si="58"/>
        <v>1.0712390543812649</v>
      </c>
      <c r="BZ49" s="302">
        <f t="shared" si="61"/>
        <v>0.44703139569523498</v>
      </c>
      <c r="CA49" s="302">
        <f t="shared" si="15"/>
        <v>0.80166844634944479</v>
      </c>
      <c r="CB49" s="302">
        <f t="shared" si="22"/>
        <v>0.38513900044235938</v>
      </c>
      <c r="CC49" s="302">
        <f t="shared" si="30"/>
        <v>0.84537276527061955</v>
      </c>
      <c r="CD49" s="302">
        <f t="shared" si="37"/>
        <v>0.93679453754719677</v>
      </c>
      <c r="CE49" s="302">
        <f t="shared" si="53"/>
        <v>1.0712390543812649</v>
      </c>
      <c r="CG49" s="1048"/>
    </row>
    <row r="50" spans="1:90">
      <c r="A50" s="285">
        <f>Odd_Even!A55</f>
        <v>2007</v>
      </c>
      <c r="B50" s="285">
        <f t="shared" si="0"/>
        <v>2009</v>
      </c>
      <c r="C50" s="478">
        <v>-0.61249999999999993</v>
      </c>
      <c r="D50" s="623">
        <f>Odd_Even!E55</f>
        <v>1509133.1628835602</v>
      </c>
      <c r="E50" s="623">
        <f>Odd_Even!H55</f>
        <v>2824330.6070667375</v>
      </c>
      <c r="F50" s="1083" t="b">
        <f t="shared" si="1"/>
        <v>0</v>
      </c>
      <c r="G50" s="1055">
        <f t="shared" si="2"/>
        <v>2009</v>
      </c>
      <c r="H50" s="466">
        <f t="shared" ref="H50:H56" si="63">$E48</f>
        <v>11526987.795003444</v>
      </c>
      <c r="I50" s="466">
        <f t="shared" si="16"/>
        <v>14279737.740162248</v>
      </c>
      <c r="J50" s="466">
        <f t="shared" si="23"/>
        <v>11967995.8067146</v>
      </c>
      <c r="K50" s="466">
        <f t="shared" si="31"/>
        <v>11189666.100236999</v>
      </c>
      <c r="L50" s="466">
        <f t="shared" si="39"/>
        <v>10832772.480189599</v>
      </c>
      <c r="M50" s="466">
        <f t="shared" si="54"/>
        <v>7451822.0400947984</v>
      </c>
      <c r="O50" s="276">
        <f t="shared" si="60"/>
        <v>3</v>
      </c>
      <c r="P50" s="459">
        <f t="shared" si="8"/>
        <v>8702657.1879367065</v>
      </c>
      <c r="Q50" s="459">
        <f t="shared" si="17"/>
        <v>11455407.13309551</v>
      </c>
      <c r="R50" s="459">
        <f t="shared" si="28"/>
        <v>9143665.1996478625</v>
      </c>
      <c r="S50" s="459">
        <f t="shared" si="32"/>
        <v>8365335.4931702614</v>
      </c>
      <c r="T50" s="459">
        <f t="shared" si="40"/>
        <v>8008441.8731228616</v>
      </c>
      <c r="U50" s="459">
        <f t="shared" si="55"/>
        <v>4627491.4330280609</v>
      </c>
      <c r="W50" s="261">
        <f t="shared" si="9"/>
        <v>3.0813167432176143</v>
      </c>
      <c r="X50" s="261">
        <f>(Q50/$E50)</f>
        <v>4.0559724504040062</v>
      </c>
      <c r="Y50" s="261">
        <f t="shared" si="47"/>
        <v>3.2374627732212238</v>
      </c>
      <c r="Z50" s="261">
        <f t="shared" si="48"/>
        <v>2.9618825332414751</v>
      </c>
      <c r="AA50" s="261">
        <f t="shared" si="49"/>
        <v>2.8355185660931466</v>
      </c>
      <c r="AB50" s="261">
        <f t="shared" si="49"/>
        <v>1.6384382980695134</v>
      </c>
      <c r="AD50" s="302">
        <f>ABS(W50)</f>
        <v>3.0813167432176143</v>
      </c>
      <c r="AE50" s="302">
        <f>ABS(X50)</f>
        <v>4.0559724504040062</v>
      </c>
      <c r="AF50" s="302">
        <f t="shared" si="62"/>
        <v>3.2374627732212238</v>
      </c>
      <c r="AG50" s="302">
        <f t="shared" si="62"/>
        <v>2.9618825332414751</v>
      </c>
      <c r="AH50" s="315">
        <f t="shared" si="62"/>
        <v>2.8355185660931466</v>
      </c>
      <c r="AI50" s="313">
        <f t="shared" si="62"/>
        <v>1.6384382980695134</v>
      </c>
      <c r="AK50" s="624">
        <f>IF($F50=FALSE,ABS($E50-H50),"")</f>
        <v>8702657.1879367065</v>
      </c>
      <c r="AL50" s="624">
        <f t="shared" si="19"/>
        <v>11455407.13309551</v>
      </c>
      <c r="AM50" s="624">
        <f t="shared" si="25"/>
        <v>9143665.1996478625</v>
      </c>
      <c r="AN50" s="624">
        <f t="shared" si="34"/>
        <v>8365335.4931702614</v>
      </c>
      <c r="AO50" s="624">
        <f t="shared" si="45"/>
        <v>8008441.8731228616</v>
      </c>
      <c r="AP50" s="624">
        <f t="shared" si="51"/>
        <v>4627491.4330280609</v>
      </c>
      <c r="AQ50" s="624"/>
      <c r="AR50" s="624"/>
      <c r="AS50" s="1069">
        <f t="shared" si="14"/>
        <v>3.0813167432176143</v>
      </c>
      <c r="AT50" s="1069">
        <f>IF($F50 =FALSE,(Q50/$E50), " ")</f>
        <v>4.0559724504040062</v>
      </c>
      <c r="AU50" s="1069">
        <f t="shared" si="29"/>
        <v>3.2374627732212238</v>
      </c>
      <c r="AV50" s="1069">
        <f t="shared" si="38"/>
        <v>2.9618825332414751</v>
      </c>
      <c r="AW50" s="1069">
        <f t="shared" si="46"/>
        <v>2.8355185660931466</v>
      </c>
      <c r="AX50" s="1069">
        <f t="shared" si="57"/>
        <v>1.6384382980695134</v>
      </c>
      <c r="AY50" s="259"/>
      <c r="BA50" s="302">
        <f t="shared" si="11"/>
        <v>3.0813167432176143</v>
      </c>
      <c r="BB50" s="302">
        <f t="shared" si="20"/>
        <v>4.0559724504040062</v>
      </c>
      <c r="BC50" s="302">
        <f t="shared" si="26"/>
        <v>3.2374627732212238</v>
      </c>
      <c r="BD50" s="302">
        <f t="shared" si="35"/>
        <v>2.9618825332414751</v>
      </c>
      <c r="BE50" s="302">
        <f t="shared" si="42"/>
        <v>2.8355185660931466</v>
      </c>
      <c r="BF50" s="314">
        <f t="shared" si="56"/>
        <v>1.6384382980695134</v>
      </c>
      <c r="BJ50" s="624" t="str">
        <f t="shared" si="59"/>
        <v/>
      </c>
      <c r="BK50" s="624" t="str">
        <f t="shared" si="27"/>
        <v/>
      </c>
      <c r="BL50" s="624" t="str">
        <f t="shared" si="36"/>
        <v/>
      </c>
      <c r="BM50" s="624" t="str">
        <f t="shared" si="43"/>
        <v/>
      </c>
      <c r="BN50" s="624" t="str">
        <f t="shared" si="44"/>
        <v/>
      </c>
      <c r="BO50" s="624" t="str">
        <f t="shared" si="52"/>
        <v/>
      </c>
      <c r="BP50" s="624"/>
      <c r="BQ50" s="624"/>
      <c r="BR50" s="1069" t="str">
        <f t="shared" si="4"/>
        <v xml:space="preserve"> </v>
      </c>
      <c r="BS50" s="1069" t="str">
        <f t="shared" si="4"/>
        <v xml:space="preserve"> </v>
      </c>
      <c r="BT50" s="1069" t="str">
        <f t="shared" si="4"/>
        <v xml:space="preserve"> </v>
      </c>
      <c r="BU50" s="1069" t="str">
        <f t="shared" si="4"/>
        <v xml:space="preserve"> </v>
      </c>
      <c r="BV50" s="1069" t="str">
        <f t="shared" si="4"/>
        <v xml:space="preserve"> </v>
      </c>
      <c r="BW50" s="1069" t="str">
        <f t="shared" si="58"/>
        <v xml:space="preserve"> </v>
      </c>
      <c r="BZ50" s="302" t="str">
        <f t="shared" si="61"/>
        <v xml:space="preserve"> </v>
      </c>
      <c r="CA50" s="302" t="str">
        <f t="shared" si="15"/>
        <v xml:space="preserve"> </v>
      </c>
      <c r="CB50" s="302" t="str">
        <f t="shared" si="22"/>
        <v xml:space="preserve"> </v>
      </c>
      <c r="CC50" s="302" t="str">
        <f t="shared" si="30"/>
        <v xml:space="preserve"> </v>
      </c>
      <c r="CD50" s="302" t="str">
        <f t="shared" si="37"/>
        <v xml:space="preserve"> </v>
      </c>
      <c r="CE50" s="302" t="str">
        <f t="shared" si="53"/>
        <v xml:space="preserve"> </v>
      </c>
      <c r="CG50" s="1048"/>
    </row>
    <row r="51" spans="1:90">
      <c r="A51" s="285">
        <f>Odd_Even!A56</f>
        <v>2008</v>
      </c>
      <c r="B51" s="285">
        <f t="shared" si="0"/>
        <v>2010</v>
      </c>
      <c r="C51" s="1062">
        <v>-0.31250000000000006</v>
      </c>
      <c r="D51" s="623">
        <f>Odd_Even!E56</f>
        <v>862418.51199612883</v>
      </c>
      <c r="E51" s="623">
        <f>Odd_Even!H56</f>
        <v>4399390.7272172375</v>
      </c>
      <c r="F51" s="1083" t="b">
        <f t="shared" si="1"/>
        <v>1</v>
      </c>
      <c r="G51" s="1056">
        <f t="shared" ref="G51:G56" si="64">B51</f>
        <v>2010</v>
      </c>
      <c r="H51" s="1057">
        <f t="shared" si="63"/>
        <v>2290691.6775990888</v>
      </c>
      <c r="I51" s="1057">
        <f t="shared" si="16"/>
        <v>2802697.2264713785</v>
      </c>
      <c r="J51" s="1057">
        <f t="shared" si="23"/>
        <v>3514941.8364300653</v>
      </c>
      <c r="K51" s="1057">
        <f t="shared" si="31"/>
        <v>2952367.7048731972</v>
      </c>
      <c r="L51" s="1057">
        <f>AVERAGE($E49,$E47,$E45,$E43,$E41)</f>
        <v>3839882.3638985576</v>
      </c>
      <c r="M51" s="1057">
        <f t="shared" si="54"/>
        <v>4796945.6319492785</v>
      </c>
      <c r="O51" s="276">
        <f t="shared" si="60"/>
        <v>32</v>
      </c>
      <c r="P51" s="459">
        <f t="shared" si="8"/>
        <v>-2108699.0496181487</v>
      </c>
      <c r="Q51" s="459">
        <f t="shared" si="17"/>
        <v>-1596693.500745859</v>
      </c>
      <c r="R51" s="459">
        <f t="shared" si="28"/>
        <v>-884448.89078717213</v>
      </c>
      <c r="S51" s="459">
        <f t="shared" si="32"/>
        <v>-1447023.0223440402</v>
      </c>
      <c r="T51" s="459">
        <f t="shared" si="40"/>
        <v>-559508.36331867985</v>
      </c>
      <c r="U51" s="459">
        <f t="shared" si="55"/>
        <v>397554.90473204106</v>
      </c>
      <c r="W51" s="261">
        <f t="shared" ref="W51:AB52" si="65">(P51/$E51)</f>
        <v>-0.47931615543318012</v>
      </c>
      <c r="X51" s="261">
        <f t="shared" si="65"/>
        <v>-0.362935142556847</v>
      </c>
      <c r="Y51" s="261">
        <f t="shared" si="65"/>
        <v>-0.20103894962442123</v>
      </c>
      <c r="Z51" s="261">
        <f t="shared" si="65"/>
        <v>-0.3289144138509677</v>
      </c>
      <c r="AA51" s="261">
        <f t="shared" si="65"/>
        <v>-0.12717860222262817</v>
      </c>
      <c r="AB51" s="261">
        <f t="shared" si="65"/>
        <v>9.0365900503569935E-2</v>
      </c>
      <c r="AD51" s="302">
        <f>ABS(W51)</f>
        <v>0.47931615543318012</v>
      </c>
      <c r="AE51" s="314">
        <f>ABS(X51)</f>
        <v>0.362935142556847</v>
      </c>
      <c r="AF51" s="302">
        <f t="shared" si="62"/>
        <v>0.20103894962442123</v>
      </c>
      <c r="AG51" s="302">
        <f t="shared" si="62"/>
        <v>0.3289144138509677</v>
      </c>
      <c r="AH51" s="313">
        <f t="shared" si="62"/>
        <v>0.12717860222262817</v>
      </c>
      <c r="AI51" s="313">
        <f t="shared" si="62"/>
        <v>9.0365900503569935E-2</v>
      </c>
      <c r="AK51" s="624" t="str">
        <f>IF($F51=FALSE,ABS($E51-H51),"")</f>
        <v/>
      </c>
      <c r="AL51" s="624" t="str">
        <f t="shared" ref="AL51:AO54" si="66">IF($F51=FALSE,ABS($E51-I51),"")</f>
        <v/>
      </c>
      <c r="AM51" s="624" t="str">
        <f t="shared" si="66"/>
        <v/>
      </c>
      <c r="AN51" s="624" t="str">
        <f t="shared" si="66"/>
        <v/>
      </c>
      <c r="AO51" s="624" t="str">
        <f t="shared" si="66"/>
        <v/>
      </c>
      <c r="AP51" s="624" t="str">
        <f t="shared" si="51"/>
        <v/>
      </c>
      <c r="AQ51" s="624"/>
      <c r="AR51" s="624"/>
      <c r="AS51" s="1069" t="str">
        <f t="shared" si="14"/>
        <v xml:space="preserve"> </v>
      </c>
      <c r="AT51" s="1069" t="str">
        <f t="shared" si="21"/>
        <v xml:space="preserve"> </v>
      </c>
      <c r="AU51" s="1069" t="str">
        <f t="shared" si="29"/>
        <v xml:space="preserve"> </v>
      </c>
      <c r="AV51" s="1069" t="str">
        <f t="shared" si="38"/>
        <v xml:space="preserve"> </v>
      </c>
      <c r="AW51" s="1069" t="str">
        <f t="shared" si="46"/>
        <v xml:space="preserve"> </v>
      </c>
      <c r="AX51" s="1069" t="str">
        <f t="shared" si="57"/>
        <v xml:space="preserve"> </v>
      </c>
      <c r="BA51" s="302"/>
      <c r="BB51" s="302"/>
      <c r="BF51" s="302"/>
      <c r="BJ51" s="624">
        <f t="shared" si="59"/>
        <v>2108699.0496181487</v>
      </c>
      <c r="BK51" s="624">
        <f t="shared" si="27"/>
        <v>1596693.500745859</v>
      </c>
      <c r="BL51" s="624">
        <f t="shared" si="36"/>
        <v>884448.89078717213</v>
      </c>
      <c r="BM51" s="624">
        <f t="shared" si="43"/>
        <v>1447023.0223440402</v>
      </c>
      <c r="BN51" s="624">
        <f t="shared" si="44"/>
        <v>559508.36331867985</v>
      </c>
      <c r="BO51" s="624">
        <f t="shared" si="52"/>
        <v>397554.90473204106</v>
      </c>
      <c r="BP51" s="624"/>
      <c r="BQ51" s="624"/>
      <c r="BR51" s="1069">
        <f t="shared" si="4"/>
        <v>-0.47931615543318012</v>
      </c>
      <c r="BS51" s="1069">
        <f t="shared" si="4"/>
        <v>-0.362935142556847</v>
      </c>
      <c r="BT51" s="1069">
        <f t="shared" si="4"/>
        <v>-0.20103894962442123</v>
      </c>
      <c r="BU51" s="1069">
        <f t="shared" si="4"/>
        <v>-0.3289144138509677</v>
      </c>
      <c r="BV51" s="1069">
        <f t="shared" si="4"/>
        <v>-0.12717860222262817</v>
      </c>
      <c r="BW51" s="1069">
        <f t="shared" si="58"/>
        <v>9.0365900503569935E-2</v>
      </c>
      <c r="BZ51" s="302">
        <f t="shared" si="61"/>
        <v>0.47931615543318012</v>
      </c>
      <c r="CA51" s="302">
        <f t="shared" si="15"/>
        <v>0.362935142556847</v>
      </c>
      <c r="CB51" s="302">
        <f t="shared" si="22"/>
        <v>0.20103894962442123</v>
      </c>
      <c r="CC51" s="302">
        <f t="shared" si="30"/>
        <v>0.3289144138509677</v>
      </c>
      <c r="CD51" s="302">
        <f t="shared" si="37"/>
        <v>0.12717860222262817</v>
      </c>
      <c r="CE51" s="302">
        <f t="shared" si="53"/>
        <v>9.0365900503569935E-2</v>
      </c>
      <c r="CG51" s="1048"/>
      <c r="CJ51" s="1081"/>
      <c r="CK51" s="474"/>
      <c r="CL51" s="474"/>
    </row>
    <row r="52" spans="1:90">
      <c r="A52" s="285">
        <f>Odd_Even!A57</f>
        <v>2009</v>
      </c>
      <c r="B52" s="285">
        <f t="shared" si="0"/>
        <v>2011</v>
      </c>
      <c r="C52" s="1062">
        <v>-1.2308333333333332</v>
      </c>
      <c r="D52" s="623">
        <f>Odd_Even!E57</f>
        <v>1829622.6091624377</v>
      </c>
      <c r="E52" s="623">
        <f>Odd_Even!H57</f>
        <v>9643099</v>
      </c>
      <c r="F52" s="1083" t="b">
        <f t="shared" si="1"/>
        <v>0</v>
      </c>
      <c r="G52" s="1056">
        <f t="shared" si="64"/>
        <v>2011</v>
      </c>
      <c r="H52" s="466">
        <f t="shared" si="63"/>
        <v>2824330.6070667375</v>
      </c>
      <c r="I52" s="466">
        <f>AVERAGE($E50,$E48)</f>
        <v>7175659.2010350907</v>
      </c>
      <c r="J52" s="466">
        <f t="shared" si="23"/>
        <v>10461268.695797078</v>
      </c>
      <c r="K52" s="466">
        <f t="shared" si="31"/>
        <v>9682079.5068026353</v>
      </c>
      <c r="L52" s="466">
        <f t="shared" si="39"/>
        <v>9516599.0016029477</v>
      </c>
      <c r="M52" s="466">
        <f t="shared" si="54"/>
        <v>7259880.1008014735</v>
      </c>
      <c r="O52" s="276">
        <f t="shared" si="60"/>
        <v>45</v>
      </c>
      <c r="P52" s="459">
        <f t="shared" si="8"/>
        <v>-6818768.3929332625</v>
      </c>
      <c r="Q52" s="459">
        <f t="shared" si="17"/>
        <v>-2467439.7989649093</v>
      </c>
      <c r="R52" s="459">
        <f t="shared" si="28"/>
        <v>818169.69579707831</v>
      </c>
      <c r="S52" s="459">
        <f t="shared" si="32"/>
        <v>38980.506802635267</v>
      </c>
      <c r="T52" s="459">
        <f t="shared" si="40"/>
        <v>-126499.99839705229</v>
      </c>
      <c r="U52" s="459">
        <f t="shared" si="55"/>
        <v>-2383218.8991985265</v>
      </c>
      <c r="W52" s="261">
        <f t="shared" si="65"/>
        <v>-0.70711380158321124</v>
      </c>
      <c r="X52" s="261">
        <f t="shared" si="65"/>
        <v>-0.25587622806370747</v>
      </c>
      <c r="Y52" s="261">
        <f t="shared" si="65"/>
        <v>8.4845099671493396E-2</v>
      </c>
      <c r="Z52" s="261">
        <f t="shared" si="65"/>
        <v>4.0423215402678398E-3</v>
      </c>
      <c r="AA52" s="261">
        <f t="shared" si="65"/>
        <v>-1.3118189328664187E-2</v>
      </c>
      <c r="AB52" s="261">
        <f t="shared" si="65"/>
        <v>-0.24714242788532259</v>
      </c>
      <c r="AD52" s="302">
        <f>ABS(W52)</f>
        <v>0.70711380158321124</v>
      </c>
      <c r="AE52" s="302">
        <f>ABS(X52)</f>
        <v>0.25587622806370747</v>
      </c>
      <c r="AF52" s="302">
        <f t="shared" ref="AF52" si="67">ABS(Y52)</f>
        <v>8.4845099671493396E-2</v>
      </c>
      <c r="AG52" s="302">
        <f t="shared" ref="AG52" si="68">ABS(Z52)</f>
        <v>4.0423215402678398E-3</v>
      </c>
      <c r="AH52" s="315">
        <f t="shared" ref="AH52" si="69">ABS(AA52)</f>
        <v>1.3118189328664187E-2</v>
      </c>
      <c r="AI52" s="313">
        <f t="shared" ref="AI52" si="70">ABS(AB52)</f>
        <v>0.24714242788532259</v>
      </c>
      <c r="AK52" s="1068">
        <f>IF($F52=FALSE,ABS($E52-H52),"")</f>
        <v>6818768.3929332625</v>
      </c>
      <c r="AL52" s="1068">
        <f>IF($F52=FALSE,ABS($E52-I52),"")</f>
        <v>2467439.7989649093</v>
      </c>
      <c r="AM52" s="1068">
        <f t="shared" si="66"/>
        <v>818169.69579707831</v>
      </c>
      <c r="AN52" s="1068">
        <f t="shared" si="66"/>
        <v>38980.506802635267</v>
      </c>
      <c r="AO52" s="1068">
        <f t="shared" si="66"/>
        <v>126499.99839705229</v>
      </c>
      <c r="AP52" s="1068">
        <f t="shared" si="51"/>
        <v>2383218.8991985265</v>
      </c>
      <c r="AQ52" s="1068"/>
      <c r="AR52" s="1068"/>
      <c r="AS52" s="1069">
        <f t="shared" si="14"/>
        <v>-0.70711380158321124</v>
      </c>
      <c r="AT52" s="1069">
        <f t="shared" si="21"/>
        <v>-0.25587622806370747</v>
      </c>
      <c r="AU52" s="1069">
        <f t="shared" si="29"/>
        <v>8.4845099671493396E-2</v>
      </c>
      <c r="AV52" s="1069">
        <f t="shared" si="38"/>
        <v>4.0423215402678398E-3</v>
      </c>
      <c r="AW52" s="1069">
        <f t="shared" si="46"/>
        <v>-1.3118189328664187E-2</v>
      </c>
      <c r="AX52" s="1069">
        <f t="shared" si="57"/>
        <v>-0.24714242788532259</v>
      </c>
      <c r="BA52" s="302">
        <f>IF($F52 =FALSE,ABS(AK52/$E52), " ")</f>
        <v>0.70711380158321124</v>
      </c>
      <c r="BB52" s="302">
        <f t="shared" ref="BB52" si="71">IF($F52 =FALSE,ABS(AL52/$E52), " ")</f>
        <v>0.25587622806370747</v>
      </c>
      <c r="BC52" s="302">
        <f t="shared" ref="BC52" si="72">IF($F52 =FALSE,ABS(AM52/$E52), " ")</f>
        <v>8.4845099671493396E-2</v>
      </c>
      <c r="BD52" s="314">
        <f t="shared" ref="BD52" si="73">IF($F52 =FALSE,ABS(AN52/$E52), " ")</f>
        <v>4.0423215402678398E-3</v>
      </c>
      <c r="BE52" s="302">
        <f t="shared" ref="BE52" si="74">IF($F52 =FALSE,ABS(AO52/$E52), " ")</f>
        <v>1.3118189328664187E-2</v>
      </c>
      <c r="BF52" s="302">
        <f t="shared" ref="BF52" si="75">IF($F52 =FALSE,ABS(AP52/$E52), " ")</f>
        <v>0.24714242788532259</v>
      </c>
      <c r="BJ52" s="624" t="str">
        <f t="shared" si="59"/>
        <v/>
      </c>
      <c r="BK52" s="624" t="str">
        <f t="shared" si="27"/>
        <v/>
      </c>
      <c r="BL52" s="624" t="str">
        <f t="shared" si="36"/>
        <v/>
      </c>
      <c r="BM52" s="624" t="str">
        <f>IF($F52=TRUE,ABS($E52-K52),"")</f>
        <v/>
      </c>
      <c r="BN52" s="624" t="str">
        <f t="shared" si="44"/>
        <v/>
      </c>
      <c r="BO52" s="624" t="str">
        <f t="shared" si="52"/>
        <v/>
      </c>
      <c r="BP52" s="624"/>
      <c r="BQ52" s="624"/>
      <c r="BR52" s="1069" t="str">
        <f t="shared" si="4"/>
        <v xml:space="preserve"> </v>
      </c>
      <c r="BS52" s="1069" t="str">
        <f t="shared" si="4"/>
        <v xml:space="preserve"> </v>
      </c>
      <c r="BT52" s="1069" t="str">
        <f t="shared" si="4"/>
        <v xml:space="preserve"> </v>
      </c>
      <c r="BU52" s="1069" t="str">
        <f t="shared" si="4"/>
        <v xml:space="preserve"> </v>
      </c>
      <c r="BV52" s="1069" t="str">
        <f t="shared" si="4"/>
        <v xml:space="preserve"> </v>
      </c>
      <c r="BW52" s="1069" t="str">
        <f t="shared" si="58"/>
        <v xml:space="preserve"> </v>
      </c>
      <c r="BZ52" s="302" t="str">
        <f t="shared" si="61"/>
        <v xml:space="preserve"> </v>
      </c>
      <c r="CA52" s="302" t="str">
        <f t="shared" si="15"/>
        <v xml:space="preserve"> </v>
      </c>
      <c r="CB52" s="302" t="str">
        <f t="shared" si="22"/>
        <v xml:space="preserve"> </v>
      </c>
      <c r="CC52" s="302" t="str">
        <f t="shared" si="30"/>
        <v xml:space="preserve"> </v>
      </c>
      <c r="CD52" s="302" t="str">
        <f t="shared" si="37"/>
        <v xml:space="preserve"> </v>
      </c>
      <c r="CE52" s="302" t="str">
        <f t="shared" si="53"/>
        <v xml:space="preserve"> </v>
      </c>
      <c r="CJ52" s="474"/>
      <c r="CK52" s="474"/>
      <c r="CL52" s="474"/>
    </row>
    <row r="53" spans="1:90">
      <c r="A53" s="285">
        <f>Odd_Even!A58</f>
        <v>2010</v>
      </c>
      <c r="B53" s="285">
        <f t="shared" si="0"/>
        <v>2012</v>
      </c>
      <c r="C53" s="258">
        <v>-1.1000000000000001</v>
      </c>
      <c r="D53" s="623">
        <f>Odd_Even!E58</f>
        <v>2000408</v>
      </c>
      <c r="E53" s="623">
        <f>Odd_Even!H58</f>
        <v>4428267.5450134957</v>
      </c>
      <c r="F53" s="1083" t="b">
        <f t="shared" si="1"/>
        <v>1</v>
      </c>
      <c r="G53" s="1056">
        <f t="shared" si="64"/>
        <v>2012</v>
      </c>
      <c r="H53" s="466">
        <f t="shared" si="63"/>
        <v>4399390.7272172375</v>
      </c>
      <c r="I53" s="466">
        <f>AVERAGE($E51,$E49)</f>
        <v>3345041.2024081629</v>
      </c>
      <c r="J53" s="466">
        <f>AVERAGE($E51,$E49,$E47)</f>
        <v>3334928.3933866643</v>
      </c>
      <c r="K53" s="466">
        <f>AVERAGE($E51,$E49,$E47,$E45)</f>
        <v>3736054.0591268577</v>
      </c>
      <c r="L53" s="466">
        <f>AVERAGE($E51,$E49,$E47,$E45,$E43)</f>
        <v>3241772.3093420048</v>
      </c>
      <c r="M53" s="466">
        <f>AVERAGE($E51,$E49,$E47,$E45,$E43,$E41,$E39,$E37,$E35,$E33)</f>
        <v>3944518.5046710023</v>
      </c>
      <c r="O53" s="276">
        <f t="shared" si="60"/>
        <v>24</v>
      </c>
      <c r="P53" s="459">
        <f t="shared" si="8"/>
        <v>-28876.817796258256</v>
      </c>
      <c r="Q53" s="459">
        <f t="shared" si="17"/>
        <v>-1083226.3426053328</v>
      </c>
      <c r="R53" s="459">
        <f t="shared" si="28"/>
        <v>-1093339.1516268314</v>
      </c>
      <c r="S53" s="459">
        <f t="shared" si="32"/>
        <v>-692213.48588663805</v>
      </c>
      <c r="T53" s="459">
        <f t="shared" si="40"/>
        <v>-1186495.2356714909</v>
      </c>
      <c r="U53" s="459">
        <f t="shared" si="55"/>
        <v>-483749.04034249345</v>
      </c>
      <c r="W53" s="261">
        <f t="shared" ref="W53" si="76">(P53/$E53)</f>
        <v>-6.5210192254023464E-3</v>
      </c>
      <c r="X53" s="261">
        <f t="shared" ref="X53:X54" si="77">(Q53/$E53)</f>
        <v>-0.24461628200967961</v>
      </c>
      <c r="Y53" s="261">
        <f t="shared" ref="Y53:Y54" si="78">(R53/$E53)</f>
        <v>-0.24689997623517557</v>
      </c>
      <c r="Z53" s="261">
        <f t="shared" ref="Z53:Z54" si="79">(S53/$E53)</f>
        <v>-0.15631699730205179</v>
      </c>
      <c r="AA53" s="261">
        <f t="shared" ref="AA53:AA54" si="80">(T53/$E53)</f>
        <v>-0.26793666453318932</v>
      </c>
      <c r="AB53" s="261">
        <f t="shared" ref="AB53:AB54" si="81">(U53/$E53)</f>
        <v>-0.1092411502749478</v>
      </c>
      <c r="AD53" s="302">
        <f t="shared" ref="AD53" si="82">ABS(W53)</f>
        <v>6.5210192254023464E-3</v>
      </c>
      <c r="AE53" s="302">
        <f t="shared" ref="AE53:AE54" si="83">ABS(X53)</f>
        <v>0.24461628200967961</v>
      </c>
      <c r="AF53" s="302">
        <f t="shared" ref="AF53:AF54" si="84">ABS(Y53)</f>
        <v>0.24689997623517557</v>
      </c>
      <c r="AG53" s="302">
        <f t="shared" ref="AG53:AG54" si="85">ABS(Z53)</f>
        <v>0.15631699730205179</v>
      </c>
      <c r="AH53" s="315">
        <f t="shared" ref="AH53:AH54" si="86">ABS(AA53)</f>
        <v>0.26793666453318932</v>
      </c>
      <c r="AI53" s="313">
        <f t="shared" ref="AI53:AI54" si="87">ABS(AB53)</f>
        <v>0.1092411502749478</v>
      </c>
      <c r="AK53" s="1068" t="str">
        <f t="shared" ref="AK53:AK54" si="88">IF($F53=FALSE,ABS($E53-H53),"")</f>
        <v/>
      </c>
      <c r="AL53" s="1068" t="str">
        <f t="shared" ref="AL53:AL54" si="89">IF($F53=FALSE,ABS($E53-I53),"")</f>
        <v/>
      </c>
      <c r="AM53" s="1068" t="str">
        <f t="shared" si="66"/>
        <v/>
      </c>
      <c r="AN53" s="1068" t="str">
        <f t="shared" si="66"/>
        <v/>
      </c>
      <c r="AO53" s="1068" t="str">
        <f t="shared" si="66"/>
        <v/>
      </c>
      <c r="AP53" s="1068" t="str">
        <f t="shared" si="51"/>
        <v/>
      </c>
      <c r="AQ53" s="1038"/>
      <c r="AR53" s="1038"/>
      <c r="AS53" s="1069" t="str">
        <f t="shared" ref="AS53" si="90">IF($F53 =FALSE,(P53/$E53), " ")</f>
        <v xml:space="preserve"> </v>
      </c>
      <c r="AT53" s="1069" t="str">
        <f t="shared" ref="AT53:AT54" si="91">IF($F53 =FALSE,(Q53/$E53), " ")</f>
        <v xml:space="preserve"> </v>
      </c>
      <c r="AU53" s="1069" t="str">
        <f t="shared" ref="AU53:AU54" si="92">IF($F53 =FALSE,(R53/$E53), " ")</f>
        <v xml:space="preserve"> </v>
      </c>
      <c r="AV53" s="1069" t="str">
        <f t="shared" ref="AV53:AV54" si="93">IF($F53 =FALSE,(S53/$E53), " ")</f>
        <v xml:space="preserve"> </v>
      </c>
      <c r="AW53" s="1069" t="str">
        <f t="shared" ref="AW53:AW54" si="94">IF($F53 =FALSE,(T53/$E53), " ")</f>
        <v xml:space="preserve"> </v>
      </c>
      <c r="AX53" s="1069" t="str">
        <f t="shared" ref="AX53:AX54" si="95">IF($F53 =FALSE,(U53/$E53), " ")</f>
        <v xml:space="preserve"> </v>
      </c>
      <c r="BA53" s="302"/>
      <c r="BB53" s="302"/>
      <c r="BC53" s="302"/>
      <c r="BD53" s="302"/>
      <c r="BE53" s="302"/>
      <c r="BF53" s="314"/>
      <c r="BJ53" s="624">
        <f>IF($F53=TRUE,ABS($E53-H53),"")</f>
        <v>28876.817796258256</v>
      </c>
      <c r="BK53" s="624">
        <f t="shared" si="27"/>
        <v>1083226.3426053328</v>
      </c>
      <c r="BL53" s="624">
        <f t="shared" si="36"/>
        <v>1093339.1516268314</v>
      </c>
      <c r="BM53" s="624">
        <f>IF($F53=TRUE,ABS($E53-K53),"")</f>
        <v>692213.48588663805</v>
      </c>
      <c r="BN53" s="624">
        <f t="shared" si="44"/>
        <v>1186495.2356714909</v>
      </c>
      <c r="BO53" s="624">
        <f t="shared" si="52"/>
        <v>483749.04034249345</v>
      </c>
      <c r="BP53" s="624"/>
      <c r="BQ53" s="624"/>
      <c r="BR53" s="1069">
        <f t="shared" si="4"/>
        <v>-6.5210192254023464E-3</v>
      </c>
      <c r="BS53" s="1069">
        <f t="shared" si="4"/>
        <v>-0.24461628200967961</v>
      </c>
      <c r="BT53" s="1069">
        <f t="shared" si="4"/>
        <v>-0.24689997623517557</v>
      </c>
      <c r="BU53" s="1069">
        <f t="shared" si="4"/>
        <v>-0.15631699730205179</v>
      </c>
      <c r="BV53" s="1069">
        <f t="shared" si="4"/>
        <v>-0.26793666453318932</v>
      </c>
      <c r="BW53" s="1069">
        <f t="shared" si="58"/>
        <v>-0.1092411502749478</v>
      </c>
      <c r="BZ53" s="302">
        <f>IF($F53 =TRUE,ABS(BJ53/$E53), " ")</f>
        <v>6.5210192254023464E-3</v>
      </c>
      <c r="CA53" s="302">
        <f t="shared" si="15"/>
        <v>0.24461628200967961</v>
      </c>
      <c r="CB53" s="302">
        <f t="shared" si="22"/>
        <v>0.24689997623517557</v>
      </c>
      <c r="CC53" s="302">
        <f t="shared" si="30"/>
        <v>0.15631699730205179</v>
      </c>
      <c r="CD53" s="302">
        <f t="shared" si="37"/>
        <v>0.26793666453318932</v>
      </c>
      <c r="CE53" s="302">
        <f t="shared" si="53"/>
        <v>0.1092411502749478</v>
      </c>
      <c r="CG53" s="1080"/>
      <c r="CJ53" s="1082"/>
      <c r="CK53" s="1082"/>
      <c r="CL53" s="1082"/>
    </row>
    <row r="54" spans="1:90">
      <c r="A54" s="285">
        <f>Odd_Even!A59</f>
        <v>2011</v>
      </c>
      <c r="B54" s="285">
        <f t="shared" si="0"/>
        <v>2013</v>
      </c>
      <c r="D54" s="623">
        <f>Odd_Even!E59</f>
        <v>3927419</v>
      </c>
      <c r="E54" s="623">
        <f>Odd_Even!H59</f>
        <v>21965453</v>
      </c>
      <c r="F54" s="1083" t="b">
        <f t="shared" si="1"/>
        <v>0</v>
      </c>
      <c r="G54" s="1056">
        <f t="shared" si="64"/>
        <v>2013</v>
      </c>
      <c r="H54" s="466">
        <f t="shared" si="63"/>
        <v>9643099</v>
      </c>
      <c r="I54" s="466">
        <f>AVERAGE($E52,$E50)</f>
        <v>6233714.8035333687</v>
      </c>
      <c r="J54" s="466">
        <f t="shared" si="23"/>
        <v>7998139.1340233935</v>
      </c>
      <c r="K54" s="466">
        <f t="shared" si="31"/>
        <v>10256726.271847807</v>
      </c>
      <c r="L54" s="466">
        <f t="shared" si="39"/>
        <v>9674283.4054421075</v>
      </c>
      <c r="M54" s="466">
        <f t="shared" si="54"/>
        <v>7469712.4008014742</v>
      </c>
      <c r="O54" s="276">
        <f t="shared" si="60"/>
        <v>51</v>
      </c>
      <c r="P54" s="459">
        <f t="shared" si="8"/>
        <v>-12322354</v>
      </c>
      <c r="Q54" s="459">
        <f t="shared" si="17"/>
        <v>-15731738.196466632</v>
      </c>
      <c r="R54" s="459">
        <f t="shared" si="28"/>
        <v>-13967313.865976606</v>
      </c>
      <c r="S54" s="459">
        <f t="shared" si="32"/>
        <v>-11708726.728152193</v>
      </c>
      <c r="T54" s="459">
        <f t="shared" si="40"/>
        <v>-12291169.594557893</v>
      </c>
      <c r="U54" s="459">
        <f t="shared" si="55"/>
        <v>-14495740.599198526</v>
      </c>
      <c r="W54" s="261">
        <f>(P54/$E54)</f>
        <v>-0.56098792954554588</v>
      </c>
      <c r="X54" s="261">
        <f t="shared" si="77"/>
        <v>-0.71620367658552875</v>
      </c>
      <c r="Y54" s="261">
        <f t="shared" si="78"/>
        <v>-0.6358764313204287</v>
      </c>
      <c r="Z54" s="261">
        <f t="shared" si="79"/>
        <v>-0.53305191238952332</v>
      </c>
      <c r="AA54" s="261">
        <f t="shared" si="80"/>
        <v>-0.55956822718647747</v>
      </c>
      <c r="AB54" s="261">
        <f t="shared" si="81"/>
        <v>-0.65993360570339821</v>
      </c>
      <c r="AD54" s="302">
        <f>ABS(W54)</f>
        <v>0.56098792954554588</v>
      </c>
      <c r="AE54" s="302">
        <f t="shared" si="83"/>
        <v>0.71620367658552875</v>
      </c>
      <c r="AF54" s="302">
        <f t="shared" si="84"/>
        <v>0.6358764313204287</v>
      </c>
      <c r="AG54" s="302">
        <f t="shared" si="85"/>
        <v>0.53305191238952332</v>
      </c>
      <c r="AH54" s="315">
        <f t="shared" si="86"/>
        <v>0.55956822718647747</v>
      </c>
      <c r="AI54" s="313">
        <f t="shared" si="87"/>
        <v>0.65993360570339821</v>
      </c>
      <c r="AK54" s="1068">
        <f t="shared" si="88"/>
        <v>12322354</v>
      </c>
      <c r="AL54" s="1068">
        <f t="shared" si="89"/>
        <v>15731738.196466632</v>
      </c>
      <c r="AM54" s="1068">
        <f t="shared" si="66"/>
        <v>13967313.865976606</v>
      </c>
      <c r="AN54" s="1068">
        <f t="shared" si="66"/>
        <v>11708726.728152193</v>
      </c>
      <c r="AO54" s="1068">
        <f t="shared" si="66"/>
        <v>12291169.594557893</v>
      </c>
      <c r="AP54" s="1068">
        <f t="shared" si="51"/>
        <v>14495740.599198526</v>
      </c>
      <c r="AQ54" s="1038"/>
      <c r="AR54" s="1038"/>
      <c r="AS54" s="1069">
        <f>IF($F54 =FALSE,(P54/$E54), " ")</f>
        <v>-0.56098792954554588</v>
      </c>
      <c r="AT54" s="1069">
        <f t="shared" si="91"/>
        <v>-0.71620367658552875</v>
      </c>
      <c r="AU54" s="1069">
        <f t="shared" si="92"/>
        <v>-0.6358764313204287</v>
      </c>
      <c r="AV54" s="1069">
        <f t="shared" si="93"/>
        <v>-0.53305191238952332</v>
      </c>
      <c r="AW54" s="1069">
        <f t="shared" si="94"/>
        <v>-0.55956822718647747</v>
      </c>
      <c r="AX54" s="1069">
        <f t="shared" si="95"/>
        <v>-0.65993360570339821</v>
      </c>
      <c r="BA54" s="302"/>
      <c r="BB54" s="302"/>
      <c r="BF54" s="302"/>
      <c r="BJ54" s="624" t="str">
        <f t="shared" ref="BJ54:BJ55" si="96">IF($F54=TRUE,ABS($E54-H54),"")</f>
        <v/>
      </c>
      <c r="BK54" s="624" t="str">
        <f t="shared" ref="BK54:BK55" si="97">IF($F54=TRUE,ABS($E54-I54),"")</f>
        <v/>
      </c>
      <c r="BL54" s="624" t="str">
        <f t="shared" ref="BL54:BL55" si="98">IF($F54=TRUE,ABS($E54-J54),"")</f>
        <v/>
      </c>
      <c r="BM54" s="624" t="str">
        <f t="shared" ref="BM54" si="99">IF($F54=TRUE,ABS($E54-K54),"")</f>
        <v/>
      </c>
      <c r="BN54" s="624" t="str">
        <f t="shared" ref="BN54:BN55" si="100">IF($F54=TRUE,ABS($E54-L54),"")</f>
        <v/>
      </c>
      <c r="BO54" s="624" t="str">
        <f t="shared" ref="BO54:BO55" si="101">IF($F54=TRUE,ABS($E54-M54),"")</f>
        <v/>
      </c>
      <c r="BP54" s="624"/>
      <c r="BQ54" s="624"/>
      <c r="BR54" s="1069" t="str">
        <f t="shared" ref="BR54:BR55" si="102">IF($F54 =TRUE,(P54/$E54), " ")</f>
        <v xml:space="preserve"> </v>
      </c>
      <c r="BS54" s="1069" t="str">
        <f t="shared" ref="BS54:BS55" si="103">IF($F54 =TRUE,(Q54/$E54), " ")</f>
        <v xml:space="preserve"> </v>
      </c>
      <c r="BT54" s="1069" t="str">
        <f t="shared" ref="BT54:BT55" si="104">IF($F54 =TRUE,(R54/$E54), " ")</f>
        <v xml:space="preserve"> </v>
      </c>
      <c r="BU54" s="1069" t="str">
        <f t="shared" ref="BU54:BU55" si="105">IF($F54 =TRUE,(S54/$E54), " ")</f>
        <v xml:space="preserve"> </v>
      </c>
      <c r="BV54" s="1069" t="str">
        <f t="shared" ref="BV54:BV55" si="106">IF($F54 =TRUE,(T54/$E54), " ")</f>
        <v xml:space="preserve"> </v>
      </c>
      <c r="BW54" s="1069" t="str">
        <f t="shared" ref="BW54:BW55" si="107">IF($F54 =TRUE,(U54/$E54), " ")</f>
        <v xml:space="preserve"> </v>
      </c>
      <c r="BZ54" s="302" t="str">
        <f t="shared" ref="BZ54:BZ55" si="108">IF($F54 =TRUE,ABS(BJ54/$E54), " ")</f>
        <v xml:space="preserve"> </v>
      </c>
      <c r="CA54" s="302" t="str">
        <f t="shared" ref="CA54:CA55" si="109">IF($F54 =TRUE,ABS(BK54/$E54), " ")</f>
        <v xml:space="preserve"> </v>
      </c>
      <c r="CB54" s="302" t="str">
        <f t="shared" ref="CB54:CB55" si="110">IF($F54 =TRUE,ABS(BL54/$E54), " ")</f>
        <v xml:space="preserve"> </v>
      </c>
      <c r="CC54" s="302" t="str">
        <f t="shared" ref="CC54:CC55" si="111">IF($F54 =TRUE,ABS(BM54/$E54), " ")</f>
        <v xml:space="preserve"> </v>
      </c>
      <c r="CD54" s="302" t="str">
        <f t="shared" ref="CD54:CD55" si="112">IF($F54 =TRUE,ABS(BN54/$E54), " ")</f>
        <v xml:space="preserve"> </v>
      </c>
      <c r="CE54" s="302" t="str">
        <f t="shared" ref="CE54:CE55" si="113">IF($F54 =TRUE,ABS(BO54/$E54), " ")</f>
        <v xml:space="preserve"> </v>
      </c>
      <c r="CG54" s="1080"/>
      <c r="CJ54" s="1065"/>
    </row>
    <row r="55" spans="1:90">
      <c r="A55" s="285">
        <v>2012</v>
      </c>
      <c r="B55" s="285">
        <v>2014</v>
      </c>
      <c r="D55" s="623">
        <f>Odd_Even!E60</f>
        <v>1125692.4441663059</v>
      </c>
      <c r="E55" s="623">
        <f>Odd_Even!H60</f>
        <v>2702397</v>
      </c>
      <c r="F55" s="1083" t="b">
        <f t="shared" si="1"/>
        <v>1</v>
      </c>
      <c r="G55" s="1056">
        <f t="shared" si="64"/>
        <v>2014</v>
      </c>
      <c r="H55" s="466">
        <f>$E53</f>
        <v>4428267.5450134957</v>
      </c>
      <c r="I55" s="466">
        <f>AVERAGE($E53,$E51)</f>
        <v>4413829.1361153666</v>
      </c>
      <c r="J55" s="466">
        <f t="shared" si="23"/>
        <v>3706116.649943274</v>
      </c>
      <c r="K55" s="466">
        <f t="shared" si="31"/>
        <v>3608263.181293373</v>
      </c>
      <c r="L55" s="466">
        <f t="shared" si="39"/>
        <v>3874496.7563041858</v>
      </c>
      <c r="M55" s="466">
        <f t="shared" si="54"/>
        <v>4246806.9591723513</v>
      </c>
      <c r="O55" s="276">
        <f t="shared" ref="O55" si="114">RANK(P55,$P$5:$P$59)</f>
        <v>16</v>
      </c>
      <c r="P55" s="459">
        <f>H55-E55</f>
        <v>1725870.5450134957</v>
      </c>
      <c r="Q55" s="459">
        <f t="shared" ref="Q55" si="115">I55-E55</f>
        <v>1711432.1361153666</v>
      </c>
      <c r="R55" s="459">
        <f t="shared" ref="R55" si="116">J55-E55</f>
        <v>1003719.649943274</v>
      </c>
      <c r="S55" s="459">
        <f t="shared" ref="S55" si="117">K55-E55</f>
        <v>905866.181293373</v>
      </c>
      <c r="T55" s="459">
        <f t="shared" ref="T55" si="118">L55-E55</f>
        <v>1172099.7563041858</v>
      </c>
      <c r="U55" s="459">
        <f t="shared" ref="U55" si="119">M55-E55</f>
        <v>1544409.9591723513</v>
      </c>
      <c r="W55" s="261">
        <f t="shared" ref="W55" si="120">(P55/$E55)</f>
        <v>0.63864433871614557</v>
      </c>
      <c r="X55" s="261">
        <f t="shared" ref="X55" si="121">(Q55/$E55)</f>
        <v>0.63330152309796328</v>
      </c>
      <c r="Y55" s="261">
        <f t="shared" ref="Y55" si="122">(R55/$E55)</f>
        <v>0.37141828160084323</v>
      </c>
      <c r="Z55" s="261">
        <f t="shared" ref="Z55" si="123">(S55/$E55)</f>
        <v>0.33520840250095491</v>
      </c>
      <c r="AA55" s="261">
        <f t="shared" ref="AA55" si="124">(T55/$E55)</f>
        <v>0.43372596857685447</v>
      </c>
      <c r="AB55" s="261">
        <f t="shared" ref="AB55" si="125">(U55/$E55)</f>
        <v>0.57149632684329921</v>
      </c>
      <c r="AD55" s="302">
        <f t="shared" ref="AD55" si="126">ABS(W55)</f>
        <v>0.63864433871614557</v>
      </c>
      <c r="AE55" s="302">
        <f t="shared" ref="AE55" si="127">ABS(X55)</f>
        <v>0.63330152309796328</v>
      </c>
      <c r="AF55" s="302">
        <f t="shared" ref="AF55" si="128">ABS(Y55)</f>
        <v>0.37141828160084323</v>
      </c>
      <c r="AG55" s="302">
        <f t="shared" ref="AG55" si="129">ABS(Z55)</f>
        <v>0.33520840250095491</v>
      </c>
      <c r="AH55" s="315">
        <f t="shared" ref="AH55" si="130">ABS(AA55)</f>
        <v>0.43372596857685447</v>
      </c>
      <c r="AI55" s="313">
        <f t="shared" ref="AI55" si="131">ABS(AB55)</f>
        <v>0.57149632684329921</v>
      </c>
      <c r="AK55" s="1068"/>
      <c r="AL55" s="1068"/>
      <c r="AM55" s="1068"/>
      <c r="AN55" s="1068"/>
      <c r="AO55" s="1068"/>
      <c r="AP55" s="1068"/>
      <c r="AQ55" s="1038"/>
      <c r="AR55" s="1038"/>
      <c r="AS55" s="1069"/>
      <c r="AT55" s="1069"/>
      <c r="AU55" s="1069"/>
      <c r="AV55" s="1069"/>
      <c r="AW55" s="1069"/>
      <c r="AX55" s="1069"/>
      <c r="BA55" s="302"/>
      <c r="BB55" s="302"/>
      <c r="BC55" s="302"/>
      <c r="BD55" s="314"/>
      <c r="BE55" s="302"/>
      <c r="BF55" s="302"/>
      <c r="BJ55" s="624">
        <f t="shared" si="96"/>
        <v>1725870.5450134957</v>
      </c>
      <c r="BK55" s="624">
        <f t="shared" si="97"/>
        <v>1711432.1361153666</v>
      </c>
      <c r="BL55" s="624">
        <f t="shared" si="98"/>
        <v>1003719.649943274</v>
      </c>
      <c r="BM55" s="624">
        <f>IF($F55=TRUE,ABS($E55-K55),"")</f>
        <v>905866.181293373</v>
      </c>
      <c r="BN55" s="624">
        <f t="shared" si="100"/>
        <v>1172099.7563041858</v>
      </c>
      <c r="BO55" s="624">
        <f t="shared" si="101"/>
        <v>1544409.9591723513</v>
      </c>
      <c r="BP55" s="624"/>
      <c r="BQ55" s="624"/>
      <c r="BR55" s="1069">
        <f t="shared" si="102"/>
        <v>0.63864433871614557</v>
      </c>
      <c r="BS55" s="1069">
        <f t="shared" si="103"/>
        <v>0.63330152309796328</v>
      </c>
      <c r="BT55" s="1069">
        <f t="shared" si="104"/>
        <v>0.37141828160084323</v>
      </c>
      <c r="BU55" s="1069">
        <f t="shared" si="105"/>
        <v>0.33520840250095491</v>
      </c>
      <c r="BV55" s="1069">
        <f t="shared" si="106"/>
        <v>0.43372596857685447</v>
      </c>
      <c r="BW55" s="1069">
        <f t="shared" si="107"/>
        <v>0.57149632684329921</v>
      </c>
      <c r="BZ55" s="302">
        <f t="shared" si="108"/>
        <v>0.63864433871614557</v>
      </c>
      <c r="CA55" s="302">
        <f t="shared" si="109"/>
        <v>0.63330152309796328</v>
      </c>
      <c r="CB55" s="302">
        <f t="shared" si="110"/>
        <v>0.37141828160084323</v>
      </c>
      <c r="CC55" s="302">
        <f t="shared" si="111"/>
        <v>0.33520840250095491</v>
      </c>
      <c r="CD55" s="302">
        <f t="shared" si="112"/>
        <v>0.43372596857685447</v>
      </c>
      <c r="CE55" s="302">
        <f t="shared" si="113"/>
        <v>0.57149632684329921</v>
      </c>
      <c r="CG55" s="1080"/>
      <c r="CJ55" s="1065"/>
    </row>
    <row r="56" spans="1:90">
      <c r="A56" s="285">
        <v>2013</v>
      </c>
      <c r="B56" s="285">
        <v>2015</v>
      </c>
      <c r="D56" s="623">
        <f>Odd_Even!E61</f>
        <v>4684239</v>
      </c>
      <c r="E56" s="623"/>
      <c r="F56" s="1137" t="b">
        <f t="shared" si="1"/>
        <v>0</v>
      </c>
      <c r="G56" s="1056">
        <f t="shared" si="64"/>
        <v>2015</v>
      </c>
      <c r="H56" s="466">
        <f t="shared" si="63"/>
        <v>21965453</v>
      </c>
      <c r="I56" s="466">
        <f>AVERAGE($E54,$E52)</f>
        <v>15804276</v>
      </c>
      <c r="J56" s="466">
        <f t="shared" si="23"/>
        <v>11477627.535688912</v>
      </c>
      <c r="K56" s="466">
        <f t="shared" si="31"/>
        <v>11489967.600517545</v>
      </c>
      <c r="L56" s="466">
        <f t="shared" si="39"/>
        <v>12598471.617478246</v>
      </c>
      <c r="M56" s="466">
        <f t="shared" si="54"/>
        <v>9511963.500801472</v>
      </c>
      <c r="O56" s="276"/>
      <c r="P56" s="459"/>
      <c r="Q56" s="459"/>
      <c r="R56" s="459"/>
      <c r="S56" s="459"/>
      <c r="T56" s="459"/>
      <c r="U56" s="459"/>
      <c r="W56" s="261"/>
      <c r="X56" s="261"/>
      <c r="Y56" s="261"/>
      <c r="Z56" s="261"/>
      <c r="AA56" s="261"/>
      <c r="AB56" s="261"/>
      <c r="AD56" s="302"/>
      <c r="AE56" s="302"/>
      <c r="AF56" s="302"/>
      <c r="AG56" s="302"/>
      <c r="AH56" s="315"/>
      <c r="AI56" s="313"/>
      <c r="AK56" s="1068"/>
      <c r="AL56" s="1068"/>
      <c r="AM56" s="1068"/>
      <c r="AN56" s="1068"/>
      <c r="AO56" s="1068"/>
      <c r="AP56" s="1068"/>
      <c r="AQ56" s="1038"/>
      <c r="AR56" s="1038"/>
      <c r="AS56" s="1069"/>
      <c r="AT56" s="1069"/>
      <c r="AU56" s="1069"/>
      <c r="AV56" s="1069"/>
      <c r="AW56" s="1069"/>
      <c r="AX56" s="1069"/>
      <c r="BA56" s="302"/>
      <c r="BB56" s="302"/>
      <c r="BC56" s="302"/>
      <c r="BD56" s="302"/>
      <c r="BE56" s="302"/>
      <c r="BF56" s="314"/>
      <c r="BJ56" s="624" t="str">
        <f t="shared" ref="BJ56:BJ57" si="132">IF($F56=TRUE,ABS($E56-H56),"")</f>
        <v/>
      </c>
      <c r="BK56" s="624" t="str">
        <f t="shared" ref="BK56:BK57" si="133">IF($F56=TRUE,ABS($E56-I56),"")</f>
        <v/>
      </c>
      <c r="BL56" s="624" t="str">
        <f t="shared" ref="BL56:BL57" si="134">IF($F56=TRUE,ABS($E56-J56),"")</f>
        <v/>
      </c>
      <c r="BM56" s="624" t="str">
        <f t="shared" ref="BM56:BM57" si="135">IF($F56=TRUE,ABS($E56-K56),"")</f>
        <v/>
      </c>
      <c r="BN56" s="624" t="str">
        <f t="shared" ref="BN56:BN57" si="136">IF($F56=TRUE,ABS($E56-L56),"")</f>
        <v/>
      </c>
      <c r="BO56" s="624" t="str">
        <f t="shared" ref="BO56:BO57" si="137">IF($F56=TRUE,ABS($E56-M56),"")</f>
        <v/>
      </c>
      <c r="BP56" s="624"/>
      <c r="BQ56" s="624"/>
      <c r="BR56" s="1069"/>
      <c r="BS56" s="624"/>
      <c r="BT56" s="624"/>
      <c r="BU56" s="624"/>
      <c r="BV56" s="624"/>
      <c r="BW56" s="1069"/>
      <c r="BZ56" s="302" t="str">
        <f t="shared" ref="BZ56:CE57" si="138">IF($F56 =TRUE,ABS(BJ56/$E56), " ")</f>
        <v xml:space="preserve"> </v>
      </c>
      <c r="CA56" s="302" t="str">
        <f t="shared" si="138"/>
        <v xml:space="preserve"> </v>
      </c>
      <c r="CB56" s="302" t="str">
        <f t="shared" si="138"/>
        <v xml:space="preserve"> </v>
      </c>
      <c r="CC56" s="302" t="str">
        <f t="shared" si="138"/>
        <v xml:space="preserve"> </v>
      </c>
      <c r="CD56" s="302" t="str">
        <f t="shared" si="138"/>
        <v xml:space="preserve"> </v>
      </c>
      <c r="CE56" s="302" t="str">
        <f t="shared" si="138"/>
        <v xml:space="preserve"> </v>
      </c>
      <c r="CG56" s="1080"/>
      <c r="CJ56" s="1065"/>
    </row>
    <row r="57" spans="1:90">
      <c r="A57" s="285"/>
      <c r="B57" s="285"/>
      <c r="D57" s="623"/>
      <c r="E57" s="624"/>
      <c r="G57" s="1056"/>
      <c r="H57" s="466"/>
      <c r="I57" s="466"/>
      <c r="J57" s="466"/>
      <c r="K57" s="466"/>
      <c r="L57" s="466"/>
      <c r="M57" s="466"/>
      <c r="O57" s="276"/>
      <c r="P57" s="459"/>
      <c r="Q57" s="459"/>
      <c r="R57" s="459"/>
      <c r="S57" s="459"/>
      <c r="T57" s="459"/>
      <c r="U57" s="459"/>
      <c r="W57" s="261"/>
      <c r="X57" s="261"/>
      <c r="Y57" s="261"/>
      <c r="Z57" s="261"/>
      <c r="AA57" s="261"/>
      <c r="AB57" s="261"/>
      <c r="AD57" s="316"/>
      <c r="AE57" s="316"/>
      <c r="AF57" s="316"/>
      <c r="AG57" s="316"/>
      <c r="AH57" s="316"/>
      <c r="AI57" s="316"/>
      <c r="AK57" s="1068"/>
      <c r="AL57" s="1068"/>
      <c r="AM57" s="1068"/>
      <c r="AN57" s="1068"/>
      <c r="AO57" s="1068"/>
      <c r="AP57" s="1068"/>
      <c r="AQ57" s="1038"/>
      <c r="AR57" s="1038"/>
      <c r="AS57" s="1069"/>
      <c r="AT57" s="1069"/>
      <c r="AU57" s="1069"/>
      <c r="AV57" s="1069"/>
      <c r="AW57" s="1069"/>
      <c r="AX57" s="1069"/>
      <c r="BA57" s="302"/>
      <c r="BB57" s="302"/>
      <c r="BF57" s="302"/>
      <c r="BJ57" s="624" t="str">
        <f t="shared" si="132"/>
        <v/>
      </c>
      <c r="BK57" s="624" t="str">
        <f t="shared" si="133"/>
        <v/>
      </c>
      <c r="BL57" s="624" t="str">
        <f t="shared" si="134"/>
        <v/>
      </c>
      <c r="BM57" s="624" t="str">
        <f t="shared" si="135"/>
        <v/>
      </c>
      <c r="BN57" s="624" t="str">
        <f t="shared" si="136"/>
        <v/>
      </c>
      <c r="BO57" s="624" t="str">
        <f t="shared" si="137"/>
        <v/>
      </c>
      <c r="BP57" s="624"/>
      <c r="BQ57" s="624"/>
      <c r="BR57" s="1069"/>
      <c r="BS57" s="624"/>
      <c r="BT57" s="624"/>
      <c r="BU57" s="624"/>
      <c r="BV57" s="624"/>
      <c r="BW57" s="1069"/>
      <c r="BZ57" s="302" t="str">
        <f t="shared" si="138"/>
        <v xml:space="preserve"> </v>
      </c>
      <c r="CA57" s="302" t="str">
        <f t="shared" si="138"/>
        <v xml:space="preserve"> </v>
      </c>
      <c r="CB57" s="302" t="str">
        <f t="shared" si="138"/>
        <v xml:space="preserve"> </v>
      </c>
      <c r="CC57" s="302" t="str">
        <f t="shared" si="138"/>
        <v xml:space="preserve"> </v>
      </c>
      <c r="CD57" s="302" t="str">
        <f t="shared" si="138"/>
        <v xml:space="preserve"> </v>
      </c>
      <c r="CE57" s="302" t="str">
        <f t="shared" si="138"/>
        <v xml:space="preserve"> </v>
      </c>
      <c r="CG57" s="1080"/>
      <c r="CJ57" s="1065"/>
    </row>
    <row r="58" spans="1:90">
      <c r="A58" s="285"/>
      <c r="B58" s="285"/>
      <c r="D58" s="623"/>
      <c r="E58" s="624"/>
      <c r="G58" s="1056"/>
      <c r="H58" s="466"/>
      <c r="I58" s="466"/>
      <c r="J58" s="466"/>
      <c r="K58" s="466"/>
      <c r="L58" s="466"/>
      <c r="M58" s="466"/>
      <c r="O58" s="276"/>
      <c r="P58" s="459"/>
      <c r="Q58" s="459"/>
      <c r="R58" s="459"/>
      <c r="S58" s="459"/>
      <c r="T58" s="459"/>
      <c r="U58" s="459"/>
      <c r="W58" s="261"/>
      <c r="X58" s="261"/>
      <c r="Y58" s="261"/>
      <c r="Z58" s="261"/>
      <c r="AA58" s="261"/>
      <c r="AB58" s="261"/>
      <c r="AD58" s="316"/>
      <c r="AE58" s="316"/>
      <c r="AF58" s="316"/>
      <c r="AG58" s="316"/>
      <c r="AH58" s="316"/>
      <c r="AI58" s="316"/>
      <c r="AK58" s="1068"/>
      <c r="AL58" s="1068"/>
      <c r="AM58" s="1068"/>
      <c r="AN58" s="1068"/>
      <c r="AO58" s="1068"/>
      <c r="AP58" s="1068"/>
      <c r="AQ58" s="1038"/>
      <c r="AR58" s="1038"/>
      <c r="AS58" s="1069"/>
      <c r="AT58" s="1069"/>
      <c r="AU58" s="1069"/>
      <c r="AV58" s="1069"/>
      <c r="AW58" s="1069"/>
      <c r="AX58" s="1069"/>
      <c r="BA58" s="302"/>
      <c r="BJ58" s="624"/>
      <c r="BK58" s="624"/>
      <c r="BL58" s="624"/>
      <c r="BM58" s="624"/>
      <c r="BN58" s="624"/>
      <c r="BO58" s="624"/>
      <c r="BP58" s="624"/>
      <c r="BQ58" s="624"/>
      <c r="BR58" s="1069"/>
      <c r="BS58" s="624"/>
      <c r="BT58" s="624"/>
      <c r="BU58" s="624"/>
      <c r="BV58" s="624"/>
      <c r="BW58" s="1069"/>
      <c r="CG58" s="1080"/>
      <c r="CJ58" s="1065"/>
    </row>
    <row r="59" spans="1:90">
      <c r="A59" s="285"/>
      <c r="B59" s="259"/>
      <c r="D59" s="468"/>
      <c r="E59" s="467"/>
      <c r="G59" s="1058"/>
      <c r="H59" s="1059"/>
      <c r="I59" s="1059"/>
      <c r="J59" s="1059"/>
      <c r="K59" s="1058"/>
      <c r="L59" s="1058"/>
      <c r="M59" s="1058"/>
      <c r="P59" s="459"/>
      <c r="AD59" s="316"/>
      <c r="AE59" s="316"/>
      <c r="AF59" s="316"/>
      <c r="AG59" s="316"/>
      <c r="AH59" s="316"/>
      <c r="AI59" s="316"/>
      <c r="AK59" s="1068"/>
      <c r="AL59" s="1068"/>
      <c r="AM59" s="1068"/>
      <c r="AN59" s="1068"/>
      <c r="AO59" s="1068"/>
      <c r="AP59" s="1068"/>
      <c r="AQ59" s="1038"/>
      <c r="AR59" s="1038"/>
      <c r="AS59" s="1038"/>
      <c r="AT59" s="1038"/>
      <c r="AU59" s="1038"/>
      <c r="AV59" s="1038"/>
      <c r="AW59" s="1038"/>
      <c r="AX59" s="1038"/>
      <c r="BA59" s="302"/>
      <c r="BJ59" s="1038"/>
      <c r="BK59" s="1038"/>
      <c r="BL59" s="1038"/>
      <c r="BM59" s="1038"/>
      <c r="BN59" s="1038"/>
      <c r="BO59" s="1038"/>
      <c r="BP59" s="1038"/>
      <c r="BQ59" s="1038"/>
      <c r="BR59" s="1069"/>
      <c r="BS59" s="1038"/>
      <c r="BT59" s="1038"/>
      <c r="BU59" s="1038"/>
      <c r="BV59" s="1038"/>
      <c r="BW59" s="1069"/>
    </row>
    <row r="60" spans="1:90" ht="17" thickBot="1">
      <c r="A60" s="285"/>
      <c r="B60" s="259"/>
      <c r="D60" s="468"/>
      <c r="E60" s="467"/>
      <c r="G60" s="1058"/>
      <c r="H60" s="1059"/>
      <c r="I60" s="1059"/>
      <c r="J60" s="1059"/>
      <c r="K60" s="1058"/>
      <c r="L60" s="1058"/>
      <c r="M60" s="1058"/>
      <c r="P60" s="459"/>
      <c r="AD60" s="316"/>
      <c r="AE60" s="316"/>
      <c r="AF60" s="316"/>
      <c r="AG60" s="316"/>
      <c r="AH60" s="316"/>
      <c r="AI60" s="316"/>
      <c r="AK60" s="1038"/>
      <c r="AL60" s="1038"/>
      <c r="AM60" s="1038"/>
      <c r="AN60" s="1038"/>
      <c r="AO60" s="1038"/>
      <c r="AP60" s="1038"/>
      <c r="AQ60" s="1038"/>
      <c r="AR60" s="1038"/>
      <c r="AS60" s="1038"/>
      <c r="AT60" s="1038"/>
      <c r="AU60" s="1038"/>
      <c r="AV60" s="1038"/>
      <c r="AW60" s="1038"/>
      <c r="AX60" s="1038"/>
      <c r="BA60" s="302"/>
      <c r="BJ60" s="1038"/>
      <c r="BK60" s="1038"/>
      <c r="BL60" s="1038"/>
      <c r="BM60" s="1038"/>
      <c r="BN60" s="1038"/>
      <c r="BO60" s="1038"/>
      <c r="BP60" s="1038"/>
      <c r="BQ60" s="1038"/>
      <c r="BR60" s="1069"/>
      <c r="BS60" s="1038"/>
      <c r="BT60" s="1038"/>
      <c r="BU60" s="1038"/>
      <c r="BV60" s="1038"/>
      <c r="BW60" s="1038"/>
    </row>
    <row r="61" spans="1:90" ht="32">
      <c r="D61" s="468"/>
      <c r="E61" s="468"/>
      <c r="G61" s="1058"/>
      <c r="H61" s="1058"/>
      <c r="I61" s="1076"/>
      <c r="J61" s="1058"/>
      <c r="K61" s="1058"/>
      <c r="L61" s="1058"/>
      <c r="M61" s="1058"/>
      <c r="O61" s="270" t="s">
        <v>215</v>
      </c>
      <c r="P61" s="460">
        <f t="shared" ref="P61:U61" si="139">SUM(P4:P60)</f>
        <v>-9256406</v>
      </c>
      <c r="Q61" s="460">
        <f t="shared" si="139"/>
        <v>-14512808.272506747</v>
      </c>
      <c r="R61" s="460">
        <f t="shared" si="139"/>
        <v>-17404996.808103669</v>
      </c>
      <c r="S61" s="460">
        <f t="shared" si="139"/>
        <v>-19157074.944052741</v>
      </c>
      <c r="T61" s="460">
        <f t="shared" si="139"/>
        <v>-19138491.517755151</v>
      </c>
      <c r="U61" s="460">
        <f t="shared" si="139"/>
        <v>-404240.67964601517</v>
      </c>
      <c r="V61" s="273" t="s">
        <v>213</v>
      </c>
      <c r="W61" s="296">
        <f>AVERAGE(W5:W59)</f>
        <v>0.53745535339497252</v>
      </c>
      <c r="X61" s="296">
        <f t="shared" ref="X61:AB61" si="140">AVERAGE(X5:X59)</f>
        <v>0.59737428597769859</v>
      </c>
      <c r="Y61" s="296">
        <f t="shared" si="140"/>
        <v>0.65036551067886839</v>
      </c>
      <c r="Z61" s="296">
        <f t="shared" si="140"/>
        <v>0.79067608979223314</v>
      </c>
      <c r="AA61" s="296">
        <f t="shared" si="140"/>
        <v>0.88523559040080657</v>
      </c>
      <c r="AB61" s="296">
        <f t="shared" si="140"/>
        <v>0.8545542199571573</v>
      </c>
      <c r="AC61" s="270" t="s">
        <v>211</v>
      </c>
      <c r="AD61" s="311">
        <f>AVERAGE(AD5:AD59)</f>
        <v>0.9851818508314879</v>
      </c>
      <c r="AE61" s="312">
        <f t="shared" ref="AE61:AI61" si="141">AVERAGE(AE5:AE59)</f>
        <v>0.99379987356488109</v>
      </c>
      <c r="AF61" s="311">
        <f t="shared" si="141"/>
        <v>1.0276801591157556</v>
      </c>
      <c r="AG61" s="311">
        <f t="shared" si="141"/>
        <v>1.1753421418424044</v>
      </c>
      <c r="AH61" s="311">
        <f t="shared" si="141"/>
        <v>1.2698717579826302</v>
      </c>
      <c r="AI61" s="311">
        <f t="shared" si="141"/>
        <v>1.1502559677990591</v>
      </c>
      <c r="AJ61" s="270" t="s">
        <v>227</v>
      </c>
      <c r="AK61" s="1039">
        <f t="shared" ref="AK61:AP61" si="142">AVERAGE(AK6:AK59)</f>
        <v>5031797.6510748006</v>
      </c>
      <c r="AL61" s="1040">
        <f t="shared" si="142"/>
        <v>4900913.8292704197</v>
      </c>
      <c r="AM61" s="1039">
        <f t="shared" si="142"/>
        <v>4937429.202604874</v>
      </c>
      <c r="AN61" s="1039">
        <f t="shared" si="142"/>
        <v>5248411.4091922734</v>
      </c>
      <c r="AO61" s="1039">
        <f t="shared" si="142"/>
        <v>5705310.9412167324</v>
      </c>
      <c r="AP61" s="1041">
        <f t="shared" si="142"/>
        <v>5531596.1585343573</v>
      </c>
      <c r="AQ61" s="623"/>
      <c r="AR61" s="1071"/>
      <c r="AS61" s="1039"/>
      <c r="AT61" s="1039"/>
      <c r="AU61" s="1039"/>
      <c r="AV61" s="1039"/>
      <c r="AW61" s="1039"/>
      <c r="AX61" s="1041"/>
      <c r="AY61" s="285"/>
      <c r="AZ61" s="270" t="s">
        <v>211</v>
      </c>
      <c r="BA61" s="311">
        <f>AVERAGE(BA5:BA59)</f>
        <v>0.79410451263096948</v>
      </c>
      <c r="BB61" s="311">
        <f>AVERAGE(BB5:BB59)</f>
        <v>0.7470124046672878</v>
      </c>
      <c r="BC61" s="311">
        <f>AVERAGE(BC5:BC59)</f>
        <v>0.79381023978002618</v>
      </c>
      <c r="BD61" s="311">
        <f>AVERAGE(BD5:BD59)</f>
        <v>0.92052049191001506</v>
      </c>
      <c r="BE61" s="311">
        <f t="shared" ref="BE61:BF61" si="143">AVERAGE(BE5:BE59)</f>
        <v>1.0146583347862981</v>
      </c>
      <c r="BF61" s="1066">
        <f t="shared" si="143"/>
        <v>1.1272445573815131</v>
      </c>
      <c r="BI61" s="270" t="s">
        <v>227</v>
      </c>
      <c r="BJ61" s="1040">
        <f t="shared" ref="BJ61:BO61" si="144">AVERAGE(BJ6:BJ59)</f>
        <v>3638350.1690847408</v>
      </c>
      <c r="BK61" s="1039">
        <f t="shared" si="144"/>
        <v>3873166.1760330098</v>
      </c>
      <c r="BL61" s="1039">
        <f t="shared" si="144"/>
        <v>3915948.5577072124</v>
      </c>
      <c r="BM61" s="1039">
        <f t="shared" si="144"/>
        <v>4140933.4361863653</v>
      </c>
      <c r="BN61" s="1039">
        <f t="shared" si="144"/>
        <v>4239034.2494611209</v>
      </c>
      <c r="BO61" s="1041">
        <f t="shared" si="144"/>
        <v>4360285.9950952213</v>
      </c>
      <c r="BP61" s="623"/>
      <c r="BQ61" s="1071"/>
      <c r="BR61" s="1039"/>
      <c r="BS61" s="1039"/>
      <c r="BT61" s="1039"/>
      <c r="BU61" s="1039"/>
      <c r="BV61" s="1039"/>
      <c r="BW61" s="1041"/>
      <c r="BY61" s="270" t="s">
        <v>211</v>
      </c>
      <c r="BZ61" s="303">
        <f>AVERAGE(BZ5:BZ59)</f>
        <v>1.1778760830660404</v>
      </c>
      <c r="CA61" s="1063">
        <f t="shared" ref="CA61:CE61" si="145">AVERAGE(CA5:CA59)</f>
        <v>1.2319481928298417</v>
      </c>
      <c r="CB61" s="303">
        <f t="shared" si="145"/>
        <v>1.2583860738316457</v>
      </c>
      <c r="CC61" s="303">
        <f t="shared" si="145"/>
        <v>1.4359310495829731</v>
      </c>
      <c r="CD61" s="303">
        <f t="shared" si="145"/>
        <v>1.534170485015484</v>
      </c>
      <c r="CE61" s="304">
        <f t="shared" si="145"/>
        <v>1.1994026453495796</v>
      </c>
    </row>
    <row r="62" spans="1:90" ht="49" thickBot="1">
      <c r="D62" s="468"/>
      <c r="E62" s="468"/>
      <c r="H62" s="470" t="s">
        <v>239</v>
      </c>
      <c r="I62" s="470" t="s">
        <v>219</v>
      </c>
      <c r="J62" s="470" t="s">
        <v>220</v>
      </c>
      <c r="K62" s="470" t="s">
        <v>221</v>
      </c>
      <c r="L62" s="470" t="s">
        <v>222</v>
      </c>
      <c r="M62" s="914" t="s">
        <v>244</v>
      </c>
      <c r="O62" s="275"/>
      <c r="P62" s="461"/>
      <c r="Q62" s="461"/>
      <c r="R62" s="462"/>
      <c r="S62" s="461"/>
      <c r="T62" s="461"/>
      <c r="U62" s="461"/>
      <c r="V62" s="470"/>
      <c r="W62" s="738"/>
      <c r="X62" s="739"/>
      <c r="Y62" s="739"/>
      <c r="Z62" s="739"/>
      <c r="AA62" s="739"/>
      <c r="AB62" s="739"/>
      <c r="AC62" s="275"/>
      <c r="AD62" s="305"/>
      <c r="AE62" s="306"/>
      <c r="AF62" s="305"/>
      <c r="AG62" s="305"/>
      <c r="AH62" s="305"/>
      <c r="AI62" s="305"/>
      <c r="AJ62" s="275"/>
      <c r="AK62" s="623"/>
      <c r="AL62" s="1042"/>
      <c r="AM62" s="623"/>
      <c r="AN62" s="623"/>
      <c r="AO62" s="623"/>
      <c r="AP62" s="1043"/>
      <c r="AQ62" s="623"/>
      <c r="AR62" s="1072" t="s">
        <v>387</v>
      </c>
      <c r="AS62" s="1070">
        <f>MAX(AS8:AS52)</f>
        <v>3.8898636500918373</v>
      </c>
      <c r="AT62" s="1070">
        <f>MAX(AT8:AT52)</f>
        <v>4.0559724504040062</v>
      </c>
      <c r="AU62" s="1070">
        <f t="shared" ref="AU62:AX62" si="146">MAX(AU8:AU52)</f>
        <v>4.4777323666951405</v>
      </c>
      <c r="AV62" s="1070">
        <f t="shared" si="146"/>
        <v>6.3388330539968454</v>
      </c>
      <c r="AW62" s="1070">
        <f t="shared" si="146"/>
        <v>6.3704550138631264</v>
      </c>
      <c r="AX62" s="1073">
        <f t="shared" si="146"/>
        <v>6.2225725270295316</v>
      </c>
      <c r="AY62" s="285"/>
      <c r="AZ62" s="275"/>
      <c r="BA62" s="305"/>
      <c r="BB62" s="305"/>
      <c r="BC62" s="305"/>
      <c r="BD62" s="305"/>
      <c r="BE62" s="305"/>
      <c r="BF62" s="307"/>
      <c r="BI62" s="275" t="s">
        <v>326</v>
      </c>
      <c r="BJ62" s="623">
        <f t="shared" ref="BJ62:BO62" si="147">COUNT(BJ3:BJ60)</f>
        <v>26</v>
      </c>
      <c r="BK62" s="623">
        <f>COUNT(BK3:BK60)</f>
        <v>25</v>
      </c>
      <c r="BL62" s="623">
        <f t="shared" si="147"/>
        <v>24</v>
      </c>
      <c r="BM62" s="623">
        <f t="shared" si="147"/>
        <v>23</v>
      </c>
      <c r="BN62" s="623">
        <f t="shared" si="147"/>
        <v>22</v>
      </c>
      <c r="BO62" s="1043">
        <f t="shared" si="147"/>
        <v>17</v>
      </c>
      <c r="BP62" s="623"/>
      <c r="BQ62" s="1072" t="s">
        <v>387</v>
      </c>
      <c r="BR62" s="1070">
        <f>MAX(BR5:BR53)</f>
        <v>8.1958291796613452</v>
      </c>
      <c r="BS62" s="1070">
        <f>MAX(BS7:BS53)</f>
        <v>6.5739783444335282</v>
      </c>
      <c r="BT62" s="1070">
        <f>MAX(BT8:BT53)</f>
        <v>7.2175749432916643</v>
      </c>
      <c r="BU62" s="1070">
        <f>MAX(BU8:BU53)</f>
        <v>7.1459802448985137</v>
      </c>
      <c r="BV62" s="1070">
        <f>MAX(BV8:BV53)</f>
        <v>7.289610020898218</v>
      </c>
      <c r="BW62" s="1073">
        <f>MAX(BW8:BW53)</f>
        <v>5.4434436946550715</v>
      </c>
      <c r="BY62" s="275" t="s">
        <v>326</v>
      </c>
      <c r="BZ62" s="476">
        <f t="shared" ref="BZ62:CE62" si="148">COUNT(BZ3:BZ60)</f>
        <v>26</v>
      </c>
      <c r="CA62" s="1064">
        <f t="shared" si="148"/>
        <v>25</v>
      </c>
      <c r="CB62" s="476">
        <f t="shared" si="148"/>
        <v>24</v>
      </c>
      <c r="CC62" s="476">
        <f t="shared" si="148"/>
        <v>23</v>
      </c>
      <c r="CD62" s="476">
        <f t="shared" si="148"/>
        <v>22</v>
      </c>
      <c r="CE62" s="476">
        <f t="shared" si="148"/>
        <v>17</v>
      </c>
    </row>
    <row r="63" spans="1:90" ht="51" thickBot="1">
      <c r="B63" s="913"/>
      <c r="C63" s="913"/>
      <c r="D63" s="913"/>
      <c r="E63" s="260"/>
      <c r="F63" s="913"/>
      <c r="G63" s="915"/>
      <c r="H63" s="920">
        <f>VLOOKUP(Forecast_Year,$G3:$M61,2)</f>
        <v>21965453</v>
      </c>
      <c r="I63" s="920">
        <f>VLOOKUP(Forecast_Year,$G3:$M61,3)</f>
        <v>15804276</v>
      </c>
      <c r="J63" s="920">
        <f>VLOOKUP(Forecast_Year,$G3:$M61,4)</f>
        <v>11477627.535688912</v>
      </c>
      <c r="K63" s="920">
        <f>VLOOKUP(Forecast_Year,$G3:$M61,5)</f>
        <v>11489967.600517545</v>
      </c>
      <c r="L63" s="920">
        <f>VLOOKUP(Forecast_Year,$G3:$M61,6)</f>
        <v>12598471.617478246</v>
      </c>
      <c r="M63" s="921">
        <f>VLOOKUP(Forecast_Year,$G3:$M61,7)</f>
        <v>9511963.500801472</v>
      </c>
      <c r="O63" s="275" t="s">
        <v>216</v>
      </c>
      <c r="P63" s="461">
        <f t="shared" ref="P63:U63" si="149">AVERAGE(P5:P59)</f>
        <v>-181498.15686274509</v>
      </c>
      <c r="Q63" s="461">
        <f t="shared" si="149"/>
        <v>-296179.76066340302</v>
      </c>
      <c r="R63" s="462">
        <f t="shared" si="149"/>
        <v>-370319.08102348231</v>
      </c>
      <c r="S63" s="461">
        <f t="shared" si="149"/>
        <v>-425712.77653450536</v>
      </c>
      <c r="T63" s="461">
        <f t="shared" si="149"/>
        <v>-445081.1980873291</v>
      </c>
      <c r="U63" s="461">
        <f t="shared" si="149"/>
        <v>-12249.717565030762</v>
      </c>
      <c r="V63" s="274" t="s">
        <v>214</v>
      </c>
      <c r="W63" s="284">
        <f t="shared" ref="W63:AB63" si="150">MEDIAN(W5:W59)</f>
        <v>-1.3174829257914796E-2</v>
      </c>
      <c r="X63" s="284">
        <f t="shared" si="150"/>
        <v>1.9394295544615994E-2</v>
      </c>
      <c r="Y63" s="284">
        <f t="shared" si="150"/>
        <v>0.14971974476705827</v>
      </c>
      <c r="Z63" s="284">
        <f t="shared" si="150"/>
        <v>9.6686550669391608E-2</v>
      </c>
      <c r="AA63" s="295">
        <f t="shared" si="150"/>
        <v>-1.3118189328664187E-2</v>
      </c>
      <c r="AB63" s="295">
        <f t="shared" si="150"/>
        <v>0.26394269402153897</v>
      </c>
      <c r="AC63" s="275" t="s">
        <v>212</v>
      </c>
      <c r="AD63" s="305">
        <f t="shared" ref="AD63:AI63" si="151">STDEV(AD5:AD59)</f>
        <v>1.5072930449157358</v>
      </c>
      <c r="AE63" s="306">
        <f t="shared" si="151"/>
        <v>1.4176511015608706</v>
      </c>
      <c r="AF63" s="305">
        <f t="shared" si="151"/>
        <v>1.4820915286586298</v>
      </c>
      <c r="AG63" s="305">
        <f t="shared" si="151"/>
        <v>1.7775493329808161</v>
      </c>
      <c r="AH63" s="305">
        <f t="shared" si="151"/>
        <v>1.8593066934753377</v>
      </c>
      <c r="AI63" s="305">
        <f t="shared" si="151"/>
        <v>1.5676029698378435</v>
      </c>
      <c r="AJ63" s="275" t="s">
        <v>223</v>
      </c>
      <c r="AK63" s="1042">
        <f t="shared" ref="AK63:AP63" si="152">MEDIAN(AK6:AK59)</f>
        <v>5213536</v>
      </c>
      <c r="AL63" s="623">
        <f t="shared" si="152"/>
        <v>3465188.2404020978</v>
      </c>
      <c r="AM63" s="623">
        <f t="shared" si="152"/>
        <v>3957829</v>
      </c>
      <c r="AN63" s="623">
        <f t="shared" si="152"/>
        <v>4261215.4904020978</v>
      </c>
      <c r="AO63" s="623">
        <f t="shared" si="152"/>
        <v>5334326.4000000004</v>
      </c>
      <c r="AP63" s="1043">
        <f t="shared" si="152"/>
        <v>4274330.7837185254</v>
      </c>
      <c r="AQ63" s="623"/>
      <c r="AR63" s="1072" t="s">
        <v>388</v>
      </c>
      <c r="AS63" s="1070">
        <f>MIN(AS8:AS52)</f>
        <v>-0.72476049945997945</v>
      </c>
      <c r="AT63" s="1070">
        <f>MIN(AT8:AT52)</f>
        <v>-0.73641263827187475</v>
      </c>
      <c r="AU63" s="1070">
        <f t="shared" ref="AU63:AX63" si="153">MIN(AU8:AU52)</f>
        <v>-0.71413566554721486</v>
      </c>
      <c r="AV63" s="1070">
        <f t="shared" si="153"/>
        <v>-0.62362893363982574</v>
      </c>
      <c r="AW63" s="1070">
        <f t="shared" si="153"/>
        <v>-0.63852821576622265</v>
      </c>
      <c r="AX63" s="1073">
        <f t="shared" si="153"/>
        <v>-0.56511303356061171</v>
      </c>
      <c r="AY63" s="285"/>
      <c r="AZ63" s="275" t="s">
        <v>212</v>
      </c>
      <c r="BA63" s="305">
        <f>STDEV(BA5:BA59)</f>
        <v>0.93563853393169094</v>
      </c>
      <c r="BB63" s="305">
        <f>STDEV(BB5:BB59)</f>
        <v>1.0402599789946769</v>
      </c>
      <c r="BC63" s="305">
        <f>STDEV(BC5:BC59)</f>
        <v>1.1111036044409626</v>
      </c>
      <c r="BD63" s="305">
        <f>STDEV(BD5:BD59)</f>
        <v>1.4376495503263591</v>
      </c>
      <c r="BE63" s="305">
        <f t="shared" ref="BE63:BF63" si="154">STDEV(BE5:BE59)</f>
        <v>1.4707706846572395</v>
      </c>
      <c r="BF63" s="307">
        <f t="shared" si="154"/>
        <v>1.6369980844703194</v>
      </c>
      <c r="BI63" s="275" t="s">
        <v>223</v>
      </c>
      <c r="BJ63" s="623">
        <f t="shared" ref="BJ63:BO63" si="155">MEDIAN(BJ6:BJ59)</f>
        <v>2115665.5</v>
      </c>
      <c r="BK63" s="623">
        <f t="shared" si="155"/>
        <v>2497883.5</v>
      </c>
      <c r="BL63" s="623">
        <f t="shared" si="155"/>
        <v>2204042.0833333335</v>
      </c>
      <c r="BM63" s="1042">
        <f t="shared" si="155"/>
        <v>1936488.3578743362</v>
      </c>
      <c r="BN63" s="623">
        <f t="shared" si="155"/>
        <v>2008714.1253898256</v>
      </c>
      <c r="BO63" s="1043">
        <f t="shared" si="155"/>
        <v>3310233.0999999996</v>
      </c>
      <c r="BP63" s="623"/>
      <c r="BQ63" s="1072" t="s">
        <v>388</v>
      </c>
      <c r="BR63" s="1070">
        <f>MIN(BR5:BR53)</f>
        <v>-0.86327899940434838</v>
      </c>
      <c r="BS63" s="1070">
        <f>MIN(BS7:BS53)</f>
        <v>-0.81853273560366713</v>
      </c>
      <c r="BT63" s="1070">
        <f>MIN(BT8:BT53)</f>
        <v>-0.85492903387366281</v>
      </c>
      <c r="BU63" s="1070">
        <f>MIN(BU8:BU53)</f>
        <v>-0.87878120576718166</v>
      </c>
      <c r="BV63" s="1070">
        <f>MIN(BV8:BV53)</f>
        <v>-0.84894706090717265</v>
      </c>
      <c r="BW63" s="1073">
        <f>MIN(BW8:BW53)</f>
        <v>-0.73977191627786187</v>
      </c>
      <c r="BY63" s="275" t="s">
        <v>212</v>
      </c>
      <c r="BZ63" s="305">
        <f t="shared" ref="BZ63:CE63" si="156">STDEV(BZ5:BZ59)</f>
        <v>1.9124891323288822</v>
      </c>
      <c r="CA63" s="1086">
        <f t="shared" si="156"/>
        <v>1.7049492467062384</v>
      </c>
      <c r="CB63" s="305">
        <f t="shared" si="156"/>
        <v>1.7752354365850385</v>
      </c>
      <c r="CC63" s="305">
        <f t="shared" si="156"/>
        <v>2.0709161739542989</v>
      </c>
      <c r="CD63" s="305">
        <f t="shared" si="156"/>
        <v>2.1903548672793103</v>
      </c>
      <c r="CE63" s="307">
        <f t="shared" si="156"/>
        <v>1.5974595348774541</v>
      </c>
    </row>
    <row r="64" spans="1:90" ht="17" thickBot="1">
      <c r="O64" s="271" t="s">
        <v>214</v>
      </c>
      <c r="P64" s="463">
        <f t="shared" ref="P64:U64" si="157">MEDIAN(P5:P59)</f>
        <v>-112460</v>
      </c>
      <c r="Q64" s="463">
        <f t="shared" si="157"/>
        <v>76417</v>
      </c>
      <c r="R64" s="463">
        <f t="shared" si="157"/>
        <v>676281.33333333302</v>
      </c>
      <c r="S64" s="463">
        <f t="shared" si="157"/>
        <v>562367.75</v>
      </c>
      <c r="T64" s="464">
        <f t="shared" si="157"/>
        <v>-126499.99839705229</v>
      </c>
      <c r="U64" s="464">
        <f t="shared" si="157"/>
        <v>1468565.7999999998</v>
      </c>
      <c r="AC64" s="271" t="s">
        <v>214</v>
      </c>
      <c r="AD64" s="308">
        <f t="shared" ref="AD64:AI64" si="158">MEDIAN(AD5:AD59)</f>
        <v>0.49015805974800186</v>
      </c>
      <c r="AE64" s="309">
        <f t="shared" si="158"/>
        <v>0.45412342155336449</v>
      </c>
      <c r="AF64" s="308">
        <f t="shared" si="158"/>
        <v>0.45391765200908069</v>
      </c>
      <c r="AG64" s="308">
        <f t="shared" si="158"/>
        <v>0.55272937123694343</v>
      </c>
      <c r="AH64" s="308">
        <f t="shared" si="158"/>
        <v>0.56716790013352192</v>
      </c>
      <c r="AI64" s="308">
        <f t="shared" si="158"/>
        <v>0.56511303356061171</v>
      </c>
      <c r="AJ64" s="272" t="s">
        <v>224</v>
      </c>
      <c r="AK64" s="1044">
        <f t="shared" ref="AK64:AP64" si="159">STDEV(AK6:AK59)</f>
        <v>3599829.6658610092</v>
      </c>
      <c r="AL64" s="1045">
        <f t="shared" si="159"/>
        <v>4431622.5426341826</v>
      </c>
      <c r="AM64" s="1045">
        <f t="shared" si="159"/>
        <v>4025550.6688081133</v>
      </c>
      <c r="AN64" s="1045">
        <f t="shared" si="159"/>
        <v>4002851.2845654404</v>
      </c>
      <c r="AO64" s="1045">
        <f t="shared" si="159"/>
        <v>4125080.4714293326</v>
      </c>
      <c r="AP64" s="1046">
        <f t="shared" si="159"/>
        <v>4065108.7569339308</v>
      </c>
      <c r="AQ64" s="623"/>
      <c r="AR64" s="1074"/>
      <c r="AS64" s="1045"/>
      <c r="AT64" s="1045"/>
      <c r="AU64" s="1045"/>
      <c r="AV64" s="1045"/>
      <c r="AW64" s="1045"/>
      <c r="AX64" s="1046"/>
      <c r="AY64" s="285"/>
      <c r="AZ64" s="271" t="s">
        <v>214</v>
      </c>
      <c r="BA64" s="308">
        <f>MEDIAN(BA5:BA59)</f>
        <v>0.52280780378422176</v>
      </c>
      <c r="BB64" s="308">
        <f>MEDIAN(BB5:BB59)</f>
        <v>0.34026080663860325</v>
      </c>
      <c r="BC64" s="308">
        <f>MEDIAN(BC5:BC59)</f>
        <v>0.44964984614441805</v>
      </c>
      <c r="BD64" s="308">
        <f>MEDIAN(BD5:BD59)</f>
        <v>0.55272937123694343</v>
      </c>
      <c r="BE64" s="308">
        <f t="shared" ref="BE64:BF64" si="160">MEDIAN(BE5:BE59)</f>
        <v>0.56163020987558177</v>
      </c>
      <c r="BF64" s="310">
        <f t="shared" si="160"/>
        <v>0.48869685461834794</v>
      </c>
      <c r="BI64" s="272" t="s">
        <v>224</v>
      </c>
      <c r="BJ64" s="1045">
        <f t="shared" ref="BJ64:BO64" si="161">STDEV(BJ6:BJ59)</f>
        <v>4149828.5078121638</v>
      </c>
      <c r="BK64" s="1044">
        <f t="shared" si="161"/>
        <v>3929915.3874509134</v>
      </c>
      <c r="BL64" s="1045">
        <f t="shared" si="161"/>
        <v>4101949.7856017086</v>
      </c>
      <c r="BM64" s="1045">
        <f t="shared" si="161"/>
        <v>4399854.8081422709</v>
      </c>
      <c r="BN64" s="1045">
        <f t="shared" si="161"/>
        <v>4479039.9831005745</v>
      </c>
      <c r="BO64" s="1046">
        <f t="shared" si="161"/>
        <v>4172600.0018743742</v>
      </c>
      <c r="BP64" s="623"/>
      <c r="BQ64" s="1074"/>
      <c r="BR64" s="1045"/>
      <c r="BS64" s="1045"/>
      <c r="BT64" s="1045"/>
      <c r="BU64" s="1045"/>
      <c r="BV64" s="1045"/>
      <c r="BW64" s="1046"/>
      <c r="BY64" s="271" t="s">
        <v>214</v>
      </c>
      <c r="BZ64" s="308">
        <f>MEDIAN(BZ5:BZ59)</f>
        <v>0.47324775488054627</v>
      </c>
      <c r="CA64" s="1087">
        <f t="shared" ref="CA64:CE64" si="162">MEDIAN(CA5:CA59)</f>
        <v>0.53526392335040274</v>
      </c>
      <c r="CB64" s="308">
        <f t="shared" si="162"/>
        <v>0.43048938894575889</v>
      </c>
      <c r="CC64" s="308">
        <f t="shared" si="162"/>
        <v>0.57586037034121318</v>
      </c>
      <c r="CD64" s="308">
        <f t="shared" si="162"/>
        <v>0.7020170185045459</v>
      </c>
      <c r="CE64" s="310">
        <f t="shared" si="162"/>
        <v>0.64499353513103352</v>
      </c>
    </row>
    <row r="65" spans="15:83">
      <c r="O65" s="470"/>
      <c r="P65" s="461"/>
      <c r="Q65" s="461"/>
      <c r="R65" s="461"/>
      <c r="S65" s="461"/>
      <c r="T65" s="462"/>
      <c r="U65" s="462"/>
      <c r="AC65" s="470"/>
      <c r="AD65" s="305"/>
      <c r="AE65" s="306"/>
      <c r="AF65" s="305"/>
      <c r="AG65" s="305"/>
      <c r="AH65" s="305"/>
      <c r="AI65" s="305"/>
      <c r="AJ65" s="474"/>
      <c r="AK65" s="1042"/>
      <c r="AL65" s="623"/>
      <c r="AM65" s="623"/>
      <c r="AN65" s="623"/>
      <c r="AO65" s="623"/>
      <c r="AP65" s="623"/>
      <c r="AQ65" s="623"/>
      <c r="AR65" s="623"/>
      <c r="AS65" s="623"/>
      <c r="AT65" s="623"/>
      <c r="AU65" s="623"/>
      <c r="AV65" s="623"/>
      <c r="AW65" s="623"/>
      <c r="AX65" s="623"/>
      <c r="AY65" s="285"/>
      <c r="AZ65" s="470"/>
      <c r="BA65" s="305"/>
      <c r="BB65" s="305"/>
      <c r="BC65" s="305"/>
      <c r="BD65" s="305"/>
      <c r="BE65" s="305"/>
      <c r="BF65" s="305"/>
      <c r="BI65" s="474"/>
      <c r="BJ65" s="623"/>
      <c r="BK65" s="1042"/>
      <c r="BL65" s="623"/>
      <c r="BM65" s="623"/>
      <c r="BN65" s="623"/>
      <c r="BO65" s="623"/>
      <c r="BP65" s="623"/>
      <c r="BQ65" s="623"/>
      <c r="BR65" s="623"/>
      <c r="BS65" s="623"/>
      <c r="BT65" s="623"/>
      <c r="BU65" s="623"/>
      <c r="BV65" s="623"/>
      <c r="BW65" s="623"/>
      <c r="BY65" s="470"/>
      <c r="BZ65" s="305"/>
      <c r="CA65" s="1086"/>
      <c r="CB65" s="305"/>
      <c r="CC65" s="305"/>
      <c r="CD65" s="305"/>
      <c r="CE65" s="305"/>
    </row>
    <row r="66" spans="15:83">
      <c r="O66" s="470"/>
      <c r="P66" s="461"/>
      <c r="Q66" s="461"/>
      <c r="R66" s="461"/>
      <c r="S66" s="461"/>
      <c r="T66" s="462"/>
      <c r="U66" s="462"/>
      <c r="AC66" s="470"/>
      <c r="AD66" s="305"/>
      <c r="AE66" s="306"/>
      <c r="AF66" s="305"/>
      <c r="AG66" s="305"/>
      <c r="AH66" s="305"/>
      <c r="AI66" s="305"/>
      <c r="AJ66" s="474"/>
      <c r="AK66" s="1042"/>
      <c r="AL66" s="623"/>
      <c r="AM66" s="623"/>
      <c r="AN66" s="623"/>
      <c r="AO66" s="623"/>
      <c r="AP66" s="623"/>
      <c r="AQ66" s="623"/>
      <c r="AR66" s="623"/>
      <c r="AS66" s="623"/>
      <c r="AT66" s="623"/>
      <c r="AU66" s="623"/>
      <c r="AV66" s="623"/>
      <c r="AW66" s="623"/>
      <c r="AX66" s="623"/>
      <c r="AY66" s="285"/>
      <c r="AZ66" s="470"/>
      <c r="BA66" s="305"/>
      <c r="BB66" s="305"/>
      <c r="BC66" s="305"/>
      <c r="BD66" s="305"/>
      <c r="BE66" s="305"/>
      <c r="BF66" s="305"/>
      <c r="BI66" s="474"/>
      <c r="BJ66" s="623"/>
      <c r="BK66" s="1042"/>
      <c r="BL66" s="623"/>
      <c r="BM66" s="623"/>
      <c r="BN66" s="623"/>
      <c r="BO66" s="623"/>
      <c r="BP66" s="623"/>
      <c r="BQ66" s="623"/>
      <c r="BR66" s="623"/>
      <c r="BS66" s="623"/>
      <c r="BT66" s="623"/>
      <c r="BU66" s="623"/>
      <c r="BV66" s="623"/>
      <c r="BW66" s="623"/>
      <c r="BY66" s="470"/>
      <c r="BZ66" s="305"/>
      <c r="CA66" s="1086"/>
      <c r="CB66" s="305"/>
      <c r="CC66" s="305"/>
      <c r="CD66" s="305"/>
      <c r="CE66" s="305"/>
    </row>
    <row r="67" spans="15:83">
      <c r="O67" s="470"/>
      <c r="P67" s="461"/>
      <c r="Q67" s="461"/>
      <c r="R67" s="461"/>
      <c r="S67" s="461"/>
      <c r="T67" s="462"/>
      <c r="U67" s="462"/>
      <c r="AC67" s="470"/>
      <c r="AD67" s="305"/>
      <c r="AE67" s="306"/>
      <c r="AF67" s="305"/>
      <c r="AG67" s="305"/>
      <c r="AH67" s="305"/>
      <c r="AI67" s="305"/>
      <c r="AJ67" s="474"/>
      <c r="AK67" s="1042"/>
      <c r="AL67" s="623"/>
      <c r="AM67" s="623"/>
      <c r="AN67" s="623"/>
      <c r="AO67" s="623"/>
      <c r="AP67" s="623"/>
      <c r="AQ67" s="623"/>
      <c r="AR67" s="623"/>
      <c r="AS67" s="623"/>
      <c r="AT67" s="623"/>
      <c r="AU67" s="623"/>
      <c r="AV67" s="623"/>
      <c r="AW67" s="623"/>
      <c r="AX67" s="623"/>
      <c r="AY67" s="285"/>
      <c r="AZ67" s="470"/>
      <c r="BA67" s="305"/>
      <c r="BB67" s="305"/>
      <c r="BC67" s="305"/>
      <c r="BD67" s="305"/>
      <c r="BE67" s="305"/>
      <c r="BF67" s="305"/>
      <c r="BI67" s="474"/>
      <c r="BJ67" s="623"/>
      <c r="BK67" s="1042"/>
      <c r="BL67" s="623"/>
      <c r="BM67" s="623"/>
      <c r="BN67" s="623"/>
      <c r="BO67" s="623"/>
      <c r="BP67" s="623"/>
      <c r="BQ67" s="623"/>
      <c r="BR67" s="623"/>
      <c r="BS67" s="623"/>
      <c r="BT67" s="623"/>
      <c r="BU67" s="623"/>
      <c r="BV67" s="623"/>
      <c r="BW67" s="623"/>
      <c r="BY67" s="470"/>
      <c r="BZ67" s="305"/>
      <c r="CA67" s="1086"/>
      <c r="CB67" s="305"/>
      <c r="CC67" s="305"/>
      <c r="CD67" s="305"/>
      <c r="CE67" s="305"/>
    </row>
    <row r="68" spans="15:83">
      <c r="O68" s="470"/>
      <c r="P68" s="461"/>
      <c r="Q68" s="461"/>
      <c r="R68" s="461"/>
      <c r="S68" s="461"/>
      <c r="T68" s="462"/>
      <c r="U68" s="462"/>
      <c r="AC68" s="470"/>
      <c r="AD68" s="305"/>
      <c r="AE68" s="306"/>
      <c r="AF68" s="305"/>
      <c r="AG68" s="305"/>
      <c r="AH68" s="305"/>
      <c r="AI68" s="305"/>
      <c r="AJ68" s="474"/>
      <c r="AK68" s="1042"/>
      <c r="AL68" s="623"/>
      <c r="AM68" s="623"/>
      <c r="AN68" s="623"/>
      <c r="AO68" s="623"/>
      <c r="AP68" s="623"/>
      <c r="AQ68" s="623"/>
      <c r="AR68" s="623"/>
      <c r="AS68" s="623"/>
      <c r="AT68" s="623"/>
      <c r="AU68" s="623"/>
      <c r="AV68" s="623"/>
      <c r="AW68" s="623"/>
      <c r="AX68" s="623"/>
      <c r="AY68" s="285"/>
      <c r="AZ68" s="470"/>
      <c r="BA68" s="305"/>
      <c r="BB68" s="305"/>
      <c r="BC68" s="305"/>
      <c r="BD68" s="305"/>
      <c r="BE68" s="305"/>
      <c r="BF68" s="305"/>
      <c r="BI68" s="474"/>
      <c r="BJ68" s="623"/>
      <c r="BK68" s="1042"/>
      <c r="BL68" s="623"/>
      <c r="BM68" s="623"/>
      <c r="BN68" s="623"/>
      <c r="BO68" s="623"/>
      <c r="BP68" s="623"/>
      <c r="BQ68" s="623"/>
      <c r="BR68" s="623"/>
      <c r="BS68" s="623"/>
      <c r="BT68" s="623"/>
      <c r="BU68" s="623"/>
      <c r="BV68" s="623"/>
      <c r="BW68" s="623"/>
      <c r="BY68" s="470"/>
      <c r="BZ68" s="305"/>
      <c r="CA68" s="1086"/>
      <c r="CB68" s="305"/>
      <c r="CC68" s="305"/>
      <c r="CD68" s="305"/>
      <c r="CE68" s="305"/>
    </row>
    <row r="69" spans="15:83">
      <c r="O69" s="470"/>
      <c r="P69" s="461"/>
      <c r="Q69" s="461"/>
      <c r="R69" s="461"/>
      <c r="S69" s="461"/>
      <c r="T69" s="462"/>
      <c r="U69" s="462"/>
      <c r="AC69" s="470"/>
      <c r="AD69" s="305"/>
      <c r="AE69" s="306"/>
      <c r="AF69" s="305"/>
      <c r="AG69" s="305"/>
      <c r="AH69" s="305"/>
      <c r="AI69" s="305"/>
      <c r="AJ69" s="474"/>
      <c r="AK69" s="1042"/>
      <c r="AL69" s="623"/>
      <c r="AM69" s="623"/>
      <c r="AN69" s="623"/>
      <c r="AO69" s="623"/>
      <c r="AP69" s="623"/>
      <c r="AQ69" s="623"/>
      <c r="AR69" s="623"/>
      <c r="AS69" s="623"/>
      <c r="AT69" s="623"/>
      <c r="AU69" s="623"/>
      <c r="AV69" s="623"/>
      <c r="AW69" s="623"/>
      <c r="AX69" s="623"/>
      <c r="AY69" s="285"/>
      <c r="AZ69" s="470"/>
      <c r="BA69" s="305"/>
      <c r="BB69" s="305"/>
      <c r="BC69" s="305"/>
      <c r="BD69" s="305"/>
      <c r="BE69" s="305"/>
      <c r="BF69" s="305"/>
      <c r="BI69" s="474"/>
      <c r="BJ69" s="623"/>
      <c r="BK69" s="1042"/>
      <c r="BL69" s="623"/>
      <c r="BM69" s="623"/>
      <c r="BN69" s="623"/>
      <c r="BO69" s="623"/>
      <c r="BP69" s="623"/>
      <c r="BQ69" s="623"/>
      <c r="BR69" s="623"/>
      <c r="BS69" s="623"/>
      <c r="BT69" s="623"/>
      <c r="BU69" s="623"/>
      <c r="BV69" s="623"/>
      <c r="BW69" s="623"/>
      <c r="BY69" s="470"/>
      <c r="BZ69" s="305"/>
      <c r="CA69" s="1086"/>
      <c r="CB69" s="305"/>
      <c r="CC69" s="305"/>
      <c r="CD69" s="305"/>
      <c r="CE69" s="305"/>
    </row>
    <row r="70" spans="15:83">
      <c r="O70" s="470"/>
      <c r="P70" s="461"/>
      <c r="Q70" s="461"/>
      <c r="R70" s="461"/>
      <c r="S70" s="461"/>
      <c r="T70" s="462"/>
      <c r="U70" s="462"/>
      <c r="AC70" s="470"/>
      <c r="AD70" s="305"/>
      <c r="AE70" s="306"/>
      <c r="AF70" s="305"/>
      <c r="AG70" s="305"/>
      <c r="AH70" s="305"/>
      <c r="AI70" s="305"/>
      <c r="AJ70" s="474"/>
      <c r="AK70" s="1042"/>
      <c r="AL70" s="623"/>
      <c r="AM70" s="623"/>
      <c r="AN70" s="623"/>
      <c r="AO70" s="623"/>
      <c r="AP70" s="623"/>
      <c r="AQ70" s="623"/>
      <c r="AR70" s="623"/>
      <c r="AS70" s="623"/>
      <c r="AT70" s="623"/>
      <c r="AU70" s="623"/>
      <c r="AV70" s="623"/>
      <c r="AW70" s="623"/>
      <c r="AX70" s="623"/>
      <c r="AY70" s="285"/>
      <c r="AZ70" s="470"/>
      <c r="BA70" s="305"/>
      <c r="BB70" s="305"/>
      <c r="BC70" s="305"/>
      <c r="BD70" s="305"/>
      <c r="BE70" s="305"/>
      <c r="BF70" s="305"/>
      <c r="BI70" s="474"/>
      <c r="BJ70" s="623"/>
      <c r="BK70" s="1042"/>
      <c r="BL70" s="623"/>
      <c r="BM70" s="623"/>
      <c r="BN70" s="623"/>
      <c r="BO70" s="623"/>
      <c r="BP70" s="623"/>
      <c r="BQ70" s="623"/>
      <c r="BR70" s="623"/>
      <c r="BS70" s="623"/>
      <c r="BT70" s="623"/>
      <c r="BU70" s="623"/>
      <c r="BV70" s="623"/>
      <c r="BW70" s="623"/>
      <c r="BY70" s="470"/>
      <c r="BZ70" s="305"/>
      <c r="CA70" s="1086"/>
      <c r="CB70" s="305"/>
      <c r="CC70" s="305"/>
      <c r="CD70" s="305"/>
      <c r="CE70" s="305"/>
    </row>
    <row r="71" spans="15:83" ht="30.75" customHeight="1">
      <c r="O71" s="258" t="s">
        <v>376</v>
      </c>
      <c r="P71" s="260">
        <v>12</v>
      </c>
      <c r="Q71" s="258">
        <v>7</v>
      </c>
      <c r="R71" s="258">
        <v>6</v>
      </c>
      <c r="S71" s="258">
        <v>3</v>
      </c>
      <c r="T71" s="258">
        <v>10</v>
      </c>
      <c r="AC71" s="258" t="s">
        <v>240</v>
      </c>
      <c r="AD71" s="258">
        <v>13</v>
      </c>
      <c r="AE71" s="258">
        <v>7</v>
      </c>
      <c r="AF71" s="258">
        <v>5</v>
      </c>
      <c r="AG71" s="258">
        <v>3</v>
      </c>
      <c r="AH71" s="258">
        <v>9</v>
      </c>
      <c r="AJ71" s="258" t="s">
        <v>226</v>
      </c>
      <c r="AK71" s="258">
        <v>4</v>
      </c>
      <c r="AL71" s="258">
        <v>4</v>
      </c>
      <c r="AM71" s="258">
        <v>4</v>
      </c>
      <c r="AN71" s="258">
        <v>3</v>
      </c>
      <c r="AO71" s="258">
        <v>3</v>
      </c>
      <c r="BA71" s="258">
        <v>0</v>
      </c>
      <c r="BB71" s="258">
        <v>4</v>
      </c>
      <c r="BC71" s="258">
        <v>4</v>
      </c>
      <c r="BD71" s="258">
        <v>2</v>
      </c>
      <c r="BE71" s="258">
        <v>1</v>
      </c>
      <c r="BF71" s="258">
        <v>4</v>
      </c>
    </row>
    <row r="72" spans="15:83" ht="25">
      <c r="AS72" s="1075" t="s">
        <v>385</v>
      </c>
      <c r="AT72" s="1077">
        <f>AT73/(AT62+1)</f>
        <v>3125862.7603354785</v>
      </c>
      <c r="BQ72" s="1075" t="s">
        <v>385</v>
      </c>
      <c r="BR72" s="1077">
        <f>BR73/(BR62+1)</f>
        <v>2388632.1255924986</v>
      </c>
    </row>
    <row r="73" spans="15:83" ht="85" thickBot="1">
      <c r="AR73" s="1085"/>
      <c r="AS73" s="1084" t="str">
        <f>IF(ISEVEN(Forecast_Year),"DO NOT USE THIS YEAR. USE FOR ODD YEARS ONLY!!!",Forecast_Year&amp;" FORECAST POINT ESTIMATE")</f>
        <v>2015 FORECAST POINT ESTIMATE</v>
      </c>
      <c r="AT73" s="1078">
        <f>$I63</f>
        <v>15804276</v>
      </c>
      <c r="BQ73" s="1088" t="str">
        <f>IF(ISEVEN(Forecast_Year),Forecast_Year&amp;" FORECAST POINT ESTIMATE","DO NOT USE THIS YEAR. USE FOR EVEN YEARS ONLY!!!")</f>
        <v>DO NOT USE THIS YEAR. USE FOR EVEN YEARS ONLY!!!</v>
      </c>
      <c r="BR73" s="1078">
        <f>$H63</f>
        <v>21965453</v>
      </c>
    </row>
    <row r="74" spans="15:83" ht="30" customHeight="1">
      <c r="AS74" s="1075" t="s">
        <v>386</v>
      </c>
      <c r="AT74" s="1077">
        <f>AT73/(AT63+1)</f>
        <v>59958398.219035916</v>
      </c>
      <c r="AY74" s="943" t="s">
        <v>127</v>
      </c>
      <c r="AZ74" s="944" t="s">
        <v>377</v>
      </c>
      <c r="BA74" s="945">
        <f>AVERAGE(BA$44:BA$52)</f>
        <v>1.0080921814752175</v>
      </c>
      <c r="BB74" s="945">
        <f>AVERAGE(BB$44:BB$52)</f>
        <v>1.0273590760896023</v>
      </c>
      <c r="BC74" s="945">
        <f t="shared" ref="BC74:BF74" si="163">AVERAGE(BC$44:BC$52)</f>
        <v>0.78280351219363176</v>
      </c>
      <c r="BD74" s="945">
        <f t="shared" si="163"/>
        <v>0.75676243228833395</v>
      </c>
      <c r="BE74" s="945">
        <f t="shared" si="163"/>
        <v>0.79396374883410081</v>
      </c>
      <c r="BF74" s="1067">
        <f t="shared" si="163"/>
        <v>0.57895667948653418</v>
      </c>
      <c r="BQ74" s="1075" t="s">
        <v>386</v>
      </c>
      <c r="BR74" s="1077">
        <f>BR73/(BR63+1)</f>
        <v>160658954.39839697</v>
      </c>
      <c r="BX74" s="943" t="s">
        <v>127</v>
      </c>
      <c r="BY74" s="944" t="s">
        <v>377</v>
      </c>
      <c r="BZ74" s="945">
        <f t="shared" ref="BZ74:CE74" si="164">AVERAGE(BZ$43:BZ$51)</f>
        <v>1.4007928162123131</v>
      </c>
      <c r="CA74" s="945">
        <f>AVERAGE(CA$43:CA$51)</f>
        <v>1.0719426918264854</v>
      </c>
      <c r="CB74" s="945">
        <f t="shared" si="164"/>
        <v>0.90747678923569253</v>
      </c>
      <c r="CC74" s="945">
        <f t="shared" si="164"/>
        <v>0.99604833673599469</v>
      </c>
      <c r="CD74" s="945">
        <f t="shared" si="164"/>
        <v>0.84271243457679668</v>
      </c>
      <c r="CE74" s="945">
        <f t="shared" si="164"/>
        <v>1.4879186420325239</v>
      </c>
    </row>
    <row r="75" spans="15:83">
      <c r="AY75" s="946"/>
      <c r="AZ75" s="474" t="s">
        <v>378</v>
      </c>
      <c r="BA75" s="947">
        <f>AVERAGE(BA$34:BA$52)</f>
        <v>1.0844844397036806</v>
      </c>
      <c r="BB75" s="947">
        <f t="shared" ref="BB75:BF75" si="165">AVERAGE(BB$34:BB$52)</f>
        <v>0.93078009129343664</v>
      </c>
      <c r="BC75" s="947">
        <f t="shared" si="165"/>
        <v>1.0354949023851743</v>
      </c>
      <c r="BD75" s="947">
        <f t="shared" si="165"/>
        <v>1.2639399103025371</v>
      </c>
      <c r="BE75" s="947">
        <f t="shared" si="165"/>
        <v>1.4105509164200574</v>
      </c>
      <c r="BF75" s="948">
        <f t="shared" si="165"/>
        <v>1.3973767728541926</v>
      </c>
      <c r="BX75" s="946"/>
      <c r="BY75" s="474" t="s">
        <v>378</v>
      </c>
      <c r="BZ75" s="947">
        <f t="shared" ref="BZ75:CE75" si="166">AVERAGE(BZ$33:BZ$51)</f>
        <v>1.6368725312321497</v>
      </c>
      <c r="CA75" s="947">
        <f t="shared" si="166"/>
        <v>1.0916535218801979</v>
      </c>
      <c r="CB75" s="947">
        <f t="shared" si="166"/>
        <v>0.95786700594516261</v>
      </c>
      <c r="CC75" s="947">
        <f t="shared" si="166"/>
        <v>1.2246190814309261</v>
      </c>
      <c r="CD75" s="947">
        <f t="shared" si="166"/>
        <v>1.2773563974007394</v>
      </c>
      <c r="CE75" s="947">
        <f t="shared" si="166"/>
        <v>1.4465492642027551</v>
      </c>
    </row>
    <row r="76" spans="15:83">
      <c r="AY76" s="946"/>
      <c r="AZ76" s="474"/>
      <c r="BA76" s="474"/>
      <c r="BB76" s="474"/>
      <c r="BC76" s="474"/>
      <c r="BD76" s="474"/>
      <c r="BE76" s="474"/>
      <c r="BF76" s="949"/>
      <c r="BX76" s="946"/>
      <c r="BY76" s="474"/>
      <c r="BZ76" s="474"/>
      <c r="CA76" s="474"/>
      <c r="CB76" s="474"/>
      <c r="CC76" s="474"/>
      <c r="CD76" s="474"/>
      <c r="CE76" s="474"/>
    </row>
    <row r="77" spans="15:83">
      <c r="AY77" s="946" t="s">
        <v>238</v>
      </c>
      <c r="AZ77" s="474" t="s">
        <v>377</v>
      </c>
      <c r="BA77" s="947">
        <f>STDEV(BA$44:BA$52)</f>
        <v>1.1733710140266982</v>
      </c>
      <c r="BB77" s="947">
        <f t="shared" ref="BB77:BF77" si="167">STDEV(BB$44:BB$52)</f>
        <v>1.701212917816161</v>
      </c>
      <c r="BC77" s="947">
        <f t="shared" si="167"/>
        <v>1.3854407217229499</v>
      </c>
      <c r="BD77" s="947">
        <f t="shared" si="167"/>
        <v>1.2533023187241854</v>
      </c>
      <c r="BE77" s="947">
        <f t="shared" si="167"/>
        <v>1.1621942051025049</v>
      </c>
      <c r="BF77" s="948">
        <f t="shared" si="167"/>
        <v>0.61045739351237416</v>
      </c>
      <c r="BX77" s="946" t="s">
        <v>238</v>
      </c>
      <c r="BY77" s="474" t="s">
        <v>377</v>
      </c>
      <c r="BZ77" s="947">
        <f t="shared" ref="BZ77:CE77" si="168">STDEV(BZ$43:BZ$51)</f>
        <v>1.9281863194734541</v>
      </c>
      <c r="CA77" s="947">
        <f t="shared" si="168"/>
        <v>1.6661930460102092</v>
      </c>
      <c r="CB77" s="947">
        <f t="shared" si="168"/>
        <v>1.4687640582679016</v>
      </c>
      <c r="CC77" s="947">
        <f t="shared" si="168"/>
        <v>1.3265712139676202</v>
      </c>
      <c r="CD77" s="947">
        <f t="shared" si="168"/>
        <v>1.0804577595257709</v>
      </c>
      <c r="CE77" s="947">
        <f t="shared" si="168"/>
        <v>2.2404773351271801</v>
      </c>
    </row>
    <row r="78" spans="15:83" ht="17" thickBot="1">
      <c r="AY78" s="272"/>
      <c r="AZ78" s="950" t="s">
        <v>378</v>
      </c>
      <c r="BA78" s="951">
        <f>STDEV(BA$34:BA$52)</f>
        <v>1.296455255043087</v>
      </c>
      <c r="BB78" s="951">
        <f t="shared" ref="BB78:BF78" si="169">STDEV(BB$34:BB$52)</f>
        <v>1.4000759157884772</v>
      </c>
      <c r="BC78" s="951">
        <f t="shared" si="169"/>
        <v>1.535764652146336</v>
      </c>
      <c r="BD78" s="951">
        <f t="shared" si="169"/>
        <v>1.9710750484720561</v>
      </c>
      <c r="BE78" s="951">
        <f t="shared" si="169"/>
        <v>1.9312939066570194</v>
      </c>
      <c r="BF78" s="952">
        <f t="shared" si="169"/>
        <v>1.9568438093080185</v>
      </c>
      <c r="BX78" s="272"/>
      <c r="BY78" s="950" t="s">
        <v>378</v>
      </c>
      <c r="BZ78" s="951">
        <f t="shared" ref="BZ78:CE78" si="170">STDEV(BZ$33:BZ$51)</f>
        <v>2.7009067090016088</v>
      </c>
      <c r="CA78" s="951">
        <f t="shared" si="170"/>
        <v>1.6097251209691981</v>
      </c>
      <c r="CB78" s="951">
        <f t="shared" si="170"/>
        <v>1.4322497091420661</v>
      </c>
      <c r="CC78" s="951">
        <f t="shared" si="170"/>
        <v>2.0524958606761681</v>
      </c>
      <c r="CD78" s="951">
        <f t="shared" si="170"/>
        <v>2.2564115950233501</v>
      </c>
      <c r="CE78" s="951">
        <f t="shared" si="170"/>
        <v>1.9236382118540847</v>
      </c>
    </row>
    <row r="80" spans="15:83">
      <c r="BZ80" s="316"/>
    </row>
    <row r="81" spans="78:78">
      <c r="BZ81" s="1050"/>
    </row>
    <row r="102" spans="34:34">
      <c r="AH102" s="258" t="s">
        <v>389</v>
      </c>
    </row>
    <row r="103" spans="34:34">
      <c r="AH103" s="258" t="s">
        <v>389</v>
      </c>
    </row>
    <row r="104" spans="34:34">
      <c r="AH104" s="258" t="s">
        <v>389</v>
      </c>
    </row>
    <row r="105" spans="34:34">
      <c r="AH105" s="258" t="s">
        <v>389</v>
      </c>
    </row>
    <row r="106" spans="34:34">
      <c r="AH106" s="258" t="s">
        <v>389</v>
      </c>
    </row>
    <row r="107" spans="34:34">
      <c r="AH107" s="258" t="s">
        <v>389</v>
      </c>
    </row>
    <row r="108" spans="34:34">
      <c r="AH108" s="258" t="s">
        <v>389</v>
      </c>
    </row>
    <row r="109" spans="34:34">
      <c r="AH109" s="258" t="s">
        <v>389</v>
      </c>
    </row>
    <row r="110" spans="34:34">
      <c r="AH110" s="258" t="s">
        <v>389</v>
      </c>
    </row>
    <row r="111" spans="34:34">
      <c r="AH111" s="258" t="s">
        <v>389</v>
      </c>
    </row>
    <row r="112" spans="34:34">
      <c r="AH112" s="258" t="s">
        <v>389</v>
      </c>
    </row>
    <row r="113" spans="34:34">
      <c r="AH113" s="258" t="s">
        <v>389</v>
      </c>
    </row>
    <row r="114" spans="34:34">
      <c r="AH114" s="258" t="s">
        <v>389</v>
      </c>
    </row>
    <row r="115" spans="34:34">
      <c r="AH115" s="258" t="s">
        <v>389</v>
      </c>
    </row>
    <row r="116" spans="34:34">
      <c r="AH116" s="258" t="s">
        <v>389</v>
      </c>
    </row>
    <row r="117" spans="34:34">
      <c r="AH117" s="258" t="s">
        <v>389</v>
      </c>
    </row>
    <row r="118" spans="34:34">
      <c r="AH118" s="258" t="s">
        <v>389</v>
      </c>
    </row>
    <row r="119" spans="34:34">
      <c r="AH119" s="258" t="s">
        <v>389</v>
      </c>
    </row>
    <row r="120" spans="34:34">
      <c r="AH120" s="258" t="s">
        <v>389</v>
      </c>
    </row>
    <row r="121" spans="34:34">
      <c r="AH121" s="258" t="s">
        <v>389</v>
      </c>
    </row>
    <row r="122" spans="34:34">
      <c r="AH122" s="258" t="s">
        <v>389</v>
      </c>
    </row>
    <row r="123" spans="34:34">
      <c r="AH123" s="258" t="s">
        <v>389</v>
      </c>
    </row>
  </sheetData>
  <mergeCells count="1">
    <mergeCell ref="BJ1:BN1"/>
  </mergeCells>
  <phoneticPr fontId="23"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00B050"/>
  </sheetPr>
  <dimension ref="A1:M76"/>
  <sheetViews>
    <sheetView zoomScale="50" zoomScaleNormal="50" zoomScalePageLayoutView="50" workbookViewId="0">
      <pane ySplit="11" topLeftCell="A12" activePane="bottomLeft" state="frozen"/>
      <selection activeCell="AK54" sqref="AK54"/>
      <selection pane="bottomLeft" activeCell="AK54" sqref="AK54"/>
    </sheetView>
  </sheetViews>
  <sheetFormatPr baseColWidth="10" defaultColWidth="8.875" defaultRowHeight="16" x14ac:dyDescent="0"/>
  <cols>
    <col min="1" max="1" width="20.5" style="321" customWidth="1"/>
    <col min="2" max="9" width="17.125" style="321" customWidth="1"/>
    <col min="10" max="10" width="19.5" style="321" customWidth="1"/>
    <col min="11" max="11" width="10" style="321" bestFit="1" customWidth="1"/>
    <col min="12" max="16384" width="8.875" style="321"/>
  </cols>
  <sheetData>
    <row r="1" spans="1:10" ht="26" thickBot="1">
      <c r="A1" s="953" t="str">
        <f ca="1">CELL("filename",A1)</f>
        <v>NWCLM04072996:Users:eric.ward:Documents:NCEAS-covariation:data:salmon data:[2015_PWS_Pink_Wild_forecast-FINAL.xlsm]Exp_smoothing_w_damping_Total R</v>
      </c>
      <c r="B1" s="954"/>
      <c r="C1" s="954"/>
      <c r="D1" s="954"/>
      <c r="E1" s="954"/>
      <c r="F1" s="954"/>
      <c r="G1" s="954"/>
      <c r="H1" s="954"/>
      <c r="I1" s="954"/>
      <c r="J1" s="954"/>
    </row>
    <row r="2" spans="1:10" ht="25">
      <c r="A2" s="953"/>
      <c r="B2" s="954"/>
      <c r="C2" s="954"/>
      <c r="D2" s="954"/>
      <c r="E2" s="954"/>
      <c r="F2" s="954"/>
      <c r="G2" s="954"/>
      <c r="H2" s="954"/>
      <c r="I2" s="955" t="s">
        <v>249</v>
      </c>
      <c r="J2" s="956"/>
    </row>
    <row r="3" spans="1:10" ht="25">
      <c r="A3" s="953"/>
      <c r="B3" s="954"/>
      <c r="C3" s="954"/>
      <c r="D3" s="954"/>
      <c r="E3" s="954"/>
      <c r="F3" s="954"/>
      <c r="G3" s="954"/>
      <c r="H3" s="954"/>
      <c r="I3" s="957" t="s">
        <v>250</v>
      </c>
      <c r="J3" s="958">
        <f>1-SUM(J4:J6)</f>
        <v>0.34292623701473846</v>
      </c>
    </row>
    <row r="4" spans="1:10" ht="25">
      <c r="A4" s="953"/>
      <c r="B4" s="954"/>
      <c r="C4" s="954"/>
      <c r="D4" s="954"/>
      <c r="E4" s="954"/>
      <c r="F4" s="954"/>
      <c r="G4" s="954"/>
      <c r="H4" s="954"/>
      <c r="I4" s="957" t="s">
        <v>251</v>
      </c>
      <c r="J4" s="959">
        <v>0.65707376298526154</v>
      </c>
    </row>
    <row r="5" spans="1:10" ht="21" customHeight="1">
      <c r="A5" s="954"/>
      <c r="B5" s="954"/>
      <c r="C5" s="954"/>
      <c r="D5" s="954"/>
      <c r="E5" s="954"/>
      <c r="F5" s="954"/>
      <c r="G5" s="954"/>
      <c r="H5" s="954"/>
      <c r="I5" s="957" t="s">
        <v>252</v>
      </c>
      <c r="J5" s="959">
        <v>0</v>
      </c>
    </row>
    <row r="6" spans="1:10" ht="26" thickBot="1">
      <c r="A6" s="960" t="s">
        <v>246</v>
      </c>
      <c r="B6" s="960" t="s">
        <v>301</v>
      </c>
      <c r="C6" s="954"/>
      <c r="D6" s="954"/>
      <c r="E6" s="954"/>
      <c r="F6" s="954"/>
      <c r="G6" s="954"/>
      <c r="H6" s="954"/>
      <c r="I6" s="961" t="s">
        <v>253</v>
      </c>
      <c r="J6" s="962">
        <v>0</v>
      </c>
    </row>
    <row r="7" spans="1:10" ht="25">
      <c r="A7" s="960"/>
      <c r="B7" s="960" t="str">
        <f>"exponential smoothing with damping factors, 1972-"&amp;Forecast_Year</f>
        <v>exponential smoothing with damping factors, 1972-2015</v>
      </c>
      <c r="C7" s="954"/>
      <c r="D7" s="954"/>
      <c r="E7" s="954"/>
      <c r="F7" s="954"/>
      <c r="G7" s="954"/>
      <c r="H7" s="954"/>
      <c r="I7" s="954"/>
      <c r="J7" s="963">
        <f>SUM(J3:J6)</f>
        <v>1</v>
      </c>
    </row>
    <row r="8" spans="1:10" ht="25">
      <c r="A8" s="960"/>
      <c r="B8" s="964" t="s">
        <v>302</v>
      </c>
      <c r="C8" s="954"/>
      <c r="D8" s="954"/>
      <c r="E8" s="954"/>
      <c r="F8" s="954"/>
      <c r="G8" s="954"/>
      <c r="H8" s="954"/>
      <c r="I8" s="954"/>
      <c r="J8" s="954"/>
    </row>
    <row r="9" spans="1:10" ht="25">
      <c r="A9" s="965"/>
      <c r="B9" s="965"/>
      <c r="C9" s="966" t="s">
        <v>247</v>
      </c>
      <c r="D9" s="965"/>
      <c r="E9" s="965"/>
      <c r="F9" s="965"/>
      <c r="G9" s="967" t="s">
        <v>5</v>
      </c>
      <c r="H9" s="954"/>
      <c r="I9" s="954" t="s">
        <v>260</v>
      </c>
      <c r="J9" s="954"/>
    </row>
    <row r="10" spans="1:10" ht="25">
      <c r="A10" s="968" t="s">
        <v>7</v>
      </c>
      <c r="B10" s="969" t="s">
        <v>257</v>
      </c>
      <c r="C10" s="970" t="s">
        <v>248</v>
      </c>
      <c r="D10" s="971"/>
      <c r="E10" s="968" t="s">
        <v>5</v>
      </c>
      <c r="F10" s="968" t="s">
        <v>180</v>
      </c>
      <c r="G10" s="968" t="s">
        <v>180</v>
      </c>
      <c r="H10" s="954"/>
      <c r="I10" s="972" t="s">
        <v>10</v>
      </c>
      <c r="J10" s="973" t="s">
        <v>261</v>
      </c>
    </row>
    <row r="11" spans="1:10" ht="25">
      <c r="A11" s="974" t="s">
        <v>16</v>
      </c>
      <c r="B11" s="975" t="s">
        <v>258</v>
      </c>
      <c r="C11" s="976" t="s">
        <v>75</v>
      </c>
      <c r="D11" s="974" t="s">
        <v>31</v>
      </c>
      <c r="E11" s="974" t="s">
        <v>31</v>
      </c>
      <c r="F11" s="974" t="s">
        <v>31</v>
      </c>
      <c r="G11" s="974" t="s">
        <v>31</v>
      </c>
      <c r="H11" s="954"/>
      <c r="I11" s="968" t="s">
        <v>233</v>
      </c>
      <c r="J11" s="973" t="s">
        <v>75</v>
      </c>
    </row>
    <row r="12" spans="1:10" ht="25">
      <c r="A12" s="968">
        <v>1962</v>
      </c>
      <c r="B12" s="977">
        <f>VLOOKUP($A12,Database!$A$74:$J$132,10)</f>
        <v>8760326</v>
      </c>
      <c r="C12" s="978"/>
      <c r="D12" s="979"/>
      <c r="E12" s="979"/>
      <c r="F12" s="979"/>
      <c r="G12" s="968"/>
      <c r="H12" s="954"/>
      <c r="I12" s="980">
        <f>B12</f>
        <v>8760326</v>
      </c>
      <c r="J12" s="981" t="e">
        <f>NA()</f>
        <v>#N/A</v>
      </c>
    </row>
    <row r="13" spans="1:10" ht="25">
      <c r="A13" s="968">
        <v>1963</v>
      </c>
      <c r="B13" s="977">
        <f>VLOOKUP($A13,Database!$A$74:$J$132,10)</f>
        <v>6651118</v>
      </c>
      <c r="C13" s="982">
        <f>$B12</f>
        <v>8760326</v>
      </c>
      <c r="D13" s="983">
        <f t="shared" ref="D13:D59" si="0">C13-B13</f>
        <v>2109208</v>
      </c>
      <c r="E13" s="984">
        <f>ABS(C13-$B13)</f>
        <v>2109208</v>
      </c>
      <c r="F13" s="985">
        <f t="shared" ref="F13:F59" si="1">($C13-$B13)/$B13</f>
        <v>0.31712082089056304</v>
      </c>
      <c r="G13" s="985">
        <f t="shared" ref="G13:G59" si="2">ABS($C13-B13)/$B13</f>
        <v>0.31712082089056304</v>
      </c>
      <c r="H13" s="954"/>
      <c r="I13" s="980">
        <f t="shared" ref="I13:I59" si="3">B13</f>
        <v>6651118</v>
      </c>
      <c r="J13" s="981" t="e">
        <f>NA()</f>
        <v>#N/A</v>
      </c>
    </row>
    <row r="14" spans="1:10" ht="25">
      <c r="A14" s="968">
        <v>1964</v>
      </c>
      <c r="B14" s="977">
        <f>VLOOKUP($A14,Database!$A$74:$J$132,10)</f>
        <v>6048576</v>
      </c>
      <c r="C14" s="982">
        <f>0.9*$B13+0.1*C13</f>
        <v>6862038.8000000007</v>
      </c>
      <c r="D14" s="983">
        <f t="shared" si="0"/>
        <v>813462.80000000075</v>
      </c>
      <c r="E14" s="984">
        <f>ABS(C14-$B14)</f>
        <v>813462.80000000075</v>
      </c>
      <c r="F14" s="985">
        <f t="shared" si="1"/>
        <v>0.13448831592758373</v>
      </c>
      <c r="G14" s="985">
        <f t="shared" si="2"/>
        <v>0.13448831592758373</v>
      </c>
      <c r="H14" s="954"/>
      <c r="I14" s="980">
        <f t="shared" si="3"/>
        <v>6048576</v>
      </c>
      <c r="J14" s="981" t="e">
        <f>NA()</f>
        <v>#N/A</v>
      </c>
    </row>
    <row r="15" spans="1:10" ht="25">
      <c r="A15" s="968">
        <v>1965</v>
      </c>
      <c r="B15" s="977">
        <f>VLOOKUP($A15,Database!$A$74:$J$132,10)</f>
        <v>3436427</v>
      </c>
      <c r="C15" s="982">
        <f>(0.5*$B14)+(0.3*C14)+(0.2*C13)</f>
        <v>6834964.8400000008</v>
      </c>
      <c r="D15" s="983">
        <f t="shared" si="0"/>
        <v>3398537.8400000008</v>
      </c>
      <c r="E15" s="984">
        <f>ABS(C15-$B15)</f>
        <v>3398537.8400000008</v>
      </c>
      <c r="F15" s="985">
        <f t="shared" si="1"/>
        <v>0.9889742572736161</v>
      </c>
      <c r="G15" s="985">
        <f t="shared" si="2"/>
        <v>0.9889742572736161</v>
      </c>
      <c r="H15" s="954"/>
      <c r="I15" s="980">
        <f t="shared" si="3"/>
        <v>3436427</v>
      </c>
      <c r="J15" s="981" t="e">
        <f>NA()</f>
        <v>#N/A</v>
      </c>
    </row>
    <row r="16" spans="1:10" ht="25">
      <c r="A16" s="968">
        <v>1966</v>
      </c>
      <c r="B16" s="977">
        <f>VLOOKUP($A16,Database!$A$74:$J$132,10)</f>
        <v>4122588</v>
      </c>
      <c r="C16" s="982">
        <f t="shared" ref="C16:C65" si="4">($J$3*$B15)+($J$4*C15)+($J$5*C14)+($J$6*C13)</f>
        <v>5669517.0471766032</v>
      </c>
      <c r="D16" s="983">
        <f t="shared" si="0"/>
        <v>1546929.0471766032</v>
      </c>
      <c r="E16" s="984">
        <f>ABS(C16-$B16)</f>
        <v>1546929.0471766032</v>
      </c>
      <c r="F16" s="985">
        <f t="shared" si="1"/>
        <v>0.37523251102865562</v>
      </c>
      <c r="G16" s="985">
        <f t="shared" si="2"/>
        <v>0.37523251102865562</v>
      </c>
      <c r="H16" s="954"/>
      <c r="I16" s="980">
        <f t="shared" si="3"/>
        <v>4122588</v>
      </c>
      <c r="J16" s="981" t="e">
        <f>NA()</f>
        <v>#N/A</v>
      </c>
    </row>
    <row r="17" spans="1:13" ht="25">
      <c r="A17" s="968">
        <v>1967</v>
      </c>
      <c r="B17" s="977">
        <f>VLOOKUP($A17,Database!$A$74:$J$132,10)</f>
        <v>3468600</v>
      </c>
      <c r="C17" s="982">
        <f t="shared" si="4"/>
        <v>5139034.4900995363</v>
      </c>
      <c r="D17" s="983">
        <f t="shared" si="0"/>
        <v>1670434.4900995363</v>
      </c>
      <c r="E17" s="984">
        <f t="shared" ref="E17:E26" si="5">ABS(C17-$B17)</f>
        <v>1670434.4900995363</v>
      </c>
      <c r="F17" s="985">
        <f t="shared" si="1"/>
        <v>0.48158752525501247</v>
      </c>
      <c r="G17" s="985">
        <f t="shared" si="2"/>
        <v>0.48158752525501247</v>
      </c>
      <c r="H17" s="954"/>
      <c r="I17" s="980">
        <f>B17</f>
        <v>3468600</v>
      </c>
      <c r="J17" s="984">
        <f>C17</f>
        <v>5139034.4900995363</v>
      </c>
    </row>
    <row r="18" spans="1:13" ht="25">
      <c r="A18" s="968">
        <v>1968</v>
      </c>
      <c r="B18" s="977">
        <f>VLOOKUP($A18,Database!$A$74:$J$132,10)</f>
        <v>3608678</v>
      </c>
      <c r="C18" s="982">
        <f t="shared" si="4"/>
        <v>4566198.6762300692</v>
      </c>
      <c r="D18" s="983">
        <f t="shared" si="0"/>
        <v>957520.67623006925</v>
      </c>
      <c r="E18" s="984">
        <f t="shared" si="5"/>
        <v>957520.67623006925</v>
      </c>
      <c r="F18" s="985">
        <f t="shared" si="1"/>
        <v>0.26533835277907014</v>
      </c>
      <c r="G18" s="985">
        <f t="shared" si="2"/>
        <v>0.26533835277907014</v>
      </c>
      <c r="H18" s="954"/>
      <c r="I18" s="980">
        <f t="shared" si="3"/>
        <v>3608678</v>
      </c>
      <c r="J18" s="984">
        <f t="shared" ref="J18:J60" si="6">C18</f>
        <v>4566198.6762300692</v>
      </c>
    </row>
    <row r="19" spans="1:13" ht="25">
      <c r="A19" s="968">
        <v>1969</v>
      </c>
      <c r="B19" s="977">
        <f>VLOOKUP($A19,Database!$A$74:$J$132,10)</f>
        <v>5233149</v>
      </c>
      <c r="C19" s="982">
        <f t="shared" si="4"/>
        <v>4237839.7138666837</v>
      </c>
      <c r="D19" s="983">
        <f t="shared" si="0"/>
        <v>-995309.28613331635</v>
      </c>
      <c r="E19" s="984">
        <f t="shared" si="5"/>
        <v>995309.28613331635</v>
      </c>
      <c r="F19" s="985">
        <f t="shared" si="1"/>
        <v>-0.19019318695747367</v>
      </c>
      <c r="G19" s="985">
        <f t="shared" si="2"/>
        <v>0.19019318695747367</v>
      </c>
      <c r="H19" s="954"/>
      <c r="I19" s="980">
        <f t="shared" si="3"/>
        <v>5233149</v>
      </c>
      <c r="J19" s="984">
        <f t="shared" si="6"/>
        <v>4237839.7138666837</v>
      </c>
    </row>
    <row r="20" spans="1:13" ht="25">
      <c r="A20" s="968">
        <v>1970</v>
      </c>
      <c r="B20" s="977">
        <f>VLOOKUP($A20,Database!$A$74:$J$132,10)</f>
        <v>3789216</v>
      </c>
      <c r="C20" s="982">
        <f t="shared" si="4"/>
        <v>4579157.3820262076</v>
      </c>
      <c r="D20" s="983">
        <f t="shared" si="0"/>
        <v>789941.38202620763</v>
      </c>
      <c r="E20" s="984">
        <f t="shared" si="5"/>
        <v>789941.38202620763</v>
      </c>
      <c r="F20" s="985">
        <f t="shared" si="1"/>
        <v>0.20847092961346295</v>
      </c>
      <c r="G20" s="985">
        <f t="shared" si="2"/>
        <v>0.20847092961346295</v>
      </c>
      <c r="H20" s="954"/>
      <c r="I20" s="980">
        <f t="shared" si="3"/>
        <v>3789216</v>
      </c>
      <c r="J20" s="984">
        <f t="shared" si="6"/>
        <v>4579157.3820262076</v>
      </c>
    </row>
    <row r="21" spans="1:13" ht="25">
      <c r="A21" s="968">
        <v>1971</v>
      </c>
      <c r="B21" s="977">
        <f>VLOOKUP($A21,Database!$A$74:$J$132,10)</f>
        <v>8423514</v>
      </c>
      <c r="C21" s="982">
        <f t="shared" si="4"/>
        <v>4308265.7564257383</v>
      </c>
      <c r="D21" s="983">
        <f t="shared" si="0"/>
        <v>-4115248.2435742617</v>
      </c>
      <c r="E21" s="984">
        <f t="shared" si="5"/>
        <v>4115248.2435742617</v>
      </c>
      <c r="F21" s="985">
        <f t="shared" si="1"/>
        <v>-0.48854293393164205</v>
      </c>
      <c r="G21" s="985">
        <f t="shared" si="2"/>
        <v>0.48854293393164205</v>
      </c>
      <c r="H21" s="954"/>
      <c r="I21" s="980">
        <f t="shared" si="3"/>
        <v>8423514</v>
      </c>
      <c r="J21" s="984">
        <f t="shared" si="6"/>
        <v>4308265.7564257383</v>
      </c>
    </row>
    <row r="22" spans="1:13" ht="25">
      <c r="A22" s="968">
        <v>1972</v>
      </c>
      <c r="B22" s="977">
        <f>VLOOKUP($A22,Database!$A$74:$J$132,10)</f>
        <v>695963</v>
      </c>
      <c r="C22" s="982">
        <f t="shared" si="4"/>
        <v>5719492.350976171</v>
      </c>
      <c r="D22" s="983">
        <f t="shared" si="0"/>
        <v>5023529.350976171</v>
      </c>
      <c r="E22" s="984">
        <f t="shared" si="5"/>
        <v>5023529.350976171</v>
      </c>
      <c r="F22" s="985">
        <f t="shared" si="1"/>
        <v>7.2180983054791286</v>
      </c>
      <c r="G22" s="985">
        <f t="shared" si="2"/>
        <v>7.2180983054791286</v>
      </c>
      <c r="H22" s="954"/>
      <c r="I22" s="980">
        <f t="shared" si="3"/>
        <v>695963</v>
      </c>
      <c r="J22" s="984">
        <f t="shared" si="6"/>
        <v>5719492.350976171</v>
      </c>
    </row>
    <row r="23" spans="1:13" ht="25">
      <c r="A23" s="968">
        <v>1973</v>
      </c>
      <c r="B23" s="977">
        <f>VLOOKUP($A23,Database!$A$74:$J$132,10)</f>
        <v>8535974</v>
      </c>
      <c r="C23" s="982">
        <f t="shared" si="4"/>
        <v>3996792.3341128211</v>
      </c>
      <c r="D23" s="983">
        <f t="shared" si="0"/>
        <v>-4539181.6658871789</v>
      </c>
      <c r="E23" s="984">
        <f t="shared" si="5"/>
        <v>4539181.6658871789</v>
      </c>
      <c r="F23" s="985">
        <f t="shared" si="1"/>
        <v>-0.53177079333737176</v>
      </c>
      <c r="G23" s="985">
        <f t="shared" si="2"/>
        <v>0.53177079333737176</v>
      </c>
      <c r="H23" s="954"/>
      <c r="I23" s="980">
        <f t="shared" si="3"/>
        <v>8535974</v>
      </c>
      <c r="J23" s="984">
        <f t="shared" si="6"/>
        <v>3996792.3341128211</v>
      </c>
    </row>
    <row r="24" spans="1:13" ht="25">
      <c r="A24" s="968">
        <v>1974</v>
      </c>
      <c r="B24" s="977">
        <f>VLOOKUP($A24,Database!$A$74:$J$132,10)</f>
        <v>1012903</v>
      </c>
      <c r="C24" s="982">
        <f t="shared" si="4"/>
        <v>5553396.8219218031</v>
      </c>
      <c r="D24" s="983">
        <f t="shared" si="0"/>
        <v>4540493.8219218031</v>
      </c>
      <c r="E24" s="984">
        <f t="shared" si="5"/>
        <v>4540493.8219218031</v>
      </c>
      <c r="F24" s="985">
        <f t="shared" si="1"/>
        <v>4.4826541356100265</v>
      </c>
      <c r="G24" s="985">
        <f t="shared" si="2"/>
        <v>4.4826541356100265</v>
      </c>
      <c r="H24" s="954"/>
      <c r="I24" s="980">
        <f t="shared" si="3"/>
        <v>1012903</v>
      </c>
      <c r="J24" s="984">
        <f t="shared" si="6"/>
        <v>5553396.8219218031</v>
      </c>
    </row>
    <row r="25" spans="1:13" ht="25">
      <c r="A25" s="968">
        <v>1975</v>
      </c>
      <c r="B25" s="977">
        <f>VLOOKUP($A25,Database!$A$74:$J$132,10)</f>
        <v>3322438</v>
      </c>
      <c r="C25" s="982">
        <f t="shared" si="4"/>
        <v>3996342.3613814912</v>
      </c>
      <c r="D25" s="983">
        <f t="shared" si="0"/>
        <v>673904.36138149118</v>
      </c>
      <c r="E25" s="984">
        <f t="shared" si="5"/>
        <v>673904.36138149118</v>
      </c>
      <c r="F25" s="985">
        <f t="shared" si="1"/>
        <v>0.20283429258318475</v>
      </c>
      <c r="G25" s="985">
        <f t="shared" si="2"/>
        <v>0.20283429258318475</v>
      </c>
      <c r="H25" s="954"/>
      <c r="I25" s="980">
        <f t="shared" si="3"/>
        <v>3322438</v>
      </c>
      <c r="J25" s="984">
        <f t="shared" si="6"/>
        <v>3996342.3613814912</v>
      </c>
    </row>
    <row r="26" spans="1:13" ht="25">
      <c r="A26" s="968">
        <v>1976</v>
      </c>
      <c r="B26" s="977">
        <f>VLOOKUP($A26,Database!$A$74:$J$132,10)</f>
        <v>1161051</v>
      </c>
      <c r="C26" s="982">
        <f t="shared" si="4"/>
        <v>3765242.8746251157</v>
      </c>
      <c r="D26" s="983">
        <f t="shared" si="0"/>
        <v>2604191.8746251157</v>
      </c>
      <c r="E26" s="984">
        <f t="shared" si="5"/>
        <v>2604191.8746251157</v>
      </c>
      <c r="F26" s="985">
        <f t="shared" si="1"/>
        <v>2.2429607955422419</v>
      </c>
      <c r="G26" s="985">
        <f t="shared" si="2"/>
        <v>2.2429607955422419</v>
      </c>
      <c r="H26" s="954"/>
      <c r="I26" s="980">
        <f t="shared" si="3"/>
        <v>1161051</v>
      </c>
      <c r="J26" s="984">
        <f t="shared" si="6"/>
        <v>3765242.8746251157</v>
      </c>
    </row>
    <row r="27" spans="1:13" ht="25">
      <c r="A27" s="968">
        <v>1977</v>
      </c>
      <c r="B27" s="977">
        <f>VLOOKUP($A27,Database!$A$74:$J$132,10)</f>
        <v>5816401</v>
      </c>
      <c r="C27" s="982">
        <f t="shared" si="4"/>
        <v>2872197.1545955674</v>
      </c>
      <c r="D27" s="983">
        <f t="shared" si="0"/>
        <v>-2944203.8454044326</v>
      </c>
      <c r="E27" s="984">
        <f>ABS(C27-$B27)</f>
        <v>2944203.8454044326</v>
      </c>
      <c r="F27" s="985">
        <f t="shared" si="1"/>
        <v>-0.50618996960567753</v>
      </c>
      <c r="G27" s="985">
        <f t="shared" si="2"/>
        <v>0.50618996960567753</v>
      </c>
      <c r="H27" s="954"/>
      <c r="I27" s="980">
        <f t="shared" si="3"/>
        <v>5816401</v>
      </c>
      <c r="J27" s="984">
        <f t="shared" si="6"/>
        <v>2872197.1545955674</v>
      </c>
    </row>
    <row r="28" spans="1:13" ht="25">
      <c r="A28" s="968">
        <v>1978</v>
      </c>
      <c r="B28" s="977">
        <f>VLOOKUP($A28,Database!$A$74:$J$132,10)</f>
        <v>3925083</v>
      </c>
      <c r="C28" s="982">
        <f t="shared" si="4"/>
        <v>3881841.900304432</v>
      </c>
      <c r="D28" s="983">
        <f t="shared" si="0"/>
        <v>-43241.099695567973</v>
      </c>
      <c r="E28" s="984">
        <f t="shared" ref="E28:E59" si="7">ABS(C28-$B28)</f>
        <v>43241.099695567973</v>
      </c>
      <c r="F28" s="985">
        <f t="shared" si="1"/>
        <v>-1.1016607724108757E-2</v>
      </c>
      <c r="G28" s="985">
        <f t="shared" si="2"/>
        <v>1.1016607724108757E-2</v>
      </c>
      <c r="H28" s="954"/>
      <c r="I28" s="980">
        <f t="shared" si="3"/>
        <v>3925083</v>
      </c>
      <c r="J28" s="984">
        <f t="shared" si="6"/>
        <v>3881841.900304432</v>
      </c>
    </row>
    <row r="29" spans="1:13" ht="25">
      <c r="A29" s="968">
        <v>1979</v>
      </c>
      <c r="B29" s="977">
        <f>VLOOKUP($A29,Database!$A$74:$J$132,10)</f>
        <v>17335503</v>
      </c>
      <c r="C29" s="982">
        <f t="shared" si="4"/>
        <v>3896670.4079074124</v>
      </c>
      <c r="D29" s="983">
        <f t="shared" si="0"/>
        <v>-13438832.592092589</v>
      </c>
      <c r="E29" s="984">
        <f t="shared" si="7"/>
        <v>13438832.592092589</v>
      </c>
      <c r="F29" s="985">
        <f t="shared" si="1"/>
        <v>-0.77522022822715841</v>
      </c>
      <c r="G29" s="985">
        <f t="shared" si="2"/>
        <v>0.77522022822715841</v>
      </c>
      <c r="H29" s="954"/>
      <c r="I29" s="980">
        <f t="shared" si="3"/>
        <v>17335503</v>
      </c>
      <c r="J29" s="984">
        <f t="shared" si="6"/>
        <v>3896670.4079074124</v>
      </c>
    </row>
    <row r="30" spans="1:13" ht="25">
      <c r="A30" s="968">
        <v>1980</v>
      </c>
      <c r="B30" s="977">
        <f>VLOOKUP($A30,Database!$A$74:$J$132,10)</f>
        <v>14013916</v>
      </c>
      <c r="C30" s="982">
        <f t="shared" si="4"/>
        <v>8505198.6985847466</v>
      </c>
      <c r="D30" s="983">
        <f t="shared" si="0"/>
        <v>-5508717.3014152534</v>
      </c>
      <c r="E30" s="984">
        <f t="shared" si="7"/>
        <v>5508717.3014152534</v>
      </c>
      <c r="F30" s="985">
        <f t="shared" si="1"/>
        <v>-0.39308907670170518</v>
      </c>
      <c r="G30" s="985">
        <f t="shared" si="2"/>
        <v>0.39308907670170518</v>
      </c>
      <c r="H30" s="954"/>
      <c r="I30" s="980">
        <f t="shared" si="3"/>
        <v>14013916</v>
      </c>
      <c r="J30" s="984">
        <f t="shared" si="6"/>
        <v>8505198.6985847466</v>
      </c>
    </row>
    <row r="31" spans="1:13" ht="25">
      <c r="A31" s="968">
        <v>1981</v>
      </c>
      <c r="B31" s="977">
        <f>VLOOKUP($A31,Database!$A$74:$J$132,10)</f>
        <v>19568866</v>
      </c>
      <c r="C31" s="982">
        <f t="shared" si="4"/>
        <v>10394282.393537063</v>
      </c>
      <c r="D31" s="983">
        <f t="shared" si="0"/>
        <v>-9174583.6064629368</v>
      </c>
      <c r="E31" s="984">
        <f t="shared" si="7"/>
        <v>9174583.6064629368</v>
      </c>
      <c r="F31" s="985">
        <f t="shared" si="1"/>
        <v>-0.46883573153717423</v>
      </c>
      <c r="G31" s="985">
        <f t="shared" si="2"/>
        <v>0.46883573153717423</v>
      </c>
      <c r="H31" s="954"/>
      <c r="I31" s="980">
        <f t="shared" si="3"/>
        <v>19568866</v>
      </c>
      <c r="J31" s="984">
        <f t="shared" si="6"/>
        <v>10394282.393537063</v>
      </c>
    </row>
    <row r="32" spans="1:13" ht="27" customHeight="1">
      <c r="A32" s="968">
        <v>1982</v>
      </c>
      <c r="B32" s="977">
        <f>VLOOKUP($A32,Database!$A$74:$J$132,10)</f>
        <v>16794317</v>
      </c>
      <c r="C32" s="982">
        <f t="shared" si="4"/>
        <v>13540487.825878507</v>
      </c>
      <c r="D32" s="983">
        <f t="shared" si="0"/>
        <v>-3253829.1741214935</v>
      </c>
      <c r="E32" s="984">
        <f t="shared" si="7"/>
        <v>3253829.1741214935</v>
      </c>
      <c r="F32" s="985">
        <f t="shared" si="1"/>
        <v>-0.19374584712921006</v>
      </c>
      <c r="G32" s="985">
        <f t="shared" si="2"/>
        <v>0.19374584712921006</v>
      </c>
      <c r="H32" s="954"/>
      <c r="I32" s="980">
        <f t="shared" si="3"/>
        <v>16794317</v>
      </c>
      <c r="J32" s="984">
        <f t="shared" si="6"/>
        <v>13540487.825878507</v>
      </c>
      <c r="K32" s="345"/>
      <c r="L32" s="345"/>
      <c r="M32" s="345"/>
    </row>
    <row r="33" spans="1:13" ht="25">
      <c r="A33" s="968">
        <v>1983</v>
      </c>
      <c r="B33" s="977">
        <f>VLOOKUP($A33,Database!$A$74:$J$132,10)</f>
        <v>11567348</v>
      </c>
      <c r="C33" s="982">
        <f t="shared" si="4"/>
        <v>14656311.220448764</v>
      </c>
      <c r="D33" s="983">
        <f t="shared" si="0"/>
        <v>3088963.220448764</v>
      </c>
      <c r="E33" s="984">
        <f t="shared" si="7"/>
        <v>3088963.220448764</v>
      </c>
      <c r="F33" s="985">
        <f t="shared" si="1"/>
        <v>0.26704160888466089</v>
      </c>
      <c r="G33" s="985">
        <f t="shared" si="2"/>
        <v>0.26704160888466089</v>
      </c>
      <c r="H33" s="954"/>
      <c r="I33" s="980">
        <f t="shared" si="3"/>
        <v>11567348</v>
      </c>
      <c r="J33" s="984">
        <f t="shared" si="6"/>
        <v>14656311.220448764</v>
      </c>
      <c r="K33" s="345"/>
      <c r="L33" s="345"/>
      <c r="M33" s="345"/>
    </row>
    <row r="34" spans="1:13" ht="25">
      <c r="A34" s="968">
        <v>1984</v>
      </c>
      <c r="B34" s="977">
        <f>VLOOKUP($A34,Database!$A$74:$J$132,10)</f>
        <v>21201513</v>
      </c>
      <c r="C34" s="982">
        <f t="shared" si="4"/>
        <v>13597024.686983341</v>
      </c>
      <c r="D34" s="983">
        <f t="shared" si="0"/>
        <v>-7604488.3130166586</v>
      </c>
      <c r="E34" s="984">
        <f t="shared" si="7"/>
        <v>7604488.3130166586</v>
      </c>
      <c r="F34" s="985">
        <f t="shared" si="1"/>
        <v>-0.35867668090558719</v>
      </c>
      <c r="G34" s="985">
        <f t="shared" si="2"/>
        <v>0.35867668090558719</v>
      </c>
      <c r="H34" s="954"/>
      <c r="I34" s="980">
        <f t="shared" si="3"/>
        <v>21201513</v>
      </c>
      <c r="J34" s="984">
        <f t="shared" si="6"/>
        <v>13597024.686983341</v>
      </c>
      <c r="K34" s="345"/>
      <c r="L34" s="345"/>
      <c r="M34" s="345"/>
    </row>
    <row r="35" spans="1:13" ht="25">
      <c r="A35" s="968">
        <v>1985</v>
      </c>
      <c r="B35" s="977">
        <f>VLOOKUP($A35,Database!$A$74:$J$132,10)</f>
        <v>19938105</v>
      </c>
      <c r="C35" s="982">
        <f t="shared" si="4"/>
        <v>16204803.2485887</v>
      </c>
      <c r="D35" s="983">
        <f t="shared" si="0"/>
        <v>-3733301.7514113002</v>
      </c>
      <c r="E35" s="984">
        <f t="shared" si="7"/>
        <v>3733301.7514113002</v>
      </c>
      <c r="F35" s="985">
        <f t="shared" si="1"/>
        <v>-0.18724456268092179</v>
      </c>
      <c r="G35" s="985">
        <f t="shared" si="2"/>
        <v>0.18724456268092179</v>
      </c>
      <c r="H35" s="954"/>
      <c r="I35" s="980">
        <f t="shared" si="3"/>
        <v>19938105</v>
      </c>
      <c r="J35" s="984">
        <f t="shared" si="6"/>
        <v>16204803.2485887</v>
      </c>
      <c r="K35" s="345"/>
      <c r="L35" s="345"/>
      <c r="M35" s="345"/>
    </row>
    <row r="36" spans="1:13" ht="25">
      <c r="A36" s="968">
        <v>1986</v>
      </c>
      <c r="B36" s="977">
        <f>VLOOKUP($A36,Database!$A$74:$J$132,10)</f>
        <v>5563957</v>
      </c>
      <c r="C36" s="982">
        <f t="shared" si="4"/>
        <v>17485050.369840711</v>
      </c>
      <c r="D36" s="983">
        <f t="shared" si="0"/>
        <v>11921093.369840711</v>
      </c>
      <c r="E36" s="984">
        <f t="shared" si="7"/>
        <v>11921093.369840711</v>
      </c>
      <c r="F36" s="985">
        <f t="shared" si="1"/>
        <v>2.142556703770484</v>
      </c>
      <c r="G36" s="985">
        <f t="shared" si="2"/>
        <v>2.142556703770484</v>
      </c>
      <c r="H36" s="954"/>
      <c r="I36" s="980">
        <f t="shared" si="3"/>
        <v>5563957</v>
      </c>
      <c r="J36" s="984">
        <f t="shared" si="6"/>
        <v>17485050.369840711</v>
      </c>
      <c r="K36" s="345"/>
      <c r="L36" s="345"/>
      <c r="M36" s="345"/>
    </row>
    <row r="37" spans="1:13" ht="25">
      <c r="A37" s="968">
        <v>1987</v>
      </c>
      <c r="B37" s="977">
        <f>VLOOKUP($A37,Database!$A$74:$J$132,10)</f>
        <v>13066944</v>
      </c>
      <c r="C37" s="982">
        <f t="shared" si="4"/>
        <v>13396994.679419888</v>
      </c>
      <c r="D37" s="983">
        <f t="shared" si="0"/>
        <v>330050.67941988818</v>
      </c>
      <c r="E37" s="984">
        <f t="shared" si="7"/>
        <v>330050.67941988818</v>
      </c>
      <c r="F37" s="985">
        <f t="shared" si="1"/>
        <v>2.5258444470251665E-2</v>
      </c>
      <c r="G37" s="985">
        <f t="shared" si="2"/>
        <v>2.5258444470251665E-2</v>
      </c>
      <c r="H37" s="954"/>
      <c r="I37" s="980">
        <f t="shared" si="3"/>
        <v>13066944</v>
      </c>
      <c r="J37" s="984">
        <f t="shared" si="6"/>
        <v>13396994.679419888</v>
      </c>
      <c r="K37" s="345"/>
      <c r="L37" s="345"/>
      <c r="M37" s="345"/>
    </row>
    <row r="38" spans="1:13" ht="25">
      <c r="A38" s="968">
        <v>1988</v>
      </c>
      <c r="B38" s="977">
        <f>VLOOKUP($A38,Database!$A$74:$J$132,10)</f>
        <v>1766936</v>
      </c>
      <c r="C38" s="982">
        <f t="shared" si="4"/>
        <v>13283811.641902268</v>
      </c>
      <c r="D38" s="983">
        <f t="shared" si="0"/>
        <v>11516875.641902268</v>
      </c>
      <c r="E38" s="984">
        <f t="shared" si="7"/>
        <v>11516875.641902268</v>
      </c>
      <c r="F38" s="985">
        <f t="shared" si="1"/>
        <v>6.517992525989774</v>
      </c>
      <c r="G38" s="985">
        <f t="shared" si="2"/>
        <v>6.517992525989774</v>
      </c>
      <c r="H38" s="954"/>
      <c r="I38" s="980">
        <f t="shared" si="3"/>
        <v>1766936</v>
      </c>
      <c r="J38" s="984">
        <f t="shared" si="6"/>
        <v>13283811.641902268</v>
      </c>
      <c r="K38" s="345"/>
      <c r="L38" s="345"/>
      <c r="M38" s="345"/>
    </row>
    <row r="39" spans="1:13" ht="25">
      <c r="A39" s="968">
        <v>1989</v>
      </c>
      <c r="B39" s="977">
        <f>VLOOKUP($A39,Database!$A$74:$J$132,10)</f>
        <v>4743750</v>
      </c>
      <c r="C39" s="982">
        <f t="shared" si="4"/>
        <v>9334372.8158580232</v>
      </c>
      <c r="D39" s="983">
        <f t="shared" si="0"/>
        <v>4590622.8158580232</v>
      </c>
      <c r="E39" s="984">
        <f t="shared" si="7"/>
        <v>4590622.8158580232</v>
      </c>
      <c r="F39" s="985">
        <f t="shared" si="1"/>
        <v>0.9677202246868033</v>
      </c>
      <c r="G39" s="985">
        <f t="shared" si="2"/>
        <v>0.9677202246868033</v>
      </c>
      <c r="H39" s="954"/>
      <c r="I39" s="980">
        <f t="shared" si="3"/>
        <v>4743750</v>
      </c>
      <c r="J39" s="984">
        <f t="shared" si="6"/>
        <v>9334372.8158580232</v>
      </c>
      <c r="K39" s="345"/>
      <c r="L39" s="345"/>
      <c r="M39" s="345"/>
    </row>
    <row r="40" spans="1:13" ht="25">
      <c r="A40" s="968">
        <v>1990</v>
      </c>
      <c r="B40" s="977">
        <f>VLOOKUP($A40,Database!$A$74:$J$132,10)</f>
        <v>12923662</v>
      </c>
      <c r="C40" s="982">
        <f t="shared" si="4"/>
        <v>7760127.8080618288</v>
      </c>
      <c r="D40" s="983">
        <f t="shared" si="0"/>
        <v>-5163534.1919381712</v>
      </c>
      <c r="E40" s="984">
        <f t="shared" si="7"/>
        <v>5163534.1919381712</v>
      </c>
      <c r="F40" s="985">
        <f t="shared" si="1"/>
        <v>-0.39954110467591702</v>
      </c>
      <c r="G40" s="985">
        <f t="shared" si="2"/>
        <v>0.39954110467591702</v>
      </c>
      <c r="H40" s="954"/>
      <c r="I40" s="980">
        <f t="shared" si="3"/>
        <v>12923662</v>
      </c>
      <c r="J40" s="984">
        <f t="shared" si="6"/>
        <v>7760127.8080618288</v>
      </c>
      <c r="K40" s="345"/>
      <c r="L40" s="345"/>
      <c r="M40" s="345"/>
    </row>
    <row r="41" spans="1:13" ht="25">
      <c r="A41" s="968">
        <v>1991</v>
      </c>
      <c r="B41" s="977">
        <f>VLOOKUP($A41,Database!$A$74:$J$132,10)</f>
        <v>7544776</v>
      </c>
      <c r="C41" s="982">
        <f t="shared" si="4"/>
        <v>9530839.1582001243</v>
      </c>
      <c r="D41" s="983">
        <f t="shared" si="0"/>
        <v>1986063.1582001243</v>
      </c>
      <c r="E41" s="984">
        <f t="shared" si="7"/>
        <v>1986063.1582001243</v>
      </c>
      <c r="F41" s="985">
        <f t="shared" si="1"/>
        <v>0.26323686192938323</v>
      </c>
      <c r="G41" s="985">
        <f t="shared" si="2"/>
        <v>0.26323686192938323</v>
      </c>
      <c r="H41" s="954"/>
      <c r="I41" s="980">
        <f t="shared" si="3"/>
        <v>7544776</v>
      </c>
      <c r="J41" s="984">
        <f t="shared" si="6"/>
        <v>9530839.1582001243</v>
      </c>
      <c r="K41" s="345"/>
      <c r="L41" s="345"/>
      <c r="M41" s="345"/>
    </row>
    <row r="42" spans="1:13" ht="25">
      <c r="A42" s="968">
        <v>1992</v>
      </c>
      <c r="B42" s="977">
        <f>VLOOKUP($A42,Database!$A$74:$J$132,10)</f>
        <v>1405383</v>
      </c>
      <c r="C42" s="982">
        <f t="shared" si="4"/>
        <v>8849765.9928849488</v>
      </c>
      <c r="D42" s="983">
        <f t="shared" si="0"/>
        <v>7444382.9928849488</v>
      </c>
      <c r="E42" s="984">
        <f t="shared" si="7"/>
        <v>7444382.9928849488</v>
      </c>
      <c r="F42" s="985">
        <f t="shared" si="1"/>
        <v>5.2970492690497526</v>
      </c>
      <c r="G42" s="985">
        <f t="shared" si="2"/>
        <v>5.2970492690497526</v>
      </c>
      <c r="H42" s="954"/>
      <c r="I42" s="980">
        <f t="shared" si="3"/>
        <v>1405383</v>
      </c>
      <c r="J42" s="984">
        <f t="shared" si="6"/>
        <v>8849765.9928849488</v>
      </c>
      <c r="K42" s="345"/>
      <c r="L42" s="345"/>
      <c r="M42" s="345"/>
    </row>
    <row r="43" spans="1:13" ht="25">
      <c r="A43" s="968">
        <v>1993</v>
      </c>
      <c r="B43" s="977">
        <f>VLOOKUP($A43,Database!$A$74:$J$132,10)</f>
        <v>1542942</v>
      </c>
      <c r="C43" s="982">
        <f t="shared" si="4"/>
        <v>6296891.7462383974</v>
      </c>
      <c r="D43" s="983">
        <f t="shared" si="0"/>
        <v>4753949.7462383974</v>
      </c>
      <c r="E43" s="984">
        <f t="shared" si="7"/>
        <v>4753949.7462383974</v>
      </c>
      <c r="F43" s="985">
        <f t="shared" si="1"/>
        <v>3.0810942642292436</v>
      </c>
      <c r="G43" s="985">
        <f t="shared" si="2"/>
        <v>3.0810942642292436</v>
      </c>
      <c r="H43" s="954"/>
      <c r="I43" s="980">
        <f t="shared" si="3"/>
        <v>1542942</v>
      </c>
      <c r="J43" s="984">
        <f t="shared" si="6"/>
        <v>6296891.7462383974</v>
      </c>
      <c r="K43" s="345"/>
      <c r="L43" s="345"/>
      <c r="M43" s="345"/>
    </row>
    <row r="44" spans="1:13" ht="25">
      <c r="A44" s="968">
        <v>1994</v>
      </c>
      <c r="B44" s="977">
        <f>VLOOKUP($A44,Database!$A$74:$J$132,10)</f>
        <v>4666639</v>
      </c>
      <c r="C44" s="982">
        <f t="shared" si="4"/>
        <v>4666637.6488036932</v>
      </c>
      <c r="D44" s="983">
        <f t="shared" si="0"/>
        <v>-1.3511963067576289</v>
      </c>
      <c r="E44" s="984">
        <f t="shared" si="7"/>
        <v>1.3511963067576289</v>
      </c>
      <c r="F44" s="985">
        <f t="shared" si="1"/>
        <v>-2.8954378231477279E-7</v>
      </c>
      <c r="G44" s="985">
        <f t="shared" si="2"/>
        <v>2.8954378231477279E-7</v>
      </c>
      <c r="H44" s="954"/>
      <c r="I44" s="980">
        <f t="shared" si="3"/>
        <v>4666639</v>
      </c>
      <c r="J44" s="984">
        <f t="shared" si="6"/>
        <v>4666637.6488036932</v>
      </c>
      <c r="K44" s="345"/>
      <c r="L44" s="345"/>
      <c r="M44" s="345"/>
    </row>
    <row r="45" spans="1:13" ht="25">
      <c r="A45" s="968">
        <v>1995</v>
      </c>
      <c r="B45" s="977">
        <f>VLOOKUP($A45,Database!$A$74:$J$132,10)</f>
        <v>3934208</v>
      </c>
      <c r="C45" s="982">
        <f t="shared" si="4"/>
        <v>4666638.1121643586</v>
      </c>
      <c r="D45" s="983">
        <f t="shared" si="0"/>
        <v>732430.11216435861</v>
      </c>
      <c r="E45" s="984">
        <f>ABS(C45-$B45)</f>
        <v>732430.11216435861</v>
      </c>
      <c r="F45" s="985">
        <f t="shared" si="1"/>
        <v>0.1861696463848273</v>
      </c>
      <c r="G45" s="985">
        <f t="shared" si="2"/>
        <v>0.1861696463848273</v>
      </c>
      <c r="H45" s="954"/>
      <c r="I45" s="980">
        <f t="shared" si="3"/>
        <v>3934208</v>
      </c>
      <c r="J45" s="984">
        <f t="shared" si="6"/>
        <v>4666638.1121643586</v>
      </c>
      <c r="K45" s="345"/>
      <c r="L45" s="345"/>
      <c r="M45" s="345"/>
    </row>
    <row r="46" spans="1:13" ht="25">
      <c r="A46" s="968">
        <v>1996</v>
      </c>
      <c r="B46" s="977">
        <f>VLOOKUP($A46,Database!$A$74:$J$132,10)</f>
        <v>4500085</v>
      </c>
      <c r="C46" s="982">
        <f t="shared" si="4"/>
        <v>4415468.6099235527</v>
      </c>
      <c r="D46" s="983">
        <f t="shared" si="0"/>
        <v>-84616.390076447278</v>
      </c>
      <c r="E46" s="984">
        <f t="shared" si="7"/>
        <v>84616.390076447278</v>
      </c>
      <c r="F46" s="985">
        <f t="shared" si="1"/>
        <v>-1.8803287066010369E-2</v>
      </c>
      <c r="G46" s="985">
        <f t="shared" si="2"/>
        <v>1.8803287066010369E-2</v>
      </c>
      <c r="H46" s="954"/>
      <c r="I46" s="980">
        <f t="shared" si="3"/>
        <v>4500085</v>
      </c>
      <c r="J46" s="984">
        <f t="shared" si="6"/>
        <v>4415468.6099235527</v>
      </c>
      <c r="K46" s="345"/>
      <c r="L46" s="345"/>
      <c r="M46" s="345"/>
    </row>
    <row r="47" spans="1:13" ht="25">
      <c r="A47" s="968">
        <v>1997</v>
      </c>
      <c r="B47" s="977">
        <f>VLOOKUP($A47,Database!$A$74:$J$132,10)</f>
        <v>2588682</v>
      </c>
      <c r="C47" s="982">
        <f t="shared" si="4"/>
        <v>4444485.7901622402</v>
      </c>
      <c r="D47" s="983">
        <f t="shared" si="0"/>
        <v>1855803.7901622402</v>
      </c>
      <c r="E47" s="984">
        <f t="shared" si="7"/>
        <v>1855803.7901622402</v>
      </c>
      <c r="F47" s="985">
        <f t="shared" si="1"/>
        <v>0.71689137181092155</v>
      </c>
      <c r="G47" s="985">
        <f t="shared" si="2"/>
        <v>0.71689137181092155</v>
      </c>
      <c r="H47" s="954"/>
      <c r="I47" s="980">
        <f t="shared" si="3"/>
        <v>2588682</v>
      </c>
      <c r="J47" s="984">
        <f t="shared" si="6"/>
        <v>4444485.7901622402</v>
      </c>
      <c r="K47" s="345"/>
      <c r="L47" s="345"/>
      <c r="M47" s="345"/>
    </row>
    <row r="48" spans="1:13" ht="25">
      <c r="A48" s="968">
        <v>1998</v>
      </c>
      <c r="B48" s="977">
        <f>VLOOKUP($A48,Database!$A$74:$J$132,10)</f>
        <v>5274275.5</v>
      </c>
      <c r="C48" s="982">
        <f t="shared" si="4"/>
        <v>3808081.9797642138</v>
      </c>
      <c r="D48" s="983">
        <f t="shared" si="0"/>
        <v>-1466193.5202357862</v>
      </c>
      <c r="E48" s="984">
        <f t="shared" si="7"/>
        <v>1466193.5202357862</v>
      </c>
      <c r="F48" s="985">
        <f t="shared" si="1"/>
        <v>-0.27798955898981503</v>
      </c>
      <c r="G48" s="985">
        <f t="shared" si="2"/>
        <v>0.27798955898981503</v>
      </c>
      <c r="H48" s="954"/>
      <c r="I48" s="980">
        <f t="shared" si="3"/>
        <v>5274275.5</v>
      </c>
      <c r="J48" s="984">
        <f t="shared" si="6"/>
        <v>3808081.9797642138</v>
      </c>
    </row>
    <row r="49" spans="1:10" ht="25">
      <c r="A49" s="968">
        <v>1999</v>
      </c>
      <c r="B49" s="977">
        <f>VLOOKUP($A49,Database!$A$74:$J$132,10)</f>
        <v>9405198</v>
      </c>
      <c r="C49" s="982">
        <f t="shared" si="4"/>
        <v>4310878.2063940652</v>
      </c>
      <c r="D49" s="983">
        <f t="shared" si="0"/>
        <v>-5094319.7936059348</v>
      </c>
      <c r="E49" s="984">
        <f t="shared" si="7"/>
        <v>5094319.7936059348</v>
      </c>
      <c r="F49" s="985">
        <f t="shared" si="1"/>
        <v>-0.54164939362317888</v>
      </c>
      <c r="G49" s="985">
        <f t="shared" si="2"/>
        <v>0.54164939362317888</v>
      </c>
      <c r="H49" s="954"/>
      <c r="I49" s="980">
        <f t="shared" si="3"/>
        <v>9405198</v>
      </c>
      <c r="J49" s="984">
        <f t="shared" si="6"/>
        <v>4310878.2063940652</v>
      </c>
    </row>
    <row r="50" spans="1:10" ht="25">
      <c r="A50" s="968">
        <v>2000</v>
      </c>
      <c r="B50" s="977">
        <f>VLOOKUP($A50,Database!$A$74:$J$132,10)</f>
        <v>7389941</v>
      </c>
      <c r="C50" s="982">
        <f t="shared" si="4"/>
        <v>6057854.1233650474</v>
      </c>
      <c r="D50" s="983">
        <f t="shared" si="0"/>
        <v>-1332086.8766349526</v>
      </c>
      <c r="E50" s="984">
        <f t="shared" si="7"/>
        <v>1332086.8766349526</v>
      </c>
      <c r="F50" s="985">
        <f t="shared" si="1"/>
        <v>-0.18025676749448374</v>
      </c>
      <c r="G50" s="985">
        <f t="shared" si="2"/>
        <v>0.18025676749448374</v>
      </c>
      <c r="H50" s="954"/>
      <c r="I50" s="980">
        <f t="shared" si="3"/>
        <v>7389941</v>
      </c>
      <c r="J50" s="984">
        <f t="shared" si="6"/>
        <v>6057854.1233650474</v>
      </c>
    </row>
    <row r="51" spans="1:10" ht="25">
      <c r="A51" s="968">
        <v>2001</v>
      </c>
      <c r="B51" s="977">
        <f>VLOOKUP($A51,Database!$A$74:$J$132,10)</f>
        <v>8854676.9808041956</v>
      </c>
      <c r="C51" s="982">
        <f t="shared" si="4"/>
        <v>6514661.6633461881</v>
      </c>
      <c r="D51" s="983">
        <f t="shared" si="0"/>
        <v>-2340015.3174580075</v>
      </c>
      <c r="E51" s="984">
        <f t="shared" si="7"/>
        <v>2340015.3174580075</v>
      </c>
      <c r="F51" s="985">
        <f t="shared" si="1"/>
        <v>-0.26426885165103825</v>
      </c>
      <c r="G51" s="985">
        <f t="shared" si="2"/>
        <v>0.26426885165103825</v>
      </c>
      <c r="H51" s="954"/>
      <c r="I51" s="980">
        <f t="shared" si="3"/>
        <v>8854676.9808041956</v>
      </c>
      <c r="J51" s="984">
        <f t="shared" si="6"/>
        <v>6514661.6633461881</v>
      </c>
    </row>
    <row r="52" spans="1:10" ht="25">
      <c r="A52" s="968">
        <v>2002</v>
      </c>
      <c r="B52" s="977">
        <f>VLOOKUP($A52,Database!$A$74:$J$132,10)</f>
        <v>1264645.3102025923</v>
      </c>
      <c r="C52" s="982">
        <f t="shared" si="4"/>
        <v>7317114.3107189108</v>
      </c>
      <c r="D52" s="983">
        <f t="shared" si="0"/>
        <v>6052469.0005163187</v>
      </c>
      <c r="E52" s="984">
        <f>ABS(C52-$B52)</f>
        <v>6052469.0005163187</v>
      </c>
      <c r="F52" s="985">
        <f t="shared" si="1"/>
        <v>4.7859023804443099</v>
      </c>
      <c r="G52" s="985">
        <f t="shared" si="2"/>
        <v>4.7859023804443099</v>
      </c>
      <c r="H52" s="954"/>
      <c r="I52" s="980">
        <f t="shared" si="3"/>
        <v>1264645.3102025923</v>
      </c>
      <c r="J52" s="984">
        <f t="shared" si="6"/>
        <v>7317114.3107189108</v>
      </c>
    </row>
    <row r="53" spans="1:10" ht="25">
      <c r="A53" s="968">
        <v>2003</v>
      </c>
      <c r="B53" s="977">
        <f>VLOOKUP($A53,Database!$A$74:$J$132,10)</f>
        <v>7344511.9398193061</v>
      </c>
      <c r="C53" s="982">
        <f t="shared" si="4"/>
        <v>5241563.891723494</v>
      </c>
      <c r="D53" s="983">
        <f t="shared" si="0"/>
        <v>-2102948.0480958121</v>
      </c>
      <c r="E53" s="984">
        <f t="shared" si="7"/>
        <v>2102948.0480958121</v>
      </c>
      <c r="F53" s="985">
        <f t="shared" si="1"/>
        <v>-0.28632917548875958</v>
      </c>
      <c r="G53" s="985">
        <f t="shared" si="2"/>
        <v>0.28632917548875958</v>
      </c>
      <c r="H53" s="954"/>
      <c r="I53" s="980">
        <f t="shared" si="3"/>
        <v>7344511.9398193061</v>
      </c>
      <c r="J53" s="984">
        <f t="shared" si="6"/>
        <v>5241563.891723494</v>
      </c>
    </row>
    <row r="54" spans="1:10" ht="25">
      <c r="A54" s="968">
        <v>2004</v>
      </c>
      <c r="B54" s="977">
        <f>VLOOKUP($A54,Database!$A$74:$J$132,10)</f>
        <v>4939431.0563474381</v>
      </c>
      <c r="C54" s="982">
        <f t="shared" si="4"/>
        <v>5962719.9524944797</v>
      </c>
      <c r="D54" s="983">
        <f t="shared" si="0"/>
        <v>1023288.8961470416</v>
      </c>
      <c r="E54" s="984">
        <f t="shared" si="7"/>
        <v>1023288.8961470416</v>
      </c>
      <c r="F54" s="985">
        <f t="shared" si="1"/>
        <v>0.20716736087085569</v>
      </c>
      <c r="G54" s="985">
        <f t="shared" si="2"/>
        <v>0.20716736087085569</v>
      </c>
      <c r="H54" s="954"/>
      <c r="I54" s="980">
        <f t="shared" si="3"/>
        <v>4939431.0563474381</v>
      </c>
      <c r="J54" s="984">
        <f t="shared" si="6"/>
        <v>5962719.9524944797</v>
      </c>
    </row>
    <row r="55" spans="1:10" ht="25">
      <c r="A55" s="968">
        <v>2005</v>
      </c>
      <c r="B55" s="977">
        <f>VLOOKUP($A55,Database!$A$74:$J$132,10)</f>
        <v>17032487.685321052</v>
      </c>
      <c r="C55" s="982">
        <f t="shared" si="4"/>
        <v>5611807.341959809</v>
      </c>
      <c r="D55" s="983">
        <f t="shared" si="0"/>
        <v>-11420680.343361244</v>
      </c>
      <c r="E55" s="984">
        <f t="shared" si="7"/>
        <v>11420680.343361244</v>
      </c>
      <c r="F55" s="985">
        <f t="shared" si="1"/>
        <v>-0.67052332896760702</v>
      </c>
      <c r="G55" s="985">
        <f t="shared" si="2"/>
        <v>0.67052332896760702</v>
      </c>
      <c r="H55" s="954"/>
      <c r="I55" s="980">
        <f t="shared" si="3"/>
        <v>17032487.685321052</v>
      </c>
      <c r="J55" s="984">
        <f t="shared" si="6"/>
        <v>5611807.341959809</v>
      </c>
    </row>
    <row r="56" spans="1:10" ht="25">
      <c r="A56" s="968">
        <v>2006</v>
      </c>
      <c r="B56" s="977">
        <f>VLOOKUP($A56,Database!$A$74:$J$132,10)</f>
        <v>3314702.7753436686</v>
      </c>
      <c r="C56" s="982">
        <f t="shared" si="4"/>
        <v>9528258.2762568705</v>
      </c>
      <c r="D56" s="983">
        <f t="shared" si="0"/>
        <v>6213555.5009132018</v>
      </c>
      <c r="E56" s="984">
        <f t="shared" si="7"/>
        <v>6213555.5009132018</v>
      </c>
      <c r="F56" s="985">
        <f t="shared" si="1"/>
        <v>1.8745437893052055</v>
      </c>
      <c r="G56" s="985">
        <f t="shared" si="2"/>
        <v>1.8745437893052055</v>
      </c>
      <c r="H56" s="954"/>
      <c r="I56" s="980">
        <f t="shared" si="3"/>
        <v>3314702.7753436686</v>
      </c>
      <c r="J56" s="984">
        <f t="shared" si="6"/>
        <v>9528258.2762568705</v>
      </c>
    </row>
    <row r="57" spans="1:10" ht="25">
      <c r="A57" s="968">
        <v>2007</v>
      </c>
      <c r="B57" s="977">
        <f>VLOOKUP($A57,Database!$A$74:$J$132,10)</f>
        <v>11526987.795003444</v>
      </c>
      <c r="C57" s="982">
        <f t="shared" si="4"/>
        <v>7397467.0698464783</v>
      </c>
      <c r="D57" s="983">
        <f t="shared" si="0"/>
        <v>-4129520.7251569657</v>
      </c>
      <c r="E57" s="984">
        <f t="shared" si="7"/>
        <v>4129520.7251569657</v>
      </c>
      <c r="F57" s="985">
        <f t="shared" si="1"/>
        <v>-0.35824803483759843</v>
      </c>
      <c r="G57" s="985">
        <f t="shared" si="2"/>
        <v>0.35824803483759843</v>
      </c>
      <c r="H57" s="954"/>
      <c r="I57" s="980">
        <f t="shared" si="3"/>
        <v>11526987.795003444</v>
      </c>
      <c r="J57" s="984">
        <f t="shared" si="6"/>
        <v>7397467.0698464783</v>
      </c>
    </row>
    <row r="58" spans="1:10" ht="25">
      <c r="A58" s="968">
        <v>2008</v>
      </c>
      <c r="B58" s="977">
        <f>VLOOKUP($A58,Database!$A$74:$J$132,10)</f>
        <v>2290691.6775990888</v>
      </c>
      <c r="C58" s="982">
        <f t="shared" si="4"/>
        <v>8813588.0727989301</v>
      </c>
      <c r="D58" s="983">
        <f t="shared" si="0"/>
        <v>6522896.3951998409</v>
      </c>
      <c r="E58" s="984">
        <f t="shared" si="7"/>
        <v>6522896.3951998409</v>
      </c>
      <c r="F58" s="985">
        <f t="shared" si="1"/>
        <v>2.8475662870686267</v>
      </c>
      <c r="G58" s="985">
        <f t="shared" si="2"/>
        <v>2.8475662870686267</v>
      </c>
      <c r="H58" s="954"/>
      <c r="I58" s="980">
        <f t="shared" si="3"/>
        <v>2290691.6775990888</v>
      </c>
      <c r="J58" s="984">
        <f t="shared" si="6"/>
        <v>8813588.0727989301</v>
      </c>
    </row>
    <row r="59" spans="1:10" ht="25">
      <c r="A59" s="968">
        <v>2009</v>
      </c>
      <c r="B59" s="977">
        <f>VLOOKUP($A59,Database!$A$74:$J$132,10)</f>
        <v>2824330.6070667375</v>
      </c>
      <c r="C59" s="982">
        <f t="shared" si="4"/>
        <v>6576715.7575560454</v>
      </c>
      <c r="D59" s="983">
        <f t="shared" si="0"/>
        <v>3752385.1504893079</v>
      </c>
      <c r="E59" s="984">
        <f t="shared" si="7"/>
        <v>3752385.1504893079</v>
      </c>
      <c r="F59" s="985">
        <f t="shared" si="1"/>
        <v>1.3285927437462497</v>
      </c>
      <c r="G59" s="985">
        <f t="shared" si="2"/>
        <v>1.3285927437462497</v>
      </c>
      <c r="H59" s="954"/>
      <c r="I59" s="980">
        <f t="shared" si="3"/>
        <v>2824330.6070667375</v>
      </c>
      <c r="J59" s="984">
        <f t="shared" si="6"/>
        <v>6576715.7575560454</v>
      </c>
    </row>
    <row r="60" spans="1:10" ht="25">
      <c r="A60" s="968">
        <v>2010</v>
      </c>
      <c r="B60" s="977">
        <f>VLOOKUP($A60,Database!$A$74:$J$132,10)</f>
        <v>4399390.7272172375</v>
      </c>
      <c r="C60" s="982">
        <f t="shared" si="4"/>
        <v>5289924.4380687634</v>
      </c>
      <c r="D60" s="983">
        <f>C60-B60</f>
        <v>890533.71085152589</v>
      </c>
      <c r="E60" s="984">
        <f>ABS(C60-$B60)</f>
        <v>890533.71085152589</v>
      </c>
      <c r="F60" s="985">
        <f>($C60-$B60)/$B60</f>
        <v>0.20242205479548719</v>
      </c>
      <c r="G60" s="985">
        <f>ABS($C60-B60)/$B60</f>
        <v>0.20242205479548719</v>
      </c>
      <c r="H60" s="954"/>
      <c r="I60" s="980">
        <f>B60</f>
        <v>4399390.7272172375</v>
      </c>
      <c r="J60" s="984">
        <f t="shared" si="6"/>
        <v>5289924.4380687634</v>
      </c>
    </row>
    <row r="61" spans="1:10" ht="25">
      <c r="A61" s="968">
        <v>2011</v>
      </c>
      <c r="B61" s="977">
        <f>VLOOKUP($A61,Database!$A$74:$J$132,10)</f>
        <v>9643099</v>
      </c>
      <c r="C61" s="982">
        <f t="shared" si="4"/>
        <v>4984537.0636716783</v>
      </c>
      <c r="D61" s="983">
        <f t="shared" ref="D61:D63" si="8">C61-B61</f>
        <v>-4658561.9363283217</v>
      </c>
      <c r="E61" s="984">
        <f t="shared" ref="E61:E63" si="9">ABS(C61-$B61)</f>
        <v>4658561.9363283217</v>
      </c>
      <c r="F61" s="985">
        <f t="shared" ref="F61:F64" si="10">($C61-$B61)/$B61</f>
        <v>-0.48309800991655499</v>
      </c>
      <c r="G61" s="985">
        <f t="shared" ref="G61:G63" si="11">ABS($C61-B61)/$B61</f>
        <v>0.48309800991655499</v>
      </c>
      <c r="H61" s="954"/>
      <c r="I61" s="980">
        <f t="shared" ref="I61:I63" si="12">B61</f>
        <v>9643099</v>
      </c>
      <c r="J61" s="984">
        <f t="shared" ref="J61:J64" si="13">C61</f>
        <v>4984537.0636716783</v>
      </c>
    </row>
    <row r="62" spans="1:10" ht="25">
      <c r="A62" s="968">
        <v>2012</v>
      </c>
      <c r="B62" s="977">
        <f>VLOOKUP($A62,Database!$A$74:$J$132,10)</f>
        <v>4428267.5450134957</v>
      </c>
      <c r="C62" s="982">
        <f t="shared" si="4"/>
        <v>6582080.1783968434</v>
      </c>
      <c r="D62" s="983">
        <f t="shared" si="8"/>
        <v>2153812.6333833477</v>
      </c>
      <c r="E62" s="984">
        <f t="shared" si="9"/>
        <v>2153812.6333833477</v>
      </c>
      <c r="F62" s="985">
        <f t="shared" si="10"/>
        <v>0.48637816290225611</v>
      </c>
      <c r="G62" s="985">
        <f t="shared" si="11"/>
        <v>0.48637816290225611</v>
      </c>
      <c r="H62" s="954"/>
      <c r="I62" s="980">
        <f t="shared" si="12"/>
        <v>4428267.5450134957</v>
      </c>
      <c r="J62" s="984">
        <f t="shared" si="13"/>
        <v>6582080.1783968434</v>
      </c>
    </row>
    <row r="63" spans="1:10" ht="25">
      <c r="A63" s="968">
        <v>2013</v>
      </c>
      <c r="B63" s="977">
        <f>VLOOKUP($A63,Database!$A$74:$J$132,10)</f>
        <v>21965453</v>
      </c>
      <c r="C63" s="982">
        <f t="shared" si="4"/>
        <v>5843481.3167958874</v>
      </c>
      <c r="D63" s="983">
        <f t="shared" si="8"/>
        <v>-16121971.683204113</v>
      </c>
      <c r="E63" s="984">
        <f t="shared" si="9"/>
        <v>16121971.683204113</v>
      </c>
      <c r="F63" s="985">
        <f t="shared" si="10"/>
        <v>-0.73396946027947219</v>
      </c>
      <c r="G63" s="985">
        <f t="shared" si="11"/>
        <v>0.73396946027947219</v>
      </c>
      <c r="H63" s="954"/>
      <c r="I63" s="980">
        <f t="shared" si="12"/>
        <v>21965453</v>
      </c>
      <c r="J63" s="984">
        <f t="shared" si="13"/>
        <v>5843481.3167958874</v>
      </c>
    </row>
    <row r="64" spans="1:10" ht="25">
      <c r="A64" s="968">
        <v>2014</v>
      </c>
      <c r="B64" s="977">
        <f>VLOOKUP($A64,Database!$A$74:$J$132,10)</f>
        <v>2702397</v>
      </c>
      <c r="C64" s="982">
        <f>($J$3*$B63)+($J$4*C63)+($J$5*C62)+($J$6*C61)</f>
        <v>11372128.399375243</v>
      </c>
      <c r="D64" s="983">
        <f t="shared" ref="D64" si="14">C64-B64</f>
        <v>8669731.3993752431</v>
      </c>
      <c r="E64" s="984">
        <f t="shared" ref="E64" si="15">ABS(C64-$B64)</f>
        <v>8669731.3993752431</v>
      </c>
      <c r="F64" s="985">
        <f t="shared" si="10"/>
        <v>3.2081634931415492</v>
      </c>
      <c r="G64" s="985">
        <f t="shared" ref="G64" si="16">ABS($C64-B64)/$B64</f>
        <v>3.2081634931415492</v>
      </c>
      <c r="H64" s="954"/>
      <c r="I64" s="980">
        <f t="shared" ref="I64" si="17">B64</f>
        <v>2702397</v>
      </c>
      <c r="J64" s="984">
        <f t="shared" si="13"/>
        <v>11372128.399375243</v>
      </c>
    </row>
    <row r="65" spans="1:12" ht="25">
      <c r="A65" s="968">
        <v>2015</v>
      </c>
      <c r="B65" s="988"/>
      <c r="C65" s="982">
        <f t="shared" si="4"/>
        <v>8399050.0346589684</v>
      </c>
      <c r="D65" s="990"/>
      <c r="E65" s="990"/>
      <c r="F65" s="990"/>
      <c r="G65" s="985"/>
      <c r="H65" s="954"/>
      <c r="I65" s="987"/>
      <c r="J65" s="991"/>
    </row>
    <row r="66" spans="1:12" ht="25">
      <c r="A66" s="986"/>
      <c r="B66" s="988"/>
      <c r="C66" s="989"/>
      <c r="D66" s="990"/>
      <c r="E66" s="990"/>
      <c r="F66" s="990"/>
      <c r="G66" s="985"/>
      <c r="H66" s="954"/>
      <c r="I66" s="987"/>
      <c r="J66" s="991"/>
    </row>
    <row r="67" spans="1:12" ht="25">
      <c r="A67" s="986"/>
      <c r="B67" s="988"/>
      <c r="C67" s="989"/>
      <c r="D67" s="990"/>
      <c r="E67" s="990"/>
      <c r="F67" s="990"/>
      <c r="G67" s="985"/>
      <c r="H67" s="954"/>
      <c r="I67" s="987"/>
      <c r="J67" s="991"/>
    </row>
    <row r="68" spans="1:12" ht="25">
      <c r="A68" s="986"/>
      <c r="B68" s="988"/>
      <c r="C68" s="989"/>
      <c r="D68" s="990"/>
      <c r="E68" s="990"/>
      <c r="F68" s="990"/>
      <c r="G68" s="985"/>
      <c r="H68" s="954"/>
      <c r="I68" s="987"/>
      <c r="J68" s="991"/>
    </row>
    <row r="69" spans="1:12" ht="25">
      <c r="A69" s="965" t="s">
        <v>245</v>
      </c>
      <c r="B69" s="992">
        <f t="shared" ref="B69:G69" si="18">COUNT(B12:B68)</f>
        <v>53</v>
      </c>
      <c r="C69" s="992">
        <f>COUNT(C12:C68)</f>
        <v>53</v>
      </c>
      <c r="D69" s="992">
        <f t="shared" si="18"/>
        <v>52</v>
      </c>
      <c r="E69" s="992">
        <f t="shared" si="18"/>
        <v>52</v>
      </c>
      <c r="F69" s="992">
        <f t="shared" si="18"/>
        <v>52</v>
      </c>
      <c r="G69" s="992">
        <f t="shared" si="18"/>
        <v>52</v>
      </c>
      <c r="H69" s="993"/>
      <c r="I69" s="954"/>
      <c r="J69" s="954"/>
    </row>
    <row r="70" spans="1:12" ht="28">
      <c r="A70" s="971" t="s">
        <v>398</v>
      </c>
      <c r="B70" s="998"/>
      <c r="C70" s="1090">
        <f>VLOOKUP(Forecast_Year,A12:C68,3)</f>
        <v>8399050.0346589684</v>
      </c>
      <c r="D70" s="998"/>
      <c r="E70" s="998"/>
      <c r="F70" s="998"/>
      <c r="G70" s="998"/>
      <c r="H70" s="993"/>
      <c r="I70" s="954"/>
      <c r="J70" s="954"/>
    </row>
    <row r="71" spans="1:12" ht="25">
      <c r="A71" s="971" t="s">
        <v>288</v>
      </c>
      <c r="B71" s="994"/>
      <c r="C71" s="994"/>
      <c r="D71" s="995">
        <f>SUM(D14:D68)</f>
        <v>-3747533.1980745066</v>
      </c>
      <c r="E71" s="994"/>
      <c r="F71" s="996">
        <f>SUM(F14:F68)</f>
        <v>42.687183733300365</v>
      </c>
      <c r="G71" s="994"/>
      <c r="H71" s="997"/>
      <c r="I71" s="954"/>
      <c r="J71" s="954"/>
    </row>
    <row r="72" spans="1:12" ht="29" thickBot="1">
      <c r="A72" s="971" t="s">
        <v>127</v>
      </c>
      <c r="B72" s="998">
        <f t="shared" ref="B72:G72" si="19">AVERAGE(B12:B68)</f>
        <v>7307170.2754667597</v>
      </c>
      <c r="C72" s="998">
        <f t="shared" si="19"/>
        <v>7269441.9516287288</v>
      </c>
      <c r="D72" s="998">
        <f t="shared" si="19"/>
        <v>-31506.253809125054</v>
      </c>
      <c r="E72" s="1090">
        <f t="shared" si="19"/>
        <v>4171008.6329796072</v>
      </c>
      <c r="F72" s="999">
        <f t="shared" si="19"/>
        <v>0.82700585681136407</v>
      </c>
      <c r="G72" s="1089">
        <f t="shared" si="19"/>
        <v>1.1469751983987586</v>
      </c>
      <c r="H72" s="1000"/>
      <c r="I72" s="954"/>
      <c r="J72" s="954"/>
    </row>
    <row r="73" spans="1:12" ht="36" thickBot="1">
      <c r="A73" s="971" t="s">
        <v>265</v>
      </c>
      <c r="B73" s="998">
        <f t="shared" ref="B73:G73" si="20">MEDIAN(B12:B68)</f>
        <v>5233149</v>
      </c>
      <c r="C73" s="998">
        <f t="shared" si="20"/>
        <v>6057854.1233650474</v>
      </c>
      <c r="D73" s="998">
        <f t="shared" si="20"/>
        <v>761185.74709528312</v>
      </c>
      <c r="E73" s="998">
        <f t="shared" si="20"/>
        <v>3326183.5070607471</v>
      </c>
      <c r="F73" s="999">
        <f t="shared" si="20"/>
        <v>0.19429585059015725</v>
      </c>
      <c r="G73" s="999">
        <f t="shared" si="20"/>
        <v>0.43418841810654563</v>
      </c>
      <c r="H73" s="1000"/>
      <c r="I73" s="954"/>
      <c r="J73" s="954"/>
      <c r="K73" s="916">
        <f>Forecast_Year</f>
        <v>2015</v>
      </c>
      <c r="L73" s="321" t="s">
        <v>366</v>
      </c>
    </row>
    <row r="74" spans="1:12" ht="25">
      <c r="A74" s="971" t="s">
        <v>286</v>
      </c>
      <c r="B74" s="998">
        <f t="shared" ref="B74:G74" si="21">MIN(B12:B68)</f>
        <v>695963</v>
      </c>
      <c r="C74" s="998">
        <f t="shared" si="21"/>
        <v>2872197.1545955674</v>
      </c>
      <c r="D74" s="998">
        <f t="shared" si="21"/>
        <v>-16121971.683204113</v>
      </c>
      <c r="E74" s="998">
        <f t="shared" si="21"/>
        <v>1.3511963067576289</v>
      </c>
      <c r="F74" s="999">
        <f t="shared" si="21"/>
        <v>-0.77522022822715841</v>
      </c>
      <c r="G74" s="999">
        <f t="shared" si="21"/>
        <v>2.8954378231477279E-7</v>
      </c>
      <c r="H74" s="1000"/>
      <c r="I74" s="954"/>
      <c r="J74" s="954"/>
    </row>
    <row r="75" spans="1:12" ht="25">
      <c r="A75" s="971" t="s">
        <v>287</v>
      </c>
      <c r="B75" s="998">
        <f t="shared" ref="B75:G75" si="22">MAX(B12:B68)</f>
        <v>21965453</v>
      </c>
      <c r="C75" s="998">
        <f t="shared" si="22"/>
        <v>17485050.369840711</v>
      </c>
      <c r="D75" s="998">
        <f t="shared" si="22"/>
        <v>11921093.369840711</v>
      </c>
      <c r="E75" s="998">
        <f>MAX(E12:E68)</f>
        <v>16121971.683204113</v>
      </c>
      <c r="F75" s="999">
        <f t="shared" si="22"/>
        <v>7.2180983054791286</v>
      </c>
      <c r="G75" s="999">
        <f t="shared" si="22"/>
        <v>7.2180983054791286</v>
      </c>
      <c r="H75" s="1000"/>
      <c r="I75" s="954"/>
      <c r="J75" s="954"/>
    </row>
    <row r="76" spans="1:12" ht="25">
      <c r="A76" s="1001" t="s">
        <v>238</v>
      </c>
      <c r="B76" s="1002">
        <f t="shared" ref="B76:G76" si="23">STDEV(B12:B68)</f>
        <v>5702441.7840149077</v>
      </c>
      <c r="C76" s="1002">
        <f t="shared" si="23"/>
        <v>3503768.3322474458</v>
      </c>
      <c r="D76" s="1002">
        <f t="shared" si="23"/>
        <v>5603878.1309408806</v>
      </c>
      <c r="E76" s="1002">
        <f t="shared" si="23"/>
        <v>3696758.7712818692</v>
      </c>
      <c r="F76" s="1003">
        <f t="shared" si="23"/>
        <v>1.8812775742345635</v>
      </c>
      <c r="G76" s="1003">
        <f t="shared" si="23"/>
        <v>1.701530874225373</v>
      </c>
      <c r="H76" s="1000"/>
      <c r="I76" s="954"/>
      <c r="J76" s="954"/>
    </row>
  </sheetData>
  <phoneticPr fontId="49"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00B050"/>
  </sheetPr>
  <dimension ref="A1:N47"/>
  <sheetViews>
    <sheetView workbookViewId="0">
      <selection activeCell="AK54" sqref="AK54"/>
    </sheetView>
  </sheetViews>
  <sheetFormatPr baseColWidth="10" defaultColWidth="8.875" defaultRowHeight="16" x14ac:dyDescent="0"/>
  <cols>
    <col min="1" max="1" width="8.875" style="321" customWidth="1"/>
    <col min="2" max="2" width="11.875" style="321" customWidth="1"/>
    <col min="3" max="3" width="13" style="321" customWidth="1"/>
    <col min="4" max="4" width="11.375" style="321" customWidth="1"/>
    <col min="5" max="5" width="14.125" style="321" customWidth="1"/>
    <col min="6" max="6" width="10.5" style="321" customWidth="1"/>
    <col min="7" max="7" width="11.5" style="321" customWidth="1"/>
    <col min="8" max="8" width="4.875" style="321" customWidth="1"/>
    <col min="9" max="9" width="12.5" style="321" customWidth="1"/>
    <col min="10" max="10" width="16.375" style="321" customWidth="1"/>
    <col min="11" max="11" width="5.5" style="321" customWidth="1"/>
    <col min="12" max="16384" width="8.875" style="321"/>
  </cols>
  <sheetData>
    <row r="1" spans="1:14" ht="17" thickBot="1">
      <c r="A1" s="320" t="str">
        <f ca="1">CELL("filename",A1)</f>
        <v>NWCLM04072996:Users:eric.ward:Documents:NCEAS-covariation:data:salmon data:[2015_PWS_Pink_Wild_forecast-FINAL.xlsm]Exp_smoothing damp_Tot odd</v>
      </c>
    </row>
    <row r="2" spans="1:14">
      <c r="I2" s="335" t="s">
        <v>249</v>
      </c>
      <c r="J2" s="336"/>
    </row>
    <row r="3" spans="1:14">
      <c r="A3" s="320"/>
      <c r="I3" s="337" t="s">
        <v>250</v>
      </c>
      <c r="J3" s="338">
        <f>1-SUM(J4:J6)</f>
        <v>0.62422063128244987</v>
      </c>
      <c r="L3" s="321" t="s">
        <v>292</v>
      </c>
      <c r="M3" s="665">
        <f>G43</f>
        <v>0.75892056654926343</v>
      </c>
      <c r="N3" s="321" t="s">
        <v>293</v>
      </c>
    </row>
    <row r="4" spans="1:14">
      <c r="A4" s="320"/>
      <c r="I4" s="337" t="s">
        <v>251</v>
      </c>
      <c r="J4" s="340">
        <v>0.37577936871755008</v>
      </c>
      <c r="N4" s="321" t="s">
        <v>294</v>
      </c>
    </row>
    <row r="5" spans="1:14" ht="16.5" customHeight="1">
      <c r="A5" s="322" t="s">
        <v>246</v>
      </c>
      <c r="B5" s="322" t="s">
        <v>296</v>
      </c>
      <c r="I5" s="337" t="s">
        <v>252</v>
      </c>
      <c r="J5" s="340">
        <v>0</v>
      </c>
      <c r="N5" s="321" t="s">
        <v>295</v>
      </c>
    </row>
    <row r="6" spans="1:14" ht="17" thickBot="1">
      <c r="A6" s="322"/>
      <c r="B6" s="322" t="s">
        <v>300</v>
      </c>
      <c r="I6" s="343" t="s">
        <v>253</v>
      </c>
      <c r="J6" s="344">
        <v>0</v>
      </c>
    </row>
    <row r="7" spans="1:14">
      <c r="B7" s="667" t="s">
        <v>299</v>
      </c>
      <c r="J7" s="351">
        <f>SUM(J3:J6)</f>
        <v>1</v>
      </c>
    </row>
    <row r="8" spans="1:14">
      <c r="A8" s="323"/>
      <c r="B8" s="323"/>
      <c r="C8" s="324" t="s">
        <v>247</v>
      </c>
      <c r="D8" s="323"/>
      <c r="E8" s="323"/>
      <c r="F8" s="323"/>
      <c r="G8" s="325" t="s">
        <v>5</v>
      </c>
      <c r="I8" s="352" t="s">
        <v>260</v>
      </c>
    </row>
    <row r="9" spans="1:14">
      <c r="A9" s="326" t="s">
        <v>7</v>
      </c>
      <c r="B9" s="625" t="s">
        <v>257</v>
      </c>
      <c r="C9" s="329" t="s">
        <v>248</v>
      </c>
      <c r="D9" s="328"/>
      <c r="E9" s="326" t="s">
        <v>5</v>
      </c>
      <c r="F9" s="326" t="s">
        <v>281</v>
      </c>
      <c r="G9" s="326" t="s">
        <v>180</v>
      </c>
      <c r="I9" s="353" t="s">
        <v>10</v>
      </c>
      <c r="J9" s="352" t="s">
        <v>261</v>
      </c>
    </row>
    <row r="10" spans="1:14">
      <c r="A10" s="330" t="s">
        <v>16</v>
      </c>
      <c r="B10" s="626" t="s">
        <v>258</v>
      </c>
      <c r="C10" s="333" t="s">
        <v>75</v>
      </c>
      <c r="D10" s="330" t="s">
        <v>31</v>
      </c>
      <c r="E10" s="330" t="s">
        <v>31</v>
      </c>
      <c r="F10" s="330" t="s">
        <v>31</v>
      </c>
      <c r="G10" s="330" t="s">
        <v>31</v>
      </c>
      <c r="I10" s="354" t="s">
        <v>233</v>
      </c>
      <c r="J10" s="352" t="s">
        <v>75</v>
      </c>
    </row>
    <row r="11" spans="1:14">
      <c r="A11" s="326">
        <v>1961</v>
      </c>
      <c r="B11" s="619">
        <f>VLOOKUP($A11,Database!$A$74:$J$132,10)</f>
        <v>4497198</v>
      </c>
      <c r="C11" s="632" t="e">
        <f>NA()</f>
        <v>#N/A</v>
      </c>
      <c r="D11" s="632" t="e">
        <f>NA()</f>
        <v>#N/A</v>
      </c>
      <c r="E11" s="632" t="e">
        <f>NA()</f>
        <v>#N/A</v>
      </c>
      <c r="F11" s="342" t="e">
        <f t="shared" ref="F11:F36" si="0">($C11-$B11)/$B11</f>
        <v>#N/A</v>
      </c>
      <c r="G11" s="342" t="e">
        <f t="shared" ref="G11:G36" si="1">ABS($C11-$B11)/$B11</f>
        <v>#N/A</v>
      </c>
      <c r="I11" s="622">
        <f t="shared" ref="I11:I35" si="2">B11</f>
        <v>4497198</v>
      </c>
      <c r="J11" s="627" t="e">
        <f>NA()</f>
        <v>#N/A</v>
      </c>
    </row>
    <row r="12" spans="1:14">
      <c r="A12" s="326">
        <v>1963</v>
      </c>
      <c r="B12" s="619">
        <f>VLOOKUP($A12,Database!$A$74:$J$132,10)</f>
        <v>6651118</v>
      </c>
      <c r="C12" s="469">
        <f>B11</f>
        <v>4497198</v>
      </c>
      <c r="D12" s="632" t="e">
        <f>NA()</f>
        <v>#N/A</v>
      </c>
      <c r="E12" s="632" t="e">
        <f>NA()</f>
        <v>#N/A</v>
      </c>
      <c r="F12" s="342">
        <f t="shared" si="0"/>
        <v>-0.3238432997279555</v>
      </c>
      <c r="G12" s="342">
        <f t="shared" si="1"/>
        <v>0.3238432997279555</v>
      </c>
      <c r="I12" s="622">
        <f t="shared" si="2"/>
        <v>6651118</v>
      </c>
      <c r="J12" s="627" t="e">
        <f>NA()</f>
        <v>#N/A</v>
      </c>
    </row>
    <row r="13" spans="1:14">
      <c r="A13" s="326">
        <v>1965</v>
      </c>
      <c r="B13" s="619">
        <f>VLOOKUP($A13,Database!$A$74:$J$132,10)</f>
        <v>3436427</v>
      </c>
      <c r="C13" s="469">
        <f>0.9*$B12+0.1*C12</f>
        <v>6435726</v>
      </c>
      <c r="D13" s="632" t="e">
        <f>NA()</f>
        <v>#N/A</v>
      </c>
      <c r="E13" s="632" t="e">
        <f>NA()</f>
        <v>#N/A</v>
      </c>
      <c r="F13" s="342">
        <f t="shared" si="0"/>
        <v>0.87279578469148333</v>
      </c>
      <c r="G13" s="342">
        <f t="shared" si="1"/>
        <v>0.87279578469148333</v>
      </c>
      <c r="I13" s="622">
        <f t="shared" si="2"/>
        <v>3436427</v>
      </c>
      <c r="J13" s="627" t="e">
        <f>NA()</f>
        <v>#N/A</v>
      </c>
    </row>
    <row r="14" spans="1:14">
      <c r="A14" s="326">
        <v>1967</v>
      </c>
      <c r="B14" s="619">
        <f>VLOOKUP($A14,Database!$A$74:$J$132,10)</f>
        <v>3468600</v>
      </c>
      <c r="C14" s="469">
        <f>0.5*$B13+0.3*C13+0.2*C12</f>
        <v>4548370.9000000004</v>
      </c>
      <c r="D14" s="632" t="e">
        <f>NA()</f>
        <v>#N/A</v>
      </c>
      <c r="E14" s="632" t="e">
        <f>NA()</f>
        <v>#N/A</v>
      </c>
      <c r="F14" s="342">
        <f t="shared" si="0"/>
        <v>0.31129876607276724</v>
      </c>
      <c r="G14" s="342">
        <f t="shared" si="1"/>
        <v>0.31129876607276724</v>
      </c>
      <c r="I14" s="622">
        <f t="shared" si="2"/>
        <v>3468600</v>
      </c>
      <c r="J14" s="339">
        <f>C14</f>
        <v>4548370.9000000004</v>
      </c>
    </row>
    <row r="15" spans="1:14">
      <c r="A15" s="326">
        <v>1969</v>
      </c>
      <c r="B15" s="619">
        <f>VLOOKUP($A15,Database!$A$74:$J$132,10)</f>
        <v>5233149</v>
      </c>
      <c r="C15" s="349">
        <f>$J$3*$B14+$J$4*C14+$J$5*C13+$J$6*C12</f>
        <v>3874355.6271615811</v>
      </c>
      <c r="D15" s="341">
        <f>C15-B15</f>
        <v>-1358793.3728384189</v>
      </c>
      <c r="E15" s="339">
        <f t="shared" ref="E15:E34" si="3">ABS(C15-$B15)</f>
        <v>1358793.3728384189</v>
      </c>
      <c r="F15" s="342">
        <f t="shared" si="0"/>
        <v>-0.259651191441027</v>
      </c>
      <c r="G15" s="342">
        <f t="shared" si="1"/>
        <v>0.259651191441027</v>
      </c>
      <c r="I15" s="622">
        <f t="shared" si="2"/>
        <v>5233149</v>
      </c>
      <c r="J15" s="339">
        <f t="shared" ref="J15:J37" si="4">C15</f>
        <v>3874355.6271615811</v>
      </c>
    </row>
    <row r="16" spans="1:14">
      <c r="A16" s="326">
        <v>1971</v>
      </c>
      <c r="B16" s="619">
        <f>VLOOKUP($A16,Database!$A$74:$J$132,10)</f>
        <v>8423514</v>
      </c>
      <c r="C16" s="349">
        <f t="shared" ref="C16:C38" si="5">$J$3*$B15+$J$4*C15+$J$5*C14+$J$6*C13</f>
        <v>4722542.4841371877</v>
      </c>
      <c r="D16" s="341">
        <f>C16-B16</f>
        <v>-3700971.5158628123</v>
      </c>
      <c r="E16" s="339">
        <f t="shared" si="3"/>
        <v>3700971.5158628123</v>
      </c>
      <c r="F16" s="342">
        <f t="shared" si="0"/>
        <v>-0.43936194750347801</v>
      </c>
      <c r="G16" s="342">
        <f t="shared" si="1"/>
        <v>0.43936194750347801</v>
      </c>
      <c r="I16" s="622">
        <f t="shared" si="2"/>
        <v>8423514</v>
      </c>
      <c r="J16" s="339">
        <f t="shared" si="4"/>
        <v>4722542.4841371877</v>
      </c>
    </row>
    <row r="17" spans="1:13">
      <c r="A17" s="326">
        <v>1973</v>
      </c>
      <c r="B17" s="619">
        <f>VLOOKUP($A17,Database!$A$74:$J$132,10)</f>
        <v>8535974</v>
      </c>
      <c r="C17" s="349">
        <f t="shared" si="5"/>
        <v>7032765.2601274382</v>
      </c>
      <c r="D17" s="341">
        <f t="shared" ref="D17:D35" si="6">C17-B17</f>
        <v>-1503208.7398725618</v>
      </c>
      <c r="E17" s="339">
        <f t="shared" si="3"/>
        <v>1503208.7398725618</v>
      </c>
      <c r="F17" s="342">
        <f t="shared" si="0"/>
        <v>-0.17610277864864182</v>
      </c>
      <c r="G17" s="342">
        <f t="shared" si="1"/>
        <v>0.17610277864864182</v>
      </c>
      <c r="I17" s="622">
        <f t="shared" si="2"/>
        <v>8535974</v>
      </c>
      <c r="J17" s="339">
        <f t="shared" si="4"/>
        <v>7032765.2601274382</v>
      </c>
    </row>
    <row r="18" spans="1:13">
      <c r="A18" s="326">
        <v>1975</v>
      </c>
      <c r="B18" s="619">
        <f>VLOOKUP($A18,Database!$A$74:$J$132,10)</f>
        <v>3322438</v>
      </c>
      <c r="C18" s="349">
        <f t="shared" si="5"/>
        <v>7971099.1686799843</v>
      </c>
      <c r="D18" s="341">
        <f t="shared" si="6"/>
        <v>4648661.1686799843</v>
      </c>
      <c r="E18" s="339">
        <f t="shared" si="3"/>
        <v>4648661.1686799843</v>
      </c>
      <c r="F18" s="342">
        <f t="shared" si="0"/>
        <v>1.3991716831675969</v>
      </c>
      <c r="G18" s="342">
        <f t="shared" si="1"/>
        <v>1.3991716831675969</v>
      </c>
      <c r="I18" s="622">
        <f t="shared" si="2"/>
        <v>3322438</v>
      </c>
      <c r="J18" s="339">
        <f t="shared" si="4"/>
        <v>7971099.1686799843</v>
      </c>
    </row>
    <row r="19" spans="1:13">
      <c r="A19" s="326">
        <v>1977</v>
      </c>
      <c r="B19" s="619">
        <f>VLOOKUP($A19,Database!$A$74:$J$132,10)</f>
        <v>5816401</v>
      </c>
      <c r="C19" s="349">
        <f t="shared" si="5"/>
        <v>5069308.9593483526</v>
      </c>
      <c r="D19" s="341">
        <f t="shared" si="6"/>
        <v>-747092.04065164737</v>
      </c>
      <c r="E19" s="339">
        <f t="shared" si="3"/>
        <v>747092.04065164737</v>
      </c>
      <c r="F19" s="342">
        <f t="shared" si="0"/>
        <v>-0.12844575892405757</v>
      </c>
      <c r="G19" s="342">
        <f t="shared" si="1"/>
        <v>0.12844575892405757</v>
      </c>
      <c r="I19" s="622">
        <f t="shared" si="2"/>
        <v>5816401</v>
      </c>
      <c r="J19" s="339">
        <f t="shared" si="4"/>
        <v>5069308.9593483526</v>
      </c>
    </row>
    <row r="20" spans="1:13">
      <c r="A20" s="326">
        <v>1979</v>
      </c>
      <c r="B20" s="619">
        <f>VLOOKUP($A20,Database!$A$74:$J$132,10)</f>
        <v>17335503</v>
      </c>
      <c r="C20" s="349">
        <f t="shared" si="5"/>
        <v>5535659.2245900175</v>
      </c>
      <c r="D20" s="341">
        <f t="shared" si="6"/>
        <v>-11799843.775409982</v>
      </c>
      <c r="E20" s="339">
        <f t="shared" si="3"/>
        <v>11799843.775409982</v>
      </c>
      <c r="F20" s="342">
        <f t="shared" si="0"/>
        <v>-0.68067501562602373</v>
      </c>
      <c r="G20" s="342">
        <f t="shared" si="1"/>
        <v>0.68067501562602373</v>
      </c>
      <c r="I20" s="622">
        <f t="shared" si="2"/>
        <v>17335503</v>
      </c>
      <c r="J20" s="339">
        <f t="shared" si="4"/>
        <v>5535659.2245900175</v>
      </c>
    </row>
    <row r="21" spans="1:13" ht="13.5" customHeight="1">
      <c r="A21" s="326">
        <v>1981</v>
      </c>
      <c r="B21" s="619">
        <f>VLOOKUP($A21,Database!$A$74:$J$132,10)</f>
        <v>19568866</v>
      </c>
      <c r="C21" s="349">
        <f t="shared" si="5"/>
        <v>12901365.155110722</v>
      </c>
      <c r="D21" s="341">
        <f t="shared" si="6"/>
        <v>-6667500.8448892776</v>
      </c>
      <c r="E21" s="339">
        <f t="shared" si="3"/>
        <v>6667500.8448892776</v>
      </c>
      <c r="F21" s="342">
        <f t="shared" si="0"/>
        <v>-0.34071983756694318</v>
      </c>
      <c r="G21" s="342">
        <f t="shared" si="1"/>
        <v>0.34071983756694318</v>
      </c>
      <c r="I21" s="622">
        <f t="shared" si="2"/>
        <v>19568866</v>
      </c>
      <c r="J21" s="339">
        <f t="shared" si="4"/>
        <v>12901365.155110722</v>
      </c>
      <c r="K21" s="345"/>
      <c r="L21" s="345"/>
      <c r="M21" s="345"/>
    </row>
    <row r="22" spans="1:13">
      <c r="A22" s="326">
        <v>1983</v>
      </c>
      <c r="B22" s="619">
        <f>VLOOKUP($A22,Database!$A$74:$J$132,10)</f>
        <v>11567348</v>
      </c>
      <c r="C22" s="349">
        <f t="shared" si="5"/>
        <v>17063356.741583772</v>
      </c>
      <c r="D22" s="341">
        <f t="shared" si="6"/>
        <v>5496008.741583772</v>
      </c>
      <c r="E22" s="339">
        <f t="shared" si="3"/>
        <v>5496008.741583772</v>
      </c>
      <c r="F22" s="342">
        <f t="shared" si="0"/>
        <v>0.47513126963793012</v>
      </c>
      <c r="G22" s="342">
        <f t="shared" si="1"/>
        <v>0.47513126963793012</v>
      </c>
      <c r="I22" s="622">
        <f t="shared" si="2"/>
        <v>11567348</v>
      </c>
      <c r="J22" s="339">
        <f t="shared" si="4"/>
        <v>17063356.741583772</v>
      </c>
      <c r="K22" s="345"/>
      <c r="L22" s="345"/>
      <c r="M22" s="345"/>
    </row>
    <row r="23" spans="1:13">
      <c r="A23" s="326">
        <v>1985</v>
      </c>
      <c r="B23" s="619">
        <f>VLOOKUP($A23,Database!$A$74:$J$132,10)</f>
        <v>19938105</v>
      </c>
      <c r="C23" s="349">
        <f t="shared" si="5"/>
        <v>13632634.695378486</v>
      </c>
      <c r="D23" s="341">
        <f t="shared" si="6"/>
        <v>-6305470.3046215139</v>
      </c>
      <c r="E23" s="339">
        <f t="shared" si="3"/>
        <v>6305470.3046215139</v>
      </c>
      <c r="F23" s="342">
        <f t="shared" si="0"/>
        <v>-0.31625223684103948</v>
      </c>
      <c r="G23" s="342">
        <f t="shared" si="1"/>
        <v>0.31625223684103948</v>
      </c>
      <c r="I23" s="622">
        <f t="shared" si="2"/>
        <v>19938105</v>
      </c>
      <c r="J23" s="339">
        <f t="shared" si="4"/>
        <v>13632634.695378486</v>
      </c>
      <c r="K23" s="345"/>
      <c r="L23" s="345"/>
      <c r="M23" s="345"/>
    </row>
    <row r="24" spans="1:13">
      <c r="A24" s="326">
        <v>1987</v>
      </c>
      <c r="B24" s="619">
        <f>VLOOKUP($A24,Database!$A$74:$J$132,10)</f>
        <v>13066944</v>
      </c>
      <c r="C24" s="349">
        <f t="shared" si="5"/>
        <v>17568639.34946207</v>
      </c>
      <c r="D24" s="341">
        <f t="shared" si="6"/>
        <v>4501695.3494620696</v>
      </c>
      <c r="E24" s="339">
        <f t="shared" si="3"/>
        <v>4501695.3494620696</v>
      </c>
      <c r="F24" s="342">
        <f t="shared" si="0"/>
        <v>0.34451018918134718</v>
      </c>
      <c r="G24" s="342">
        <f t="shared" si="1"/>
        <v>0.34451018918134718</v>
      </c>
      <c r="I24" s="622">
        <f t="shared" si="2"/>
        <v>13066944</v>
      </c>
      <c r="J24" s="339">
        <f t="shared" si="4"/>
        <v>17568639.34946207</v>
      </c>
      <c r="K24" s="345"/>
      <c r="L24" s="345"/>
      <c r="M24" s="345"/>
    </row>
    <row r="25" spans="1:13">
      <c r="A25" s="326">
        <v>1989</v>
      </c>
      <c r="B25" s="619">
        <f>VLOOKUP($A25,Database!$A$74:$J$132,10)</f>
        <v>4743750</v>
      </c>
      <c r="C25" s="349">
        <f t="shared" si="5"/>
        <v>14758588.236579586</v>
      </c>
      <c r="D25" s="341">
        <f t="shared" si="6"/>
        <v>10014838.236579586</v>
      </c>
      <c r="E25" s="339">
        <f t="shared" si="3"/>
        <v>10014838.236579586</v>
      </c>
      <c r="F25" s="342">
        <f t="shared" si="0"/>
        <v>2.1111648456557757</v>
      </c>
      <c r="G25" s="342">
        <f t="shared" si="1"/>
        <v>2.1111648456557757</v>
      </c>
      <c r="I25" s="622">
        <f t="shared" si="2"/>
        <v>4743750</v>
      </c>
      <c r="J25" s="339">
        <f t="shared" si="4"/>
        <v>14758588.236579586</v>
      </c>
      <c r="K25" s="345"/>
      <c r="L25" s="345"/>
      <c r="M25" s="345"/>
    </row>
    <row r="26" spans="1:13">
      <c r="A26" s="326">
        <v>1991</v>
      </c>
      <c r="B26" s="619">
        <f>VLOOKUP($A26,Database!$A$74:$J$132,10)</f>
        <v>7544776</v>
      </c>
      <c r="C26" s="349">
        <f t="shared" si="5"/>
        <v>8507119.5903502591</v>
      </c>
      <c r="D26" s="341">
        <f t="shared" si="6"/>
        <v>962343.5903502591</v>
      </c>
      <c r="E26" s="339">
        <f t="shared" si="3"/>
        <v>962343.5903502591</v>
      </c>
      <c r="F26" s="342">
        <f t="shared" si="0"/>
        <v>0.12755098234198856</v>
      </c>
      <c r="G26" s="342">
        <f t="shared" si="1"/>
        <v>0.12755098234198856</v>
      </c>
      <c r="I26" s="622">
        <f t="shared" si="2"/>
        <v>7544776</v>
      </c>
      <c r="J26" s="339">
        <f t="shared" si="4"/>
        <v>8507119.5903502591</v>
      </c>
      <c r="K26" s="345"/>
      <c r="L26" s="345"/>
      <c r="M26" s="345"/>
    </row>
    <row r="27" spans="1:13">
      <c r="A27" s="326">
        <v>1993</v>
      </c>
      <c r="B27" s="619">
        <f>VLOOKUP($A27,Database!$A$74:$J$132,10)</f>
        <v>1542942</v>
      </c>
      <c r="C27" s="349">
        <f t="shared" si="5"/>
        <v>7906404.8668712005</v>
      </c>
      <c r="D27" s="341">
        <f t="shared" si="6"/>
        <v>6363462.8668712005</v>
      </c>
      <c r="E27" s="339">
        <f t="shared" si="3"/>
        <v>6363462.8668712005</v>
      </c>
      <c r="F27" s="342">
        <f t="shared" si="0"/>
        <v>4.1242398397808868</v>
      </c>
      <c r="G27" s="342">
        <f t="shared" si="1"/>
        <v>4.1242398397808868</v>
      </c>
      <c r="I27" s="622">
        <f t="shared" si="2"/>
        <v>1542942</v>
      </c>
      <c r="J27" s="339">
        <f t="shared" si="4"/>
        <v>7906404.8668712005</v>
      </c>
      <c r="K27" s="345"/>
      <c r="L27" s="345"/>
      <c r="M27" s="345"/>
    </row>
    <row r="28" spans="1:13">
      <c r="A28" s="326">
        <v>1995</v>
      </c>
      <c r="B28" s="619">
        <f>VLOOKUP($A28,Database!$A$74:$J$132,10)</f>
        <v>3934208</v>
      </c>
      <c r="C28" s="349">
        <f t="shared" si="5"/>
        <v>3934200.0589704313</v>
      </c>
      <c r="D28" s="341">
        <f t="shared" si="6"/>
        <v>-7.9410295686684549</v>
      </c>
      <c r="E28" s="339">
        <f t="shared" si="3"/>
        <v>7.9410295686684549</v>
      </c>
      <c r="F28" s="342">
        <f t="shared" si="0"/>
        <v>-2.018456972449971E-6</v>
      </c>
      <c r="G28" s="342">
        <f t="shared" si="1"/>
        <v>2.018456972449971E-6</v>
      </c>
      <c r="I28" s="622">
        <f t="shared" si="2"/>
        <v>3934208</v>
      </c>
      <c r="J28" s="339">
        <f t="shared" si="4"/>
        <v>3934200.0589704313</v>
      </c>
      <c r="K28" s="345"/>
      <c r="L28" s="345"/>
      <c r="M28" s="345"/>
    </row>
    <row r="29" spans="1:13">
      <c r="A29" s="326">
        <v>1997</v>
      </c>
      <c r="B29" s="619">
        <f>VLOOKUP($A29,Database!$A$74:$J$132,10)</f>
        <v>2588682</v>
      </c>
      <c r="C29" s="349">
        <f t="shared" si="5"/>
        <v>3934205.0159249213</v>
      </c>
      <c r="D29" s="341">
        <f t="shared" si="6"/>
        <v>1345523.0159249213</v>
      </c>
      <c r="E29" s="339">
        <f t="shared" si="3"/>
        <v>1345523.0159249213</v>
      </c>
      <c r="F29" s="342">
        <f t="shared" si="0"/>
        <v>0.51977145741536479</v>
      </c>
      <c r="G29" s="342">
        <f t="shared" si="1"/>
        <v>0.51977145741536479</v>
      </c>
      <c r="I29" s="622">
        <f t="shared" si="2"/>
        <v>2588682</v>
      </c>
      <c r="J29" s="339">
        <f t="shared" si="4"/>
        <v>3934205.0159249213</v>
      </c>
    </row>
    <row r="30" spans="1:13">
      <c r="A30" s="326">
        <v>1999</v>
      </c>
      <c r="B30" s="619">
        <f>VLOOKUP($A30,Database!$A$74:$J$132,10)</f>
        <v>9405198</v>
      </c>
      <c r="C30" s="349">
        <f t="shared" si="5"/>
        <v>3094301.789519201</v>
      </c>
      <c r="D30" s="341">
        <f t="shared" si="6"/>
        <v>-6310896.210480799</v>
      </c>
      <c r="E30" s="339">
        <f t="shared" si="3"/>
        <v>6310896.210480799</v>
      </c>
      <c r="F30" s="342">
        <f t="shared" si="0"/>
        <v>-0.67100088807070291</v>
      </c>
      <c r="G30" s="342">
        <f t="shared" si="1"/>
        <v>0.67100088807070291</v>
      </c>
      <c r="I30" s="622">
        <f t="shared" si="2"/>
        <v>9405198</v>
      </c>
      <c r="J30" s="339">
        <f t="shared" si="4"/>
        <v>3094301.789519201</v>
      </c>
    </row>
    <row r="31" spans="1:13">
      <c r="A31" s="326">
        <v>2001</v>
      </c>
      <c r="B31" s="619">
        <f>VLOOKUP($A31,Database!$A$74:$J$132,10)</f>
        <v>8854676.9808041956</v>
      </c>
      <c r="C31" s="349">
        <f t="shared" si="5"/>
        <v>7033693.4059835449</v>
      </c>
      <c r="D31" s="341">
        <f t="shared" si="6"/>
        <v>-1820983.5748206507</v>
      </c>
      <c r="E31" s="339">
        <f t="shared" si="3"/>
        <v>1820983.5748206507</v>
      </c>
      <c r="F31" s="342">
        <f t="shared" si="0"/>
        <v>-0.20565217441226932</v>
      </c>
      <c r="G31" s="342">
        <f t="shared" si="1"/>
        <v>0.20565217441226932</v>
      </c>
      <c r="I31" s="622">
        <f t="shared" si="2"/>
        <v>8854676.9808041956</v>
      </c>
      <c r="J31" s="339">
        <f t="shared" si="4"/>
        <v>7033693.4059835449</v>
      </c>
    </row>
    <row r="32" spans="1:13">
      <c r="A32" s="326">
        <v>2003</v>
      </c>
      <c r="B32" s="619">
        <f>VLOOKUP($A32,Database!$A$74:$J$132,10)</f>
        <v>7344511.9398193061</v>
      </c>
      <c r="C32" s="349">
        <f t="shared" si="5"/>
        <v>8170388.9226130638</v>
      </c>
      <c r="D32" s="341">
        <f t="shared" si="6"/>
        <v>825876.98279375769</v>
      </c>
      <c r="E32" s="339">
        <f t="shared" si="3"/>
        <v>825876.98279375769</v>
      </c>
      <c r="F32" s="342">
        <f t="shared" si="0"/>
        <v>0.1124481775727192</v>
      </c>
      <c r="G32" s="342">
        <f t="shared" si="1"/>
        <v>0.1124481775727192</v>
      </c>
      <c r="I32" s="622">
        <f t="shared" si="2"/>
        <v>7344511.9398193061</v>
      </c>
      <c r="J32" s="339">
        <f t="shared" si="4"/>
        <v>8170388.9226130638</v>
      </c>
    </row>
    <row r="33" spans="1:11">
      <c r="A33" s="326">
        <v>2005</v>
      </c>
      <c r="B33" s="619">
        <f>VLOOKUP($A33,Database!$A$74:$J$132,10)</f>
        <v>17032487.685321052</v>
      </c>
      <c r="C33" s="349">
        <f t="shared" si="5"/>
        <v>7654859.4710518997</v>
      </c>
      <c r="D33" s="341">
        <f t="shared" si="6"/>
        <v>-9377628.2142691519</v>
      </c>
      <c r="E33" s="339">
        <f t="shared" si="3"/>
        <v>9377628.2142691519</v>
      </c>
      <c r="F33" s="342">
        <f t="shared" si="0"/>
        <v>-0.55057302183467804</v>
      </c>
      <c r="G33" s="342">
        <f t="shared" si="1"/>
        <v>0.55057302183467804</v>
      </c>
      <c r="I33" s="622">
        <f t="shared" si="2"/>
        <v>17032487.685321052</v>
      </c>
      <c r="J33" s="339">
        <f t="shared" si="4"/>
        <v>7654859.4710518997</v>
      </c>
    </row>
    <row r="34" spans="1:11">
      <c r="A34" s="326">
        <v>2007</v>
      </c>
      <c r="B34" s="619">
        <f>VLOOKUP($A34,Database!$A$74:$J$132,10)</f>
        <v>11526987.795003444</v>
      </c>
      <c r="C34" s="349">
        <f t="shared" si="5"/>
        <v>13508568.474895101</v>
      </c>
      <c r="D34" s="341">
        <f t="shared" si="6"/>
        <v>1981580.6798916571</v>
      </c>
      <c r="E34" s="339">
        <f t="shared" si="3"/>
        <v>1981580.6798916571</v>
      </c>
      <c r="F34" s="342">
        <f t="shared" si="0"/>
        <v>0.17190793597878232</v>
      </c>
      <c r="G34" s="342">
        <f t="shared" si="1"/>
        <v>0.17190793597878232</v>
      </c>
      <c r="I34" s="622">
        <f t="shared" si="2"/>
        <v>11526987.795003444</v>
      </c>
      <c r="J34" s="339">
        <f t="shared" si="4"/>
        <v>13508568.474895101</v>
      </c>
    </row>
    <row r="35" spans="1:11" s="348" customFormat="1">
      <c r="A35" s="347">
        <v>2009</v>
      </c>
      <c r="B35" s="1138">
        <f>VLOOKUP($A35,Database!$A$74:$J$132,10)</f>
        <v>2824330.6070667375</v>
      </c>
      <c r="C35" s="349">
        <f t="shared" si="5"/>
        <v>12271624.931956023</v>
      </c>
      <c r="D35" s="1015">
        <f t="shared" si="6"/>
        <v>9447294.3248892855</v>
      </c>
      <c r="E35" s="349">
        <f>ABS(C35-$B35)</f>
        <v>9447294.3248892855</v>
      </c>
      <c r="F35" s="1016">
        <f>($C35-$B35)/$B35</f>
        <v>3.344967583204062</v>
      </c>
      <c r="G35" s="1016">
        <f>ABS($C35-$B35)/$B35</f>
        <v>3.344967583204062</v>
      </c>
      <c r="I35" s="1139">
        <f t="shared" si="2"/>
        <v>2824330.6070667375</v>
      </c>
      <c r="J35" s="349">
        <f t="shared" si="4"/>
        <v>12271624.931956023</v>
      </c>
    </row>
    <row r="36" spans="1:11" s="348" customFormat="1">
      <c r="A36" s="1140">
        <v>2011</v>
      </c>
      <c r="B36" s="619">
        <f>VLOOKUP($A36,Database!$A$74:$J$132,10)</f>
        <v>9643099</v>
      </c>
      <c r="C36" s="349">
        <f t="shared" si="5"/>
        <v>6374428.9045625264</v>
      </c>
      <c r="D36" s="341">
        <f t="shared" ref="D36:D37" si="7">C36-B36</f>
        <v>-3268670.0954374736</v>
      </c>
      <c r="E36" s="339">
        <f t="shared" ref="E36" si="8">ABS(C36-$B36)</f>
        <v>3268670.0954374736</v>
      </c>
      <c r="F36" s="342">
        <f t="shared" si="0"/>
        <v>-0.33896469334572565</v>
      </c>
      <c r="G36" s="342">
        <f t="shared" si="1"/>
        <v>0.33896469334572565</v>
      </c>
      <c r="H36" s="321"/>
      <c r="I36" s="622">
        <f t="shared" ref="I36:I37" si="9">B36</f>
        <v>9643099</v>
      </c>
      <c r="J36" s="349">
        <f t="shared" si="4"/>
        <v>6374428.9045625264</v>
      </c>
    </row>
    <row r="37" spans="1:11" s="348" customFormat="1">
      <c r="A37" s="326">
        <v>2013</v>
      </c>
      <c r="B37" s="1138">
        <f>VLOOKUP($A37,Database!$A$74:$J$132,10)</f>
        <v>21965453</v>
      </c>
      <c r="C37" s="349">
        <f t="shared" si="5"/>
        <v>8414800.2149905711</v>
      </c>
      <c r="D37" s="1015">
        <f t="shared" si="7"/>
        <v>-13550652.785009429</v>
      </c>
      <c r="E37" s="349">
        <f>ABS(C37-$B37)</f>
        <v>13550652.785009429</v>
      </c>
      <c r="F37" s="1016">
        <f>($C37-$B37)/$B37</f>
        <v>-0.61690750402504468</v>
      </c>
      <c r="G37" s="1016">
        <f>ABS($C37-$B37)/$B37</f>
        <v>0.61690750402504468</v>
      </c>
      <c r="I37" s="1139">
        <f t="shared" si="9"/>
        <v>21965453</v>
      </c>
      <c r="J37" s="339">
        <f t="shared" si="4"/>
        <v>8414800.2149905711</v>
      </c>
    </row>
    <row r="38" spans="1:11" s="348" customFormat="1">
      <c r="A38" s="347">
        <v>2015</v>
      </c>
      <c r="B38" s="1138"/>
      <c r="C38" s="349">
        <f t="shared" si="5"/>
        <v>16873397.250738446</v>
      </c>
      <c r="D38" s="1015"/>
      <c r="E38" s="349"/>
      <c r="F38" s="1016"/>
      <c r="G38" s="1016"/>
      <c r="I38" s="1139"/>
      <c r="J38" s="349"/>
    </row>
    <row r="39" spans="1:11">
      <c r="A39" s="326"/>
      <c r="B39" s="621"/>
      <c r="C39" s="339"/>
      <c r="D39" s="339"/>
      <c r="E39" s="339"/>
      <c r="F39" s="339"/>
      <c r="I39" s="334"/>
      <c r="J39" s="334"/>
    </row>
    <row r="40" spans="1:11" ht="21">
      <c r="A40" s="328"/>
      <c r="B40" s="620"/>
      <c r="C40" s="620"/>
      <c r="D40" s="663"/>
      <c r="E40" s="664"/>
      <c r="F40" s="664"/>
      <c r="G40" s="664"/>
      <c r="H40" s="662"/>
      <c r="I40" s="334"/>
      <c r="J40" s="350"/>
    </row>
    <row r="41" spans="1:11">
      <c r="A41" s="323" t="s">
        <v>245</v>
      </c>
      <c r="B41" s="646">
        <f>COUNT(B11:B40)</f>
        <v>27</v>
      </c>
      <c r="C41" s="646">
        <f>COUNT(C15:C40)</f>
        <v>24</v>
      </c>
      <c r="D41" s="658">
        <f>COUNT(D15:D40)</f>
        <v>23</v>
      </c>
      <c r="E41" s="646">
        <f>COUNT(E15:E40)</f>
        <v>23</v>
      </c>
      <c r="F41" s="646">
        <f>COUNT(F15:F40)</f>
        <v>23</v>
      </c>
      <c r="G41" s="646">
        <f>COUNT(G15:G40)</f>
        <v>23</v>
      </c>
      <c r="H41" s="662"/>
      <c r="I41" s="348"/>
      <c r="J41" s="348"/>
      <c r="K41" s="348"/>
    </row>
    <row r="42" spans="1:11">
      <c r="A42" s="328" t="s">
        <v>288</v>
      </c>
      <c r="B42" s="620"/>
      <c r="C42" s="620"/>
      <c r="D42" s="659"/>
      <c r="E42" s="620"/>
      <c r="F42" s="620"/>
      <c r="G42" s="620"/>
      <c r="H42" s="662"/>
      <c r="I42" s="348"/>
      <c r="J42" s="348"/>
    </row>
    <row r="43" spans="1:11">
      <c r="A43" s="328" t="s">
        <v>127</v>
      </c>
      <c r="B43" s="644">
        <f>AVERAGE(B11:B40)</f>
        <v>8881951.4077042509</v>
      </c>
      <c r="C43" s="644">
        <f>AVERAGE(C15:C40)</f>
        <v>9075346.1583577637</v>
      </c>
      <c r="D43" s="660">
        <f>AVERAGE(D15:D40)</f>
        <v>-905410.1938333388</v>
      </c>
      <c r="E43" s="644">
        <f>AVERAGE(E15:E40)</f>
        <v>4869521.929226947</v>
      </c>
      <c r="F43" s="645">
        <f>AVERAGE(F15:F40)</f>
        <v>0.34811108248868905</v>
      </c>
      <c r="G43" s="633">
        <f>AVERAGE(G15:G40)</f>
        <v>0.75892056654926343</v>
      </c>
      <c r="H43" s="662"/>
    </row>
    <row r="44" spans="1:11">
      <c r="A44" s="328" t="s">
        <v>265</v>
      </c>
      <c r="B44" s="644">
        <f>MEDIAN(B11:B40)</f>
        <v>7544776</v>
      </c>
      <c r="C44" s="644">
        <f>MEDIAN(C15:C40)</f>
        <v>7938752.0177755924</v>
      </c>
      <c r="D44" s="660">
        <f>MEDIAN(D15:D40)</f>
        <v>-747092.04065164737</v>
      </c>
      <c r="E44" s="644">
        <f>MEDIAN(E15:E40)</f>
        <v>4501695.3494620696</v>
      </c>
      <c r="F44" s="645">
        <f>MEDIAN(F15:F40)</f>
        <v>-0.12844575892405757</v>
      </c>
      <c r="G44" s="645">
        <f>MEDIAN(G15:G40)</f>
        <v>0.34451018918134718</v>
      </c>
      <c r="H44" s="662"/>
    </row>
    <row r="45" spans="1:11">
      <c r="A45" s="328" t="s">
        <v>286</v>
      </c>
      <c r="B45" s="644">
        <f>MIN(B11:B40)</f>
        <v>1542942</v>
      </c>
      <c r="C45" s="644">
        <f>MIN(C15:C40)</f>
        <v>3094301.789519201</v>
      </c>
      <c r="D45" s="660">
        <f>MIN(D15:D40)</f>
        <v>-13550652.785009429</v>
      </c>
      <c r="E45" s="644">
        <f>MIN(E15:E40)</f>
        <v>7.9410295686684549</v>
      </c>
      <c r="F45" s="645">
        <f>MIN(F15:F40)</f>
        <v>-0.68067501562602373</v>
      </c>
      <c r="G45" s="645">
        <f>MIN(G15:G40)</f>
        <v>2.018456972449971E-6</v>
      </c>
      <c r="H45" s="662"/>
    </row>
    <row r="46" spans="1:11">
      <c r="A46" s="328" t="s">
        <v>287</v>
      </c>
      <c r="B46" s="644">
        <f>MAX(B11:B40)</f>
        <v>21965453</v>
      </c>
      <c r="C46" s="644">
        <f>MAX(C15:C40)</f>
        <v>17568639.34946207</v>
      </c>
      <c r="D46" s="660">
        <f>MAX(D15:D40)</f>
        <v>10014838.236579586</v>
      </c>
      <c r="E46" s="644">
        <f>MAX(E15:E40)</f>
        <v>13550652.785009429</v>
      </c>
      <c r="F46" s="645">
        <f>MAX(F15:F40)</f>
        <v>4.1242398397808868</v>
      </c>
      <c r="G46" s="645">
        <f>MAX(G15:G40)</f>
        <v>4.1242398397808868</v>
      </c>
      <c r="H46" s="662"/>
    </row>
    <row r="47" spans="1:11">
      <c r="A47" s="332" t="s">
        <v>238</v>
      </c>
      <c r="B47" s="647">
        <f>STDEV(B11:B40)</f>
        <v>5854399.998309087</v>
      </c>
      <c r="C47" s="647">
        <f>STDEV(C15:C40)</f>
        <v>4565264.9971670546</v>
      </c>
      <c r="D47" s="661">
        <f>STDEV(D15:D40)</f>
        <v>6244320.6287105912</v>
      </c>
      <c r="E47" s="647">
        <f>STDEV(E15:E40)</f>
        <v>3880527.9040370476</v>
      </c>
      <c r="F47" s="648">
        <f>STDEV(F15:F40)</f>
        <v>1.2572930078232105</v>
      </c>
      <c r="G47" s="648">
        <f>STDEV(G15:G40)</f>
        <v>1.0513490522381406</v>
      </c>
    </row>
  </sheetData>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FFFF00"/>
  </sheetPr>
  <dimension ref="A1:N49"/>
  <sheetViews>
    <sheetView zoomScale="75" zoomScaleNormal="75" zoomScalePageLayoutView="75" workbookViewId="0">
      <selection activeCell="AK54" sqref="AK54"/>
    </sheetView>
  </sheetViews>
  <sheetFormatPr baseColWidth="10" defaultColWidth="8.875" defaultRowHeight="16" x14ac:dyDescent="0"/>
  <cols>
    <col min="1" max="1" width="8.875" style="321" customWidth="1"/>
    <col min="2" max="2" width="11.875" style="321" customWidth="1"/>
    <col min="3" max="3" width="13" style="321" customWidth="1"/>
    <col min="4" max="4" width="12.875" style="321" customWidth="1"/>
    <col min="5" max="5" width="12.5" style="321" customWidth="1"/>
    <col min="6" max="6" width="11.125" style="321" customWidth="1"/>
    <col min="7" max="7" width="11.5" style="321" customWidth="1"/>
    <col min="8" max="8" width="9.625" style="321" customWidth="1"/>
    <col min="9" max="9" width="12.5" style="321" customWidth="1"/>
    <col min="10" max="10" width="13.375" style="321" customWidth="1"/>
    <col min="11" max="11" width="5.875" style="321" customWidth="1"/>
    <col min="12" max="16384" width="8.875" style="321"/>
  </cols>
  <sheetData>
    <row r="1" spans="1:14" ht="17" thickBot="1">
      <c r="A1" s="320" t="str">
        <f ca="1">CELL("filename",A1)</f>
        <v>NWCLM04072996:Users:eric.ward:Documents:NCEAS-covariation:data:salmon data:[2015_PWS_Pink_Wild_forecast-FINAL.xlsm]Exp_smoothing damp_Tot_even</v>
      </c>
    </row>
    <row r="2" spans="1:14">
      <c r="A2" s="320"/>
      <c r="I2" s="335" t="s">
        <v>249</v>
      </c>
      <c r="J2" s="336"/>
    </row>
    <row r="3" spans="1:14">
      <c r="A3" s="320"/>
      <c r="I3" s="337" t="s">
        <v>250</v>
      </c>
      <c r="J3" s="338">
        <f>1-SUM(J4:J6)</f>
        <v>0.85931260230778239</v>
      </c>
      <c r="L3" s="321" t="s">
        <v>292</v>
      </c>
      <c r="M3" s="665">
        <f>G45</f>
        <v>1.2772932939525947</v>
      </c>
      <c r="N3" s="321" t="s">
        <v>293</v>
      </c>
    </row>
    <row r="4" spans="1:14" ht="16.5" customHeight="1">
      <c r="I4" s="337" t="s">
        <v>251</v>
      </c>
      <c r="J4" s="340">
        <v>0.14068739769221755</v>
      </c>
      <c r="N4" s="321" t="s">
        <v>294</v>
      </c>
    </row>
    <row r="5" spans="1:14">
      <c r="A5" s="322" t="s">
        <v>246</v>
      </c>
      <c r="B5" s="322" t="s">
        <v>296</v>
      </c>
      <c r="I5" s="337" t="s">
        <v>252</v>
      </c>
      <c r="J5" s="340">
        <v>0</v>
      </c>
      <c r="N5" s="321" t="s">
        <v>295</v>
      </c>
    </row>
    <row r="6" spans="1:14" ht="17" thickBot="1">
      <c r="A6" s="322"/>
      <c r="B6" s="322" t="s">
        <v>298</v>
      </c>
      <c r="I6" s="343" t="s">
        <v>253</v>
      </c>
      <c r="J6" s="344">
        <v>0</v>
      </c>
    </row>
    <row r="7" spans="1:14">
      <c r="A7" s="322"/>
      <c r="B7" s="667" t="s">
        <v>297</v>
      </c>
      <c r="J7" s="351">
        <f>SUM(J3:J6)</f>
        <v>1</v>
      </c>
    </row>
    <row r="8" spans="1:14">
      <c r="A8" s="323"/>
      <c r="B8" s="323"/>
      <c r="C8" s="324" t="s">
        <v>247</v>
      </c>
      <c r="D8" s="323"/>
      <c r="E8" s="323"/>
      <c r="F8" s="323"/>
      <c r="G8" s="631" t="s">
        <v>5</v>
      </c>
      <c r="I8" s="352" t="s">
        <v>260</v>
      </c>
    </row>
    <row r="9" spans="1:14">
      <c r="A9" s="326" t="s">
        <v>7</v>
      </c>
      <c r="B9" s="327" t="s">
        <v>257</v>
      </c>
      <c r="C9" s="329" t="s">
        <v>248</v>
      </c>
      <c r="D9" s="328"/>
      <c r="E9" s="630" t="s">
        <v>5</v>
      </c>
      <c r="F9" s="630" t="s">
        <v>281</v>
      </c>
      <c r="G9" s="630" t="s">
        <v>180</v>
      </c>
      <c r="I9" s="353" t="s">
        <v>10</v>
      </c>
      <c r="J9" s="352" t="s">
        <v>261</v>
      </c>
    </row>
    <row r="10" spans="1:14">
      <c r="A10" s="330" t="s">
        <v>16</v>
      </c>
      <c r="B10" s="331" t="s">
        <v>258</v>
      </c>
      <c r="C10" s="333" t="s">
        <v>75</v>
      </c>
      <c r="D10" s="330" t="s">
        <v>31</v>
      </c>
      <c r="E10" s="346" t="s">
        <v>31</v>
      </c>
      <c r="F10" s="346" t="s">
        <v>31</v>
      </c>
      <c r="G10" s="346" t="s">
        <v>31</v>
      </c>
      <c r="I10" s="354" t="s">
        <v>233</v>
      </c>
      <c r="J10" s="352" t="s">
        <v>75</v>
      </c>
    </row>
    <row r="11" spans="1:14">
      <c r="A11" s="326">
        <v>1962</v>
      </c>
      <c r="B11" s="619">
        <f>VLOOKUP($A11,Database!$A$74:$J$132,10)</f>
        <v>8760326</v>
      </c>
      <c r="C11" s="632" t="e">
        <f>NA()</f>
        <v>#N/A</v>
      </c>
      <c r="D11" s="341" t="e">
        <f t="shared" ref="D11:D34" si="0">C11-B11</f>
        <v>#N/A</v>
      </c>
      <c r="E11" s="632" t="e">
        <f>NA()</f>
        <v>#N/A</v>
      </c>
      <c r="F11" s="342" t="e">
        <f t="shared" ref="F11:F34" si="1">($C11-$B11)/$B11</f>
        <v>#N/A</v>
      </c>
      <c r="G11" s="342" t="e">
        <f t="shared" ref="G11:G34" si="2">ABS($C11-$B11)/$B11</f>
        <v>#N/A</v>
      </c>
      <c r="I11" s="628">
        <f t="shared" ref="I11:I35" si="3">B11</f>
        <v>8760326</v>
      </c>
      <c r="J11" s="627" t="e">
        <f>NA()</f>
        <v>#N/A</v>
      </c>
    </row>
    <row r="12" spans="1:14">
      <c r="A12" s="326">
        <v>1964</v>
      </c>
      <c r="B12" s="619">
        <f>VLOOKUP($A12,Database!$A$74:$J$132,10)</f>
        <v>6048576</v>
      </c>
      <c r="C12" s="469">
        <f>B11</f>
        <v>8760326</v>
      </c>
      <c r="D12" s="341">
        <f t="shared" si="0"/>
        <v>2711750</v>
      </c>
      <c r="E12" s="339">
        <f t="shared" ref="E12:E14" si="4">ABS(C12-$B12)</f>
        <v>2711750</v>
      </c>
      <c r="F12" s="342">
        <f t="shared" si="1"/>
        <v>0.44832866446581809</v>
      </c>
      <c r="G12" s="342">
        <f t="shared" si="2"/>
        <v>0.44832866446581809</v>
      </c>
      <c r="I12" s="628">
        <f t="shared" si="3"/>
        <v>6048576</v>
      </c>
      <c r="J12" s="627" t="e">
        <f>NA()</f>
        <v>#N/A</v>
      </c>
    </row>
    <row r="13" spans="1:14">
      <c r="A13" s="326">
        <v>1966</v>
      </c>
      <c r="B13" s="619">
        <f>VLOOKUP($A13,Database!$A$74:$J$132,10)</f>
        <v>4122588</v>
      </c>
      <c r="C13" s="469">
        <f>0.9*$B12+0.1*C12</f>
        <v>6319751</v>
      </c>
      <c r="D13" s="341">
        <f t="shared" si="0"/>
        <v>2197163</v>
      </c>
      <c r="E13" s="339">
        <f t="shared" si="4"/>
        <v>2197163</v>
      </c>
      <c r="F13" s="342">
        <f t="shared" si="1"/>
        <v>0.53295721037367794</v>
      </c>
      <c r="G13" s="342">
        <f t="shared" si="2"/>
        <v>0.53295721037367794</v>
      </c>
      <c r="I13" s="628">
        <f t="shared" si="3"/>
        <v>4122588</v>
      </c>
      <c r="J13" s="627" t="e">
        <f>NA()</f>
        <v>#N/A</v>
      </c>
    </row>
    <row r="14" spans="1:14">
      <c r="A14" s="326">
        <v>1968</v>
      </c>
      <c r="B14" s="619">
        <f>VLOOKUP($A14,Database!$A$74:$J$132,10)</f>
        <v>3608678</v>
      </c>
      <c r="C14" s="469">
        <f>0.5*$B13+0.3*C13+0.2*C12</f>
        <v>5709284.5</v>
      </c>
      <c r="D14" s="341">
        <f t="shared" si="0"/>
        <v>2100606.5</v>
      </c>
      <c r="E14" s="339">
        <f t="shared" si="4"/>
        <v>2100606.5</v>
      </c>
      <c r="F14" s="342">
        <f t="shared" si="1"/>
        <v>0.58209862448242822</v>
      </c>
      <c r="G14" s="342">
        <f t="shared" si="2"/>
        <v>0.58209862448242822</v>
      </c>
      <c r="I14" s="628">
        <f t="shared" si="3"/>
        <v>3608678</v>
      </c>
      <c r="J14" s="627" t="e">
        <f>NA()</f>
        <v>#N/A</v>
      </c>
    </row>
    <row r="15" spans="1:14">
      <c r="A15" s="326">
        <v>1970</v>
      </c>
      <c r="B15" s="619">
        <f>VLOOKUP($A15,Database!$A$74:$J$132,10)</f>
        <v>3789216</v>
      </c>
      <c r="C15" s="349">
        <f t="shared" ref="C15:C37" si="5">$J$3*$B14+$J$4*C14+$J$5*C13+$J$6*C12</f>
        <v>3904206.8620603569</v>
      </c>
      <c r="D15" s="341">
        <f t="shared" si="0"/>
        <v>114990.86206035689</v>
      </c>
      <c r="E15" s="339">
        <f t="shared" ref="E15:E34" si="6">ABS(C15-$B15)</f>
        <v>114990.86206035689</v>
      </c>
      <c r="F15" s="342">
        <f t="shared" si="1"/>
        <v>3.0346874408942875E-2</v>
      </c>
      <c r="G15" s="342">
        <f t="shared" si="2"/>
        <v>3.0346874408942875E-2</v>
      </c>
      <c r="I15" s="628">
        <f t="shared" si="3"/>
        <v>3789216</v>
      </c>
      <c r="J15" s="629">
        <f t="shared" ref="J15:J34" si="7">C15</f>
        <v>3904206.8620603569</v>
      </c>
    </row>
    <row r="16" spans="1:14">
      <c r="A16" s="326">
        <v>1972</v>
      </c>
      <c r="B16" s="619">
        <f>VLOOKUP($A16,Database!$A$74:$J$132,10)</f>
        <v>695963</v>
      </c>
      <c r="C16" s="349">
        <f t="shared" si="5"/>
        <v>3805393.7651416562</v>
      </c>
      <c r="D16" s="341">
        <f t="shared" si="0"/>
        <v>3109430.7651416562</v>
      </c>
      <c r="E16" s="339">
        <f t="shared" si="6"/>
        <v>3109430.7651416562</v>
      </c>
      <c r="F16" s="342">
        <f t="shared" si="1"/>
        <v>4.4678104513338441</v>
      </c>
      <c r="G16" s="342">
        <f t="shared" si="2"/>
        <v>4.4678104513338441</v>
      </c>
      <c r="I16" s="628">
        <f t="shared" si="3"/>
        <v>695963</v>
      </c>
      <c r="J16" s="629">
        <f t="shared" si="7"/>
        <v>3805393.7651416562</v>
      </c>
    </row>
    <row r="17" spans="1:13">
      <c r="A17" s="326">
        <v>1974</v>
      </c>
      <c r="B17" s="619">
        <f>VLOOKUP($A17,Database!$A$74:$J$132,10)</f>
        <v>1012903</v>
      </c>
      <c r="C17" s="349">
        <f t="shared" si="5"/>
        <v>1133420.7226519005</v>
      </c>
      <c r="D17" s="341">
        <f t="shared" si="0"/>
        <v>120517.72265190049</v>
      </c>
      <c r="E17" s="339">
        <f t="shared" si="6"/>
        <v>120517.72265190049</v>
      </c>
      <c r="F17" s="342">
        <f t="shared" si="1"/>
        <v>0.11898249156325975</v>
      </c>
      <c r="G17" s="342">
        <f t="shared" si="2"/>
        <v>0.11898249156325975</v>
      </c>
      <c r="I17" s="628">
        <f t="shared" si="3"/>
        <v>1012903</v>
      </c>
      <c r="J17" s="629">
        <f t="shared" si="7"/>
        <v>1133420.7226519005</v>
      </c>
    </row>
    <row r="18" spans="1:13">
      <c r="A18" s="326">
        <v>1976</v>
      </c>
      <c r="B18" s="619">
        <f>VLOOKUP($A18,Database!$A$74:$J$132,10)</f>
        <v>1161051</v>
      </c>
      <c r="C18" s="349">
        <f t="shared" si="5"/>
        <v>1029858.3247756882</v>
      </c>
      <c r="D18" s="341">
        <f t="shared" si="0"/>
        <v>-131192.67522431177</v>
      </c>
      <c r="E18" s="339">
        <f t="shared" si="6"/>
        <v>131192.67522431177</v>
      </c>
      <c r="F18" s="342">
        <f t="shared" si="1"/>
        <v>-0.11299475666814961</v>
      </c>
      <c r="G18" s="342">
        <f t="shared" si="2"/>
        <v>0.11299475666814961</v>
      </c>
      <c r="I18" s="628">
        <f t="shared" si="3"/>
        <v>1161051</v>
      </c>
      <c r="J18" s="629">
        <f t="shared" si="7"/>
        <v>1029858.3247756882</v>
      </c>
    </row>
    <row r="19" spans="1:13">
      <c r="A19" s="326">
        <v>1978</v>
      </c>
      <c r="B19" s="619">
        <f>VLOOKUP($A19,Database!$A$74:$J$132,10)</f>
        <v>3925083</v>
      </c>
      <c r="C19" s="349">
        <f t="shared" si="5"/>
        <v>1142593.8439264114</v>
      </c>
      <c r="D19" s="341">
        <f t="shared" si="0"/>
        <v>-2782489.1560735889</v>
      </c>
      <c r="E19" s="339">
        <f t="shared" si="6"/>
        <v>2782489.1560735889</v>
      </c>
      <c r="F19" s="342">
        <f t="shared" si="1"/>
        <v>-0.70889944392859694</v>
      </c>
      <c r="G19" s="342">
        <f t="shared" si="2"/>
        <v>0.70889944392859694</v>
      </c>
      <c r="I19" s="628">
        <f t="shared" si="3"/>
        <v>3925083</v>
      </c>
      <c r="J19" s="629">
        <f t="shared" si="7"/>
        <v>1142593.8439264114</v>
      </c>
    </row>
    <row r="20" spans="1:13">
      <c r="A20" s="326">
        <v>1980</v>
      </c>
      <c r="B20" s="619">
        <f>VLOOKUP($A20,Database!$A$74:$J$132,10)</f>
        <v>14013916</v>
      </c>
      <c r="C20" s="349">
        <f t="shared" si="5"/>
        <v>3533621.8415251919</v>
      </c>
      <c r="D20" s="341">
        <f t="shared" si="0"/>
        <v>-10480294.158474809</v>
      </c>
      <c r="E20" s="339">
        <f t="shared" si="6"/>
        <v>10480294.158474809</v>
      </c>
      <c r="F20" s="342">
        <f t="shared" si="1"/>
        <v>-0.74784907790761757</v>
      </c>
      <c r="G20" s="342">
        <f t="shared" si="2"/>
        <v>0.74784907790761757</v>
      </c>
      <c r="I20" s="628">
        <f t="shared" si="3"/>
        <v>14013916</v>
      </c>
      <c r="J20" s="629">
        <f t="shared" si="7"/>
        <v>3533621.8415251919</v>
      </c>
    </row>
    <row r="21" spans="1:13" ht="13.5" customHeight="1">
      <c r="A21" s="326">
        <v>1982</v>
      </c>
      <c r="B21" s="619">
        <f>VLOOKUP($A21,Database!$A$74:$J$132,10)</f>
        <v>16794317</v>
      </c>
      <c r="C21" s="349">
        <f t="shared" si="5"/>
        <v>12539470.687795229</v>
      </c>
      <c r="D21" s="341">
        <f t="shared" si="0"/>
        <v>-4254846.3122047707</v>
      </c>
      <c r="E21" s="339">
        <f t="shared" si="6"/>
        <v>4254846.3122047707</v>
      </c>
      <c r="F21" s="342">
        <f t="shared" si="1"/>
        <v>-0.25335036323327531</v>
      </c>
      <c r="G21" s="342">
        <f t="shared" si="2"/>
        <v>0.25335036323327531</v>
      </c>
      <c r="I21" s="628">
        <f t="shared" si="3"/>
        <v>16794317</v>
      </c>
      <c r="J21" s="629">
        <f t="shared" si="7"/>
        <v>12539470.687795229</v>
      </c>
      <c r="K21" s="345"/>
      <c r="L21" s="345"/>
      <c r="M21" s="345"/>
    </row>
    <row r="22" spans="1:13">
      <c r="A22" s="326">
        <v>1984</v>
      </c>
      <c r="B22" s="619">
        <f>VLOOKUP($A22,Database!$A$74:$J$132,10)</f>
        <v>21201513</v>
      </c>
      <c r="C22" s="349">
        <f t="shared" si="5"/>
        <v>16195713.744755581</v>
      </c>
      <c r="D22" s="341">
        <f t="shared" si="0"/>
        <v>-5005799.255244419</v>
      </c>
      <c r="E22" s="339">
        <f t="shared" si="6"/>
        <v>5005799.255244419</v>
      </c>
      <c r="F22" s="342">
        <f t="shared" si="1"/>
        <v>-0.23610575600167871</v>
      </c>
      <c r="G22" s="342">
        <f t="shared" si="2"/>
        <v>0.23610575600167871</v>
      </c>
      <c r="I22" s="628">
        <f t="shared" si="3"/>
        <v>21201513</v>
      </c>
      <c r="J22" s="629">
        <f t="shared" si="7"/>
        <v>16195713.744755581</v>
      </c>
      <c r="K22" s="345"/>
      <c r="L22" s="345"/>
      <c r="M22" s="345"/>
    </row>
    <row r="23" spans="1:13">
      <c r="A23" s="326">
        <v>1986</v>
      </c>
      <c r="B23" s="619">
        <f>VLOOKUP($A23,Database!$A$74:$J$132,10)</f>
        <v>5563957</v>
      </c>
      <c r="C23" s="349">
        <f t="shared" si="5"/>
        <v>20497260.129410021</v>
      </c>
      <c r="D23" s="341">
        <f t="shared" si="0"/>
        <v>14933303.129410021</v>
      </c>
      <c r="E23" s="339">
        <f t="shared" si="6"/>
        <v>14933303.129410021</v>
      </c>
      <c r="F23" s="342">
        <f t="shared" si="1"/>
        <v>2.6839357546095379</v>
      </c>
      <c r="G23" s="342">
        <f t="shared" si="2"/>
        <v>2.6839357546095379</v>
      </c>
      <c r="I23" s="628">
        <f t="shared" si="3"/>
        <v>5563957</v>
      </c>
      <c r="J23" s="629">
        <f t="shared" si="7"/>
        <v>20497260.129410021</v>
      </c>
      <c r="K23" s="345"/>
      <c r="L23" s="345"/>
      <c r="M23" s="345"/>
    </row>
    <row r="24" spans="1:13">
      <c r="A24" s="326">
        <v>1988</v>
      </c>
      <c r="B24" s="619">
        <f>VLOOKUP($A24,Database!$A$74:$J$132,10)</f>
        <v>1766936</v>
      </c>
      <c r="C24" s="349">
        <f t="shared" si="5"/>
        <v>7664884.556225745</v>
      </c>
      <c r="D24" s="341">
        <f t="shared" si="0"/>
        <v>5897948.556225745</v>
      </c>
      <c r="E24" s="339">
        <f t="shared" si="6"/>
        <v>5897948.556225745</v>
      </c>
      <c r="F24" s="342">
        <f t="shared" si="1"/>
        <v>3.3379525666044185</v>
      </c>
      <c r="G24" s="342">
        <f t="shared" si="2"/>
        <v>3.3379525666044185</v>
      </c>
      <c r="I24" s="628">
        <f t="shared" si="3"/>
        <v>1766936</v>
      </c>
      <c r="J24" s="629">
        <f t="shared" si="7"/>
        <v>7664884.556225745</v>
      </c>
      <c r="K24" s="345"/>
      <c r="L24" s="345"/>
      <c r="M24" s="345"/>
    </row>
    <row r="25" spans="1:13">
      <c r="A25" s="326">
        <v>1990</v>
      </c>
      <c r="B25" s="619">
        <f>VLOOKUP($A25,Database!$A$74:$J$132,10)</f>
        <v>12923662</v>
      </c>
      <c r="C25" s="349">
        <f t="shared" si="5"/>
        <v>2596703.0340979714</v>
      </c>
      <c r="D25" s="341">
        <f t="shared" si="0"/>
        <v>-10326958.965902029</v>
      </c>
      <c r="E25" s="339">
        <f t="shared" si="6"/>
        <v>10326958.965902029</v>
      </c>
      <c r="F25" s="342">
        <f>($C25-$B25)/$B25</f>
        <v>-0.79907374286808408</v>
      </c>
      <c r="G25" s="342">
        <f t="shared" si="2"/>
        <v>0.79907374286808408</v>
      </c>
      <c r="I25" s="628">
        <f t="shared" si="3"/>
        <v>12923662</v>
      </c>
      <c r="J25" s="629">
        <f t="shared" si="7"/>
        <v>2596703.0340979714</v>
      </c>
      <c r="K25" s="345"/>
      <c r="L25" s="345"/>
      <c r="M25" s="345"/>
    </row>
    <row r="26" spans="1:13">
      <c r="A26" s="326">
        <v>1992</v>
      </c>
      <c r="B26" s="619">
        <f>VLOOKUP($A26,Database!$A$74:$J$132,10)</f>
        <v>1405383</v>
      </c>
      <c r="C26" s="349">
        <f t="shared" si="5"/>
        <v>11470789.017012928</v>
      </c>
      <c r="D26" s="341">
        <f t="shared" si="0"/>
        <v>10065406.017012928</v>
      </c>
      <c r="E26" s="339">
        <f t="shared" si="6"/>
        <v>10065406.017012928</v>
      </c>
      <c r="F26" s="342">
        <f t="shared" si="1"/>
        <v>7.1620376915139348</v>
      </c>
      <c r="G26" s="342">
        <f t="shared" si="2"/>
        <v>7.1620376915139348</v>
      </c>
      <c r="I26" s="628">
        <f t="shared" si="3"/>
        <v>1405383</v>
      </c>
      <c r="J26" s="629">
        <f t="shared" si="7"/>
        <v>11470789.017012928</v>
      </c>
      <c r="K26" s="345"/>
      <c r="L26" s="345"/>
      <c r="M26" s="345"/>
    </row>
    <row r="27" spans="1:13">
      <c r="A27" s="326">
        <v>1994</v>
      </c>
      <c r="B27" s="619">
        <f>VLOOKUP($A27,Database!$A$74:$J$132,10)</f>
        <v>4666639</v>
      </c>
      <c r="C27" s="349">
        <f t="shared" si="5"/>
        <v>2821458.7792491373</v>
      </c>
      <c r="D27" s="341">
        <f t="shared" si="0"/>
        <v>-1845180.2207508627</v>
      </c>
      <c r="E27" s="339">
        <f t="shared" si="6"/>
        <v>1845180.2207508627</v>
      </c>
      <c r="F27" s="342">
        <f t="shared" si="1"/>
        <v>-0.39539810573538314</v>
      </c>
      <c r="G27" s="342">
        <f t="shared" si="2"/>
        <v>0.39539810573538314</v>
      </c>
      <c r="I27" s="628">
        <f t="shared" si="3"/>
        <v>4666639</v>
      </c>
      <c r="J27" s="629">
        <f t="shared" si="7"/>
        <v>2821458.7792491373</v>
      </c>
      <c r="K27" s="345"/>
      <c r="L27" s="345"/>
      <c r="M27" s="345"/>
    </row>
    <row r="28" spans="1:13">
      <c r="A28" s="326">
        <v>1996</v>
      </c>
      <c r="B28" s="619">
        <f>VLOOKUP($A28,Database!$A$74:$J$132,10)</f>
        <v>4500085</v>
      </c>
      <c r="C28" s="349">
        <f t="shared" si="5"/>
        <v>4407045.3964694096</v>
      </c>
      <c r="D28" s="341">
        <f t="shared" si="0"/>
        <v>-93039.603530590422</v>
      </c>
      <c r="E28" s="339">
        <f t="shared" si="6"/>
        <v>93039.603530590422</v>
      </c>
      <c r="F28" s="342">
        <f t="shared" si="1"/>
        <v>-2.0675076922011568E-2</v>
      </c>
      <c r="G28" s="342">
        <f t="shared" si="2"/>
        <v>2.0675076922011568E-2</v>
      </c>
      <c r="I28" s="628">
        <f t="shared" si="3"/>
        <v>4500085</v>
      </c>
      <c r="J28" s="629">
        <f t="shared" si="7"/>
        <v>4407045.3964694096</v>
      </c>
      <c r="K28" s="345"/>
      <c r="L28" s="345"/>
      <c r="M28" s="345"/>
    </row>
    <row r="29" spans="1:13">
      <c r="A29" s="326">
        <v>1998</v>
      </c>
      <c r="B29" s="619">
        <f>VLOOKUP($A29,Database!$A$74:$J$132,10)</f>
        <v>5274275.5</v>
      </c>
      <c r="C29" s="349">
        <f t="shared" si="5"/>
        <v>4486995.5002969652</v>
      </c>
      <c r="D29" s="341">
        <f t="shared" si="0"/>
        <v>-787279.99970303476</v>
      </c>
      <c r="E29" s="339">
        <f t="shared" si="6"/>
        <v>787279.99970303476</v>
      </c>
      <c r="F29" s="342">
        <f t="shared" si="1"/>
        <v>-0.14926789465264656</v>
      </c>
      <c r="G29" s="342">
        <f t="shared" si="2"/>
        <v>0.14926789465264656</v>
      </c>
      <c r="I29" s="628">
        <f t="shared" si="3"/>
        <v>5274275.5</v>
      </c>
      <c r="J29" s="629">
        <f t="shared" si="7"/>
        <v>4486995.5002969652</v>
      </c>
    </row>
    <row r="30" spans="1:13">
      <c r="A30" s="326">
        <v>2000</v>
      </c>
      <c r="B30" s="619">
        <f>VLOOKUP($A30,Database!$A$74:$J$132,10)</f>
        <v>7389941</v>
      </c>
      <c r="C30" s="349">
        <f t="shared" si="5"/>
        <v>5163515.1255866494</v>
      </c>
      <c r="D30" s="341">
        <f t="shared" si="0"/>
        <v>-2226425.8744133506</v>
      </c>
      <c r="E30" s="339">
        <f t="shared" si="6"/>
        <v>2226425.8744133506</v>
      </c>
      <c r="F30" s="342">
        <f t="shared" si="1"/>
        <v>-0.30127789577932362</v>
      </c>
      <c r="G30" s="342">
        <f t="shared" si="2"/>
        <v>0.30127789577932362</v>
      </c>
      <c r="I30" s="628">
        <f t="shared" si="3"/>
        <v>7389941</v>
      </c>
      <c r="J30" s="629">
        <f t="shared" si="7"/>
        <v>5163515.1255866494</v>
      </c>
    </row>
    <row r="31" spans="1:13">
      <c r="A31" s="326">
        <v>2002</v>
      </c>
      <c r="B31" s="619">
        <f>VLOOKUP($A31,Database!$A$74:$J$132,10)</f>
        <v>1264645.3102025923</v>
      </c>
      <c r="C31" s="349">
        <f t="shared" si="5"/>
        <v>7076710.9375741649</v>
      </c>
      <c r="D31" s="341">
        <f t="shared" si="0"/>
        <v>5812065.6273715729</v>
      </c>
      <c r="E31" s="339">
        <f t="shared" si="6"/>
        <v>5812065.6273715729</v>
      </c>
      <c r="F31" s="342">
        <f t="shared" si="1"/>
        <v>4.595806887893727</v>
      </c>
      <c r="G31" s="342">
        <f t="shared" si="2"/>
        <v>4.595806887893727</v>
      </c>
      <c r="I31" s="628">
        <f t="shared" si="3"/>
        <v>1264645.3102025923</v>
      </c>
      <c r="J31" s="629">
        <f t="shared" si="7"/>
        <v>7076710.9375741649</v>
      </c>
    </row>
    <row r="32" spans="1:13">
      <c r="A32" s="326">
        <v>2004</v>
      </c>
      <c r="B32" s="619">
        <f>VLOOKUP($A32,Database!$A$74:$J$132,10)</f>
        <v>4939431.0563474381</v>
      </c>
      <c r="C32" s="349">
        <f t="shared" si="5"/>
        <v>2082329.6985338847</v>
      </c>
      <c r="D32" s="341">
        <f t="shared" si="0"/>
        <v>-2857101.3578135534</v>
      </c>
      <c r="E32" s="339">
        <f t="shared" si="6"/>
        <v>2857101.3578135534</v>
      </c>
      <c r="F32" s="342">
        <f t="shared" si="1"/>
        <v>-0.57842721666132424</v>
      </c>
      <c r="G32" s="342">
        <f t="shared" si="2"/>
        <v>0.57842721666132424</v>
      </c>
      <c r="I32" s="628">
        <f t="shared" si="3"/>
        <v>4939431.0563474381</v>
      </c>
      <c r="J32" s="629">
        <f>C32</f>
        <v>2082329.6985338847</v>
      </c>
    </row>
    <row r="33" spans="1:11">
      <c r="A33" s="326">
        <v>2006</v>
      </c>
      <c r="B33" s="619">
        <f>VLOOKUP($A33,Database!$A$74:$J$132,10)</f>
        <v>3314702.7753436686</v>
      </c>
      <c r="C33" s="349">
        <f t="shared" si="5"/>
        <v>4537472.9013737477</v>
      </c>
      <c r="D33" s="341">
        <f t="shared" si="0"/>
        <v>1222770.1260300791</v>
      </c>
      <c r="E33" s="339">
        <f t="shared" si="6"/>
        <v>1222770.1260300791</v>
      </c>
      <c r="F33" s="342">
        <f t="shared" si="1"/>
        <v>0.36889284165253766</v>
      </c>
      <c r="G33" s="342">
        <f t="shared" si="2"/>
        <v>0.36889284165253766</v>
      </c>
      <c r="I33" s="628">
        <f t="shared" si="3"/>
        <v>3314702.7753436686</v>
      </c>
      <c r="J33" s="629">
        <f t="shared" si="7"/>
        <v>4537472.9013737477</v>
      </c>
    </row>
    <row r="34" spans="1:11">
      <c r="A34" s="326">
        <v>2008</v>
      </c>
      <c r="B34" s="619">
        <f>VLOOKUP($A34,Database!$A$74:$J$132,10)</f>
        <v>2290691.6775990888</v>
      </c>
      <c r="C34" s="349">
        <f t="shared" si="5"/>
        <v>3486731.1223506248</v>
      </c>
      <c r="D34" s="341">
        <f t="shared" si="0"/>
        <v>1196039.444751536</v>
      </c>
      <c r="E34" s="339">
        <f t="shared" si="6"/>
        <v>1196039.444751536</v>
      </c>
      <c r="F34" s="342">
        <f t="shared" si="1"/>
        <v>0.52213026154839159</v>
      </c>
      <c r="G34" s="342">
        <f t="shared" si="2"/>
        <v>0.52213026154839159</v>
      </c>
      <c r="I34" s="628">
        <f t="shared" si="3"/>
        <v>2290691.6775990888</v>
      </c>
      <c r="J34" s="629">
        <f t="shared" si="7"/>
        <v>3486731.1223506248</v>
      </c>
    </row>
    <row r="35" spans="1:11">
      <c r="A35" s="354">
        <v>2010</v>
      </c>
      <c r="B35" s="619">
        <f>VLOOKUP($A35,Database!$A$74:$J$132,10)</f>
        <v>4399390.7272172375</v>
      </c>
      <c r="C35" s="349">
        <f t="shared" si="5"/>
        <v>2458959.3546184273</v>
      </c>
      <c r="D35" s="341">
        <f>C35-B35</f>
        <v>-1940431.3725988101</v>
      </c>
      <c r="E35" s="339">
        <f>ABS(C35-$B35)</f>
        <v>1940431.3725988101</v>
      </c>
      <c r="F35" s="342">
        <f>($C35-$B35)/$B35</f>
        <v>-0.44106820532992264</v>
      </c>
      <c r="G35" s="342">
        <f>ABS($C35-$B35)/$B35</f>
        <v>0.44106820532992264</v>
      </c>
      <c r="I35" s="628">
        <f t="shared" si="3"/>
        <v>4399390.7272172375</v>
      </c>
      <c r="J35" s="629">
        <f>C35</f>
        <v>2458959.3546184273</v>
      </c>
    </row>
    <row r="36" spans="1:11">
      <c r="A36" s="326">
        <v>2012</v>
      </c>
      <c r="B36" s="619">
        <f>VLOOKUP($A36,Database!$A$74:$J$132,10)</f>
        <v>4428267.5450134957</v>
      </c>
      <c r="C36" s="349">
        <f t="shared" si="5"/>
        <v>4126396.4870059732</v>
      </c>
      <c r="D36" s="341">
        <f>C36-B36</f>
        <v>-301871.05800752249</v>
      </c>
      <c r="E36" s="339">
        <f>ABS(C36-$B36)</f>
        <v>301871.05800752249</v>
      </c>
      <c r="F36" s="342">
        <f>($C36-$B36)/$B36</f>
        <v>-6.816911014047651E-2</v>
      </c>
      <c r="G36" s="342">
        <f>ABS($C36-$B36)/$B36</f>
        <v>6.816911014047651E-2</v>
      </c>
      <c r="I36" s="628">
        <f t="shared" ref="I36" si="8">B36</f>
        <v>4428267.5450134957</v>
      </c>
      <c r="J36" s="629">
        <f>C36</f>
        <v>4126396.4870059732</v>
      </c>
    </row>
    <row r="37" spans="1:11">
      <c r="A37" s="326">
        <v>2014</v>
      </c>
      <c r="B37" s="621"/>
      <c r="C37" s="349">
        <f t="shared" si="5"/>
        <v>4385798.0914238207</v>
      </c>
      <c r="D37" s="341"/>
      <c r="E37" s="339"/>
      <c r="F37" s="339"/>
      <c r="G37" s="342"/>
      <c r="I37" s="627"/>
      <c r="J37" s="629">
        <f>C37</f>
        <v>4385798.0914238207</v>
      </c>
    </row>
    <row r="38" spans="1:11">
      <c r="A38" s="354"/>
      <c r="B38" s="621"/>
      <c r="C38" s="349"/>
      <c r="D38" s="341"/>
      <c r="E38" s="339"/>
      <c r="F38" s="339"/>
      <c r="G38" s="342"/>
      <c r="I38" s="627"/>
      <c r="J38" s="1091"/>
    </row>
    <row r="39" spans="1:11">
      <c r="A39" s="326"/>
      <c r="B39" s="621"/>
      <c r="C39" s="349"/>
      <c r="D39" s="341"/>
      <c r="E39" s="339"/>
      <c r="F39" s="339"/>
      <c r="G39" s="342"/>
      <c r="I39" s="627"/>
      <c r="J39" s="1091"/>
    </row>
    <row r="40" spans="1:11">
      <c r="A40" s="326"/>
      <c r="B40" s="621"/>
      <c r="C40" s="349"/>
      <c r="D40" s="341"/>
      <c r="E40" s="339"/>
      <c r="F40" s="339"/>
      <c r="G40" s="342"/>
      <c r="I40" s="627"/>
      <c r="J40" s="1091"/>
    </row>
    <row r="41" spans="1:11">
      <c r="A41" s="326"/>
      <c r="B41" s="621"/>
      <c r="C41" s="339"/>
      <c r="D41" s="341"/>
      <c r="E41" s="339"/>
      <c r="F41" s="339"/>
      <c r="I41" s="334"/>
      <c r="J41" s="334"/>
    </row>
    <row r="42" spans="1:11">
      <c r="A42" s="323" t="s">
        <v>245</v>
      </c>
      <c r="B42" s="646">
        <f>COUNT(B11:B41)</f>
        <v>26</v>
      </c>
      <c r="C42" s="646">
        <f>COUNT(C15:C41)</f>
        <v>23</v>
      </c>
      <c r="D42" s="658">
        <f>COUNT(D15:D41)</f>
        <v>22</v>
      </c>
      <c r="E42" s="646">
        <f>COUNT(E15:E41)</f>
        <v>22</v>
      </c>
      <c r="F42" s="646">
        <f>COUNT(F15:F41)</f>
        <v>22</v>
      </c>
      <c r="G42" s="646">
        <f>COUNT(G15:G41)</f>
        <v>22</v>
      </c>
    </row>
    <row r="43" spans="1:11" ht="25">
      <c r="A43" s="328" t="s">
        <v>75</v>
      </c>
      <c r="B43" s="644"/>
      <c r="C43" s="1092">
        <f>VLOOKUP(Forecast_Year,A11:C37,3)</f>
        <v>4385798.0914238207</v>
      </c>
      <c r="D43" s="660"/>
      <c r="E43" s="644"/>
      <c r="F43" s="644"/>
      <c r="G43" s="644"/>
    </row>
    <row r="44" spans="1:11">
      <c r="A44" s="328" t="s">
        <v>288</v>
      </c>
      <c r="B44" s="620"/>
      <c r="C44" s="620"/>
      <c r="D44" s="659"/>
      <c r="E44" s="620"/>
      <c r="F44" s="620"/>
      <c r="G44" s="620"/>
      <c r="I44" s="348"/>
      <c r="J44" s="348"/>
      <c r="K44" s="348"/>
    </row>
    <row r="45" spans="1:11">
      <c r="A45" s="328" t="s">
        <v>127</v>
      </c>
      <c r="B45" s="644">
        <f>AVERAGE(B11:B41)</f>
        <v>5740851.4458355196</v>
      </c>
      <c r="C45" s="644">
        <f>AVERAGE(C15:C41)</f>
        <v>5675970.8662548456</v>
      </c>
      <c r="D45" s="660">
        <f>AVERAGE(D15:D41)</f>
        <v>-25474.443603902633</v>
      </c>
      <c r="E45" s="644">
        <f>AVERAGE(E15:E41)</f>
        <v>3886608.2845726116</v>
      </c>
      <c r="F45" s="645">
        <f>AVERAGE(F15:F41)</f>
        <v>0.83978814433182269</v>
      </c>
      <c r="G45" s="633">
        <f>AVERAGE(G15:G41)</f>
        <v>1.2772932939525947</v>
      </c>
    </row>
    <row r="46" spans="1:11">
      <c r="A46" s="328" t="s">
        <v>265</v>
      </c>
      <c r="B46" s="644">
        <f>MEDIAN(B11:B41)</f>
        <v>4413829.1361153666</v>
      </c>
      <c r="C46" s="644">
        <f>MEDIAN(C15:C41)</f>
        <v>4126396.4870059732</v>
      </c>
      <c r="D46" s="660">
        <f>MEDIAN(D15:D41)</f>
        <v>-216531.86661591713</v>
      </c>
      <c r="E46" s="644">
        <f>MEDIAN(E15:E41)</f>
        <v>2504457.5152434697</v>
      </c>
      <c r="F46" s="645">
        <f>MEDIAN(F15:F41)</f>
        <v>-9.0581933404313059E-2</v>
      </c>
      <c r="G46" s="645">
        <f>MEDIAN(G15:G41)</f>
        <v>0.41823315553265289</v>
      </c>
    </row>
    <row r="47" spans="1:11">
      <c r="A47" s="328" t="s">
        <v>286</v>
      </c>
      <c r="B47" s="644">
        <f>MIN(B11:B41)</f>
        <v>695963</v>
      </c>
      <c r="C47" s="644">
        <f>MIN(C15:C41)</f>
        <v>1029858.3247756882</v>
      </c>
      <c r="D47" s="660">
        <f>MIN(D15:D41)</f>
        <v>-10480294.158474809</v>
      </c>
      <c r="E47" s="644">
        <f>MIN(E15:E41)</f>
        <v>93039.603530590422</v>
      </c>
      <c r="F47" s="645">
        <f>MIN(F15:F41)</f>
        <v>-0.79907374286808408</v>
      </c>
      <c r="G47" s="645">
        <f>MIN(G15:G41)</f>
        <v>2.0675076922011568E-2</v>
      </c>
    </row>
    <row r="48" spans="1:11">
      <c r="A48" s="328" t="s">
        <v>287</v>
      </c>
      <c r="B48" s="644">
        <f>MAX(B11:B41)</f>
        <v>21201513</v>
      </c>
      <c r="C48" s="644">
        <f>MAX(C15:C41)</f>
        <v>20497260.129410021</v>
      </c>
      <c r="D48" s="660">
        <f>MAX(D15:D41)</f>
        <v>14933303.129410021</v>
      </c>
      <c r="E48" s="644">
        <f>MAX(E15:E41)</f>
        <v>14933303.129410021</v>
      </c>
      <c r="F48" s="645">
        <f>MAX(F15:F41)</f>
        <v>7.1620376915139348</v>
      </c>
      <c r="G48" s="645">
        <f>MAX(G15:G41)</f>
        <v>7.1620376915139348</v>
      </c>
    </row>
    <row r="49" spans="1:7">
      <c r="A49" s="332" t="s">
        <v>238</v>
      </c>
      <c r="B49" s="647">
        <f>STDEV(B11:B41)</f>
        <v>5121524.5420153616</v>
      </c>
      <c r="C49" s="647">
        <f>STDEV(C15:C41)</f>
        <v>4978481.7386597749</v>
      </c>
      <c r="D49" s="661">
        <f>STDEV(D15:D41)</f>
        <v>5748303.9177585077</v>
      </c>
      <c r="E49" s="647">
        <f>STDEV(E15:E41)</f>
        <v>4149534.1466573393</v>
      </c>
      <c r="F49" s="648">
        <f>STDEV(F15:F41)</f>
        <v>2.1631989180506515</v>
      </c>
      <c r="G49" s="648">
        <f>STDEV(G15:G41)</f>
        <v>1.9258995677841422</v>
      </c>
    </row>
  </sheetData>
  <phoneticPr fontId="49"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FFFF00"/>
    <pageSetUpPr fitToPage="1"/>
  </sheetPr>
  <dimension ref="A1:O71"/>
  <sheetViews>
    <sheetView zoomScale="75" workbookViewId="0">
      <selection activeCell="AK54" sqref="AK54"/>
    </sheetView>
  </sheetViews>
  <sheetFormatPr baseColWidth="10" defaultColWidth="8.875" defaultRowHeight="16" x14ac:dyDescent="0"/>
  <cols>
    <col min="1" max="1" width="8.875" style="321"/>
    <col min="2" max="2" width="11.5" style="321" customWidth="1"/>
    <col min="3" max="3" width="10.875" style="321" customWidth="1"/>
    <col min="4" max="4" width="11.375" style="321" customWidth="1"/>
    <col min="5" max="6" width="10.875" style="321" customWidth="1"/>
    <col min="7" max="7" width="11.5" style="321" customWidth="1"/>
    <col min="8" max="8" width="2.875" style="321" customWidth="1"/>
    <col min="9" max="10" width="8.875" style="321"/>
    <col min="11" max="11" width="7.125" style="321" customWidth="1"/>
    <col min="12" max="12" width="11.5" style="321" customWidth="1"/>
    <col min="13" max="16384" width="8.875" style="321"/>
  </cols>
  <sheetData>
    <row r="1" spans="1:15">
      <c r="A1" s="320" t="str">
        <f ca="1">CELL("filename",A1)</f>
        <v>NWCLM04072996:Users:eric.ward:Documents:NCEAS-covariation:data:salmon data:[2015_PWS_Pink_Wild_forecast-FINAL.xlsm]Lag1_Exp_smoothing_Harvest</v>
      </c>
    </row>
    <row r="2" spans="1:15" ht="17" thickBot="1"/>
    <row r="3" spans="1:15">
      <c r="A3" s="322" t="s">
        <v>246</v>
      </c>
      <c r="B3" s="322" t="s">
        <v>291</v>
      </c>
      <c r="J3" s="328"/>
      <c r="L3" s="335"/>
      <c r="M3" s="649"/>
      <c r="N3" s="650" t="s">
        <v>353</v>
      </c>
      <c r="O3" s="651">
        <v>0.2605029537197216</v>
      </c>
    </row>
    <row r="4" spans="1:15" ht="17" thickBot="1">
      <c r="A4" s="322"/>
      <c r="B4" s="322" t="s">
        <v>283</v>
      </c>
      <c r="J4" s="328"/>
      <c r="L4" s="652"/>
      <c r="M4" s="653"/>
      <c r="N4" s="654" t="s">
        <v>289</v>
      </c>
      <c r="O4" s="655">
        <f>G65</f>
        <v>5.0762648516225664</v>
      </c>
    </row>
    <row r="5" spans="1:15">
      <c r="A5" s="332"/>
      <c r="B5" s="332"/>
    </row>
    <row r="6" spans="1:15" ht="54.75" customHeight="1">
      <c r="A6" s="325" t="s">
        <v>7</v>
      </c>
      <c r="B6" s="656" t="s">
        <v>133</v>
      </c>
      <c r="C6" s="638" t="s">
        <v>254</v>
      </c>
      <c r="D6" s="638" t="s">
        <v>284</v>
      </c>
      <c r="E6" s="638" t="s">
        <v>255</v>
      </c>
      <c r="F6" s="637" t="s">
        <v>285</v>
      </c>
      <c r="G6" s="636" t="s">
        <v>256</v>
      </c>
    </row>
    <row r="7" spans="1:15">
      <c r="A7" s="330" t="s">
        <v>16</v>
      </c>
      <c r="B7" s="331" t="s">
        <v>258</v>
      </c>
      <c r="C7" s="641"/>
      <c r="D7" s="635"/>
      <c r="E7" s="332"/>
      <c r="F7" s="332"/>
      <c r="G7" s="332"/>
    </row>
    <row r="8" spans="1:15">
      <c r="A8" s="326">
        <v>1962</v>
      </c>
      <c r="B8" s="619">
        <f>VLOOKUP($A8,Database!$A$74:$J$132,3)</f>
        <v>6742316</v>
      </c>
      <c r="C8" s="620"/>
      <c r="D8" s="620"/>
      <c r="E8" s="620"/>
      <c r="F8" s="620"/>
      <c r="G8" s="620"/>
    </row>
    <row r="9" spans="1:15">
      <c r="A9" s="326">
        <v>1963</v>
      </c>
      <c r="B9" s="619">
        <f>VLOOKUP($A9,Database!$A$74:$J$132,3)</f>
        <v>5295378</v>
      </c>
      <c r="C9" s="469">
        <f>$B8</f>
        <v>6742316</v>
      </c>
      <c r="D9" s="469"/>
      <c r="E9" s="339">
        <f>ABS(C9-$B9)</f>
        <v>1446938</v>
      </c>
      <c r="F9" s="620"/>
      <c r="G9" s="620"/>
    </row>
    <row r="10" spans="1:15">
      <c r="A10" s="326">
        <v>1964</v>
      </c>
      <c r="B10" s="619">
        <f>VLOOKUP($A10,Database!$A$74:$J$132,3)</f>
        <v>4206896</v>
      </c>
      <c r="C10" s="339">
        <f t="shared" ref="C10:C60" si="0">$O$3*$B9+(1-$O$3)*$C9</f>
        <v>6365384.3771506939</v>
      </c>
      <c r="D10" s="341">
        <f t="shared" ref="D10:D55" si="1">C10-B10</f>
        <v>2158488.3771506939</v>
      </c>
      <c r="E10" s="339">
        <f t="shared" ref="E10:E55" si="2">ABS(C10-$B10)</f>
        <v>2158488.3771506939</v>
      </c>
      <c r="F10" s="342">
        <f>($C10-$B10)/$B10</f>
        <v>0.51308337005495119</v>
      </c>
      <c r="G10" s="342">
        <f t="shared" ref="G10:G59" si="3">ABS($C10-$B10)/$B10</f>
        <v>0.51308337005495119</v>
      </c>
    </row>
    <row r="11" spans="1:15">
      <c r="A11" s="326">
        <v>1965</v>
      </c>
      <c r="B11" s="619">
        <f>VLOOKUP($A11,Database!$A$74:$J$132,3)</f>
        <v>2460471</v>
      </c>
      <c r="C11" s="339">
        <f t="shared" si="0"/>
        <v>5803091.7793332497</v>
      </c>
      <c r="D11" s="341">
        <f t="shared" si="1"/>
        <v>3342620.7793332497</v>
      </c>
      <c r="E11" s="339">
        <f t="shared" si="2"/>
        <v>3342620.7793332497</v>
      </c>
      <c r="F11" s="342">
        <f t="shared" ref="F11:F56" si="4">(C11-B11)/B11</f>
        <v>1.3585288261203849</v>
      </c>
      <c r="G11" s="342">
        <f t="shared" si="3"/>
        <v>1.3585288261203849</v>
      </c>
    </row>
    <row r="12" spans="1:15">
      <c r="A12" s="326">
        <v>1966</v>
      </c>
      <c r="B12" s="619">
        <f>VLOOKUP($A12,Database!$A$74:$J$132,3)</f>
        <v>2699418</v>
      </c>
      <c r="C12" s="339">
        <f t="shared" si="0"/>
        <v>4932329.1931520198</v>
      </c>
      <c r="D12" s="341">
        <f t="shared" si="1"/>
        <v>2232911.1931520198</v>
      </c>
      <c r="E12" s="339">
        <f t="shared" si="2"/>
        <v>2232911.1931520198</v>
      </c>
      <c r="F12" s="342">
        <f t="shared" si="4"/>
        <v>0.82718244938428198</v>
      </c>
      <c r="G12" s="342">
        <f t="shared" si="3"/>
        <v>0.82718244938428198</v>
      </c>
    </row>
    <row r="13" spans="1:15">
      <c r="A13" s="326">
        <v>1967</v>
      </c>
      <c r="B13" s="619">
        <f>VLOOKUP($A13,Database!$A$74:$J$132,3)</f>
        <v>2626340</v>
      </c>
      <c r="C13" s="339">
        <f t="shared" si="0"/>
        <v>4350649.2319420911</v>
      </c>
      <c r="D13" s="341">
        <f t="shared" si="1"/>
        <v>1724309.2319420911</v>
      </c>
      <c r="E13" s="339">
        <f t="shared" si="2"/>
        <v>1724309.2319420911</v>
      </c>
      <c r="F13" s="342">
        <f t="shared" si="4"/>
        <v>0.6565445570421542</v>
      </c>
      <c r="G13" s="342">
        <f t="shared" si="3"/>
        <v>0.6565445570421542</v>
      </c>
    </row>
    <row r="14" spans="1:15">
      <c r="A14" s="326">
        <v>1968</v>
      </c>
      <c r="B14" s="619">
        <f>VLOOKUP($A14,Database!$A$74:$J$132,3)</f>
        <v>2452168</v>
      </c>
      <c r="C14" s="339">
        <f t="shared" si="0"/>
        <v>3901461.5838949918</v>
      </c>
      <c r="D14" s="341">
        <f t="shared" si="1"/>
        <v>1449293.5838949918</v>
      </c>
      <c r="E14" s="339">
        <f t="shared" si="2"/>
        <v>1449293.5838949918</v>
      </c>
      <c r="F14" s="342">
        <f t="shared" si="4"/>
        <v>0.59102540441559948</v>
      </c>
      <c r="G14" s="342">
        <f t="shared" si="3"/>
        <v>0.59102540441559948</v>
      </c>
    </row>
    <row r="15" spans="1:15">
      <c r="A15" s="326">
        <v>1969</v>
      </c>
      <c r="B15" s="619">
        <f>VLOOKUP($A15,Database!$A$74:$J$132,3)</f>
        <v>4828579</v>
      </c>
      <c r="C15" s="339">
        <f t="shared" si="0"/>
        <v>3523916.3244833052</v>
      </c>
      <c r="D15" s="341">
        <f t="shared" si="1"/>
        <v>-1304662.6755166948</v>
      </c>
      <c r="E15" s="339">
        <f t="shared" si="2"/>
        <v>1304662.6755166948</v>
      </c>
      <c r="F15" s="342">
        <f t="shared" si="4"/>
        <v>-0.27019598840915615</v>
      </c>
      <c r="G15" s="342">
        <f t="shared" si="3"/>
        <v>0.27019598840915615</v>
      </c>
    </row>
    <row r="16" spans="1:15">
      <c r="A16" s="326">
        <v>1970</v>
      </c>
      <c r="B16" s="619">
        <f>VLOOKUP($A16,Database!$A$74:$J$132,3)</f>
        <v>2809996</v>
      </c>
      <c r="C16" s="339">
        <f t="shared" si="0"/>
        <v>3863784.8050632789</v>
      </c>
      <c r="D16" s="341">
        <f t="shared" si="1"/>
        <v>1053788.8050632789</v>
      </c>
      <c r="E16" s="339">
        <f t="shared" si="2"/>
        <v>1053788.8050632789</v>
      </c>
      <c r="F16" s="342">
        <f t="shared" si="4"/>
        <v>0.37501434345930701</v>
      </c>
      <c r="G16" s="342">
        <f t="shared" si="3"/>
        <v>0.37501434345930701</v>
      </c>
    </row>
    <row r="17" spans="1:7">
      <c r="A17" s="326">
        <v>1971</v>
      </c>
      <c r="B17" s="619">
        <f>VLOOKUP($A17,Database!$A$74:$J$132,3)</f>
        <v>7310964</v>
      </c>
      <c r="C17" s="339">
        <f t="shared" si="0"/>
        <v>3589269.7087475187</v>
      </c>
      <c r="D17" s="341">
        <f t="shared" si="1"/>
        <v>-3721694.2912524813</v>
      </c>
      <c r="E17" s="339">
        <f t="shared" si="2"/>
        <v>3721694.2912524813</v>
      </c>
      <c r="F17" s="342">
        <f t="shared" si="4"/>
        <v>-0.50905657465314846</v>
      </c>
      <c r="G17" s="342">
        <f t="shared" si="3"/>
        <v>0.50905657465314846</v>
      </c>
    </row>
    <row r="18" spans="1:7">
      <c r="A18" s="326">
        <v>1972</v>
      </c>
      <c r="B18" s="619">
        <f>VLOOKUP($A18,Database!$A$74:$J$132,3)</f>
        <v>54783</v>
      </c>
      <c r="C18" s="339">
        <f t="shared" si="0"/>
        <v>4558782.0644606156</v>
      </c>
      <c r="D18" s="341">
        <f t="shared" si="1"/>
        <v>4503999.0644606156</v>
      </c>
      <c r="E18" s="339">
        <f t="shared" si="2"/>
        <v>4503999.0644606156</v>
      </c>
      <c r="F18" s="342">
        <f t="shared" si="4"/>
        <v>82.215268686647605</v>
      </c>
      <c r="G18" s="342">
        <f t="shared" si="3"/>
        <v>82.215268686647605</v>
      </c>
    </row>
    <row r="19" spans="1:7">
      <c r="A19" s="326">
        <v>1973</v>
      </c>
      <c r="B19" s="619">
        <f>VLOOKUP($A19,Database!$A$74:$J$132,3)</f>
        <v>7310964</v>
      </c>
      <c r="C19" s="339">
        <f t="shared" si="0"/>
        <v>3385477.0046177623</v>
      </c>
      <c r="D19" s="341">
        <f t="shared" si="1"/>
        <v>-3925486.9953822377</v>
      </c>
      <c r="E19" s="339">
        <f t="shared" si="2"/>
        <v>3925486.9953822377</v>
      </c>
      <c r="F19" s="342">
        <f t="shared" si="4"/>
        <v>-0.53693151756488444</v>
      </c>
      <c r="G19" s="342">
        <f t="shared" si="3"/>
        <v>0.53693151756488444</v>
      </c>
    </row>
    <row r="20" spans="1:7">
      <c r="A20" s="326">
        <v>1974</v>
      </c>
      <c r="B20" s="619">
        <f>VLOOKUP($A20,Database!$A$74:$J$132,3)</f>
        <v>54783</v>
      </c>
      <c r="C20" s="339">
        <f t="shared" si="0"/>
        <v>4408077.9617031906</v>
      </c>
      <c r="D20" s="341">
        <f t="shared" si="1"/>
        <v>4353294.9617031906</v>
      </c>
      <c r="E20" s="339">
        <f t="shared" si="2"/>
        <v>4353294.9617031906</v>
      </c>
      <c r="F20" s="342">
        <f t="shared" si="4"/>
        <v>79.46434042865836</v>
      </c>
      <c r="G20" s="342">
        <f t="shared" si="3"/>
        <v>79.46434042865836</v>
      </c>
    </row>
    <row r="21" spans="1:7">
      <c r="A21" s="326">
        <v>1975</v>
      </c>
      <c r="B21" s="619">
        <f>VLOOKUP($A21,Database!$A$74:$J$132,3)</f>
        <v>2056878</v>
      </c>
      <c r="C21" s="339">
        <f t="shared" si="0"/>
        <v>3274031.7657663268</v>
      </c>
      <c r="D21" s="341">
        <f t="shared" si="1"/>
        <v>1217153.7657663268</v>
      </c>
      <c r="E21" s="339">
        <f t="shared" si="2"/>
        <v>1217153.7657663268</v>
      </c>
      <c r="F21" s="342">
        <f t="shared" si="4"/>
        <v>0.59174815704496175</v>
      </c>
      <c r="G21" s="342">
        <f t="shared" si="3"/>
        <v>0.59174815704496175</v>
      </c>
    </row>
    <row r="22" spans="1:7">
      <c r="A22" s="326">
        <v>1976</v>
      </c>
      <c r="B22" s="619">
        <f>VLOOKUP($A22,Database!$A$74:$J$132,3)</f>
        <v>448773</v>
      </c>
      <c r="C22" s="339">
        <f t="shared" si="0"/>
        <v>2956959.6146531161</v>
      </c>
      <c r="D22" s="341">
        <f t="shared" si="1"/>
        <v>2508186.6146531161</v>
      </c>
      <c r="E22" s="339">
        <f t="shared" si="2"/>
        <v>2508186.6146531161</v>
      </c>
      <c r="F22" s="342">
        <f t="shared" si="4"/>
        <v>5.588987338037529</v>
      </c>
      <c r="G22" s="342">
        <f t="shared" si="3"/>
        <v>5.588987338037529</v>
      </c>
    </row>
    <row r="23" spans="1:7">
      <c r="A23" s="326">
        <v>1977</v>
      </c>
      <c r="B23" s="619">
        <f>VLOOKUP($A23,Database!$A$74:$J$132,3)</f>
        <v>4298734</v>
      </c>
      <c r="C23" s="339">
        <f t="shared" si="0"/>
        <v>2303569.5930557102</v>
      </c>
      <c r="D23" s="341">
        <f t="shared" si="1"/>
        <v>-1995164.4069442898</v>
      </c>
      <c r="E23" s="339">
        <f t="shared" si="2"/>
        <v>1995164.4069442898</v>
      </c>
      <c r="F23" s="342">
        <f t="shared" si="4"/>
        <v>-0.46412837057242662</v>
      </c>
      <c r="G23" s="342">
        <f t="shared" si="3"/>
        <v>0.46412837057242662</v>
      </c>
    </row>
    <row r="24" spans="1:7">
      <c r="A24" s="326">
        <v>1978</v>
      </c>
      <c r="B24" s="619">
        <f>VLOOKUP($A24,Database!$A$74:$J$132,3)</f>
        <v>3169697</v>
      </c>
      <c r="C24" s="339">
        <f t="shared" si="0"/>
        <v>2823315.814221154</v>
      </c>
      <c r="D24" s="341">
        <f t="shared" si="1"/>
        <v>-346381.18577884603</v>
      </c>
      <c r="E24" s="339">
        <f t="shared" si="2"/>
        <v>346381.18577884603</v>
      </c>
      <c r="F24" s="342">
        <f t="shared" si="4"/>
        <v>-0.10927895813979886</v>
      </c>
      <c r="G24" s="342">
        <f t="shared" si="3"/>
        <v>0.10927895813979886</v>
      </c>
    </row>
    <row r="25" spans="1:7">
      <c r="A25" s="326">
        <v>1979</v>
      </c>
      <c r="B25" s="619">
        <f>VLOOKUP($A25,Database!$A$74:$J$132,3)</f>
        <v>14433526</v>
      </c>
      <c r="C25" s="339">
        <f t="shared" si="0"/>
        <v>2913549.1362294829</v>
      </c>
      <c r="D25" s="341">
        <f t="shared" si="1"/>
        <v>-11519976.863770517</v>
      </c>
      <c r="E25" s="339">
        <f t="shared" si="2"/>
        <v>11519976.863770517</v>
      </c>
      <c r="F25" s="342">
        <f t="shared" si="4"/>
        <v>-0.79814016781280728</v>
      </c>
      <c r="G25" s="342">
        <f t="shared" si="3"/>
        <v>0.79814016781280728</v>
      </c>
    </row>
    <row r="26" spans="1:7">
      <c r="A26" s="326">
        <v>1980</v>
      </c>
      <c r="B26" s="619">
        <f>VLOOKUP($A26,Database!$A$74:$J$132,3)</f>
        <v>12918874</v>
      </c>
      <c r="C26" s="339">
        <f t="shared" si="0"/>
        <v>5914537.1360245571</v>
      </c>
      <c r="D26" s="341">
        <f t="shared" si="1"/>
        <v>-7004336.8639754429</v>
      </c>
      <c r="E26" s="339">
        <f t="shared" si="2"/>
        <v>7004336.8639754429</v>
      </c>
      <c r="F26" s="342">
        <f t="shared" si="4"/>
        <v>-0.54217858800816876</v>
      </c>
      <c r="G26" s="342">
        <f t="shared" si="3"/>
        <v>0.54217858800816876</v>
      </c>
    </row>
    <row r="27" spans="1:7">
      <c r="A27" s="326">
        <v>1981</v>
      </c>
      <c r="B27" s="619">
        <f>VLOOKUP($A27,Database!$A$74:$J$132,3)</f>
        <v>17402547</v>
      </c>
      <c r="C27" s="339">
        <f t="shared" si="0"/>
        <v>7739187.577938091</v>
      </c>
      <c r="D27" s="341">
        <f t="shared" si="1"/>
        <v>-9663359.422061909</v>
      </c>
      <c r="E27" s="339">
        <f t="shared" si="2"/>
        <v>9663359.422061909</v>
      </c>
      <c r="F27" s="342">
        <f t="shared" si="4"/>
        <v>-0.55528420190802585</v>
      </c>
      <c r="G27" s="342">
        <f t="shared" si="3"/>
        <v>0.55528420190802585</v>
      </c>
    </row>
    <row r="28" spans="1:7">
      <c r="A28" s="326">
        <v>1982</v>
      </c>
      <c r="B28" s="619">
        <f>VLOOKUP($A28,Database!$A$74:$J$132,3)</f>
        <v>14945199</v>
      </c>
      <c r="C28" s="339">
        <f t="shared" si="0"/>
        <v>10256521.25024052</v>
      </c>
      <c r="D28" s="341">
        <f t="shared" si="1"/>
        <v>-4688677.7497594804</v>
      </c>
      <c r="E28" s="339">
        <f t="shared" si="2"/>
        <v>4688677.7497594804</v>
      </c>
      <c r="F28" s="342">
        <f t="shared" si="4"/>
        <v>-0.31372467839066448</v>
      </c>
      <c r="G28" s="342">
        <f t="shared" si="3"/>
        <v>0.31372467839066448</v>
      </c>
    </row>
    <row r="29" spans="1:7">
      <c r="A29" s="326">
        <v>1983</v>
      </c>
      <c r="B29" s="619">
        <f>VLOOKUP($A29,Database!$A$74:$J$132,3)</f>
        <v>9564242</v>
      </c>
      <c r="C29" s="339">
        <f t="shared" si="0"/>
        <v>11477935.653092802</v>
      </c>
      <c r="D29" s="341">
        <f t="shared" si="1"/>
        <v>1913693.6530928016</v>
      </c>
      <c r="E29" s="339">
        <f t="shared" si="2"/>
        <v>1913693.6530928016</v>
      </c>
      <c r="F29" s="342">
        <f t="shared" si="4"/>
        <v>0.20008837638077345</v>
      </c>
      <c r="G29" s="342">
        <f t="shared" si="3"/>
        <v>0.20008837638077345</v>
      </c>
    </row>
    <row r="30" spans="1:7">
      <c r="A30" s="326">
        <v>1984</v>
      </c>
      <c r="B30" s="619">
        <f>VLOOKUP($A30,Database!$A$74:$J$132,3)</f>
        <v>17631675</v>
      </c>
      <c r="C30" s="339">
        <f t="shared" si="0"/>
        <v>10979412.803947441</v>
      </c>
      <c r="D30" s="341">
        <f t="shared" si="1"/>
        <v>-6652262.1960525587</v>
      </c>
      <c r="E30" s="339">
        <f t="shared" si="2"/>
        <v>6652262.1960525587</v>
      </c>
      <c r="F30" s="342">
        <f t="shared" si="4"/>
        <v>-0.37729042737304075</v>
      </c>
      <c r="G30" s="342">
        <f t="shared" si="3"/>
        <v>0.37729042737304075</v>
      </c>
    </row>
    <row r="31" spans="1:7">
      <c r="A31" s="326">
        <v>1985</v>
      </c>
      <c r="B31" s="619">
        <f>VLOOKUP($A31,Database!$A$74:$J$132,3)</f>
        <v>17590108</v>
      </c>
      <c r="C31" s="339">
        <f t="shared" si="0"/>
        <v>12712346.754937174</v>
      </c>
      <c r="D31" s="341">
        <f t="shared" si="1"/>
        <v>-4877761.2450628262</v>
      </c>
      <c r="E31" s="339">
        <f t="shared" si="2"/>
        <v>4877761.2450628262</v>
      </c>
      <c r="F31" s="342">
        <f t="shared" si="4"/>
        <v>-0.27730138126854176</v>
      </c>
      <c r="G31" s="342">
        <f t="shared" si="3"/>
        <v>0.27730138126854176</v>
      </c>
    </row>
    <row r="32" spans="1:7">
      <c r="A32" s="326">
        <v>1986</v>
      </c>
      <c r="B32" s="619">
        <f>VLOOKUP($A32,Database!$A$74:$J$132,3)</f>
        <v>4578023</v>
      </c>
      <c r="C32" s="339">
        <f t="shared" si="0"/>
        <v>13983017.966815624</v>
      </c>
      <c r="D32" s="341">
        <f t="shared" si="1"/>
        <v>9404994.9668156244</v>
      </c>
      <c r="E32" s="339">
        <f t="shared" si="2"/>
        <v>9404994.9668156244</v>
      </c>
      <c r="F32" s="342">
        <f t="shared" si="4"/>
        <v>2.0543791428779681</v>
      </c>
      <c r="G32" s="342">
        <f t="shared" si="3"/>
        <v>2.0543791428779681</v>
      </c>
    </row>
    <row r="33" spans="1:7">
      <c r="A33" s="326">
        <v>1987</v>
      </c>
      <c r="B33" s="619">
        <f>VLOOKUP($A33,Database!$A$74:$J$132,3)</f>
        <v>11694727</v>
      </c>
      <c r="C33" s="339">
        <f t="shared" si="0"/>
        <v>11532988.998241039</v>
      </c>
      <c r="D33" s="341">
        <f t="shared" si="1"/>
        <v>-161738.00175896101</v>
      </c>
      <c r="E33" s="339">
        <f t="shared" si="2"/>
        <v>161738.00175896101</v>
      </c>
      <c r="F33" s="342">
        <f t="shared" si="4"/>
        <v>-1.3829993787709709E-2</v>
      </c>
      <c r="G33" s="342">
        <f t="shared" si="3"/>
        <v>1.3829993787709709E-2</v>
      </c>
    </row>
    <row r="34" spans="1:7">
      <c r="A34" s="326">
        <v>1988</v>
      </c>
      <c r="B34" s="619">
        <f>VLOOKUP($A34,Database!$A$74:$J$132,3)</f>
        <v>795772</v>
      </c>
      <c r="C34" s="339">
        <f t="shared" si="0"/>
        <v>11575122.225427974</v>
      </c>
      <c r="D34" s="341">
        <f t="shared" si="1"/>
        <v>10779350.225427974</v>
      </c>
      <c r="E34" s="339">
        <f t="shared" si="2"/>
        <v>10779350.225427974</v>
      </c>
      <c r="F34" s="342">
        <f t="shared" si="4"/>
        <v>13.545777214362875</v>
      </c>
      <c r="G34" s="342">
        <f t="shared" si="3"/>
        <v>13.545777214362875</v>
      </c>
    </row>
    <row r="35" spans="1:7">
      <c r="A35" s="326">
        <v>1989</v>
      </c>
      <c r="B35" s="619">
        <f>VLOOKUP($A35,Database!$A$74:$J$132,3)</f>
        <v>3510074</v>
      </c>
      <c r="C35" s="339">
        <f t="shared" si="0"/>
        <v>8767069.6525246389</v>
      </c>
      <c r="D35" s="341">
        <f t="shared" si="1"/>
        <v>5256995.6525246389</v>
      </c>
      <c r="E35" s="339">
        <f t="shared" si="2"/>
        <v>5256995.6525246389</v>
      </c>
      <c r="F35" s="342">
        <f t="shared" si="4"/>
        <v>1.4976879839355635</v>
      </c>
      <c r="G35" s="342">
        <f t="shared" si="3"/>
        <v>1.4976879839355635</v>
      </c>
    </row>
    <row r="36" spans="1:7">
      <c r="A36" s="326">
        <v>1990</v>
      </c>
      <c r="B36" s="619">
        <f>VLOOKUP($A36,Database!$A$74:$J$132,3)</f>
        <v>11687757</v>
      </c>
      <c r="C36" s="339">
        <f t="shared" si="0"/>
        <v>7397606.7573502352</v>
      </c>
      <c r="D36" s="341">
        <f t="shared" si="1"/>
        <v>-4290150.2426497648</v>
      </c>
      <c r="E36" s="339">
        <f t="shared" si="2"/>
        <v>4290150.2426497648</v>
      </c>
      <c r="F36" s="342">
        <f t="shared" si="4"/>
        <v>-0.36706360704194696</v>
      </c>
      <c r="G36" s="342">
        <f t="shared" si="3"/>
        <v>0.36706360704194696</v>
      </c>
    </row>
    <row r="37" spans="1:7">
      <c r="A37" s="326">
        <v>1991</v>
      </c>
      <c r="B37" s="619">
        <f>VLOOKUP($A37,Database!$A$74:$J$132,3)</f>
        <v>5818984</v>
      </c>
      <c r="C37" s="339">
        <f t="shared" si="0"/>
        <v>8515203.5674618781</v>
      </c>
      <c r="D37" s="341">
        <f t="shared" si="1"/>
        <v>2696219.5674618781</v>
      </c>
      <c r="E37" s="339">
        <f t="shared" si="2"/>
        <v>2696219.5674618781</v>
      </c>
      <c r="F37" s="342">
        <f t="shared" si="4"/>
        <v>0.46334885393427411</v>
      </c>
      <c r="G37" s="342">
        <f t="shared" si="3"/>
        <v>0.46334885393427411</v>
      </c>
    </row>
    <row r="38" spans="1:7">
      <c r="A38" s="326">
        <v>1992</v>
      </c>
      <c r="B38" s="619">
        <f>VLOOKUP($A38,Database!$A$74:$J$132,3)</f>
        <v>862846</v>
      </c>
      <c r="C38" s="339">
        <f t="shared" si="0"/>
        <v>7812830.4062611479</v>
      </c>
      <c r="D38" s="341">
        <f t="shared" si="1"/>
        <v>6949984.4062611479</v>
      </c>
      <c r="E38" s="339">
        <f t="shared" si="2"/>
        <v>6949984.4062611479</v>
      </c>
      <c r="F38" s="342">
        <f t="shared" si="4"/>
        <v>8.0547217073048358</v>
      </c>
      <c r="G38" s="342">
        <f t="shared" si="3"/>
        <v>8.0547217073048358</v>
      </c>
    </row>
    <row r="39" spans="1:7">
      <c r="A39" s="326">
        <v>1993</v>
      </c>
      <c r="B39" s="619">
        <f>VLOOKUP($A39,Database!$A$74:$J$132,3)</f>
        <v>477302</v>
      </c>
      <c r="C39" s="339">
        <f t="shared" si="0"/>
        <v>6002338.9401241131</v>
      </c>
      <c r="D39" s="341">
        <f t="shared" si="1"/>
        <v>5525036.9401241131</v>
      </c>
      <c r="E39" s="339">
        <f t="shared" si="2"/>
        <v>5525036.9401241131</v>
      </c>
      <c r="F39" s="342">
        <f t="shared" si="4"/>
        <v>11.575557906994131</v>
      </c>
      <c r="G39" s="342">
        <f t="shared" si="3"/>
        <v>11.575557906994131</v>
      </c>
    </row>
    <row r="40" spans="1:7">
      <c r="A40" s="326">
        <v>1994</v>
      </c>
      <c r="B40" s="619">
        <f>VLOOKUP($A40,Database!$A$74:$J$132,3)</f>
        <v>3257358</v>
      </c>
      <c r="C40" s="339">
        <f t="shared" si="0"/>
        <v>4563050.4978112085</v>
      </c>
      <c r="D40" s="341">
        <f t="shared" si="1"/>
        <v>1305692.4978112085</v>
      </c>
      <c r="E40" s="339">
        <f t="shared" si="2"/>
        <v>1305692.4978112085</v>
      </c>
      <c r="F40" s="342">
        <f t="shared" si="4"/>
        <v>0.40084402691113735</v>
      </c>
      <c r="G40" s="342">
        <f t="shared" si="3"/>
        <v>0.40084402691113735</v>
      </c>
    </row>
    <row r="41" spans="1:7">
      <c r="A41" s="326">
        <v>1995</v>
      </c>
      <c r="B41" s="619">
        <f>VLOOKUP($A41,Database!$A$74:$J$132,3)</f>
        <v>2744024</v>
      </c>
      <c r="C41" s="339">
        <f t="shared" si="0"/>
        <v>4222913.7454817072</v>
      </c>
      <c r="D41" s="341">
        <f t="shared" si="1"/>
        <v>1478889.7454817072</v>
      </c>
      <c r="E41" s="339">
        <f t="shared" si="2"/>
        <v>1478889.7454817072</v>
      </c>
      <c r="F41" s="342">
        <f t="shared" si="4"/>
        <v>0.53894927503611745</v>
      </c>
      <c r="G41" s="342">
        <f t="shared" si="3"/>
        <v>0.53894927503611745</v>
      </c>
    </row>
    <row r="42" spans="1:7">
      <c r="A42" s="326">
        <v>1996</v>
      </c>
      <c r="B42" s="619">
        <f>VLOOKUP($A42,Database!$A$74:$J$132,3)</f>
        <v>3016749</v>
      </c>
      <c r="C42" s="339">
        <f t="shared" si="0"/>
        <v>3837658.5985579151</v>
      </c>
      <c r="D42" s="341">
        <f t="shared" si="1"/>
        <v>820909.59855791507</v>
      </c>
      <c r="E42" s="339">
        <f t="shared" si="2"/>
        <v>820909.59855791507</v>
      </c>
      <c r="F42" s="342">
        <f t="shared" si="4"/>
        <v>0.27211730195581901</v>
      </c>
      <c r="G42" s="342">
        <f t="shared" si="3"/>
        <v>0.27211730195581901</v>
      </c>
    </row>
    <row r="43" spans="1:7">
      <c r="A43" s="326">
        <v>1997</v>
      </c>
      <c r="B43" s="619">
        <f>VLOOKUP($A43,Database!$A$74:$J$132,3)</f>
        <v>1088828</v>
      </c>
      <c r="C43" s="339">
        <f t="shared" si="0"/>
        <v>3623809.2233967073</v>
      </c>
      <c r="D43" s="341">
        <f t="shared" si="1"/>
        <v>2534981.2233967073</v>
      </c>
      <c r="E43" s="339">
        <f t="shared" si="2"/>
        <v>2534981.2233967073</v>
      </c>
      <c r="F43" s="342">
        <f t="shared" si="4"/>
        <v>2.3281741683688399</v>
      </c>
      <c r="G43" s="342">
        <f t="shared" si="3"/>
        <v>2.3281741683688399</v>
      </c>
    </row>
    <row r="44" spans="1:7">
      <c r="A44" s="326">
        <v>1998</v>
      </c>
      <c r="B44" s="619">
        <f>VLOOKUP($A44,Database!$A$74:$J$132,3)</f>
        <v>3692143</v>
      </c>
      <c r="C44" s="339">
        <f t="shared" si="0"/>
        <v>2963439.1270778314</v>
      </c>
      <c r="D44" s="341">
        <f t="shared" si="1"/>
        <v>-728703.87292216858</v>
      </c>
      <c r="E44" s="339">
        <f t="shared" si="2"/>
        <v>728703.87292216858</v>
      </c>
      <c r="F44" s="342">
        <f t="shared" si="4"/>
        <v>-0.19736610226694051</v>
      </c>
      <c r="G44" s="342">
        <f t="shared" si="3"/>
        <v>0.19736610226694051</v>
      </c>
    </row>
    <row r="45" spans="1:7">
      <c r="A45" s="326">
        <v>1999</v>
      </c>
      <c r="B45" s="619">
        <f>VLOOKUP($A45,Database!$A$74:$J$132,3)</f>
        <v>6793207</v>
      </c>
      <c r="C45" s="339">
        <f t="shared" si="0"/>
        <v>3153268.6383610568</v>
      </c>
      <c r="D45" s="341">
        <f t="shared" si="1"/>
        <v>-3639938.3616389432</v>
      </c>
      <c r="E45" s="339">
        <f t="shared" si="2"/>
        <v>3639938.3616389432</v>
      </c>
      <c r="F45" s="342">
        <f t="shared" si="4"/>
        <v>-0.53582032192437878</v>
      </c>
      <c r="G45" s="342">
        <f t="shared" si="3"/>
        <v>0.53582032192437878</v>
      </c>
    </row>
    <row r="46" spans="1:7">
      <c r="A46" s="326">
        <v>2000</v>
      </c>
      <c r="B46" s="619">
        <f>VLOOKUP($A46,Database!$A$74:$J$132,3)</f>
        <v>5660513</v>
      </c>
      <c r="C46" s="339">
        <f t="shared" si="0"/>
        <v>4101483.3329257257</v>
      </c>
      <c r="D46" s="341">
        <f t="shared" si="1"/>
        <v>-1559029.6670742743</v>
      </c>
      <c r="E46" s="339">
        <f t="shared" si="2"/>
        <v>1559029.6670742743</v>
      </c>
      <c r="F46" s="342">
        <f t="shared" si="4"/>
        <v>-0.27542197448787314</v>
      </c>
      <c r="G46" s="342">
        <f t="shared" si="3"/>
        <v>0.27542197448787314</v>
      </c>
    </row>
    <row r="47" spans="1:7">
      <c r="A47" s="326">
        <v>2001</v>
      </c>
      <c r="B47" s="619">
        <f>VLOOKUP($A47,Database!$A$74:$J$132,3)</f>
        <v>6705936.700407384</v>
      </c>
      <c r="C47" s="339">
        <f t="shared" si="0"/>
        <v>4507615.1661352478</v>
      </c>
      <c r="D47" s="341">
        <f t="shared" si="1"/>
        <v>-2198321.5342721362</v>
      </c>
      <c r="E47" s="339">
        <f t="shared" si="2"/>
        <v>2198321.5342721362</v>
      </c>
      <c r="F47" s="342">
        <f t="shared" si="4"/>
        <v>-0.32781722114057366</v>
      </c>
      <c r="G47" s="342">
        <f t="shared" si="3"/>
        <v>0.32781722114057366</v>
      </c>
    </row>
    <row r="48" spans="1:7">
      <c r="A48" s="347">
        <v>2002</v>
      </c>
      <c r="B48" s="619">
        <f>VLOOKUP($A48,Database!$A$74:$J$132,3)</f>
        <v>236842.54556606748</v>
      </c>
      <c r="C48" s="339">
        <f t="shared" si="0"/>
        <v>5080284.4190388098</v>
      </c>
      <c r="D48" s="341">
        <f t="shared" si="1"/>
        <v>4843441.8734727427</v>
      </c>
      <c r="E48" s="339">
        <f t="shared" si="2"/>
        <v>4843441.8734727427</v>
      </c>
      <c r="F48" s="342">
        <f t="shared" si="4"/>
        <v>20.450049892415379</v>
      </c>
      <c r="G48" s="342">
        <f t="shared" si="3"/>
        <v>20.450049892415379</v>
      </c>
    </row>
    <row r="49" spans="1:9">
      <c r="A49" s="326">
        <v>2003</v>
      </c>
      <c r="B49" s="619">
        <f>VLOOKUP($A49,Database!$A$74:$J$132,3)</f>
        <v>4493948.7314859722</v>
      </c>
      <c r="C49" s="339">
        <f t="shared" si="0"/>
        <v>3818553.5048293779</v>
      </c>
      <c r="D49" s="341">
        <f t="shared" si="1"/>
        <v>-675395.22665659431</v>
      </c>
      <c r="E49" s="339">
        <f t="shared" si="2"/>
        <v>675395.22665659431</v>
      </c>
      <c r="F49" s="342">
        <f t="shared" si="4"/>
        <v>-0.15028992696880805</v>
      </c>
      <c r="G49" s="342">
        <f t="shared" si="3"/>
        <v>0.15028992696880805</v>
      </c>
    </row>
    <row r="50" spans="1:9">
      <c r="A50" s="326">
        <v>2004</v>
      </c>
      <c r="B50" s="619">
        <f>VLOOKUP($A50,Database!$A$74:$J$132,3)</f>
        <v>2870874.2919837157</v>
      </c>
      <c r="C50" s="339">
        <f t="shared" si="0"/>
        <v>3994495.9563016212</v>
      </c>
      <c r="D50" s="341">
        <f t="shared" si="1"/>
        <v>1123621.6643179054</v>
      </c>
      <c r="E50" s="339">
        <f t="shared" si="2"/>
        <v>1123621.6643179054</v>
      </c>
      <c r="F50" s="342">
        <f t="shared" si="4"/>
        <v>0.39138657775973384</v>
      </c>
      <c r="G50" s="342">
        <f t="shared" si="3"/>
        <v>0.39138657775973384</v>
      </c>
    </row>
    <row r="51" spans="1:9">
      <c r="A51" s="326">
        <v>2005</v>
      </c>
      <c r="B51" s="619">
        <f>VLOOKUP($A51,Database!$A$74:$J$132,3)</f>
        <v>12256106.828178193</v>
      </c>
      <c r="C51" s="339">
        <f t="shared" si="0"/>
        <v>3701789.1938833371</v>
      </c>
      <c r="D51" s="341">
        <f t="shared" si="1"/>
        <v>-8554317.6342948563</v>
      </c>
      <c r="E51" s="339">
        <f t="shared" si="2"/>
        <v>8554317.6342948563</v>
      </c>
      <c r="F51" s="342">
        <f t="shared" si="4"/>
        <v>-0.69796369713647566</v>
      </c>
      <c r="G51" s="342">
        <f t="shared" si="3"/>
        <v>0.69796369713647566</v>
      </c>
    </row>
    <row r="52" spans="1:9">
      <c r="A52" s="347">
        <v>2006</v>
      </c>
      <c r="B52" s="619">
        <f>VLOOKUP($A52,Database!$A$74:$J$132,3)</f>
        <v>1983120.7161293393</v>
      </c>
      <c r="C52" s="339">
        <f t="shared" si="0"/>
        <v>5930214.204673849</v>
      </c>
      <c r="D52" s="341">
        <f t="shared" si="1"/>
        <v>3947093.4885445097</v>
      </c>
      <c r="E52" s="339">
        <f t="shared" si="2"/>
        <v>3947093.4885445097</v>
      </c>
      <c r="F52" s="342">
        <f t="shared" si="4"/>
        <v>1.9903445395136903</v>
      </c>
      <c r="G52" s="342">
        <f t="shared" si="3"/>
        <v>1.9903445395136903</v>
      </c>
    </row>
    <row r="53" spans="1:9">
      <c r="A53" s="326">
        <v>2007</v>
      </c>
      <c r="B53" s="619">
        <f>VLOOKUP($A53,Database!$A$74:$J$132,3)</f>
        <v>9967663.2895603608</v>
      </c>
      <c r="C53" s="339">
        <f t="shared" si="0"/>
        <v>4901984.6923001232</v>
      </c>
      <c r="D53" s="341">
        <f t="shared" si="1"/>
        <v>-5065678.5972602377</v>
      </c>
      <c r="E53" s="339">
        <f t="shared" si="2"/>
        <v>5065678.5972602377</v>
      </c>
      <c r="F53" s="342">
        <f t="shared" si="4"/>
        <v>-0.50821124772199922</v>
      </c>
      <c r="G53" s="342">
        <f t="shared" si="3"/>
        <v>0.50821124772199922</v>
      </c>
    </row>
    <row r="54" spans="1:9">
      <c r="A54" s="326">
        <v>2008</v>
      </c>
      <c r="B54" s="619">
        <f>VLOOKUP($A54,Database!$A$74:$J$132,3)</f>
        <v>1371156.4260196264</v>
      </c>
      <c r="C54" s="339">
        <f t="shared" si="0"/>
        <v>6221608.9294811906</v>
      </c>
      <c r="D54" s="341">
        <f t="shared" si="1"/>
        <v>4850452.503461564</v>
      </c>
      <c r="E54" s="339">
        <f t="shared" si="2"/>
        <v>4850452.503461564</v>
      </c>
      <c r="F54" s="342">
        <f t="shared" si="4"/>
        <v>3.5374902610799097</v>
      </c>
      <c r="G54" s="342">
        <f t="shared" si="3"/>
        <v>3.5374902610799097</v>
      </c>
    </row>
    <row r="55" spans="1:9">
      <c r="A55" s="326">
        <v>2009</v>
      </c>
      <c r="B55" s="619">
        <f>VLOOKUP($A55,Database!$A$74:$J$132,3)</f>
        <v>910000.69957974285</v>
      </c>
      <c r="C55" s="339">
        <f t="shared" si="0"/>
        <v>4958051.725452234</v>
      </c>
      <c r="D55" s="341">
        <f t="shared" si="1"/>
        <v>4048051.0258724913</v>
      </c>
      <c r="E55" s="339">
        <f t="shared" si="2"/>
        <v>4048051.0258724913</v>
      </c>
      <c r="F55" s="342">
        <f t="shared" si="4"/>
        <v>4.4484043009439063</v>
      </c>
      <c r="G55" s="342">
        <f t="shared" si="3"/>
        <v>4.4484043009439063</v>
      </c>
    </row>
    <row r="56" spans="1:9">
      <c r="A56" s="326">
        <v>2010</v>
      </c>
      <c r="B56" s="619">
        <f>VLOOKUP($A56,Database!$A$74:$J$132,3)</f>
        <v>2325412.6096819355</v>
      </c>
      <c r="C56" s="339">
        <f t="shared" si="0"/>
        <v>3903522.4764043004</v>
      </c>
      <c r="D56" s="341">
        <f>C56-B56</f>
        <v>1578109.8667223649</v>
      </c>
      <c r="E56" s="339">
        <f>ABS(C56-$B56)</f>
        <v>1578109.8667223649</v>
      </c>
      <c r="F56" s="342">
        <f t="shared" si="4"/>
        <v>0.6786364966594961</v>
      </c>
      <c r="G56" s="342">
        <f t="shared" si="3"/>
        <v>0.6786364966594961</v>
      </c>
    </row>
    <row r="57" spans="1:9">
      <c r="A57" s="347">
        <v>2011</v>
      </c>
      <c r="B57" s="619">
        <f>VLOOKUP($A57,Database!$A$74:$J$132,3)</f>
        <v>5564873</v>
      </c>
      <c r="C57" s="339">
        <f t="shared" si="0"/>
        <v>3492420.1948288875</v>
      </c>
      <c r="D57" s="341">
        <f t="shared" ref="D57:D59" si="5">C57-B57</f>
        <v>-2072452.8051711125</v>
      </c>
      <c r="E57" s="339">
        <f t="shared" ref="E57:E59" si="6">ABS(C57-$B57)</f>
        <v>2072452.8051711125</v>
      </c>
      <c r="F57" s="342">
        <f t="shared" ref="F57:F59" si="7">(C57-B57)/B57</f>
        <v>-0.37241690963497504</v>
      </c>
      <c r="G57" s="342">
        <f t="shared" si="3"/>
        <v>0.37241690963497504</v>
      </c>
    </row>
    <row r="58" spans="1:9">
      <c r="A58" s="326">
        <v>2012</v>
      </c>
      <c r="B58" s="619">
        <f>VLOOKUP($A58,Database!$A$74:$J$132,3)</f>
        <v>3288580.30084719</v>
      </c>
      <c r="C58" s="339">
        <f t="shared" si="0"/>
        <v>4032300.2720206846</v>
      </c>
      <c r="D58" s="341">
        <f t="shared" si="5"/>
        <v>743719.97117349459</v>
      </c>
      <c r="E58" s="339">
        <f t="shared" si="6"/>
        <v>743719.97117349459</v>
      </c>
      <c r="F58" s="342">
        <f t="shared" si="7"/>
        <v>0.22615229160799286</v>
      </c>
      <c r="G58" s="342">
        <f t="shared" si="3"/>
        <v>0.22615229160799286</v>
      </c>
    </row>
    <row r="59" spans="1:9">
      <c r="A59" s="326">
        <v>2013</v>
      </c>
      <c r="B59" s="619">
        <f>VLOOKUP($A59,Database!$A$74:$J$132,3)</f>
        <v>17267227</v>
      </c>
      <c r="C59" s="339">
        <f t="shared" si="0"/>
        <v>3838559.0227896427</v>
      </c>
      <c r="D59" s="341">
        <f t="shared" si="5"/>
        <v>-13428667.977210358</v>
      </c>
      <c r="E59" s="339">
        <f t="shared" si="6"/>
        <v>13428667.977210358</v>
      </c>
      <c r="F59" s="342">
        <f t="shared" si="7"/>
        <v>-0.77769684600835776</v>
      </c>
      <c r="G59" s="342">
        <f t="shared" si="3"/>
        <v>0.77769684600835776</v>
      </c>
    </row>
    <row r="60" spans="1:9">
      <c r="A60" s="347">
        <v>2014</v>
      </c>
      <c r="B60" s="1017"/>
      <c r="C60" s="339">
        <f t="shared" si="0"/>
        <v>7336766.6953743789</v>
      </c>
      <c r="D60" s="1015"/>
      <c r="E60" s="349"/>
      <c r="F60" s="348"/>
      <c r="G60" s="1016"/>
    </row>
    <row r="61" spans="1:9">
      <c r="A61" s="326"/>
      <c r="B61" s="621"/>
      <c r="C61" s="339"/>
      <c r="D61" s="339"/>
      <c r="E61" s="339"/>
      <c r="G61" s="342"/>
    </row>
    <row r="62" spans="1:9">
      <c r="A62" s="326"/>
      <c r="B62" s="642"/>
      <c r="C62" s="643"/>
      <c r="D62" s="643"/>
      <c r="E62" s="644"/>
      <c r="F62" s="328"/>
      <c r="G62" s="645"/>
      <c r="H62" s="328"/>
      <c r="I62" s="328"/>
    </row>
    <row r="63" spans="1:9">
      <c r="A63" s="323" t="s">
        <v>245</v>
      </c>
      <c r="B63" s="646">
        <f t="shared" ref="B63:G63" si="8">COUNT(B8:B62)</f>
        <v>52</v>
      </c>
      <c r="C63" s="646">
        <f t="shared" si="8"/>
        <v>52</v>
      </c>
      <c r="D63" s="646">
        <f t="shared" si="8"/>
        <v>50</v>
      </c>
      <c r="E63" s="646">
        <f t="shared" si="8"/>
        <v>51</v>
      </c>
      <c r="F63" s="646">
        <f t="shared" si="8"/>
        <v>50</v>
      </c>
      <c r="G63" s="646">
        <f t="shared" si="8"/>
        <v>50</v>
      </c>
      <c r="H63" s="328"/>
      <c r="I63" s="328"/>
    </row>
    <row r="64" spans="1:9">
      <c r="A64" s="328" t="s">
        <v>288</v>
      </c>
      <c r="B64" s="620"/>
      <c r="C64" s="620"/>
      <c r="D64" s="643">
        <f>SUM(D10:D62)</f>
        <v>-3728872.568826329</v>
      </c>
      <c r="E64" s="620"/>
      <c r="F64" s="1019">
        <f>SUM(F10:F62)</f>
        <v>235.85842517668684</v>
      </c>
      <c r="G64" s="620"/>
      <c r="H64" s="328"/>
      <c r="I64" s="328"/>
    </row>
    <row r="65" spans="1:9">
      <c r="A65" s="328" t="s">
        <v>127</v>
      </c>
      <c r="B65" s="644">
        <f>AVERAGE(B8:B62)</f>
        <v>5735256.9065276831</v>
      </c>
      <c r="C65" s="644">
        <f>AVERAGE(C10:C62)</f>
        <v>5682422.7307056384</v>
      </c>
      <c r="D65" s="644">
        <f>AVERAGE(D8:D62)</f>
        <v>-74577.451376526573</v>
      </c>
      <c r="E65" s="657">
        <f>AVERAGE(E8:E62)</f>
        <v>3801301.5894922954</v>
      </c>
      <c r="F65" s="645">
        <f>AVERAGE(F8:F62)</f>
        <v>4.7171685035337365</v>
      </c>
      <c r="G65" s="633">
        <f>AVERAGE(G8:G62)</f>
        <v>5.0762648516225664</v>
      </c>
      <c r="H65" s="328"/>
      <c r="I65" s="328"/>
    </row>
    <row r="66" spans="1:9">
      <c r="A66" s="328" t="s">
        <v>265</v>
      </c>
      <c r="B66" s="644">
        <f>MEDIAN(B8:B62)</f>
        <v>3949519.5</v>
      </c>
      <c r="C66" s="644">
        <f>MEDIAN(C10:C62)</f>
        <v>4507615.1661352478</v>
      </c>
      <c r="D66" s="644">
        <f>MEDIAN(D8:D62)</f>
        <v>1088705.2346905922</v>
      </c>
      <c r="E66" s="644">
        <f>MEDIAN(E8:E62)</f>
        <v>2696219.5674618781</v>
      </c>
      <c r="F66" s="645">
        <f>MEDIAN(F8:F62)</f>
        <v>0.32356582270756301</v>
      </c>
      <c r="G66" s="645">
        <f>MEDIAN(G8:G62)</f>
        <v>0.53794039630050094</v>
      </c>
      <c r="H66" s="328"/>
      <c r="I66" s="328"/>
    </row>
    <row r="67" spans="1:9">
      <c r="A67" s="328" t="s">
        <v>286</v>
      </c>
      <c r="B67" s="644">
        <f>MIN(B8:B62)</f>
        <v>54783</v>
      </c>
      <c r="C67" s="644">
        <f>MIN(C10:C62)</f>
        <v>2303569.5930557102</v>
      </c>
      <c r="D67" s="644">
        <f>MIN(D8:D62)</f>
        <v>-13428667.977210358</v>
      </c>
      <c r="E67" s="644">
        <f>MIN(E8:E62)</f>
        <v>161738.00175896101</v>
      </c>
      <c r="F67" s="645">
        <f>MIN(F8:F62)</f>
        <v>-0.79814016781280728</v>
      </c>
      <c r="G67" s="645">
        <f>MIN(G8:G62)</f>
        <v>1.3829993787709709E-2</v>
      </c>
      <c r="H67" s="328"/>
      <c r="I67" s="328"/>
    </row>
    <row r="68" spans="1:9">
      <c r="A68" s="328" t="s">
        <v>287</v>
      </c>
      <c r="B68" s="644">
        <f>MAX(B8:B62)</f>
        <v>17631675</v>
      </c>
      <c r="C68" s="644">
        <f>MAX(C10:C62)</f>
        <v>13983017.966815624</v>
      </c>
      <c r="D68" s="644">
        <f>MAX(D8:D62)</f>
        <v>10779350.225427974</v>
      </c>
      <c r="E68" s="644">
        <f>MAX(E8:E62)</f>
        <v>13428667.977210358</v>
      </c>
      <c r="F68" s="645">
        <f>MAX(F8:F62)</f>
        <v>82.215268686647605</v>
      </c>
      <c r="G68" s="645">
        <f>MAX(G8:G62)</f>
        <v>82.215268686647605</v>
      </c>
      <c r="H68" s="328"/>
      <c r="I68" s="328"/>
    </row>
    <row r="69" spans="1:9">
      <c r="A69" s="332" t="s">
        <v>238</v>
      </c>
      <c r="B69" s="647">
        <f>STDEV(B8:B62)</f>
        <v>5104121.8849669732</v>
      </c>
      <c r="C69" s="647">
        <f>STDEV(C10:C62)</f>
        <v>2911499.8436615989</v>
      </c>
      <c r="D69" s="647">
        <f>STDEV(D8:D62)</f>
        <v>4976812.1775149386</v>
      </c>
      <c r="E69" s="647">
        <f>STDEV(E8:E62)</f>
        <v>3095452.9554274101</v>
      </c>
      <c r="F69" s="648">
        <f>STDEV(F8:F62)</f>
        <v>16.194838283755288</v>
      </c>
      <c r="G69" s="648">
        <f>STDEV(G8:G62)</f>
        <v>16.083663442696029</v>
      </c>
      <c r="H69" s="328"/>
      <c r="I69" s="328"/>
    </row>
    <row r="70" spans="1:9">
      <c r="A70" s="328"/>
      <c r="B70" s="328"/>
      <c r="C70" s="328"/>
      <c r="D70" s="328"/>
      <c r="E70" s="328"/>
      <c r="F70" s="328"/>
      <c r="G70" s="328"/>
      <c r="H70" s="328"/>
      <c r="I70" s="328"/>
    </row>
    <row r="71" spans="1:9">
      <c r="A71" s="328"/>
      <c r="B71" s="328"/>
      <c r="C71" s="328"/>
      <c r="D71" s="328"/>
      <c r="E71" s="328"/>
      <c r="F71" s="328"/>
      <c r="G71" s="328"/>
      <c r="H71" s="328"/>
      <c r="I71" s="328"/>
    </row>
  </sheetData>
  <pageMargins left="1" right="1" top="1" bottom="1" header="0.5" footer="0.5"/>
  <pageSetup scale="49" orientation="landscape"/>
  <headerFooter alignWithMargins="0"/>
  <drawing r:id="rId1"/>
  <legacyDrawing r:id="rId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FF00"/>
  </sheetPr>
  <dimension ref="A1:E12"/>
  <sheetViews>
    <sheetView showGridLines="0" workbookViewId="0">
      <selection activeCell="AK54" sqref="AK54"/>
    </sheetView>
  </sheetViews>
  <sheetFormatPr baseColWidth="10" defaultColWidth="8.625" defaultRowHeight="16" x14ac:dyDescent="0"/>
  <cols>
    <col min="1" max="1" width="2.375" customWidth="1"/>
    <col min="2" max="2" width="6" bestFit="1" customWidth="1"/>
    <col min="3" max="3" width="11.875" bestFit="1" customWidth="1"/>
    <col min="4" max="4" width="12" bestFit="1" customWidth="1"/>
    <col min="5" max="5" width="9.125" bestFit="1" customWidth="1"/>
  </cols>
  <sheetData>
    <row r="1" spans="1:5">
      <c r="A1" s="46" t="s">
        <v>406</v>
      </c>
    </row>
    <row r="2" spans="1:5">
      <c r="A2" s="46" t="s">
        <v>407</v>
      </c>
    </row>
    <row r="3" spans="1:5">
      <c r="A3" s="46" t="s">
        <v>408</v>
      </c>
    </row>
    <row r="6" spans="1:5" ht="17" thickBot="1">
      <c r="A6" t="s">
        <v>409</v>
      </c>
    </row>
    <row r="7" spans="1:5">
      <c r="B7" s="1135"/>
      <c r="C7" s="1135"/>
      <c r="D7" s="1135" t="s">
        <v>412</v>
      </c>
      <c r="E7" s="1135" t="s">
        <v>414</v>
      </c>
    </row>
    <row r="8" spans="1:5" ht="17" thickBot="1">
      <c r="B8" s="1136" t="s">
        <v>410</v>
      </c>
      <c r="C8" s="1136" t="s">
        <v>411</v>
      </c>
      <c r="D8" s="1136" t="s">
        <v>413</v>
      </c>
      <c r="E8" s="1136" t="s">
        <v>415</v>
      </c>
    </row>
    <row r="9" spans="1:5" ht="17" thickBot="1">
      <c r="B9" s="1134" t="s">
        <v>418</v>
      </c>
      <c r="C9" s="1134" t="s">
        <v>290</v>
      </c>
      <c r="D9" s="1134">
        <v>0.62421964200490732</v>
      </c>
      <c r="E9" s="1134">
        <v>0</v>
      </c>
    </row>
    <row r="11" spans="1:5">
      <c r="A11" t="s">
        <v>416</v>
      </c>
    </row>
    <row r="12" spans="1:5">
      <c r="B12" t="s">
        <v>417</v>
      </c>
    </row>
  </sheetData>
  <pageMargins left="0.7" right="0.7" top="0.75" bottom="0.75" header="0.3" footer="0.3"/>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00B050"/>
    <pageSetUpPr fitToPage="1"/>
  </sheetPr>
  <dimension ref="A1:N75"/>
  <sheetViews>
    <sheetView zoomScale="75" zoomScaleNormal="75" zoomScalePageLayoutView="75" workbookViewId="0">
      <pane ySplit="7" topLeftCell="A8" activePane="bottomLeft" state="frozen"/>
      <selection pane="bottomLeft" activeCell="M65" sqref="M65"/>
    </sheetView>
  </sheetViews>
  <sheetFormatPr baseColWidth="10" defaultColWidth="8.875" defaultRowHeight="16" x14ac:dyDescent="0"/>
  <cols>
    <col min="1" max="1" width="8.875" style="321"/>
    <col min="2" max="2" width="14.875" style="321" customWidth="1"/>
    <col min="3" max="3" width="15.875" style="321" customWidth="1"/>
    <col min="4" max="4" width="11.375" style="321" customWidth="1"/>
    <col min="5" max="6" width="10.875" style="321" customWidth="1"/>
    <col min="7" max="7" width="11.5" style="321" customWidth="1"/>
    <col min="8" max="16384" width="8.875" style="321"/>
  </cols>
  <sheetData>
    <row r="1" spans="1:14">
      <c r="A1" s="320" t="str">
        <f ca="1">CELL("filename",A1)</f>
        <v>NWCLM04072996:Users:eric.ward:Documents:NCEAS-covariation:data:salmon data:[2015_PWS_Pink_Wild_forecast-FINAL.xlsm]Lag1_Exp_smoothing_Total Run</v>
      </c>
    </row>
    <row r="2" spans="1:14" ht="17" thickBot="1"/>
    <row r="3" spans="1:14">
      <c r="A3" s="322" t="s">
        <v>246</v>
      </c>
      <c r="B3" s="322" t="s">
        <v>282</v>
      </c>
      <c r="J3" s="335"/>
      <c r="K3" s="649"/>
      <c r="L3" s="649"/>
      <c r="M3" s="650" t="s">
        <v>290</v>
      </c>
      <c r="N3" s="651">
        <v>0.38823772786807209</v>
      </c>
    </row>
    <row r="4" spans="1:14" ht="17" thickBot="1">
      <c r="A4" s="322"/>
      <c r="B4" s="322" t="s">
        <v>283</v>
      </c>
      <c r="J4" s="652"/>
      <c r="K4" s="653"/>
      <c r="L4" s="653"/>
      <c r="M4" s="654" t="s">
        <v>289</v>
      </c>
      <c r="N4" s="655">
        <f>G69</f>
        <v>1.173689591060582</v>
      </c>
    </row>
    <row r="5" spans="1:14">
      <c r="A5" s="332"/>
      <c r="B5" s="332"/>
    </row>
    <row r="6" spans="1:14" ht="54.75" customHeight="1">
      <c r="A6" s="325" t="s">
        <v>7</v>
      </c>
      <c r="B6" s="656" t="s">
        <v>259</v>
      </c>
      <c r="C6" s="638" t="s">
        <v>254</v>
      </c>
      <c r="D6" s="638" t="s">
        <v>284</v>
      </c>
      <c r="E6" s="638" t="s">
        <v>255</v>
      </c>
      <c r="F6" s="637" t="s">
        <v>285</v>
      </c>
      <c r="G6" s="636" t="s">
        <v>256</v>
      </c>
    </row>
    <row r="7" spans="1:14">
      <c r="A7" s="330" t="s">
        <v>16</v>
      </c>
      <c r="B7" s="331" t="s">
        <v>258</v>
      </c>
      <c r="C7" s="641"/>
      <c r="D7" s="635"/>
      <c r="E7" s="332"/>
      <c r="F7" s="332"/>
      <c r="G7" s="332"/>
    </row>
    <row r="8" spans="1:14">
      <c r="A8" s="326">
        <v>1962</v>
      </c>
      <c r="B8" s="634">
        <f>VLOOKUP($A8,Database!$A$74:$J$132,10)</f>
        <v>8760326</v>
      </c>
      <c r="C8" s="620"/>
      <c r="D8" s="620"/>
      <c r="E8" s="620"/>
      <c r="G8" s="328"/>
    </row>
    <row r="9" spans="1:14">
      <c r="A9" s="326">
        <v>1963</v>
      </c>
      <c r="B9" s="634">
        <f>VLOOKUP($A9,Database!$A$74:$J$132,10)</f>
        <v>6651118</v>
      </c>
      <c r="C9" s="469">
        <f>$B8</f>
        <v>8760326</v>
      </c>
      <c r="D9" s="469"/>
      <c r="E9" s="339">
        <f>ABS(C9-$B9)</f>
        <v>2109208</v>
      </c>
      <c r="F9" s="342"/>
      <c r="G9" s="342"/>
    </row>
    <row r="10" spans="1:14">
      <c r="A10" s="326">
        <v>1964</v>
      </c>
      <c r="B10" s="634">
        <f>VLOOKUP($A10,Database!$A$74:$J$132,10)</f>
        <v>6048576</v>
      </c>
      <c r="C10" s="339">
        <f t="shared" ref="C10:C60" si="0">$N$3*$B9+(1-$N$3)*$C9</f>
        <v>7941451.87847884</v>
      </c>
      <c r="D10" s="341">
        <f t="shared" ref="D10:D54" si="1">C10-B10</f>
        <v>1892875.87847884</v>
      </c>
      <c r="E10" s="339">
        <f t="shared" ref="E10:E17" si="2">ABS(C10-$B10)</f>
        <v>1892875.87847884</v>
      </c>
      <c r="F10" s="342">
        <f>($C10-$B10)/$B10</f>
        <v>0.31294570465492044</v>
      </c>
      <c r="G10" s="342">
        <f t="shared" ref="G10:G60" si="3">ABS($C10-$B10)/$B10</f>
        <v>0.31294570465492044</v>
      </c>
    </row>
    <row r="11" spans="1:14">
      <c r="A11" s="326">
        <v>1965</v>
      </c>
      <c r="B11" s="634">
        <f>VLOOKUP($A11,Database!$A$74:$J$132,10)</f>
        <v>3436427</v>
      </c>
      <c r="C11" s="339">
        <f t="shared" si="0"/>
        <v>7206566.0482819341</v>
      </c>
      <c r="D11" s="341">
        <f t="shared" si="1"/>
        <v>3770139.0482819341</v>
      </c>
      <c r="E11" s="339">
        <f t="shared" si="2"/>
        <v>3770139.0482819341</v>
      </c>
      <c r="F11" s="342">
        <f t="shared" ref="F11:F55" si="4">(C11-B11)/B11</f>
        <v>1.0971101810927262</v>
      </c>
      <c r="G11" s="342">
        <f t="shared" si="3"/>
        <v>1.0971101810927262</v>
      </c>
    </row>
    <row r="12" spans="1:14">
      <c r="A12" s="326">
        <v>1966</v>
      </c>
      <c r="B12" s="634">
        <f>VLOOKUP($A12,Database!$A$74:$J$132,10)</f>
        <v>4122588</v>
      </c>
      <c r="C12" s="339">
        <f t="shared" si="0"/>
        <v>5742855.8304302609</v>
      </c>
      <c r="D12" s="341">
        <f t="shared" si="1"/>
        <v>1620267.8304302609</v>
      </c>
      <c r="E12" s="339">
        <f t="shared" si="2"/>
        <v>1620267.8304302609</v>
      </c>
      <c r="F12" s="342">
        <f t="shared" si="4"/>
        <v>0.3930220120056287</v>
      </c>
      <c r="G12" s="342">
        <f t="shared" si="3"/>
        <v>0.3930220120056287</v>
      </c>
    </row>
    <row r="13" spans="1:14">
      <c r="A13" s="326">
        <v>1967</v>
      </c>
      <c r="B13" s="634">
        <f>VLOOKUP($A13,Database!$A$74:$J$132,10)</f>
        <v>3468600</v>
      </c>
      <c r="C13" s="339">
        <f t="shared" si="0"/>
        <v>5113806.729406286</v>
      </c>
      <c r="D13" s="341">
        <f t="shared" si="1"/>
        <v>1645206.729406286</v>
      </c>
      <c r="E13" s="339">
        <f t="shared" si="2"/>
        <v>1645206.729406286</v>
      </c>
      <c r="F13" s="342">
        <f t="shared" si="4"/>
        <v>0.47431434279141038</v>
      </c>
      <c r="G13" s="342">
        <f t="shared" si="3"/>
        <v>0.47431434279141038</v>
      </c>
    </row>
    <row r="14" spans="1:14">
      <c r="A14" s="326">
        <v>1968</v>
      </c>
      <c r="B14" s="634">
        <f>VLOOKUP($A14,Database!$A$74:$J$132,10)</f>
        <v>3608678</v>
      </c>
      <c r="C14" s="339">
        <f t="shared" si="0"/>
        <v>4475075.4069083277</v>
      </c>
      <c r="D14" s="341">
        <f t="shared" si="1"/>
        <v>866397.40690832771</v>
      </c>
      <c r="E14" s="339">
        <f t="shared" si="2"/>
        <v>866397.40690832771</v>
      </c>
      <c r="F14" s="342">
        <f t="shared" si="4"/>
        <v>0.24008720282284196</v>
      </c>
      <c r="G14" s="342">
        <f t="shared" si="3"/>
        <v>0.24008720282284196</v>
      </c>
    </row>
    <row r="15" spans="1:14">
      <c r="A15" s="326">
        <v>1969</v>
      </c>
      <c r="B15" s="634">
        <f>VLOOKUP($A15,Database!$A$74:$J$132,10)</f>
        <v>5233149</v>
      </c>
      <c r="C15" s="339">
        <f t="shared" si="0"/>
        <v>4138707.2462194487</v>
      </c>
      <c r="D15" s="341">
        <f t="shared" si="1"/>
        <v>-1094441.7537805513</v>
      </c>
      <c r="E15" s="339">
        <f t="shared" si="2"/>
        <v>1094441.7537805513</v>
      </c>
      <c r="F15" s="342">
        <f t="shared" si="4"/>
        <v>-0.20913636393317891</v>
      </c>
      <c r="G15" s="342">
        <f t="shared" si="3"/>
        <v>0.20913636393317891</v>
      </c>
    </row>
    <row r="16" spans="1:14">
      <c r="A16" s="326">
        <v>1970</v>
      </c>
      <c r="B16" s="634">
        <f>VLOOKUP($A16,Database!$A$74:$J$132,10)</f>
        <v>3789216</v>
      </c>
      <c r="C16" s="339">
        <f t="shared" si="0"/>
        <v>4563610.8259911574</v>
      </c>
      <c r="D16" s="341">
        <f t="shared" si="1"/>
        <v>774394.82599115744</v>
      </c>
      <c r="E16" s="339">
        <f t="shared" si="2"/>
        <v>774394.82599115744</v>
      </c>
      <c r="F16" s="342">
        <f t="shared" si="4"/>
        <v>0.20436808722204208</v>
      </c>
      <c r="G16" s="342">
        <f t="shared" si="3"/>
        <v>0.20436808722204208</v>
      </c>
    </row>
    <row r="17" spans="1:7">
      <c r="A17" s="326">
        <v>1971</v>
      </c>
      <c r="B17" s="634">
        <f>VLOOKUP($A17,Database!$A$74:$J$132,10)</f>
        <v>8423514</v>
      </c>
      <c r="C17" s="339">
        <f t="shared" si="0"/>
        <v>4262961.5382755594</v>
      </c>
      <c r="D17" s="341">
        <f t="shared" si="1"/>
        <v>-4160552.4617244406</v>
      </c>
      <c r="E17" s="339">
        <f t="shared" si="2"/>
        <v>4160552.4617244406</v>
      </c>
      <c r="F17" s="342">
        <f t="shared" si="4"/>
        <v>-0.49392123782597624</v>
      </c>
      <c r="G17" s="342">
        <f t="shared" si="3"/>
        <v>0.49392123782597624</v>
      </c>
    </row>
    <row r="18" spans="1:7">
      <c r="A18" s="326">
        <v>1972</v>
      </c>
      <c r="B18" s="634">
        <f>VLOOKUP($A18,Database!$A$74:$J$132,10)</f>
        <v>695963</v>
      </c>
      <c r="C18" s="339">
        <f t="shared" si="0"/>
        <v>5878244.9726913702</v>
      </c>
      <c r="D18" s="341">
        <f t="shared" si="1"/>
        <v>5182281.9726913702</v>
      </c>
      <c r="E18" s="339">
        <f t="shared" ref="E18:E55" si="5">ABS(C18-$B18)</f>
        <v>5182281.9726913702</v>
      </c>
      <c r="F18" s="342">
        <f t="shared" si="4"/>
        <v>7.446203279041228</v>
      </c>
      <c r="G18" s="342">
        <f t="shared" si="3"/>
        <v>7.446203279041228</v>
      </c>
    </row>
    <row r="19" spans="1:7">
      <c r="A19" s="326">
        <v>1973</v>
      </c>
      <c r="B19" s="634">
        <f>VLOOKUP($A19,Database!$A$74:$J$132,10)</f>
        <v>8535974</v>
      </c>
      <c r="C19" s="339">
        <f t="shared" si="0"/>
        <v>3866287.5944420025</v>
      </c>
      <c r="D19" s="341">
        <f t="shared" si="1"/>
        <v>-4669686.4055579975</v>
      </c>
      <c r="E19" s="339">
        <f t="shared" si="5"/>
        <v>4669686.4055579975</v>
      </c>
      <c r="F19" s="342">
        <f t="shared" si="4"/>
        <v>-0.54705958635276974</v>
      </c>
      <c r="G19" s="342">
        <f t="shared" si="3"/>
        <v>0.54705958635276974</v>
      </c>
    </row>
    <row r="20" spans="1:7">
      <c r="A20" s="326">
        <v>1974</v>
      </c>
      <c r="B20" s="634">
        <f>VLOOKUP($A20,Database!$A$74:$J$132,10)</f>
        <v>1012903</v>
      </c>
      <c r="C20" s="339">
        <f t="shared" si="0"/>
        <v>5679236.0343922637</v>
      </c>
      <c r="D20" s="341">
        <f t="shared" si="1"/>
        <v>4666333.0343922637</v>
      </c>
      <c r="E20" s="339">
        <f t="shared" si="5"/>
        <v>4666333.0343922637</v>
      </c>
      <c r="F20" s="342">
        <f t="shared" si="4"/>
        <v>4.6068903284838365</v>
      </c>
      <c r="G20" s="342">
        <f t="shared" si="3"/>
        <v>4.6068903284838365</v>
      </c>
    </row>
    <row r="21" spans="1:7">
      <c r="A21" s="326">
        <v>1975</v>
      </c>
      <c r="B21" s="634">
        <f>VLOOKUP($A21,Database!$A$74:$J$132,10)</f>
        <v>3322438</v>
      </c>
      <c r="C21" s="339">
        <f t="shared" si="0"/>
        <v>3867589.4996440848</v>
      </c>
      <c r="D21" s="341">
        <f t="shared" si="1"/>
        <v>545151.49964408483</v>
      </c>
      <c r="E21" s="339">
        <f t="shared" si="5"/>
        <v>545151.49964408483</v>
      </c>
      <c r="F21" s="342">
        <f t="shared" si="4"/>
        <v>0.16408176755866771</v>
      </c>
      <c r="G21" s="342">
        <f t="shared" si="3"/>
        <v>0.16408176755866771</v>
      </c>
    </row>
    <row r="22" spans="1:7">
      <c r="A22" s="326">
        <v>1976</v>
      </c>
      <c r="B22" s="634">
        <f>VLOOKUP($A22,Database!$A$74:$J$132,10)</f>
        <v>1161051</v>
      </c>
      <c r="C22" s="339">
        <f t="shared" si="0"/>
        <v>3655941.1200783933</v>
      </c>
      <c r="D22" s="341">
        <f t="shared" si="1"/>
        <v>2494890.1200783933</v>
      </c>
      <c r="E22" s="339">
        <f t="shared" si="5"/>
        <v>2494890.1200783933</v>
      </c>
      <c r="F22" s="342">
        <f t="shared" si="4"/>
        <v>2.1488204394797412</v>
      </c>
      <c r="G22" s="342">
        <f t="shared" si="3"/>
        <v>2.1488204394797412</v>
      </c>
    </row>
    <row r="23" spans="1:7">
      <c r="A23" s="326">
        <v>1977</v>
      </c>
      <c r="B23" s="634">
        <f>VLOOKUP($A23,Database!$A$74:$J$132,10)</f>
        <v>5816401</v>
      </c>
      <c r="C23" s="339">
        <f t="shared" si="0"/>
        <v>2687330.6485786564</v>
      </c>
      <c r="D23" s="341">
        <f t="shared" si="1"/>
        <v>-3129070.3514213436</v>
      </c>
      <c r="E23" s="339">
        <f t="shared" si="5"/>
        <v>3129070.3514213436</v>
      </c>
      <c r="F23" s="342">
        <f t="shared" si="4"/>
        <v>-0.53797362861008791</v>
      </c>
      <c r="G23" s="342">
        <f t="shared" si="3"/>
        <v>0.53797362861008791</v>
      </c>
    </row>
    <row r="24" spans="1:7">
      <c r="A24" s="326">
        <v>1978</v>
      </c>
      <c r="B24" s="634">
        <f>VLOOKUP($A24,Database!$A$74:$J$132,10)</f>
        <v>3925083</v>
      </c>
      <c r="C24" s="339">
        <f t="shared" si="0"/>
        <v>3902153.8121538288</v>
      </c>
      <c r="D24" s="341">
        <f t="shared" si="1"/>
        <v>-22929.187846171204</v>
      </c>
      <c r="E24" s="339">
        <f t="shared" si="5"/>
        <v>22929.187846171204</v>
      </c>
      <c r="F24" s="342">
        <f t="shared" si="4"/>
        <v>-5.8417077667328827E-3</v>
      </c>
      <c r="G24" s="342">
        <f t="shared" si="3"/>
        <v>5.8417077667328827E-3</v>
      </c>
    </row>
    <row r="25" spans="1:7">
      <c r="A25" s="326">
        <v>1979</v>
      </c>
      <c r="B25" s="634">
        <f>VLOOKUP($A25,Database!$A$74:$J$132,10)</f>
        <v>17335503</v>
      </c>
      <c r="C25" s="339">
        <f t="shared" si="0"/>
        <v>3911055.7879450866</v>
      </c>
      <c r="D25" s="341">
        <f t="shared" si="1"/>
        <v>-13424447.212054914</v>
      </c>
      <c r="E25" s="339">
        <f t="shared" si="5"/>
        <v>13424447.212054914</v>
      </c>
      <c r="F25" s="342">
        <f t="shared" si="4"/>
        <v>-0.77439040632711453</v>
      </c>
      <c r="G25" s="342">
        <f t="shared" si="3"/>
        <v>0.77439040632711453</v>
      </c>
    </row>
    <row r="26" spans="1:7">
      <c r="A26" s="326">
        <v>1980</v>
      </c>
      <c r="B26" s="634">
        <f>VLOOKUP($A26,Database!$A$74:$J$132,10)</f>
        <v>14013916</v>
      </c>
      <c r="C26" s="339">
        <f t="shared" si="0"/>
        <v>9122932.6714381613</v>
      </c>
      <c r="D26" s="341">
        <f t="shared" si="1"/>
        <v>-4890983.3285618387</v>
      </c>
      <c r="E26" s="339">
        <f t="shared" si="5"/>
        <v>4890983.3285618387</v>
      </c>
      <c r="F26" s="342">
        <f t="shared" si="4"/>
        <v>-0.34900903705729641</v>
      </c>
      <c r="G26" s="342">
        <f t="shared" si="3"/>
        <v>0.34900903705729641</v>
      </c>
    </row>
    <row r="27" spans="1:7">
      <c r="A27" s="326">
        <v>1981</v>
      </c>
      <c r="B27" s="634">
        <f>VLOOKUP($A27,Database!$A$74:$J$132,10)</f>
        <v>19568866</v>
      </c>
      <c r="C27" s="339">
        <f t="shared" si="0"/>
        <v>11021796.92595963</v>
      </c>
      <c r="D27" s="341">
        <f t="shared" si="1"/>
        <v>-8547069.0740403701</v>
      </c>
      <c r="E27" s="339">
        <f t="shared" si="5"/>
        <v>8547069.0740403701</v>
      </c>
      <c r="F27" s="342">
        <f t="shared" si="4"/>
        <v>-0.43676874654056957</v>
      </c>
      <c r="G27" s="342">
        <f t="shared" si="3"/>
        <v>0.43676874654056957</v>
      </c>
    </row>
    <row r="28" spans="1:7">
      <c r="A28" s="326">
        <v>1982</v>
      </c>
      <c r="B28" s="634">
        <f>VLOOKUP($A28,Database!$A$74:$J$132,10)</f>
        <v>16794317</v>
      </c>
      <c r="C28" s="339">
        <f t="shared" si="0"/>
        <v>14340091.60319653</v>
      </c>
      <c r="D28" s="341">
        <f t="shared" si="1"/>
        <v>-2454225.3968034703</v>
      </c>
      <c r="E28" s="339">
        <f t="shared" si="5"/>
        <v>2454225.3968034703</v>
      </c>
      <c r="F28" s="342">
        <f t="shared" si="4"/>
        <v>-0.14613427844689786</v>
      </c>
      <c r="G28" s="342">
        <f t="shared" si="3"/>
        <v>0.14613427844689786</v>
      </c>
    </row>
    <row r="29" spans="1:7">
      <c r="A29" s="326">
        <v>1983</v>
      </c>
      <c r="B29" s="634">
        <f>VLOOKUP($A29,Database!$A$74:$J$132,10)</f>
        <v>11567348</v>
      </c>
      <c r="C29" s="339">
        <f t="shared" si="0"/>
        <v>15292914.494927626</v>
      </c>
      <c r="D29" s="341">
        <f t="shared" si="1"/>
        <v>3725566.4949276261</v>
      </c>
      <c r="E29" s="339">
        <f t="shared" si="5"/>
        <v>3725566.4949276261</v>
      </c>
      <c r="F29" s="342">
        <f t="shared" si="4"/>
        <v>0.32207611415577936</v>
      </c>
      <c r="G29" s="342">
        <f t="shared" si="3"/>
        <v>0.32207611415577936</v>
      </c>
    </row>
    <row r="30" spans="1:7">
      <c r="A30" s="326">
        <v>1984</v>
      </c>
      <c r="B30" s="634">
        <f>VLOOKUP($A30,Database!$A$74:$J$132,10)</f>
        <v>21201513</v>
      </c>
      <c r="C30" s="339">
        <f t="shared" si="0"/>
        <v>13846509.023915507</v>
      </c>
      <c r="D30" s="341">
        <f t="shared" si="1"/>
        <v>-7355003.9760844931</v>
      </c>
      <c r="E30" s="339">
        <f t="shared" si="5"/>
        <v>7355003.9760844931</v>
      </c>
      <c r="F30" s="342">
        <f t="shared" si="4"/>
        <v>-0.34690939161202755</v>
      </c>
      <c r="G30" s="342">
        <f t="shared" si="3"/>
        <v>0.34690939161202755</v>
      </c>
    </row>
    <row r="31" spans="1:7">
      <c r="A31" s="326">
        <v>1985</v>
      </c>
      <c r="B31" s="634">
        <f>VLOOKUP($A31,Database!$A$74:$J$132,10)</f>
        <v>19938105</v>
      </c>
      <c r="C31" s="339">
        <f t="shared" si="0"/>
        <v>16701999.056051187</v>
      </c>
      <c r="D31" s="341">
        <f t="shared" si="1"/>
        <v>-3236105.9439488128</v>
      </c>
      <c r="E31" s="339">
        <f t="shared" si="5"/>
        <v>3236105.9439488128</v>
      </c>
      <c r="F31" s="342">
        <f t="shared" si="4"/>
        <v>-0.16230759863832661</v>
      </c>
      <c r="G31" s="342">
        <f t="shared" si="3"/>
        <v>0.16230759863832661</v>
      </c>
    </row>
    <row r="32" spans="1:7">
      <c r="A32" s="326">
        <v>1986</v>
      </c>
      <c r="B32" s="634">
        <f>VLOOKUP($A32,Database!$A$74:$J$132,10)</f>
        <v>5563957</v>
      </c>
      <c r="C32" s="339">
        <f t="shared" si="0"/>
        <v>17958377.474870235</v>
      </c>
      <c r="D32" s="341">
        <f t="shared" si="1"/>
        <v>12394420.474870235</v>
      </c>
      <c r="E32" s="339">
        <f t="shared" si="5"/>
        <v>12394420.474870235</v>
      </c>
      <c r="F32" s="342">
        <f t="shared" si="4"/>
        <v>2.2276269343688737</v>
      </c>
      <c r="G32" s="342">
        <f t="shared" si="3"/>
        <v>2.2276269343688737</v>
      </c>
    </row>
    <row r="33" spans="1:7">
      <c r="A33" s="326">
        <v>1987</v>
      </c>
      <c r="B33" s="634">
        <f>VLOOKUP($A33,Database!$A$74:$J$132,10)</f>
        <v>13066944</v>
      </c>
      <c r="C33" s="339">
        <f t="shared" si="0"/>
        <v>13146395.831465103</v>
      </c>
      <c r="D33" s="341">
        <f t="shared" si="1"/>
        <v>79451.831465102732</v>
      </c>
      <c r="E33" s="339">
        <f t="shared" si="5"/>
        <v>79451.831465102732</v>
      </c>
      <c r="F33" s="342">
        <f t="shared" si="4"/>
        <v>6.0803682532888127E-3</v>
      </c>
      <c r="G33" s="342">
        <f t="shared" si="3"/>
        <v>6.0803682532888127E-3</v>
      </c>
    </row>
    <row r="34" spans="1:7">
      <c r="A34" s="326">
        <v>1988</v>
      </c>
      <c r="B34" s="634">
        <f>VLOOKUP($A34,Database!$A$74:$J$132,10)</f>
        <v>1766936</v>
      </c>
      <c r="C34" s="339">
        <f t="shared" si="0"/>
        <v>13115549.632942133</v>
      </c>
      <c r="D34" s="341">
        <f t="shared" si="1"/>
        <v>11348613.632942133</v>
      </c>
      <c r="E34" s="339">
        <f t="shared" si="5"/>
        <v>11348613.632942133</v>
      </c>
      <c r="F34" s="342">
        <f t="shared" si="4"/>
        <v>6.4227643972063122</v>
      </c>
      <c r="G34" s="342">
        <f t="shared" si="3"/>
        <v>6.4227643972063122</v>
      </c>
    </row>
    <row r="35" spans="1:7">
      <c r="A35" s="326">
        <v>1989</v>
      </c>
      <c r="B35" s="634">
        <f>VLOOKUP($A35,Database!$A$74:$J$132,10)</f>
        <v>4743750</v>
      </c>
      <c r="C35" s="339">
        <f t="shared" si="0"/>
        <v>8709589.6616360527</v>
      </c>
      <c r="D35" s="341">
        <f t="shared" si="1"/>
        <v>3965839.6616360527</v>
      </c>
      <c r="E35" s="339">
        <f t="shared" si="5"/>
        <v>3965839.6616360527</v>
      </c>
      <c r="F35" s="342">
        <f t="shared" si="4"/>
        <v>0.83601363091142089</v>
      </c>
      <c r="G35" s="342">
        <f t="shared" si="3"/>
        <v>0.83601363091142089</v>
      </c>
    </row>
    <row r="36" spans="1:7">
      <c r="A36" s="326">
        <v>1990</v>
      </c>
      <c r="B36" s="634">
        <f>VLOOKUP($A36,Database!$A$74:$J$132,10)</f>
        <v>12923662</v>
      </c>
      <c r="C36" s="339">
        <f t="shared" si="0"/>
        <v>7169901.0823133877</v>
      </c>
      <c r="D36" s="341">
        <f t="shared" si="1"/>
        <v>-5753760.9176866123</v>
      </c>
      <c r="E36" s="339">
        <f t="shared" si="5"/>
        <v>5753760.9176866123</v>
      </c>
      <c r="F36" s="342">
        <f t="shared" si="4"/>
        <v>-0.44521134316934413</v>
      </c>
      <c r="G36" s="342">
        <f t="shared" si="3"/>
        <v>0.44521134316934413</v>
      </c>
    </row>
    <row r="37" spans="1:7">
      <c r="A37" s="326">
        <v>1991</v>
      </c>
      <c r="B37" s="634">
        <f>VLOOKUP($A37,Database!$A$74:$J$132,10)</f>
        <v>7544776</v>
      </c>
      <c r="C37" s="339">
        <f t="shared" si="0"/>
        <v>9403728.1476921514</v>
      </c>
      <c r="D37" s="341">
        <f t="shared" si="1"/>
        <v>1858952.1476921514</v>
      </c>
      <c r="E37" s="339">
        <f t="shared" si="5"/>
        <v>1858952.1476921514</v>
      </c>
      <c r="F37" s="342">
        <f t="shared" si="4"/>
        <v>0.24638930933034345</v>
      </c>
      <c r="G37" s="342">
        <f t="shared" si="3"/>
        <v>0.24638930933034345</v>
      </c>
    </row>
    <row r="38" spans="1:7">
      <c r="A38" s="326">
        <v>1992</v>
      </c>
      <c r="B38" s="634">
        <f>VLOOKUP($A38,Database!$A$74:$J$132,10)</f>
        <v>1405383</v>
      </c>
      <c r="C38" s="339">
        <f t="shared" si="0"/>
        <v>8682012.7896566782</v>
      </c>
      <c r="D38" s="341">
        <f t="shared" si="1"/>
        <v>7276629.7896566782</v>
      </c>
      <c r="E38" s="339">
        <f t="shared" si="5"/>
        <v>7276629.7896566782</v>
      </c>
      <c r="F38" s="342">
        <f t="shared" si="4"/>
        <v>5.1776845099568432</v>
      </c>
      <c r="G38" s="342">
        <f t="shared" si="3"/>
        <v>5.1776845099568432</v>
      </c>
    </row>
    <row r="39" spans="1:7">
      <c r="A39" s="326">
        <v>1993</v>
      </c>
      <c r="B39" s="634">
        <f>VLOOKUP($A39,Database!$A$74:$J$132,10)</f>
        <v>1542942</v>
      </c>
      <c r="C39" s="339">
        <f t="shared" si="0"/>
        <v>5856950.5735832425</v>
      </c>
      <c r="D39" s="341">
        <f t="shared" si="1"/>
        <v>4314008.5735832425</v>
      </c>
      <c r="E39" s="339">
        <f t="shared" si="5"/>
        <v>4314008.5735832425</v>
      </c>
      <c r="F39" s="342">
        <f t="shared" si="4"/>
        <v>2.7959628901042568</v>
      </c>
      <c r="G39" s="342">
        <f t="shared" si="3"/>
        <v>2.7959628901042568</v>
      </c>
    </row>
    <row r="40" spans="1:7">
      <c r="A40" s="326">
        <v>1994</v>
      </c>
      <c r="B40" s="634">
        <f>VLOOKUP($A40,Database!$A$74:$J$132,10)</f>
        <v>4666639</v>
      </c>
      <c r="C40" s="339">
        <f t="shared" si="0"/>
        <v>4182089.6869719019</v>
      </c>
      <c r="D40" s="341">
        <f t="shared" si="1"/>
        <v>-484549.31302809808</v>
      </c>
      <c r="E40" s="339">
        <f t="shared" si="5"/>
        <v>484549.31302809808</v>
      </c>
      <c r="F40" s="342">
        <f t="shared" si="4"/>
        <v>-0.10383261122793044</v>
      </c>
      <c r="G40" s="342">
        <f t="shared" si="3"/>
        <v>0.10383261122793044</v>
      </c>
    </row>
    <row r="41" spans="1:7">
      <c r="A41" s="326">
        <v>1995</v>
      </c>
      <c r="B41" s="634">
        <f>VLOOKUP($A41,Database!$A$74:$J$132,10)</f>
        <v>3934208</v>
      </c>
      <c r="C41" s="339">
        <f t="shared" si="0"/>
        <v>4370210.0113019664</v>
      </c>
      <c r="D41" s="341">
        <f t="shared" si="1"/>
        <v>436002.01130196638</v>
      </c>
      <c r="E41" s="339">
        <f t="shared" si="5"/>
        <v>436002.01130196638</v>
      </c>
      <c r="F41" s="342">
        <f t="shared" si="4"/>
        <v>0.11082332487300274</v>
      </c>
      <c r="G41" s="342">
        <f t="shared" si="3"/>
        <v>0.11082332487300274</v>
      </c>
    </row>
    <row r="42" spans="1:7">
      <c r="A42" s="326">
        <v>1996</v>
      </c>
      <c r="B42" s="634">
        <f>VLOOKUP($A42,Database!$A$74:$J$132,10)</f>
        <v>4500085</v>
      </c>
      <c r="C42" s="339">
        <f t="shared" si="0"/>
        <v>4200937.5810881816</v>
      </c>
      <c r="D42" s="341">
        <f t="shared" si="1"/>
        <v>-299147.41891181841</v>
      </c>
      <c r="E42" s="339">
        <f t="shared" si="5"/>
        <v>299147.41891181841</v>
      </c>
      <c r="F42" s="342">
        <f t="shared" si="4"/>
        <v>-6.6475948545820451E-2</v>
      </c>
      <c r="G42" s="342">
        <f t="shared" si="3"/>
        <v>6.6475948545820451E-2</v>
      </c>
    </row>
    <row r="43" spans="1:7">
      <c r="A43" s="326">
        <v>1997</v>
      </c>
      <c r="B43" s="634">
        <f>VLOOKUP($A43,Database!$A$74:$J$132,10)</f>
        <v>2588682</v>
      </c>
      <c r="C43" s="339">
        <f t="shared" si="0"/>
        <v>4317077.8953041043</v>
      </c>
      <c r="D43" s="341">
        <f t="shared" si="1"/>
        <v>1728395.8953041043</v>
      </c>
      <c r="E43" s="339">
        <f t="shared" si="5"/>
        <v>1728395.8953041043</v>
      </c>
      <c r="F43" s="342">
        <f t="shared" si="4"/>
        <v>0.66767408870773015</v>
      </c>
      <c r="G43" s="342">
        <f t="shared" si="3"/>
        <v>0.66767408870773015</v>
      </c>
    </row>
    <row r="44" spans="1:7">
      <c r="A44" s="326">
        <v>1998</v>
      </c>
      <c r="B44" s="634">
        <f>VLOOKUP($A44,Database!$A$74:$J$132,10)</f>
        <v>5274275.5</v>
      </c>
      <c r="C44" s="339">
        <f t="shared" si="0"/>
        <v>3646049.4000547365</v>
      </c>
      <c r="D44" s="341">
        <f t="shared" si="1"/>
        <v>-1628226.0999452635</v>
      </c>
      <c r="E44" s="339">
        <f t="shared" si="5"/>
        <v>1628226.0999452635</v>
      </c>
      <c r="F44" s="342">
        <f t="shared" si="4"/>
        <v>-0.3087108551582608</v>
      </c>
      <c r="G44" s="342">
        <f t="shared" si="3"/>
        <v>0.3087108551582608</v>
      </c>
    </row>
    <row r="45" spans="1:7">
      <c r="A45" s="326">
        <v>1999</v>
      </c>
      <c r="B45" s="634">
        <f>VLOOKUP($A45,Database!$A$74:$J$132,10)</f>
        <v>9405198</v>
      </c>
      <c r="C45" s="339">
        <f t="shared" si="0"/>
        <v>4278188.2015529778</v>
      </c>
      <c r="D45" s="341">
        <f t="shared" si="1"/>
        <v>-5127009.7984470222</v>
      </c>
      <c r="E45" s="339">
        <f t="shared" si="5"/>
        <v>5127009.7984470222</v>
      </c>
      <c r="F45" s="342">
        <f t="shared" si="4"/>
        <v>-0.54512513170344978</v>
      </c>
      <c r="G45" s="342">
        <f t="shared" si="3"/>
        <v>0.54512513170344978</v>
      </c>
    </row>
    <row r="46" spans="1:7">
      <c r="A46" s="326">
        <v>2000</v>
      </c>
      <c r="B46" s="634">
        <f>VLOOKUP($A46,Database!$A$74:$J$132,10)</f>
        <v>7389941</v>
      </c>
      <c r="C46" s="339">
        <f t="shared" si="0"/>
        <v>6268686.8364593918</v>
      </c>
      <c r="D46" s="341">
        <f t="shared" si="1"/>
        <v>-1121254.1635406082</v>
      </c>
      <c r="E46" s="339">
        <f t="shared" si="5"/>
        <v>1121254.1635406082</v>
      </c>
      <c r="F46" s="342">
        <f t="shared" si="4"/>
        <v>-0.1517270792203359</v>
      </c>
      <c r="G46" s="342">
        <f t="shared" si="3"/>
        <v>0.1517270792203359</v>
      </c>
    </row>
    <row r="47" spans="1:7">
      <c r="A47" s="326">
        <v>2001</v>
      </c>
      <c r="B47" s="634">
        <f>VLOOKUP($A47,Database!$A$74:$J$132,10)</f>
        <v>8854676.9808041956</v>
      </c>
      <c r="C47" s="339">
        <f t="shared" si="0"/>
        <v>6704000.0052750129</v>
      </c>
      <c r="D47" s="341">
        <f t="shared" si="1"/>
        <v>-2150676.9755291827</v>
      </c>
      <c r="E47" s="339">
        <f t="shared" si="5"/>
        <v>2150676.9755291827</v>
      </c>
      <c r="F47" s="342">
        <f t="shared" si="4"/>
        <v>-0.2428859889741404</v>
      </c>
      <c r="G47" s="342">
        <f t="shared" si="3"/>
        <v>0.2428859889741404</v>
      </c>
    </row>
    <row r="48" spans="1:7">
      <c r="A48" s="347">
        <v>2002</v>
      </c>
      <c r="B48" s="634">
        <f>VLOOKUP($A48,Database!$A$74:$J$132,10)</f>
        <v>1264645.3102025923</v>
      </c>
      <c r="C48" s="339">
        <f t="shared" si="0"/>
        <v>7538973.9476326406</v>
      </c>
      <c r="D48" s="341">
        <f t="shared" si="1"/>
        <v>6274328.6374300485</v>
      </c>
      <c r="E48" s="339">
        <f t="shared" si="5"/>
        <v>6274328.6374300485</v>
      </c>
      <c r="F48" s="342">
        <f t="shared" si="4"/>
        <v>4.9613346815993173</v>
      </c>
      <c r="G48" s="342">
        <f t="shared" si="3"/>
        <v>4.9613346815993173</v>
      </c>
    </row>
    <row r="49" spans="1:7">
      <c r="A49" s="326">
        <v>2003</v>
      </c>
      <c r="B49" s="634">
        <f>VLOOKUP($A49,Database!$A$74:$J$132,10)</f>
        <v>7344511.9398193061</v>
      </c>
      <c r="C49" s="339">
        <f t="shared" si="0"/>
        <v>5103042.8535392219</v>
      </c>
      <c r="D49" s="341">
        <f t="shared" si="1"/>
        <v>-2241469.0862800842</v>
      </c>
      <c r="E49" s="339">
        <f t="shared" si="5"/>
        <v>2241469.0862800842</v>
      </c>
      <c r="F49" s="342">
        <f t="shared" si="4"/>
        <v>-0.30518965788967456</v>
      </c>
      <c r="G49" s="342">
        <f t="shared" si="3"/>
        <v>0.30518965788967456</v>
      </c>
    </row>
    <row r="50" spans="1:7">
      <c r="A50" s="326">
        <v>2004</v>
      </c>
      <c r="B50" s="634">
        <f>VLOOKUP($A50,Database!$A$74:$J$132,10)</f>
        <v>4939431.0563474381</v>
      </c>
      <c r="C50" s="339">
        <f t="shared" si="0"/>
        <v>5973265.7186831255</v>
      </c>
      <c r="D50" s="341">
        <f t="shared" si="1"/>
        <v>1033834.6623356873</v>
      </c>
      <c r="E50" s="339">
        <f t="shared" si="5"/>
        <v>1033834.6623356873</v>
      </c>
      <c r="F50" s="342">
        <f t="shared" si="4"/>
        <v>0.20930237724588815</v>
      </c>
      <c r="G50" s="342">
        <f t="shared" si="3"/>
        <v>0.20930237724588815</v>
      </c>
    </row>
    <row r="51" spans="1:7">
      <c r="A51" s="326">
        <v>2005</v>
      </c>
      <c r="B51" s="634">
        <f>VLOOKUP($A51,Database!$A$74:$J$132,10)</f>
        <v>17032487.685321052</v>
      </c>
      <c r="C51" s="339">
        <f t="shared" si="0"/>
        <v>5571892.0983866621</v>
      </c>
      <c r="D51" s="341">
        <f t="shared" si="1"/>
        <v>-11460595.58693439</v>
      </c>
      <c r="E51" s="339">
        <f t="shared" si="5"/>
        <v>11460595.58693439</v>
      </c>
      <c r="F51" s="342">
        <f t="shared" si="4"/>
        <v>-0.67286680599284199</v>
      </c>
      <c r="G51" s="342">
        <f t="shared" si="3"/>
        <v>0.67286680599284199</v>
      </c>
    </row>
    <row r="52" spans="1:7">
      <c r="A52" s="347">
        <v>2006</v>
      </c>
      <c r="B52" s="634">
        <f>VLOOKUP($A52,Database!$A$74:$J$132,10)</f>
        <v>3314702.7753436686</v>
      </c>
      <c r="C52" s="339">
        <f t="shared" si="0"/>
        <v>10021327.689072924</v>
      </c>
      <c r="D52" s="341">
        <f t="shared" si="1"/>
        <v>6706624.9137292551</v>
      </c>
      <c r="E52" s="339">
        <f t="shared" si="5"/>
        <v>6706624.9137292551</v>
      </c>
      <c r="F52" s="342">
        <f t="shared" si="4"/>
        <v>2.0232960142358198</v>
      </c>
      <c r="G52" s="342">
        <f t="shared" si="3"/>
        <v>2.0232960142358198</v>
      </c>
    </row>
    <row r="53" spans="1:7">
      <c r="A53" s="326">
        <v>2007</v>
      </c>
      <c r="B53" s="634">
        <f>VLOOKUP($A53,Database!$A$74:$J$132,10)</f>
        <v>11526987.795003444</v>
      </c>
      <c r="C53" s="339">
        <f t="shared" si="0"/>
        <v>7417562.8709032731</v>
      </c>
      <c r="D53" s="341">
        <f t="shared" si="1"/>
        <v>-4109424.9241001708</v>
      </c>
      <c r="E53" s="339">
        <f t="shared" si="5"/>
        <v>4109424.9241001708</v>
      </c>
      <c r="F53" s="342">
        <f t="shared" si="4"/>
        <v>-0.35650466515471341</v>
      </c>
      <c r="G53" s="342">
        <f t="shared" si="3"/>
        <v>0.35650466515471341</v>
      </c>
    </row>
    <row r="54" spans="1:7">
      <c r="A54" s="326">
        <v>2008</v>
      </c>
      <c r="B54" s="634">
        <f>VLOOKUP($A54,Database!$A$74:$J$132,10)</f>
        <v>2290691.6775990888</v>
      </c>
      <c r="C54" s="339">
        <f t="shared" si="0"/>
        <v>9012996.6662803479</v>
      </c>
      <c r="D54" s="341">
        <f t="shared" si="1"/>
        <v>6722304.9886812586</v>
      </c>
      <c r="E54" s="339">
        <f t="shared" si="5"/>
        <v>6722304.9886812586</v>
      </c>
      <c r="F54" s="342">
        <f t="shared" si="4"/>
        <v>2.934617982166424</v>
      </c>
      <c r="G54" s="342">
        <f t="shared" si="3"/>
        <v>2.934617982166424</v>
      </c>
    </row>
    <row r="55" spans="1:7">
      <c r="A55" s="326">
        <v>2009</v>
      </c>
      <c r="B55" s="634">
        <f>VLOOKUP($A55,Database!$A$74:$J$132,10)</f>
        <v>2824330.6070667375</v>
      </c>
      <c r="C55" s="339">
        <f t="shared" si="0"/>
        <v>6403144.2514385302</v>
      </c>
      <c r="D55" s="341">
        <f>C55-B55</f>
        <v>3578813.6443717927</v>
      </c>
      <c r="E55" s="339">
        <f t="shared" si="5"/>
        <v>3578813.6443717927</v>
      </c>
      <c r="F55" s="342">
        <f t="shared" si="4"/>
        <v>1.2671369404903479</v>
      </c>
      <c r="G55" s="342">
        <f t="shared" si="3"/>
        <v>1.2671369404903479</v>
      </c>
    </row>
    <row r="56" spans="1:7">
      <c r="A56" s="326">
        <v>2010</v>
      </c>
      <c r="B56" s="634">
        <f>VLOOKUP($A56,Database!$A$74:$J$132,10)</f>
        <v>4399390.7272172375</v>
      </c>
      <c r="C56" s="339">
        <f t="shared" si="0"/>
        <v>5013713.7736843713</v>
      </c>
      <c r="D56" s="341">
        <f t="shared" ref="D56:D59" si="6">C56-B56</f>
        <v>614323.0464671338</v>
      </c>
      <c r="E56" s="339">
        <f t="shared" ref="E56:E59" si="7">ABS(C56-$B56)</f>
        <v>614323.0464671338</v>
      </c>
      <c r="F56" s="342">
        <f t="shared" ref="F56:F59" si="8">(C56-B56)/B56</f>
        <v>0.13963821005180729</v>
      </c>
      <c r="G56" s="342">
        <f t="shared" si="3"/>
        <v>0.13963821005180729</v>
      </c>
    </row>
    <row r="57" spans="1:7">
      <c r="A57" s="326">
        <v>2011</v>
      </c>
      <c r="B57" s="634">
        <f>VLOOKUP($A57,Database!$A$74:$J$132,10)</f>
        <v>9643099</v>
      </c>
      <c r="C57" s="339">
        <f t="shared" si="0"/>
        <v>4775210.3899469795</v>
      </c>
      <c r="D57" s="341">
        <f t="shared" si="6"/>
        <v>-4867888.6100530205</v>
      </c>
      <c r="E57" s="339">
        <f t="shared" si="7"/>
        <v>4867888.6100530205</v>
      </c>
      <c r="F57" s="342">
        <f t="shared" si="8"/>
        <v>-0.50480541681185898</v>
      </c>
      <c r="G57" s="342">
        <f t="shared" si="3"/>
        <v>0.50480541681185898</v>
      </c>
    </row>
    <row r="58" spans="1:7">
      <c r="A58" s="326">
        <v>2012</v>
      </c>
      <c r="B58" s="634">
        <f>VLOOKUP($A58,Database!$A$74:$J$132,10)</f>
        <v>4428267.5450134957</v>
      </c>
      <c r="C58" s="339">
        <f t="shared" si="0"/>
        <v>6665108.4034288321</v>
      </c>
      <c r="D58" s="341">
        <f t="shared" si="6"/>
        <v>2236840.8584153363</v>
      </c>
      <c r="E58" s="339">
        <f t="shared" si="7"/>
        <v>2236840.8584153363</v>
      </c>
      <c r="F58" s="342">
        <f t="shared" si="8"/>
        <v>0.50512775835646107</v>
      </c>
      <c r="G58" s="342">
        <f t="shared" si="3"/>
        <v>0.50512775835646107</v>
      </c>
    </row>
    <row r="59" spans="1:7">
      <c r="A59" s="326">
        <v>2013</v>
      </c>
      <c r="B59" s="634">
        <f>VLOOKUP($A59,Database!$A$74:$J$132,10)</f>
        <v>21965453</v>
      </c>
      <c r="C59" s="339">
        <f t="shared" si="0"/>
        <v>5796682.3909551939</v>
      </c>
      <c r="D59" s="341">
        <f t="shared" si="6"/>
        <v>-16168770.609044805</v>
      </c>
      <c r="E59" s="339">
        <f t="shared" si="7"/>
        <v>16168770.609044805</v>
      </c>
      <c r="F59" s="342">
        <f t="shared" si="8"/>
        <v>-0.73610002985346146</v>
      </c>
      <c r="G59" s="342">
        <f t="shared" si="3"/>
        <v>0.73610002985346146</v>
      </c>
    </row>
    <row r="60" spans="1:7">
      <c r="A60" s="326">
        <v>2014</v>
      </c>
      <c r="B60" s="634">
        <f>VLOOKUP($A60,Database!$A$74:$J$132,10)</f>
        <v>2702397</v>
      </c>
      <c r="C60" s="339">
        <f t="shared" si="0"/>
        <v>12074009.154630814</v>
      </c>
      <c r="D60" s="341">
        <f t="shared" ref="D60" si="9">C60-B60</f>
        <v>9371612.1546308137</v>
      </c>
      <c r="E60" s="339">
        <f t="shared" ref="E60" si="10">ABS(C60-$B60)</f>
        <v>9371612.1546308137</v>
      </c>
      <c r="F60" s="342">
        <f t="shared" ref="F60" si="11">(C60-B60)/B60</f>
        <v>3.467888750109926</v>
      </c>
      <c r="G60" s="342">
        <f t="shared" si="3"/>
        <v>3.467888750109926</v>
      </c>
    </row>
    <row r="61" spans="1:7">
      <c r="A61" s="326"/>
      <c r="B61" s="621"/>
      <c r="C61" s="339"/>
      <c r="D61" s="339"/>
      <c r="E61" s="339"/>
      <c r="G61" s="342"/>
    </row>
    <row r="62" spans="1:7">
      <c r="A62" s="326"/>
      <c r="B62" s="621"/>
      <c r="C62" s="339"/>
      <c r="D62" s="339"/>
      <c r="E62" s="339"/>
      <c r="G62" s="342"/>
    </row>
    <row r="63" spans="1:7">
      <c r="A63" s="326"/>
      <c r="B63" s="621"/>
      <c r="C63" s="339"/>
      <c r="D63" s="339"/>
      <c r="E63" s="339"/>
      <c r="G63" s="342"/>
    </row>
    <row r="64" spans="1:7">
      <c r="A64" s="326"/>
      <c r="B64" s="621"/>
      <c r="C64" s="339"/>
      <c r="D64" s="339"/>
      <c r="E64" s="339"/>
      <c r="G64" s="342"/>
    </row>
    <row r="65" spans="1:9">
      <c r="A65" s="326"/>
      <c r="B65" s="642"/>
      <c r="C65" s="643"/>
      <c r="D65" s="643"/>
      <c r="E65" s="644"/>
      <c r="F65" s="328"/>
      <c r="G65" s="645"/>
      <c r="H65" s="328"/>
      <c r="I65" s="328"/>
    </row>
    <row r="66" spans="1:9">
      <c r="A66" s="323" t="s">
        <v>245</v>
      </c>
      <c r="B66" s="646">
        <f t="shared" ref="B66:G66" si="12">COUNT(B8:B65)</f>
        <v>53</v>
      </c>
      <c r="C66" s="646">
        <f t="shared" si="12"/>
        <v>52</v>
      </c>
      <c r="D66" s="646">
        <f t="shared" si="12"/>
        <v>51</v>
      </c>
      <c r="E66" s="646">
        <f t="shared" si="12"/>
        <v>52</v>
      </c>
      <c r="F66" s="646">
        <f t="shared" si="12"/>
        <v>51</v>
      </c>
      <c r="G66" s="646">
        <f t="shared" si="12"/>
        <v>51</v>
      </c>
      <c r="H66" s="328"/>
      <c r="I66" s="328"/>
    </row>
    <row r="67" spans="1:9" ht="25">
      <c r="A67" s="328" t="s">
        <v>75</v>
      </c>
      <c r="B67" s="644"/>
      <c r="C67" s="1092">
        <f>VLOOKUP(Forecast_Year,A8:C65,3)</f>
        <v>12074009.154630814</v>
      </c>
      <c r="D67" s="644"/>
      <c r="E67" s="644"/>
      <c r="F67" s="644"/>
      <c r="G67" s="644"/>
      <c r="H67" s="328"/>
      <c r="I67" s="328"/>
    </row>
    <row r="68" spans="1:9">
      <c r="A68" s="328" t="s">
        <v>288</v>
      </c>
      <c r="B68" s="620"/>
      <c r="C68" s="620"/>
      <c r="D68" s="643">
        <f>SUM(D10:D65)</f>
        <v>-1272786.8295819424</v>
      </c>
      <c r="E68" s="620"/>
      <c r="F68" s="1019">
        <f>SUM(F10:F65)</f>
        <v>42.960394110464065</v>
      </c>
      <c r="G68" s="620"/>
      <c r="H68" s="328"/>
      <c r="I68" s="328"/>
    </row>
    <row r="69" spans="1:9">
      <c r="A69" s="328" t="s">
        <v>127</v>
      </c>
      <c r="B69" s="644">
        <f t="shared" ref="B69:F69" si="13">AVERAGE(B8:B65)</f>
        <v>7307170.2754667597</v>
      </c>
      <c r="C69" s="644">
        <f t="shared" si="13"/>
        <v>7295309.99557993</v>
      </c>
      <c r="D69" s="644">
        <f>AVERAGE(D8:D65)</f>
        <v>-24956.604501606715</v>
      </c>
      <c r="E69" s="657">
        <f t="shared" si="13"/>
        <v>4185211.5069436347</v>
      </c>
      <c r="F69" s="645">
        <f t="shared" si="13"/>
        <v>0.84236066883262872</v>
      </c>
      <c r="G69" s="633">
        <f>AVERAGE(G8:G65)</f>
        <v>1.173689591060582</v>
      </c>
      <c r="H69" s="328"/>
      <c r="I69" s="328"/>
    </row>
    <row r="70" spans="1:9">
      <c r="A70" s="328" t="s">
        <v>265</v>
      </c>
      <c r="B70" s="644">
        <f t="shared" ref="B70:G70" si="14">MEDIAN(B8:B65)</f>
        <v>5233149</v>
      </c>
      <c r="C70" s="644">
        <f t="shared" si="14"/>
        <v>5925755.3456872478</v>
      </c>
      <c r="D70" s="644">
        <f t="shared" si="14"/>
        <v>545151.49964408483</v>
      </c>
      <c r="E70" s="644">
        <f t="shared" si="14"/>
        <v>3407459.7941603027</v>
      </c>
      <c r="F70" s="645">
        <f t="shared" si="14"/>
        <v>0.13963821005180729</v>
      </c>
      <c r="G70" s="645">
        <f t="shared" si="14"/>
        <v>0.44521134316934413</v>
      </c>
      <c r="H70" s="328"/>
      <c r="I70" s="328"/>
    </row>
    <row r="71" spans="1:9">
      <c r="A71" s="328" t="s">
        <v>286</v>
      </c>
      <c r="B71" s="644">
        <f t="shared" ref="B71:G71" si="15">MIN(B8:B65)</f>
        <v>695963</v>
      </c>
      <c r="C71" s="644">
        <f t="shared" si="15"/>
        <v>2687330.6485786564</v>
      </c>
      <c r="D71" s="644">
        <f t="shared" si="15"/>
        <v>-16168770.609044805</v>
      </c>
      <c r="E71" s="644">
        <f t="shared" si="15"/>
        <v>22929.187846171204</v>
      </c>
      <c r="F71" s="645">
        <f t="shared" si="15"/>
        <v>-0.77439040632711453</v>
      </c>
      <c r="G71" s="645">
        <f t="shared" si="15"/>
        <v>5.8417077667328827E-3</v>
      </c>
      <c r="H71" s="328"/>
      <c r="I71" s="328"/>
    </row>
    <row r="72" spans="1:9">
      <c r="A72" s="328" t="s">
        <v>287</v>
      </c>
      <c r="B72" s="644">
        <f t="shared" ref="B72:G72" si="16">MAX(B8:B65)</f>
        <v>21965453</v>
      </c>
      <c r="C72" s="644">
        <f t="shared" si="16"/>
        <v>17958377.474870235</v>
      </c>
      <c r="D72" s="644">
        <f t="shared" si="16"/>
        <v>12394420.474870235</v>
      </c>
      <c r="E72" s="644">
        <f t="shared" si="16"/>
        <v>16168770.609044805</v>
      </c>
      <c r="F72" s="645">
        <f t="shared" si="16"/>
        <v>7.446203279041228</v>
      </c>
      <c r="G72" s="645">
        <f t="shared" si="16"/>
        <v>7.446203279041228</v>
      </c>
      <c r="H72" s="328"/>
      <c r="I72" s="328"/>
    </row>
    <row r="73" spans="1:9">
      <c r="A73" s="332" t="s">
        <v>238</v>
      </c>
      <c r="B73" s="647">
        <f t="shared" ref="B73:G73" si="17">STDEV(B8:B65)</f>
        <v>5702441.7840149077</v>
      </c>
      <c r="C73" s="647">
        <f t="shared" si="17"/>
        <v>3711938.8257397716</v>
      </c>
      <c r="D73" s="647">
        <f t="shared" si="17"/>
        <v>5676194.6584827006</v>
      </c>
      <c r="E73" s="647">
        <f t="shared" si="17"/>
        <v>3716967.0702455644</v>
      </c>
      <c r="F73" s="648">
        <f t="shared" si="17"/>
        <v>1.9206910646698261</v>
      </c>
      <c r="G73" s="648">
        <f t="shared" si="17"/>
        <v>1.734277627987904</v>
      </c>
      <c r="H73" s="328"/>
      <c r="I73" s="328"/>
    </row>
    <row r="74" spans="1:9">
      <c r="A74" s="328"/>
      <c r="B74" s="328"/>
      <c r="C74" s="328"/>
      <c r="D74" s="328"/>
      <c r="E74" s="328"/>
      <c r="F74" s="328"/>
      <c r="G74" s="328"/>
      <c r="H74" s="328"/>
      <c r="I74" s="328"/>
    </row>
    <row r="75" spans="1:9">
      <c r="A75" s="328"/>
      <c r="B75" s="328"/>
      <c r="C75" s="328"/>
      <c r="D75" s="328"/>
      <c r="E75" s="328"/>
      <c r="F75" s="328"/>
      <c r="G75" s="328"/>
      <c r="H75" s="328"/>
      <c r="I75" s="328"/>
    </row>
  </sheetData>
  <phoneticPr fontId="49" type="noConversion"/>
  <pageMargins left="1" right="1" top="1" bottom="1" header="0.5" footer="0.5"/>
  <pageSetup scale="49" orientation="landscape"/>
  <headerFooter alignWithMargins="0"/>
  <drawing r:id="rId1"/>
  <legacyDrawing r:id="rId2"/>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1" enableFormatConditionsCalculation="0">
    <tabColor indexed="10"/>
    <pageSetUpPr fitToPage="1"/>
  </sheetPr>
  <dimension ref="A1:V75"/>
  <sheetViews>
    <sheetView showGridLines="0" zoomScale="65" workbookViewId="0">
      <pane ySplit="6" topLeftCell="A7" activePane="bottomLeft" state="frozen"/>
      <selection pane="bottomLeft" activeCell="A7" sqref="A7"/>
    </sheetView>
  </sheetViews>
  <sheetFormatPr baseColWidth="10" defaultColWidth="9.875" defaultRowHeight="15" x14ac:dyDescent="0"/>
  <cols>
    <col min="1" max="1" width="8.125" style="109" customWidth="1"/>
    <col min="2" max="2" width="5.875" style="109" customWidth="1"/>
    <col min="3" max="3" width="11.125" style="109" customWidth="1"/>
    <col min="4" max="4" width="9.375" style="109" customWidth="1"/>
    <col min="5" max="9" width="7.875" style="109" customWidth="1"/>
    <col min="10" max="10" width="9.875" style="109" customWidth="1"/>
    <col min="11" max="11" width="10.875" style="109" customWidth="1"/>
    <col min="12" max="12" width="9.625" style="109" customWidth="1"/>
    <col min="13" max="17" width="7.875" style="109" customWidth="1"/>
    <col min="18" max="18" width="5.5" style="109" customWidth="1"/>
    <col min="19" max="22" width="7.875" style="109" customWidth="1"/>
    <col min="23" max="23" width="6.875" style="109" customWidth="1"/>
    <col min="24" max="16384" width="9.875" style="109"/>
  </cols>
  <sheetData>
    <row r="1" spans="1:22">
      <c r="A1" s="109" t="s">
        <v>0</v>
      </c>
      <c r="C1" s="179" t="str">
        <f ca="1">CELL("filename",C2)</f>
        <v>NWCLM04072996:Users:eric.ward:Documents:NCEAS-covariation:data:salmon data:[2015_PWS_Pink_Wild_forecast-FINAL.xlsm]MainData</v>
      </c>
    </row>
    <row r="2" spans="1:22">
      <c r="C2" s="109" t="s">
        <v>174</v>
      </c>
    </row>
    <row r="3" spans="1:22">
      <c r="A3" s="144"/>
      <c r="B3" s="144"/>
      <c r="C3" s="145"/>
      <c r="D3" s="145"/>
      <c r="E3" s="144"/>
      <c r="F3" s="144"/>
      <c r="G3" s="144"/>
      <c r="L3" s="146"/>
      <c r="M3" s="120"/>
      <c r="N3" s="120"/>
      <c r="O3" s="120"/>
      <c r="P3" s="120"/>
      <c r="Q3" s="147"/>
      <c r="R3" s="148"/>
      <c r="S3" s="149"/>
      <c r="T3" s="149"/>
      <c r="U3" s="149"/>
    </row>
    <row r="4" spans="1:22">
      <c r="A4" s="119"/>
      <c r="B4" s="119"/>
      <c r="C4" s="120"/>
      <c r="D4" s="120"/>
      <c r="E4" s="120"/>
      <c r="F4" s="120"/>
      <c r="G4" s="150"/>
      <c r="H4" s="151" t="s">
        <v>4</v>
      </c>
      <c r="I4" s="152"/>
      <c r="J4" s="151" t="s">
        <v>4</v>
      </c>
      <c r="K4" s="152"/>
      <c r="L4" s="153" t="s">
        <v>75</v>
      </c>
      <c r="M4" s="153"/>
      <c r="N4" s="154"/>
      <c r="O4" s="152"/>
      <c r="P4" s="151"/>
      <c r="Q4" s="155" t="s">
        <v>5</v>
      </c>
      <c r="R4" s="156"/>
      <c r="S4" s="157"/>
      <c r="T4" s="157"/>
      <c r="U4" s="157"/>
    </row>
    <row r="5" spans="1:22" ht="15.75" customHeight="1">
      <c r="A5" s="158" t="s">
        <v>6</v>
      </c>
      <c r="B5" s="158" t="s">
        <v>7</v>
      </c>
      <c r="C5" s="153"/>
      <c r="D5" s="158" t="s">
        <v>163</v>
      </c>
      <c r="E5" s="158" t="s">
        <v>10</v>
      </c>
      <c r="F5" s="158" t="s">
        <v>10</v>
      </c>
      <c r="G5" s="153"/>
      <c r="H5" s="159" t="s">
        <v>11</v>
      </c>
      <c r="I5" s="160"/>
      <c r="J5" s="159" t="s">
        <v>12</v>
      </c>
      <c r="K5" s="160"/>
      <c r="L5" s="161" t="s">
        <v>164</v>
      </c>
      <c r="M5" s="162" t="s">
        <v>13</v>
      </c>
      <c r="N5" s="163" t="s">
        <v>14</v>
      </c>
      <c r="O5" s="164"/>
      <c r="P5" s="165" t="s">
        <v>15</v>
      </c>
      <c r="Q5" s="166" t="s">
        <v>15</v>
      </c>
      <c r="R5" s="167"/>
      <c r="S5" s="157"/>
      <c r="T5" s="157"/>
      <c r="U5" s="157"/>
    </row>
    <row r="6" spans="1:22" ht="19.5" customHeight="1">
      <c r="A6" s="168" t="s">
        <v>16</v>
      </c>
      <c r="B6" s="168" t="s">
        <v>16</v>
      </c>
      <c r="C6" s="168" t="s">
        <v>17</v>
      </c>
      <c r="D6" s="168" t="s">
        <v>7</v>
      </c>
      <c r="E6" s="168" t="s">
        <v>7</v>
      </c>
      <c r="F6" s="168" t="s">
        <v>7</v>
      </c>
      <c r="G6" s="168" t="s">
        <v>26</v>
      </c>
      <c r="H6" s="168" t="s">
        <v>27</v>
      </c>
      <c r="I6" s="168" t="s">
        <v>28</v>
      </c>
      <c r="J6" s="168" t="s">
        <v>29</v>
      </c>
      <c r="K6" s="169" t="s">
        <v>30</v>
      </c>
      <c r="L6" s="162" t="s">
        <v>134</v>
      </c>
      <c r="M6" s="162" t="s">
        <v>31</v>
      </c>
      <c r="N6" s="158" t="s">
        <v>32</v>
      </c>
      <c r="O6" s="158" t="s">
        <v>33</v>
      </c>
      <c r="P6" s="165" t="s">
        <v>31</v>
      </c>
      <c r="Q6" s="166" t="s">
        <v>31</v>
      </c>
      <c r="R6" s="167"/>
      <c r="S6" s="157"/>
      <c r="T6" s="157"/>
      <c r="U6" s="157"/>
    </row>
    <row r="7" spans="1:22">
      <c r="A7" s="541">
        <v>1</v>
      </c>
      <c r="B7" s="541">
        <v>2</v>
      </c>
      <c r="C7" s="541">
        <v>3</v>
      </c>
      <c r="D7" s="541">
        <v>4</v>
      </c>
      <c r="E7" s="541">
        <v>5</v>
      </c>
      <c r="F7" s="541">
        <v>4</v>
      </c>
      <c r="G7" s="541">
        <v>6</v>
      </c>
      <c r="H7" s="541">
        <v>7</v>
      </c>
      <c r="I7" s="541">
        <v>8</v>
      </c>
      <c r="J7" s="541">
        <v>9</v>
      </c>
      <c r="K7" s="541">
        <v>10</v>
      </c>
      <c r="L7" s="541">
        <v>11</v>
      </c>
      <c r="M7" s="541">
        <v>12</v>
      </c>
      <c r="N7" s="541">
        <v>13</v>
      </c>
      <c r="O7" s="541">
        <v>14</v>
      </c>
      <c r="P7" s="542"/>
      <c r="Q7" s="542"/>
      <c r="R7" s="543" t="s">
        <v>127</v>
      </c>
      <c r="S7" s="544"/>
      <c r="T7" s="544"/>
      <c r="U7" s="544"/>
      <c r="V7" s="545"/>
    </row>
    <row r="8" spans="1:22">
      <c r="A8" s="546">
        <v>1960</v>
      </c>
      <c r="B8" s="207">
        <f t="shared" ref="B8:B48" si="0">A8+2</f>
        <v>1962</v>
      </c>
      <c r="C8" s="548">
        <v>1.350722</v>
      </c>
      <c r="D8" s="549"/>
      <c r="E8" s="550">
        <v>8.7603259999999992</v>
      </c>
      <c r="F8" s="551">
        <v>8.7603259999999992</v>
      </c>
      <c r="G8" s="171">
        <f t="shared" ref="G8:G43" si="1">LN(E8)</f>
        <v>2.1702331188677255</v>
      </c>
      <c r="H8" s="170">
        <f t="shared" ref="H8:H32" si="2">E8/C8</f>
        <v>6.4856617423866636</v>
      </c>
      <c r="I8" s="171">
        <f t="shared" ref="I8:I43" si="3">LN(H8)</f>
        <v>1.8695938545650457</v>
      </c>
      <c r="J8" s="554"/>
      <c r="K8" s="550"/>
      <c r="L8" s="203">
        <f t="shared" ref="L8:L44" si="4">C8*EXP(I$58)</f>
        <v>5.3771078933765244</v>
      </c>
      <c r="M8" s="204">
        <f t="shared" ref="M8:M44" si="5">(E8-L8)^2</f>
        <v>11.446164756984929</v>
      </c>
      <c r="N8" s="204">
        <f>L8-SQRT(M$58)*M$61</f>
        <v>-1.7233777262603542</v>
      </c>
      <c r="O8" s="204">
        <f>L8+SQRT(M$58)*M$61</f>
        <v>12.477593513013403</v>
      </c>
      <c r="P8" s="544"/>
      <c r="Q8" s="544"/>
      <c r="R8" s="209">
        <f t="shared" ref="R8:R47" si="6">$E$58</f>
        <v>5.9021419000000002</v>
      </c>
      <c r="S8" s="544"/>
      <c r="T8" s="544"/>
      <c r="U8" s="544"/>
      <c r="V8" s="545"/>
    </row>
    <row r="9" spans="1:22">
      <c r="A9" s="546">
        <v>1961</v>
      </c>
      <c r="B9" s="207">
        <f t="shared" si="0"/>
        <v>1963</v>
      </c>
      <c r="C9" s="548">
        <v>2.1989800000000002</v>
      </c>
      <c r="D9" s="549"/>
      <c r="E9" s="550">
        <v>6.6511180000000003</v>
      </c>
      <c r="F9" s="551">
        <v>6.6511180000000003</v>
      </c>
      <c r="G9" s="171">
        <f t="shared" si="1"/>
        <v>1.8947849608378806</v>
      </c>
      <c r="H9" s="170">
        <f t="shared" si="2"/>
        <v>3.0246377866101555</v>
      </c>
      <c r="I9" s="171">
        <f t="shared" si="3"/>
        <v>1.1067913443498181</v>
      </c>
      <c r="J9" s="554"/>
      <c r="K9" s="550"/>
      <c r="L9" s="203">
        <f t="shared" si="4"/>
        <v>8.7539498989259901</v>
      </c>
      <c r="M9" s="204">
        <f t="shared" si="5"/>
        <v>4.4219019951406837</v>
      </c>
      <c r="N9" s="204">
        <f t="shared" ref="N9:N44" si="7">L9-SQRT(M$58)*M$61</f>
        <v>1.6534642792891114</v>
      </c>
      <c r="O9" s="204">
        <f t="shared" ref="O9:O44" si="8">L9+SQRT(M$58)*M$61</f>
        <v>15.85443551856287</v>
      </c>
      <c r="P9" s="544"/>
      <c r="Q9" s="544"/>
      <c r="R9" s="209">
        <f t="shared" si="6"/>
        <v>5.9021419000000002</v>
      </c>
      <c r="S9" s="544"/>
      <c r="T9" s="544"/>
      <c r="U9" s="544"/>
      <c r="V9" s="545"/>
    </row>
    <row r="10" spans="1:22">
      <c r="A10" s="546">
        <v>1962</v>
      </c>
      <c r="B10" s="207">
        <f t="shared" si="0"/>
        <v>1964</v>
      </c>
      <c r="C10" s="548">
        <v>2.0180099999999999</v>
      </c>
      <c r="D10" s="549">
        <v>8.7603259999999992</v>
      </c>
      <c r="E10" s="553">
        <v>6.0485759999999997</v>
      </c>
      <c r="F10" s="551">
        <v>6.0485759999999997</v>
      </c>
      <c r="G10" s="171">
        <f t="shared" si="1"/>
        <v>1.7998228724376104</v>
      </c>
      <c r="H10" s="170">
        <f t="shared" si="2"/>
        <v>2.9972973374760286</v>
      </c>
      <c r="I10" s="171">
        <f t="shared" si="3"/>
        <v>1.0977109951170838</v>
      </c>
      <c r="J10" s="554"/>
      <c r="K10" s="550"/>
      <c r="L10" s="203">
        <f t="shared" si="4"/>
        <v>8.0335239226967214</v>
      </c>
      <c r="M10" s="204">
        <f t="shared" si="5"/>
        <v>3.9400182558180306</v>
      </c>
      <c r="N10" s="204">
        <f t="shared" si="7"/>
        <v>0.93303830305984281</v>
      </c>
      <c r="O10" s="204">
        <f t="shared" si="8"/>
        <v>15.134009542333601</v>
      </c>
      <c r="P10" s="544"/>
      <c r="Q10" s="544"/>
      <c r="R10" s="209">
        <f t="shared" si="6"/>
        <v>5.9021419000000002</v>
      </c>
      <c r="S10" s="544"/>
      <c r="T10" s="544"/>
      <c r="U10" s="544"/>
      <c r="V10" s="545"/>
    </row>
    <row r="11" spans="1:22">
      <c r="A11" s="546">
        <v>1963</v>
      </c>
      <c r="B11" s="207">
        <f t="shared" si="0"/>
        <v>1965</v>
      </c>
      <c r="C11" s="548">
        <v>1.3557399999999999</v>
      </c>
      <c r="D11" s="549">
        <v>6.6511180000000003</v>
      </c>
      <c r="E11" s="550">
        <v>3.3575309999999998</v>
      </c>
      <c r="F11" s="551">
        <v>3.3575309999999998</v>
      </c>
      <c r="G11" s="171">
        <f>LN(E11)</f>
        <v>1.2112058824329439</v>
      </c>
      <c r="H11" s="170">
        <f>E11/C11</f>
        <v>2.4765301606502721</v>
      </c>
      <c r="I11" s="171">
        <f>LN(H11)</f>
        <v>0.90685845171226243</v>
      </c>
      <c r="J11" s="554"/>
      <c r="K11" s="550"/>
      <c r="L11" s="203">
        <f t="shared" si="4"/>
        <v>5.3970841189869487</v>
      </c>
      <c r="M11" s="204">
        <f t="shared" si="5"/>
        <v>4.1597769251693917</v>
      </c>
      <c r="N11" s="204">
        <f t="shared" si="7"/>
        <v>-1.7034015006499299</v>
      </c>
      <c r="O11" s="204">
        <f t="shared" si="8"/>
        <v>12.497569738623827</v>
      </c>
      <c r="P11" s="544"/>
      <c r="Q11" s="544"/>
      <c r="R11" s="209">
        <f t="shared" si="6"/>
        <v>5.9021419000000002</v>
      </c>
      <c r="S11" s="544"/>
      <c r="T11" s="544"/>
      <c r="U11" s="544"/>
      <c r="V11" s="545"/>
    </row>
    <row r="12" spans="1:22" ht="16" thickBot="1">
      <c r="A12" s="546">
        <v>1964</v>
      </c>
      <c r="B12" s="207">
        <f t="shared" si="0"/>
        <v>1966</v>
      </c>
      <c r="C12" s="548">
        <v>1.84168</v>
      </c>
      <c r="D12" s="549">
        <v>6.0485759999999997</v>
      </c>
      <c r="E12" s="553">
        <v>4</v>
      </c>
      <c r="F12" s="551">
        <v>4</v>
      </c>
      <c r="G12" s="171">
        <f t="shared" si="1"/>
        <v>1.3862943611198906</v>
      </c>
      <c r="H12" s="170">
        <f>E12/C12</f>
        <v>2.1719299769775424</v>
      </c>
      <c r="I12" s="171">
        <f t="shared" si="3"/>
        <v>0.77561616259138677</v>
      </c>
      <c r="J12" s="554"/>
      <c r="K12" s="550"/>
      <c r="L12" s="203">
        <f t="shared" si="4"/>
        <v>7.3315693866492717</v>
      </c>
      <c r="M12" s="204">
        <f t="shared" si="5"/>
        <v>11.099354578058605</v>
      </c>
      <c r="N12" s="204">
        <f t="shared" si="7"/>
        <v>0.23108376701239308</v>
      </c>
      <c r="O12" s="204">
        <f t="shared" si="8"/>
        <v>14.43205500628615</v>
      </c>
      <c r="P12" s="544"/>
      <c r="Q12" s="544"/>
      <c r="R12" s="209">
        <f t="shared" si="6"/>
        <v>5.9021419000000002</v>
      </c>
      <c r="S12" s="544"/>
      <c r="T12" s="544"/>
      <c r="U12" s="544"/>
      <c r="V12" s="545"/>
    </row>
    <row r="13" spans="1:22">
      <c r="A13" s="546">
        <v>1965</v>
      </c>
      <c r="B13" s="208">
        <f t="shared" si="0"/>
        <v>1967</v>
      </c>
      <c r="C13" s="557">
        <v>0.97595600000000005</v>
      </c>
      <c r="D13" s="552">
        <v>3.3575309999999998</v>
      </c>
      <c r="E13" s="550">
        <v>4.093</v>
      </c>
      <c r="F13" s="551">
        <v>4.093</v>
      </c>
      <c r="G13" s="171">
        <f t="shared" si="1"/>
        <v>1.409278197510266</v>
      </c>
      <c r="H13" s="170">
        <f t="shared" si="2"/>
        <v>4.1938366073880378</v>
      </c>
      <c r="I13" s="171">
        <f t="shared" si="3"/>
        <v>1.433615973062746</v>
      </c>
      <c r="J13" s="554"/>
      <c r="K13" s="550"/>
      <c r="L13" s="203">
        <f t="shared" si="4"/>
        <v>3.8851967401050547</v>
      </c>
      <c r="M13" s="204">
        <f t="shared" si="5"/>
        <v>4.3182194822966181E-2</v>
      </c>
      <c r="N13" s="204">
        <f t="shared" si="7"/>
        <v>-3.215288879531824</v>
      </c>
      <c r="O13" s="204">
        <f t="shared" si="8"/>
        <v>10.985682359741933</v>
      </c>
      <c r="P13" s="544"/>
      <c r="Q13" s="544"/>
      <c r="R13" s="209">
        <f t="shared" si="6"/>
        <v>5.9021419000000002</v>
      </c>
      <c r="S13" s="544"/>
      <c r="T13" s="558">
        <v>975956</v>
      </c>
      <c r="U13" s="206">
        <f>T13/1000000</f>
        <v>0.97595600000000005</v>
      </c>
      <c r="V13" s="545"/>
    </row>
    <row r="14" spans="1:22">
      <c r="A14" s="546">
        <v>1966</v>
      </c>
      <c r="B14" s="208">
        <f t="shared" si="0"/>
        <v>1968</v>
      </c>
      <c r="C14" s="559">
        <v>1.42317</v>
      </c>
      <c r="D14" s="552">
        <v>4</v>
      </c>
      <c r="E14" s="553">
        <v>3.54</v>
      </c>
      <c r="F14" s="551">
        <v>3.54</v>
      </c>
      <c r="G14" s="171">
        <f t="shared" si="1"/>
        <v>1.2641267271456831</v>
      </c>
      <c r="H14" s="170">
        <f t="shared" si="2"/>
        <v>2.4874048778431246</v>
      </c>
      <c r="I14" s="171">
        <f t="shared" si="3"/>
        <v>0.91123994925637541</v>
      </c>
      <c r="J14" s="554"/>
      <c r="K14" s="550"/>
      <c r="L14" s="203">
        <f t="shared" si="4"/>
        <v>5.6655171386981698</v>
      </c>
      <c r="M14" s="204">
        <f t="shared" si="5"/>
        <v>4.5178231068996544</v>
      </c>
      <c r="N14" s="204">
        <f t="shared" si="7"/>
        <v>-1.4349684809387089</v>
      </c>
      <c r="O14" s="204">
        <f t="shared" si="8"/>
        <v>12.766002758335048</v>
      </c>
      <c r="P14" s="544"/>
      <c r="Q14" s="544"/>
      <c r="R14" s="209">
        <f t="shared" si="6"/>
        <v>5.9021419000000002</v>
      </c>
      <c r="S14" s="544"/>
      <c r="T14" s="558">
        <v>1423170</v>
      </c>
      <c r="U14" s="206">
        <f t="shared" ref="U14:U37" si="9">T14/1000000</f>
        <v>1.42317</v>
      </c>
      <c r="V14" s="545"/>
    </row>
    <row r="15" spans="1:22">
      <c r="A15" s="546">
        <v>1967</v>
      </c>
      <c r="B15" s="208">
        <f t="shared" si="0"/>
        <v>1969</v>
      </c>
      <c r="C15" s="559">
        <v>0.84226000000000001</v>
      </c>
      <c r="D15" s="552">
        <v>4.093</v>
      </c>
      <c r="E15" s="550">
        <v>5.984</v>
      </c>
      <c r="F15" s="551">
        <v>5.984</v>
      </c>
      <c r="G15" s="171">
        <f t="shared" si="1"/>
        <v>1.7890892406721761</v>
      </c>
      <c r="H15" s="170">
        <f t="shared" si="2"/>
        <v>7.1046945123833494</v>
      </c>
      <c r="I15" s="171">
        <f>LN(H15)</f>
        <v>1.9607557644787987</v>
      </c>
      <c r="J15" s="554"/>
      <c r="K15" s="550"/>
      <c r="L15" s="203">
        <f>C15*EXP(I$58)</f>
        <v>3.3529644843833979</v>
      </c>
      <c r="M15" s="204">
        <f t="shared" si="5"/>
        <v>6.9223478844359194</v>
      </c>
      <c r="N15" s="204">
        <f t="shared" si="7"/>
        <v>-3.7475211352534807</v>
      </c>
      <c r="O15" s="204">
        <f t="shared" si="8"/>
        <v>10.453450104020277</v>
      </c>
      <c r="P15" s="544"/>
      <c r="Q15" s="544"/>
      <c r="R15" s="209">
        <f t="shared" si="6"/>
        <v>5.9021419000000002</v>
      </c>
      <c r="S15" s="544"/>
      <c r="T15" s="558">
        <v>842260</v>
      </c>
      <c r="U15" s="206">
        <f t="shared" si="9"/>
        <v>0.84226000000000001</v>
      </c>
      <c r="V15" s="545"/>
    </row>
    <row r="16" spans="1:22">
      <c r="A16" s="546">
        <v>1968</v>
      </c>
      <c r="B16" s="208">
        <f t="shared" si="0"/>
        <v>1970</v>
      </c>
      <c r="C16" s="559">
        <v>1.1565099999999999</v>
      </c>
      <c r="D16" s="552">
        <v>3.54</v>
      </c>
      <c r="E16" s="553">
        <v>3.700186</v>
      </c>
      <c r="F16" s="551">
        <v>3.700186</v>
      </c>
      <c r="G16" s="171">
        <f t="shared" si="1"/>
        <v>1.3083830886569414</v>
      </c>
      <c r="H16" s="170">
        <f t="shared" si="2"/>
        <v>3.199441422901661</v>
      </c>
      <c r="I16" s="171">
        <f t="shared" si="3"/>
        <v>1.1629762392258929</v>
      </c>
      <c r="J16" s="554"/>
      <c r="K16" s="550"/>
      <c r="L16" s="203">
        <f t="shared" si="4"/>
        <v>4.6039666561800905</v>
      </c>
      <c r="M16" s="204">
        <f t="shared" si="5"/>
        <v>0.816819474485315</v>
      </c>
      <c r="N16" s="204">
        <f t="shared" si="7"/>
        <v>-2.4965189634567881</v>
      </c>
      <c r="O16" s="204">
        <f t="shared" si="8"/>
        <v>11.704452275816969</v>
      </c>
      <c r="P16" s="544"/>
      <c r="Q16" s="544"/>
      <c r="R16" s="209">
        <f t="shared" si="6"/>
        <v>5.9021419000000002</v>
      </c>
      <c r="S16" s="544"/>
      <c r="T16" s="558">
        <v>1156510</v>
      </c>
      <c r="U16" s="206">
        <f t="shared" si="9"/>
        <v>1.1565099999999999</v>
      </c>
      <c r="V16" s="545"/>
    </row>
    <row r="17" spans="1:22">
      <c r="A17" s="546">
        <v>1969</v>
      </c>
      <c r="B17" s="208">
        <f t="shared" si="0"/>
        <v>1971</v>
      </c>
      <c r="C17" s="559">
        <v>0.40456999999999999</v>
      </c>
      <c r="D17" s="552">
        <v>5.984</v>
      </c>
      <c r="E17" s="550">
        <v>9.4320000000000004</v>
      </c>
      <c r="F17" s="551">
        <v>9.4320000000000004</v>
      </c>
      <c r="G17" s="171">
        <f t="shared" si="1"/>
        <v>2.2441081632350697</v>
      </c>
      <c r="H17" s="170">
        <f t="shared" si="2"/>
        <v>23.313641644214847</v>
      </c>
      <c r="I17" s="171">
        <f t="shared" si="3"/>
        <v>3.1490386675385906</v>
      </c>
      <c r="J17" s="554"/>
      <c r="K17" s="550"/>
      <c r="L17" s="203">
        <f t="shared" si="4"/>
        <v>1.6105583091289994</v>
      </c>
      <c r="M17" s="204">
        <f t="shared" si="5"/>
        <v>61.174950123695027</v>
      </c>
      <c r="N17" s="204">
        <f t="shared" si="7"/>
        <v>-5.4899273105078787</v>
      </c>
      <c r="O17" s="204">
        <f t="shared" si="8"/>
        <v>8.7110439287658785</v>
      </c>
      <c r="P17" s="544"/>
      <c r="Q17" s="544"/>
      <c r="R17" s="209">
        <f t="shared" si="6"/>
        <v>5.9021419000000002</v>
      </c>
      <c r="S17" s="544"/>
      <c r="T17" s="558">
        <v>404570</v>
      </c>
      <c r="U17" s="206">
        <f t="shared" si="9"/>
        <v>0.40456999999999999</v>
      </c>
      <c r="V17" s="545"/>
    </row>
    <row r="18" spans="1:22">
      <c r="A18" s="546">
        <v>1970</v>
      </c>
      <c r="B18" s="208">
        <f t="shared" si="0"/>
        <v>1972</v>
      </c>
      <c r="C18" s="559">
        <v>0.97921999999999998</v>
      </c>
      <c r="D18" s="552">
        <v>3.700186</v>
      </c>
      <c r="E18" s="553">
        <v>0.66</v>
      </c>
      <c r="F18" s="551">
        <v>0.66</v>
      </c>
      <c r="G18" s="171">
        <f t="shared" si="1"/>
        <v>-0.41551544396166579</v>
      </c>
      <c r="H18" s="170">
        <f t="shared" si="2"/>
        <v>0.67400584138395869</v>
      </c>
      <c r="I18" s="171">
        <f t="shared" si="3"/>
        <v>-0.39451650136560751</v>
      </c>
      <c r="J18" s="554"/>
      <c r="K18" s="550"/>
      <c r="L18" s="203">
        <f t="shared" si="4"/>
        <v>3.8981904428536445</v>
      </c>
      <c r="M18" s="204">
        <f t="shared" si="5"/>
        <v>10.485877344188681</v>
      </c>
      <c r="N18" s="204">
        <f t="shared" si="7"/>
        <v>-3.2022951767832342</v>
      </c>
      <c r="O18" s="204">
        <f t="shared" si="8"/>
        <v>10.998676062490523</v>
      </c>
      <c r="P18" s="544"/>
      <c r="Q18" s="544"/>
      <c r="R18" s="209">
        <f t="shared" si="6"/>
        <v>5.9021419000000002</v>
      </c>
      <c r="S18" s="544"/>
      <c r="T18" s="558">
        <v>979220</v>
      </c>
      <c r="U18" s="206">
        <f t="shared" si="9"/>
        <v>0.97921999999999998</v>
      </c>
      <c r="V18" s="545"/>
    </row>
    <row r="19" spans="1:22">
      <c r="A19" s="546">
        <v>1971</v>
      </c>
      <c r="B19" s="208">
        <f t="shared" si="0"/>
        <v>1973</v>
      </c>
      <c r="C19" s="559">
        <v>1.1125499999999999</v>
      </c>
      <c r="D19" s="552">
        <v>9.4320000000000004</v>
      </c>
      <c r="E19" s="550">
        <v>3.2869999999999999</v>
      </c>
      <c r="F19" s="551">
        <v>3.2869999999999999</v>
      </c>
      <c r="G19" s="171">
        <f t="shared" si="1"/>
        <v>1.1899752946820823</v>
      </c>
      <c r="H19" s="170">
        <f t="shared" si="2"/>
        <v>2.9544739562266864</v>
      </c>
      <c r="I19" s="171">
        <f t="shared" si="3"/>
        <v>1.0833206168135425</v>
      </c>
      <c r="J19" s="554"/>
      <c r="K19" s="550"/>
      <c r="L19" s="203">
        <f t="shared" si="4"/>
        <v>4.4289656841126837</v>
      </c>
      <c r="M19" s="204">
        <f t="shared" si="5"/>
        <v>1.3040856236909497</v>
      </c>
      <c r="N19" s="204">
        <f t="shared" si="7"/>
        <v>-2.671519935524195</v>
      </c>
      <c r="O19" s="204">
        <f t="shared" si="8"/>
        <v>11.529451303749562</v>
      </c>
      <c r="P19" s="544"/>
      <c r="Q19" s="544"/>
      <c r="R19" s="209">
        <f t="shared" si="6"/>
        <v>5.9021419000000002</v>
      </c>
      <c r="S19" s="544"/>
      <c r="T19" s="558">
        <v>1112550</v>
      </c>
      <c r="U19" s="206">
        <f t="shared" si="9"/>
        <v>1.1125499999999999</v>
      </c>
      <c r="V19" s="545"/>
    </row>
    <row r="20" spans="1:22">
      <c r="A20" s="546">
        <v>1972</v>
      </c>
      <c r="B20" s="208">
        <f t="shared" si="0"/>
        <v>1974</v>
      </c>
      <c r="C20" s="559">
        <v>0.64117999999999997</v>
      </c>
      <c r="D20" s="552">
        <v>0.66</v>
      </c>
      <c r="E20" s="550">
        <v>1.31</v>
      </c>
      <c r="F20" s="551">
        <v>1.31</v>
      </c>
      <c r="G20" s="171">
        <f t="shared" si="1"/>
        <v>0.27002713721306021</v>
      </c>
      <c r="H20" s="170">
        <f t="shared" si="2"/>
        <v>2.0431080195888831</v>
      </c>
      <c r="I20" s="171">
        <f t="shared" si="3"/>
        <v>0.71447218746217256</v>
      </c>
      <c r="J20" s="554"/>
      <c r="K20" s="550"/>
      <c r="L20" s="203">
        <f t="shared" si="4"/>
        <v>2.5524823309868054</v>
      </c>
      <c r="M20" s="204">
        <f t="shared" si="5"/>
        <v>1.5437623428144054</v>
      </c>
      <c r="N20" s="204">
        <f t="shared" si="7"/>
        <v>-4.5480032886500732</v>
      </c>
      <c r="O20" s="204">
        <f t="shared" si="8"/>
        <v>9.6529679506236832</v>
      </c>
      <c r="P20" s="544"/>
      <c r="Q20" s="544"/>
      <c r="R20" s="209">
        <f t="shared" si="6"/>
        <v>5.9021419000000002</v>
      </c>
      <c r="S20" s="544"/>
      <c r="T20" s="558">
        <v>641180</v>
      </c>
      <c r="U20" s="206">
        <f t="shared" si="9"/>
        <v>0.64117999999999997</v>
      </c>
      <c r="V20" s="545"/>
    </row>
    <row r="21" spans="1:22">
      <c r="A21" s="546">
        <v>1973</v>
      </c>
      <c r="B21" s="208">
        <f t="shared" si="0"/>
        <v>1975</v>
      </c>
      <c r="C21" s="559">
        <v>1.2250099999999999</v>
      </c>
      <c r="D21" s="552">
        <v>3.2869999999999999</v>
      </c>
      <c r="E21" s="550">
        <v>6.0862499999999997</v>
      </c>
      <c r="F21" s="551">
        <v>6.0862499999999997</v>
      </c>
      <c r="G21" s="171">
        <f t="shared" si="1"/>
        <v>1.8060321285147736</v>
      </c>
      <c r="H21" s="170">
        <f t="shared" si="2"/>
        <v>4.9683267891690681</v>
      </c>
      <c r="I21" s="171">
        <f t="shared" si="3"/>
        <v>1.6030831212860965</v>
      </c>
      <c r="J21" s="554"/>
      <c r="K21" s="550"/>
      <c r="L21" s="203">
        <f t="shared" si="4"/>
        <v>4.8766592536918596</v>
      </c>
      <c r="M21" s="204">
        <f t="shared" si="5"/>
        <v>1.4631097735542833</v>
      </c>
      <c r="N21" s="204">
        <f t="shared" si="7"/>
        <v>-2.223826365945019</v>
      </c>
      <c r="O21" s="204">
        <f t="shared" si="8"/>
        <v>11.977144873328738</v>
      </c>
      <c r="P21" s="544"/>
      <c r="Q21" s="544"/>
      <c r="R21" s="209">
        <f t="shared" si="6"/>
        <v>5.9021419000000002</v>
      </c>
      <c r="S21" s="544"/>
      <c r="T21" s="558">
        <v>1225010</v>
      </c>
      <c r="U21" s="206">
        <f t="shared" si="9"/>
        <v>1.2250099999999999</v>
      </c>
      <c r="V21" s="545"/>
    </row>
    <row r="22" spans="1:22">
      <c r="A22" s="546">
        <v>1974</v>
      </c>
      <c r="B22" s="208">
        <f t="shared" si="0"/>
        <v>1976</v>
      </c>
      <c r="C22" s="559">
        <v>0.95811999999999997</v>
      </c>
      <c r="D22" s="552">
        <v>1.31</v>
      </c>
      <c r="E22" s="550">
        <v>3.925027</v>
      </c>
      <c r="F22" s="551">
        <v>3.925027</v>
      </c>
      <c r="G22" s="171">
        <f t="shared" si="1"/>
        <v>1.3673732301916035</v>
      </c>
      <c r="H22" s="170">
        <f t="shared" si="2"/>
        <v>4.0965922848912459</v>
      </c>
      <c r="I22" s="171">
        <f t="shared" si="3"/>
        <v>1.4101554780870451</v>
      </c>
      <c r="J22" s="554"/>
      <c r="K22" s="550"/>
      <c r="L22" s="203">
        <f t="shared" si="4"/>
        <v>3.8141931609923549</v>
      </c>
      <c r="M22" s="204">
        <f t="shared" si="5"/>
        <v>1.2284139869172591E-2</v>
      </c>
      <c r="N22" s="204">
        <f t="shared" si="7"/>
        <v>-3.2862924586445237</v>
      </c>
      <c r="O22" s="204">
        <f t="shared" si="8"/>
        <v>10.914678780629234</v>
      </c>
      <c r="P22" s="544"/>
      <c r="Q22" s="544"/>
      <c r="R22" s="209">
        <f t="shared" si="6"/>
        <v>5.9021419000000002</v>
      </c>
      <c r="S22" s="544"/>
      <c r="T22" s="558">
        <v>958120</v>
      </c>
      <c r="U22" s="206">
        <f t="shared" si="9"/>
        <v>0.95811999999999997</v>
      </c>
      <c r="V22" s="545"/>
    </row>
    <row r="23" spans="1:22">
      <c r="A23" s="546">
        <v>1975</v>
      </c>
      <c r="B23" s="208">
        <f t="shared" si="0"/>
        <v>1977</v>
      </c>
      <c r="C23" s="559">
        <v>1.26556</v>
      </c>
      <c r="D23" s="552">
        <v>6.0862499999999997</v>
      </c>
      <c r="E23" s="550">
        <v>5.8164009999999999</v>
      </c>
      <c r="F23" s="551">
        <v>5.8164009999999999</v>
      </c>
      <c r="G23" s="171">
        <f t="shared" si="1"/>
        <v>1.7606816855848315</v>
      </c>
      <c r="H23" s="170">
        <f t="shared" si="2"/>
        <v>4.5959109011030685</v>
      </c>
      <c r="I23" s="171">
        <f t="shared" si="3"/>
        <v>1.5251669736156246</v>
      </c>
      <c r="J23" s="554"/>
      <c r="K23" s="550"/>
      <c r="L23" s="203">
        <f t="shared" si="4"/>
        <v>5.0380853095911631</v>
      </c>
      <c r="M23" s="204">
        <f t="shared" si="5"/>
        <v>0.60577531393658435</v>
      </c>
      <c r="N23" s="204">
        <f t="shared" si="7"/>
        <v>-2.0624003100457156</v>
      </c>
      <c r="O23" s="204">
        <f t="shared" si="8"/>
        <v>12.138570929228042</v>
      </c>
      <c r="P23" s="544"/>
      <c r="Q23" s="544"/>
      <c r="R23" s="209">
        <f t="shared" si="6"/>
        <v>5.9021419000000002</v>
      </c>
      <c r="S23" s="544"/>
      <c r="T23" s="558">
        <v>1265560</v>
      </c>
      <c r="U23" s="206">
        <f t="shared" si="9"/>
        <v>1.26556</v>
      </c>
      <c r="V23" s="545"/>
    </row>
    <row r="24" spans="1:22">
      <c r="A24" s="546">
        <v>1976</v>
      </c>
      <c r="B24" s="208">
        <f t="shared" si="0"/>
        <v>1978</v>
      </c>
      <c r="C24" s="559">
        <v>0.92625999999999997</v>
      </c>
      <c r="D24" s="552">
        <v>3.925027</v>
      </c>
      <c r="E24" s="550">
        <v>3.9250829999999999</v>
      </c>
      <c r="F24" s="551">
        <v>3.9250829999999999</v>
      </c>
      <c r="G24" s="171">
        <f t="shared" si="1"/>
        <v>1.367387497507603</v>
      </c>
      <c r="H24" s="170">
        <f t="shared" si="2"/>
        <v>4.2375607280893055</v>
      </c>
      <c r="I24" s="171">
        <f t="shared" si="3"/>
        <v>1.4439878037163998</v>
      </c>
      <c r="J24" s="554"/>
      <c r="K24" s="550"/>
      <c r="L24" s="203">
        <f t="shared" si="4"/>
        <v>3.68736124629564</v>
      </c>
      <c r="M24" s="204">
        <f t="shared" si="5"/>
        <v>5.6511632184276343E-2</v>
      </c>
      <c r="N24" s="204">
        <f t="shared" si="7"/>
        <v>-3.4131243733412386</v>
      </c>
      <c r="O24" s="204">
        <f t="shared" si="8"/>
        <v>10.787846865932519</v>
      </c>
      <c r="P24" s="544"/>
      <c r="Q24" s="544"/>
      <c r="R24" s="209">
        <f t="shared" si="6"/>
        <v>5.9021419000000002</v>
      </c>
      <c r="S24" s="544"/>
      <c r="T24" s="558">
        <v>926260</v>
      </c>
      <c r="U24" s="206">
        <f t="shared" si="9"/>
        <v>0.92625999999999997</v>
      </c>
      <c r="V24" s="545"/>
    </row>
    <row r="25" spans="1:22">
      <c r="A25" s="546">
        <v>1977</v>
      </c>
      <c r="B25" s="208">
        <f t="shared" si="0"/>
        <v>1979</v>
      </c>
      <c r="C25" s="559">
        <v>1.29817</v>
      </c>
      <c r="D25" s="552">
        <v>5.8164009999999999</v>
      </c>
      <c r="E25" s="550">
        <v>17.335502999999999</v>
      </c>
      <c r="F25" s="551">
        <v>17.335502999999999</v>
      </c>
      <c r="G25" s="171">
        <f t="shared" si="1"/>
        <v>2.8527565951567446</v>
      </c>
      <c r="H25" s="170">
        <f t="shared" si="2"/>
        <v>13.353800349723072</v>
      </c>
      <c r="I25" s="171">
        <f t="shared" si="3"/>
        <v>2.5918010147265722</v>
      </c>
      <c r="J25" s="554"/>
      <c r="K25" s="550"/>
      <c r="L25" s="203">
        <f t="shared" si="4"/>
        <v>5.1679029096620939</v>
      </c>
      <c r="M25" s="204">
        <f t="shared" si="5"/>
        <v>148.05049195839104</v>
      </c>
      <c r="N25" s="204">
        <f t="shared" si="7"/>
        <v>-1.9325827099747848</v>
      </c>
      <c r="O25" s="204">
        <f t="shared" si="8"/>
        <v>12.268388529298973</v>
      </c>
      <c r="P25" s="544"/>
      <c r="Q25" s="544"/>
      <c r="R25" s="209">
        <f t="shared" si="6"/>
        <v>5.9021419000000002</v>
      </c>
      <c r="S25" s="544"/>
      <c r="T25" s="558">
        <v>1298170</v>
      </c>
      <c r="U25" s="206">
        <f t="shared" si="9"/>
        <v>1.29817</v>
      </c>
      <c r="V25" s="545"/>
    </row>
    <row r="26" spans="1:22">
      <c r="A26" s="546">
        <v>1978</v>
      </c>
      <c r="B26" s="208">
        <f t="shared" si="0"/>
        <v>1980</v>
      </c>
      <c r="C26" s="559">
        <v>1.1450100000000001</v>
      </c>
      <c r="D26" s="552">
        <v>3.9250829999999999</v>
      </c>
      <c r="E26" s="550">
        <v>14.013916</v>
      </c>
      <c r="F26" s="551">
        <v>14.013916</v>
      </c>
      <c r="G26" s="171">
        <f t="shared" si="1"/>
        <v>2.6400508359243839</v>
      </c>
      <c r="H26" s="170">
        <f t="shared" si="2"/>
        <v>12.239121055711303</v>
      </c>
      <c r="I26" s="171">
        <f t="shared" si="3"/>
        <v>2.5046374653318648</v>
      </c>
      <c r="J26" s="554"/>
      <c r="K26" s="550"/>
      <c r="L26" s="203">
        <f t="shared" si="4"/>
        <v>4.5581861471087723</v>
      </c>
      <c r="M26" s="204">
        <f t="shared" si="5"/>
        <v>89.410827050858359</v>
      </c>
      <c r="N26" s="204">
        <f t="shared" si="7"/>
        <v>-2.5422994725281063</v>
      </c>
      <c r="O26" s="204">
        <f t="shared" si="8"/>
        <v>11.658671766745652</v>
      </c>
      <c r="P26" s="544"/>
      <c r="Q26" s="544"/>
      <c r="R26" s="209">
        <f t="shared" si="6"/>
        <v>5.9021419000000002</v>
      </c>
      <c r="S26" s="544"/>
      <c r="T26" s="558">
        <v>1145010</v>
      </c>
      <c r="U26" s="206">
        <f t="shared" si="9"/>
        <v>1.1450100000000001</v>
      </c>
      <c r="V26" s="545"/>
    </row>
    <row r="27" spans="1:22">
      <c r="A27" s="546">
        <v>1979</v>
      </c>
      <c r="B27" s="208">
        <f t="shared" si="0"/>
        <v>1981</v>
      </c>
      <c r="C27" s="559">
        <v>2.2172800000000001</v>
      </c>
      <c r="D27" s="552">
        <v>17.335502999999999</v>
      </c>
      <c r="E27" s="550">
        <v>19.568866</v>
      </c>
      <c r="F27" s="551">
        <v>19.568866</v>
      </c>
      <c r="G27" s="171">
        <f t="shared" si="1"/>
        <v>2.9739398338935978</v>
      </c>
      <c r="H27" s="170">
        <f t="shared" si="2"/>
        <v>8.8256178741521136</v>
      </c>
      <c r="I27" s="171">
        <f t="shared" si="3"/>
        <v>2.177658614436718</v>
      </c>
      <c r="J27" s="554"/>
      <c r="K27" s="550"/>
      <c r="L27" s="203">
        <f t="shared" si="4"/>
        <v>8.8268006220568722</v>
      </c>
      <c r="M27" s="204">
        <f t="shared" si="5"/>
        <v>115.39196858400443</v>
      </c>
      <c r="N27" s="204">
        <f t="shared" si="7"/>
        <v>1.7263150024199936</v>
      </c>
      <c r="O27" s="204">
        <f t="shared" si="8"/>
        <v>15.92728624169375</v>
      </c>
      <c r="P27" s="544"/>
      <c r="Q27" s="544"/>
      <c r="R27" s="209">
        <f t="shared" si="6"/>
        <v>5.9021419000000002</v>
      </c>
      <c r="S27" s="544"/>
      <c r="T27" s="558">
        <v>2217280</v>
      </c>
      <c r="U27" s="206">
        <f t="shared" si="9"/>
        <v>2.2172800000000001</v>
      </c>
      <c r="V27" s="545"/>
    </row>
    <row r="28" spans="1:22">
      <c r="A28" s="546">
        <v>1980</v>
      </c>
      <c r="B28" s="208">
        <f t="shared" si="0"/>
        <v>1982</v>
      </c>
      <c r="C28" s="559">
        <v>1.67194</v>
      </c>
      <c r="D28" s="552">
        <v>14.013916</v>
      </c>
      <c r="E28" s="550">
        <v>16.794316999999999</v>
      </c>
      <c r="F28" s="551">
        <v>16.794316999999999</v>
      </c>
      <c r="G28" s="171">
        <f t="shared" si="1"/>
        <v>2.8210405553721984</v>
      </c>
      <c r="H28" s="170">
        <f t="shared" si="2"/>
        <v>10.044808426139694</v>
      </c>
      <c r="I28" s="171">
        <f t="shared" si="3"/>
        <v>2.3070559265210404</v>
      </c>
      <c r="J28" s="554"/>
      <c r="K28" s="550"/>
      <c r="L28" s="203">
        <f t="shared" si="4"/>
        <v>6.6558490727566051</v>
      </c>
      <c r="M28" s="204">
        <f t="shared" si="5"/>
        <v>102.78853191174295</v>
      </c>
      <c r="N28" s="204">
        <f t="shared" si="7"/>
        <v>-0.44463654688027354</v>
      </c>
      <c r="O28" s="204">
        <f t="shared" si="8"/>
        <v>13.756334692393484</v>
      </c>
      <c r="P28" s="544"/>
      <c r="Q28" s="544"/>
      <c r="R28" s="209">
        <f t="shared" si="6"/>
        <v>5.9021419000000002</v>
      </c>
      <c r="S28" s="544"/>
      <c r="T28" s="558">
        <v>1671940</v>
      </c>
      <c r="U28" s="206">
        <f t="shared" si="9"/>
        <v>1.67194</v>
      </c>
      <c r="V28" s="545"/>
    </row>
    <row r="29" spans="1:22">
      <c r="A29" s="546">
        <v>1981</v>
      </c>
      <c r="B29" s="208">
        <f t="shared" si="0"/>
        <v>1983</v>
      </c>
      <c r="C29" s="559">
        <v>1.7130799999999999</v>
      </c>
      <c r="D29" s="552">
        <v>19.568866</v>
      </c>
      <c r="E29" s="550">
        <v>11.567348000000001</v>
      </c>
      <c r="F29" s="551">
        <v>11.567348000000001</v>
      </c>
      <c r="G29" s="171">
        <f t="shared" si="1"/>
        <v>2.4481863014490139</v>
      </c>
      <c r="H29" s="170">
        <f t="shared" si="2"/>
        <v>6.7523688327456988</v>
      </c>
      <c r="I29" s="171">
        <f t="shared" si="3"/>
        <v>1.9098933815045849</v>
      </c>
      <c r="J29" s="554"/>
      <c r="K29" s="550"/>
      <c r="L29" s="203">
        <f t="shared" si="4"/>
        <v>6.8196238678169578</v>
      </c>
      <c r="M29" s="204">
        <f t="shared" si="5"/>
        <v>22.540884435313227</v>
      </c>
      <c r="N29" s="204">
        <f t="shared" si="7"/>
        <v>-0.28086175181992079</v>
      </c>
      <c r="O29" s="204">
        <f t="shared" si="8"/>
        <v>13.920109487453836</v>
      </c>
      <c r="P29" s="544"/>
      <c r="Q29" s="544"/>
      <c r="R29" s="209">
        <f t="shared" si="6"/>
        <v>5.9021419000000002</v>
      </c>
      <c r="S29" s="544"/>
      <c r="T29" s="558">
        <v>1713080</v>
      </c>
      <c r="U29" s="206">
        <f t="shared" si="9"/>
        <v>1.7130799999999999</v>
      </c>
      <c r="V29" s="545"/>
    </row>
    <row r="30" spans="1:22">
      <c r="A30" s="546">
        <v>1982</v>
      </c>
      <c r="B30" s="208">
        <f t="shared" si="0"/>
        <v>1984</v>
      </c>
      <c r="C30" s="559">
        <v>2.2745700000000002</v>
      </c>
      <c r="D30" s="552">
        <v>16.794316999999999</v>
      </c>
      <c r="E30" s="550">
        <v>21.201512999999998</v>
      </c>
      <c r="F30" s="551">
        <v>21.201512999999998</v>
      </c>
      <c r="G30" s="171">
        <f t="shared" si="1"/>
        <v>3.054072547055926</v>
      </c>
      <c r="H30" s="170">
        <f t="shared" si="2"/>
        <v>9.3211081654994121</v>
      </c>
      <c r="I30" s="171">
        <f t="shared" si="3"/>
        <v>2.2322815235068512</v>
      </c>
      <c r="J30" s="554"/>
      <c r="K30" s="550"/>
      <c r="L30" s="203">
        <f t="shared" si="4"/>
        <v>9.0548671755086865</v>
      </c>
      <c r="M30" s="204">
        <f t="shared" si="5"/>
        <v>147.54100478563223</v>
      </c>
      <c r="N30" s="204">
        <f t="shared" si="7"/>
        <v>1.9543815558718078</v>
      </c>
      <c r="O30" s="204">
        <f t="shared" si="8"/>
        <v>16.155352795145564</v>
      </c>
      <c r="P30" s="544"/>
      <c r="Q30" s="544"/>
      <c r="R30" s="209">
        <f t="shared" si="6"/>
        <v>5.9021419000000002</v>
      </c>
      <c r="S30" s="544"/>
      <c r="T30" s="558">
        <v>2274570</v>
      </c>
      <c r="U30" s="206">
        <f t="shared" si="9"/>
        <v>2.2745700000000002</v>
      </c>
      <c r="V30" s="545"/>
    </row>
    <row r="31" spans="1:22">
      <c r="A31" s="546">
        <v>1983</v>
      </c>
      <c r="B31" s="208">
        <f t="shared" si="0"/>
        <v>1985</v>
      </c>
      <c r="C31" s="559">
        <v>2.1631</v>
      </c>
      <c r="D31" s="552">
        <v>11.567348000000001</v>
      </c>
      <c r="E31" s="550">
        <v>19.938105</v>
      </c>
      <c r="F31" s="551">
        <v>19.938105</v>
      </c>
      <c r="G31" s="171">
        <f t="shared" si="1"/>
        <v>2.9926327249122546</v>
      </c>
      <c r="H31" s="170">
        <f t="shared" si="2"/>
        <v>9.2173755258656556</v>
      </c>
      <c r="I31" s="171">
        <f t="shared" si="3"/>
        <v>2.2210903469249357</v>
      </c>
      <c r="J31" s="554"/>
      <c r="K31" s="550"/>
      <c r="L31" s="203">
        <f t="shared" si="4"/>
        <v>8.6111147106234753</v>
      </c>
      <c r="M31" s="204">
        <f t="shared" si="5"/>
        <v>128.30070901563008</v>
      </c>
      <c r="N31" s="204">
        <f t="shared" si="7"/>
        <v>1.5106290909865967</v>
      </c>
      <c r="O31" s="204">
        <f t="shared" si="8"/>
        <v>15.711600330260353</v>
      </c>
      <c r="P31" s="544"/>
      <c r="Q31" s="544"/>
      <c r="R31" s="209">
        <f t="shared" si="6"/>
        <v>5.9021419000000002</v>
      </c>
      <c r="S31" s="544"/>
      <c r="T31" s="558">
        <v>2163100</v>
      </c>
      <c r="U31" s="206">
        <f t="shared" si="9"/>
        <v>2.1631</v>
      </c>
      <c r="V31" s="545"/>
    </row>
    <row r="32" spans="1:22">
      <c r="A32" s="546">
        <v>1984</v>
      </c>
      <c r="B32" s="208">
        <f t="shared" si="0"/>
        <v>1986</v>
      </c>
      <c r="C32" s="559">
        <v>4.03186</v>
      </c>
      <c r="D32" s="552">
        <v>21.201512999999998</v>
      </c>
      <c r="E32" s="550">
        <v>5.5639570000000003</v>
      </c>
      <c r="F32" s="551">
        <v>5.5639570000000003</v>
      </c>
      <c r="G32" s="171">
        <f t="shared" si="1"/>
        <v>1.716309545778278</v>
      </c>
      <c r="H32" s="170">
        <f t="shared" si="2"/>
        <v>1.3799975693600472</v>
      </c>
      <c r="I32" s="171">
        <f t="shared" si="3"/>
        <v>0.32208173783426308</v>
      </c>
      <c r="J32" s="554"/>
      <c r="K32" s="550"/>
      <c r="L32" s="203">
        <f t="shared" si="4"/>
        <v>16.050487243851123</v>
      </c>
      <c r="M32" s="204">
        <f t="shared" si="5"/>
        <v>109.96731655520428</v>
      </c>
      <c r="N32" s="204">
        <f t="shared" si="7"/>
        <v>8.9500016242142451</v>
      </c>
      <c r="O32" s="204">
        <f t="shared" si="8"/>
        <v>23.150972863488001</v>
      </c>
      <c r="P32" s="544"/>
      <c r="Q32" s="544"/>
      <c r="R32" s="209">
        <f t="shared" si="6"/>
        <v>5.9021419000000002</v>
      </c>
      <c r="S32" s="544"/>
      <c r="T32" s="558">
        <v>4031860</v>
      </c>
      <c r="U32" s="206">
        <f t="shared" si="9"/>
        <v>4.03186</v>
      </c>
      <c r="V32" s="545"/>
    </row>
    <row r="33" spans="1:22">
      <c r="A33" s="546">
        <v>1985</v>
      </c>
      <c r="B33" s="208">
        <f t="shared" si="0"/>
        <v>1987</v>
      </c>
      <c r="C33" s="559">
        <v>2.6213299999999999</v>
      </c>
      <c r="D33" s="552">
        <v>19.938105</v>
      </c>
      <c r="E33" s="550">
        <v>13.066943999999999</v>
      </c>
      <c r="F33" s="551">
        <v>13.066943999999999</v>
      </c>
      <c r="G33" s="171">
        <f t="shared" si="1"/>
        <v>2.5700856823928668</v>
      </c>
      <c r="H33" s="170">
        <f>E33/C33</f>
        <v>4.9848527274322576</v>
      </c>
      <c r="I33" s="171">
        <f t="shared" si="3"/>
        <v>1.606403859834417</v>
      </c>
      <c r="J33" s="554"/>
      <c r="K33" s="550"/>
      <c r="L33" s="203">
        <f t="shared" si="4"/>
        <v>10.435288855993081</v>
      </c>
      <c r="M33" s="204">
        <f t="shared" si="5"/>
        <v>6.925608796978076</v>
      </c>
      <c r="N33" s="204">
        <f t="shared" si="7"/>
        <v>3.3348032363562021</v>
      </c>
      <c r="O33" s="204">
        <f t="shared" si="8"/>
        <v>17.53577447562996</v>
      </c>
      <c r="P33" s="544"/>
      <c r="Q33" s="544"/>
      <c r="R33" s="209">
        <f t="shared" si="6"/>
        <v>5.9021419000000002</v>
      </c>
      <c r="S33" s="544"/>
      <c r="T33" s="558">
        <v>2621330</v>
      </c>
      <c r="U33" s="206">
        <f t="shared" si="9"/>
        <v>2.6213299999999999</v>
      </c>
      <c r="V33" s="545"/>
    </row>
    <row r="34" spans="1:22" ht="16" thickBot="1">
      <c r="A34" s="546">
        <v>1986</v>
      </c>
      <c r="B34" s="208">
        <f t="shared" si="0"/>
        <v>1988</v>
      </c>
      <c r="C34" s="559">
        <v>0.96021999999999996</v>
      </c>
      <c r="D34" s="552">
        <v>5.5639570000000003</v>
      </c>
      <c r="E34" s="550">
        <v>1.7669360000000001</v>
      </c>
      <c r="F34" s="551">
        <v>1.7669360000000001</v>
      </c>
      <c r="G34" s="171">
        <f t="shared" si="1"/>
        <v>0.5692469731004034</v>
      </c>
      <c r="H34" s="170">
        <f>E34/C34</f>
        <v>1.8401366353543982</v>
      </c>
      <c r="I34" s="171">
        <f t="shared" si="3"/>
        <v>0.60983982720866148</v>
      </c>
      <c r="J34" s="554"/>
      <c r="K34" s="550"/>
      <c r="L34" s="203">
        <f t="shared" si="4"/>
        <v>3.8225530800401608</v>
      </c>
      <c r="M34" s="204">
        <f t="shared" si="5"/>
        <v>4.2255615797528376</v>
      </c>
      <c r="N34" s="204">
        <f t="shared" si="7"/>
        <v>-3.2779325395967178</v>
      </c>
      <c r="O34" s="204">
        <f t="shared" si="8"/>
        <v>10.92303869967704</v>
      </c>
      <c r="P34" s="544"/>
      <c r="Q34" s="544"/>
      <c r="R34" s="209">
        <f t="shared" si="6"/>
        <v>5.9021419000000002</v>
      </c>
      <c r="S34" s="544"/>
      <c r="T34" s="558">
        <v>960220</v>
      </c>
      <c r="U34" s="206">
        <f t="shared" si="9"/>
        <v>0.96021999999999996</v>
      </c>
      <c r="V34" s="545"/>
    </row>
    <row r="35" spans="1:22">
      <c r="A35" s="546">
        <v>1987</v>
      </c>
      <c r="B35" s="208">
        <f t="shared" si="0"/>
        <v>1989</v>
      </c>
      <c r="C35" s="559">
        <v>1.46624</v>
      </c>
      <c r="D35" s="552">
        <v>13.066943999999999</v>
      </c>
      <c r="E35" s="550">
        <v>6.6103420000000002</v>
      </c>
      <c r="F35" s="557">
        <v>4.74</v>
      </c>
      <c r="G35" s="171">
        <f t="shared" si="1"/>
        <v>1.8886353923133379</v>
      </c>
      <c r="H35" s="170">
        <f>F35/C35</f>
        <v>3.2327586206896552</v>
      </c>
      <c r="I35" s="171">
        <f t="shared" si="3"/>
        <v>1.1733358348640461</v>
      </c>
      <c r="J35" s="554"/>
      <c r="K35" s="550"/>
      <c r="L35" s="203">
        <f t="shared" si="4"/>
        <v>5.8369750974548396</v>
      </c>
      <c r="M35" s="204">
        <f t="shared" si="5"/>
        <v>0.59809636595229598</v>
      </c>
      <c r="N35" s="204">
        <f t="shared" si="7"/>
        <v>-1.2635105221820391</v>
      </c>
      <c r="O35" s="204">
        <f t="shared" si="8"/>
        <v>12.937460717091717</v>
      </c>
      <c r="P35" s="544"/>
      <c r="Q35" s="544"/>
      <c r="R35" s="209">
        <f t="shared" si="6"/>
        <v>5.9021419000000002</v>
      </c>
      <c r="S35" s="544"/>
      <c r="T35" s="558">
        <v>1466240</v>
      </c>
      <c r="U35" s="206">
        <f t="shared" si="9"/>
        <v>1.46624</v>
      </c>
      <c r="V35" s="545"/>
    </row>
    <row r="36" spans="1:22">
      <c r="A36" s="546">
        <v>1988</v>
      </c>
      <c r="B36" s="208">
        <f t="shared" si="0"/>
        <v>1990</v>
      </c>
      <c r="C36" s="559">
        <v>0.96453</v>
      </c>
      <c r="D36" s="552">
        <v>1.7669360000000001</v>
      </c>
      <c r="E36" s="550">
        <v>14.418696000000001</v>
      </c>
      <c r="F36" s="559">
        <v>12.92</v>
      </c>
      <c r="G36" s="171">
        <f t="shared" si="1"/>
        <v>2.6685256978093768</v>
      </c>
      <c r="H36" s="170">
        <f t="shared" ref="H36:H43" si="10">F36/C36</f>
        <v>13.395125086829855</v>
      </c>
      <c r="I36" s="171">
        <f t="shared" si="3"/>
        <v>2.5948908412754679</v>
      </c>
      <c r="J36" s="554"/>
      <c r="K36" s="550"/>
      <c r="L36" s="203">
        <f t="shared" si="4"/>
        <v>3.8397108186573252</v>
      </c>
      <c r="M36" s="204">
        <f t="shared" si="5"/>
        <v>111.91492746706791</v>
      </c>
      <c r="N36" s="204">
        <f t="shared" si="7"/>
        <v>-3.2607748009795534</v>
      </c>
      <c r="O36" s="204">
        <f t="shared" si="8"/>
        <v>10.940196438294205</v>
      </c>
      <c r="P36" s="544"/>
      <c r="Q36" s="544"/>
      <c r="R36" s="209">
        <f t="shared" si="6"/>
        <v>5.9021419000000002</v>
      </c>
      <c r="S36" s="544"/>
      <c r="T36" s="558">
        <v>964530</v>
      </c>
      <c r="U36" s="206">
        <f t="shared" si="9"/>
        <v>0.96453</v>
      </c>
      <c r="V36" s="545"/>
    </row>
    <row r="37" spans="1:22" ht="16" thickBot="1">
      <c r="A37" s="546">
        <v>1989</v>
      </c>
      <c r="B37" s="208">
        <f t="shared" si="0"/>
        <v>1991</v>
      </c>
      <c r="C37" s="560">
        <v>1.27277</v>
      </c>
      <c r="D37" s="552">
        <v>6.6103420000000002</v>
      </c>
      <c r="E37" s="550">
        <v>9.2954559999999997</v>
      </c>
      <c r="F37" s="559">
        <v>7.54</v>
      </c>
      <c r="G37" s="171">
        <f t="shared" si="1"/>
        <v>2.2295256786037458</v>
      </c>
      <c r="H37" s="170">
        <f t="shared" si="10"/>
        <v>5.9240868342277082</v>
      </c>
      <c r="I37" s="171">
        <f t="shared" si="3"/>
        <v>1.7790265543379131</v>
      </c>
      <c r="J37" s="554"/>
      <c r="K37" s="550"/>
      <c r="L37" s="203">
        <f t="shared" si="4"/>
        <v>5.0667876983219635</v>
      </c>
      <c r="M37" s="204">
        <f t="shared" si="5"/>
        <v>17.881635605616609</v>
      </c>
      <c r="N37" s="204">
        <f t="shared" si="7"/>
        <v>-2.0336979213149151</v>
      </c>
      <c r="O37" s="204">
        <f t="shared" si="8"/>
        <v>12.167273317958841</v>
      </c>
      <c r="P37" s="544"/>
      <c r="Q37" s="544"/>
      <c r="R37" s="209">
        <f t="shared" si="6"/>
        <v>5.9021419000000002</v>
      </c>
      <c r="S37" s="544"/>
      <c r="T37" s="558">
        <v>1272770</v>
      </c>
      <c r="U37" s="206">
        <f t="shared" si="9"/>
        <v>1.27277</v>
      </c>
      <c r="V37" s="545"/>
    </row>
    <row r="38" spans="1:22">
      <c r="A38" s="546">
        <v>1990</v>
      </c>
      <c r="B38" s="207">
        <f t="shared" si="0"/>
        <v>1992</v>
      </c>
      <c r="C38" s="548">
        <v>1.325852</v>
      </c>
      <c r="D38" s="549">
        <v>14.418696000000001</v>
      </c>
      <c r="E38" s="550">
        <v>2.2037010000000001</v>
      </c>
      <c r="F38" s="559">
        <v>1.41</v>
      </c>
      <c r="G38" s="171">
        <f t="shared" si="1"/>
        <v>0.79013821965574615</v>
      </c>
      <c r="H38" s="170">
        <f t="shared" si="10"/>
        <v>1.0634671139765222</v>
      </c>
      <c r="I38" s="171">
        <f t="shared" si="3"/>
        <v>6.1534432732018016E-2</v>
      </c>
      <c r="J38" s="554"/>
      <c r="K38" s="550"/>
      <c r="L38" s="203">
        <f t="shared" si="4"/>
        <v>5.2781025663675072</v>
      </c>
      <c r="M38" s="204">
        <f t="shared" si="5"/>
        <v>9.4519449912829803</v>
      </c>
      <c r="N38" s="204">
        <f t="shared" si="7"/>
        <v>-1.8223830532693714</v>
      </c>
      <c r="O38" s="204">
        <f t="shared" si="8"/>
        <v>12.378588186004386</v>
      </c>
      <c r="P38" s="544"/>
      <c r="Q38" s="544"/>
      <c r="R38" s="209">
        <f t="shared" si="6"/>
        <v>5.9021419000000002</v>
      </c>
      <c r="S38" s="544"/>
      <c r="T38" s="544"/>
      <c r="U38" s="544"/>
      <c r="V38" s="545"/>
    </row>
    <row r="39" spans="1:22">
      <c r="A39" s="546">
        <v>1991</v>
      </c>
      <c r="B39" s="207">
        <f t="shared" si="0"/>
        <v>1993</v>
      </c>
      <c r="C39" s="548">
        <v>1.837</v>
      </c>
      <c r="D39" s="549">
        <v>9.2954559999999997</v>
      </c>
      <c r="E39" s="550">
        <v>2.8759160000000001</v>
      </c>
      <c r="F39" s="559">
        <v>1.54</v>
      </c>
      <c r="G39" s="171">
        <f t="shared" si="1"/>
        <v>1.0563712321999938</v>
      </c>
      <c r="H39" s="170">
        <f t="shared" si="10"/>
        <v>0.83832335329341323</v>
      </c>
      <c r="I39" s="171">
        <f t="shared" si="3"/>
        <v>-0.17635138980745074</v>
      </c>
      <c r="J39" s="554"/>
      <c r="K39" s="550"/>
      <c r="L39" s="203">
        <f t="shared" si="4"/>
        <v>7.3129387099141612</v>
      </c>
      <c r="M39" s="204">
        <f t="shared" si="5"/>
        <v>19.687170528294004</v>
      </c>
      <c r="N39" s="204">
        <f t="shared" si="7"/>
        <v>0.21245309027728254</v>
      </c>
      <c r="O39" s="204">
        <f t="shared" si="8"/>
        <v>14.41342432955104</v>
      </c>
      <c r="P39" s="544"/>
      <c r="Q39" s="544"/>
      <c r="R39" s="209">
        <f t="shared" si="6"/>
        <v>5.9021419000000002</v>
      </c>
      <c r="S39" s="544"/>
      <c r="T39" s="544"/>
      <c r="U39" s="544"/>
      <c r="V39" s="545"/>
    </row>
    <row r="40" spans="1:22">
      <c r="A40" s="546">
        <v>1992</v>
      </c>
      <c r="B40" s="207">
        <f t="shared" si="0"/>
        <v>1994</v>
      </c>
      <c r="C40" s="548">
        <v>0.55510499999999996</v>
      </c>
      <c r="D40" s="549">
        <v>2.2037010000000001</v>
      </c>
      <c r="E40" s="550">
        <v>9.5016829999999999</v>
      </c>
      <c r="F40" s="559">
        <v>4.67</v>
      </c>
      <c r="G40" s="171">
        <f t="shared" si="1"/>
        <v>2.2514689408106254</v>
      </c>
      <c r="H40" s="170">
        <f t="shared" si="10"/>
        <v>8.4128227992902254</v>
      </c>
      <c r="I40" s="171">
        <f t="shared" si="3"/>
        <v>2.1297570656213374</v>
      </c>
      <c r="J40" s="554"/>
      <c r="K40" s="550"/>
      <c r="L40" s="203">
        <f t="shared" si="4"/>
        <v>2.2098251728725642</v>
      </c>
      <c r="M40" s="204">
        <f t="shared" si="5"/>
        <v>53.171190571039638</v>
      </c>
      <c r="N40" s="204">
        <f t="shared" si="7"/>
        <v>-4.8906604467643149</v>
      </c>
      <c r="O40" s="204">
        <f t="shared" si="8"/>
        <v>9.3103107925094424</v>
      </c>
      <c r="P40" s="544"/>
      <c r="Q40" s="544"/>
      <c r="R40" s="209">
        <f t="shared" si="6"/>
        <v>5.9021419000000002</v>
      </c>
      <c r="S40" s="544"/>
      <c r="T40" s="544"/>
      <c r="U40" s="544"/>
      <c r="V40" s="545"/>
    </row>
    <row r="41" spans="1:22">
      <c r="A41" s="546">
        <v>1993</v>
      </c>
      <c r="B41" s="207">
        <f t="shared" si="0"/>
        <v>1995</v>
      </c>
      <c r="C41" s="548">
        <v>1.0663579999999999</v>
      </c>
      <c r="D41" s="549">
        <v>2.8759160000000001</v>
      </c>
      <c r="E41" s="550">
        <v>3.4014690000000001</v>
      </c>
      <c r="F41" s="559">
        <v>3.93</v>
      </c>
      <c r="G41" s="171">
        <f t="shared" si="1"/>
        <v>1.2242073971351077</v>
      </c>
      <c r="H41" s="170">
        <f t="shared" si="10"/>
        <v>3.6854414746267206</v>
      </c>
      <c r="I41" s="171">
        <f t="shared" si="3"/>
        <v>1.3043903216206232</v>
      </c>
      <c r="J41" s="554"/>
      <c r="K41" s="550"/>
      <c r="L41" s="203">
        <f t="shared" si="4"/>
        <v>4.2450793123716082</v>
      </c>
      <c r="M41" s="204">
        <f t="shared" si="5"/>
        <v>0.71167835913972222</v>
      </c>
      <c r="N41" s="204">
        <f t="shared" si="7"/>
        <v>-2.8554063072652704</v>
      </c>
      <c r="O41" s="204">
        <f t="shared" si="8"/>
        <v>11.345564932008486</v>
      </c>
      <c r="P41" s="544"/>
      <c r="Q41" s="544"/>
      <c r="R41" s="209">
        <f t="shared" si="6"/>
        <v>5.9021419000000002</v>
      </c>
      <c r="S41" s="544"/>
      <c r="T41" s="544"/>
      <c r="U41" s="544"/>
      <c r="V41" s="545"/>
    </row>
    <row r="42" spans="1:22">
      <c r="A42" s="546">
        <v>1994</v>
      </c>
      <c r="B42" s="207">
        <f t="shared" si="0"/>
        <v>1996</v>
      </c>
      <c r="C42" s="548">
        <v>1.413184</v>
      </c>
      <c r="D42" s="549">
        <v>9.5016829999999999</v>
      </c>
      <c r="E42" s="550">
        <v>8.3743269999999992</v>
      </c>
      <c r="F42" s="559">
        <v>4.5</v>
      </c>
      <c r="G42" s="171">
        <f t="shared" si="1"/>
        <v>2.1251707162732809</v>
      </c>
      <c r="H42" s="170">
        <f t="shared" si="10"/>
        <v>3.184298718355147</v>
      </c>
      <c r="I42" s="171">
        <f t="shared" si="3"/>
        <v>1.1582320821603267</v>
      </c>
      <c r="J42" s="554"/>
      <c r="K42" s="550"/>
      <c r="L42" s="203">
        <f t="shared" si="4"/>
        <v>5.6257637331689354</v>
      </c>
      <c r="M42" s="204">
        <f t="shared" si="5"/>
        <v>7.5546000317730497</v>
      </c>
      <c r="N42" s="204">
        <f t="shared" si="7"/>
        <v>-1.4747218864679432</v>
      </c>
      <c r="O42" s="204">
        <f t="shared" si="8"/>
        <v>12.726249352805814</v>
      </c>
      <c r="P42" s="544"/>
      <c r="Q42" s="544"/>
      <c r="R42" s="209">
        <f t="shared" si="6"/>
        <v>5.9021419000000002</v>
      </c>
      <c r="S42" s="544"/>
      <c r="T42" s="544"/>
      <c r="U42" s="544"/>
      <c r="V42" s="545"/>
    </row>
    <row r="43" spans="1:22" ht="16" thickBot="1">
      <c r="A43" s="546">
        <v>1995</v>
      </c>
      <c r="B43" s="207">
        <f t="shared" si="0"/>
        <v>1997</v>
      </c>
      <c r="C43" s="548">
        <v>1.1901839999999999</v>
      </c>
      <c r="D43" s="549">
        <v>3.4014690000000001</v>
      </c>
      <c r="E43" s="561">
        <v>4.5966230000000001</v>
      </c>
      <c r="F43" s="560">
        <v>3.69</v>
      </c>
      <c r="G43" s="171">
        <f t="shared" si="1"/>
        <v>1.5253219034545604</v>
      </c>
      <c r="H43" s="170">
        <f t="shared" si="10"/>
        <v>3.1003609525922045</v>
      </c>
      <c r="I43" s="171">
        <f t="shared" si="3"/>
        <v>1.1315185410329844</v>
      </c>
      <c r="J43" s="554"/>
      <c r="K43" s="550"/>
      <c r="L43" s="203">
        <f t="shared" si="4"/>
        <v>4.738019948568577</v>
      </c>
      <c r="M43" s="204">
        <f t="shared" si="5"/>
        <v>1.9993097064504774E-2</v>
      </c>
      <c r="N43" s="204">
        <f t="shared" si="7"/>
        <v>-2.3624656710683016</v>
      </c>
      <c r="O43" s="204">
        <f t="shared" si="8"/>
        <v>11.838505568205456</v>
      </c>
      <c r="P43" s="544"/>
      <c r="Q43" s="544"/>
      <c r="R43" s="210">
        <f>$E$58</f>
        <v>5.9021419000000002</v>
      </c>
      <c r="S43" s="544"/>
      <c r="T43" s="544"/>
      <c r="U43" s="544"/>
      <c r="V43" s="545"/>
    </row>
    <row r="44" spans="1:22">
      <c r="A44" s="546">
        <v>1996</v>
      </c>
      <c r="B44" s="207">
        <f t="shared" si="0"/>
        <v>1998</v>
      </c>
      <c r="C44" s="548">
        <v>1.483336</v>
      </c>
      <c r="D44" s="549">
        <v>8.3743269999999992</v>
      </c>
      <c r="E44" s="562">
        <v>5.25</v>
      </c>
      <c r="F44" s="563">
        <v>5.2539999999999996</v>
      </c>
      <c r="G44" s="171">
        <f t="shared" ref="G44:G49" si="11">LN(E44)</f>
        <v>1.6582280766035324</v>
      </c>
      <c r="H44" s="170">
        <f t="shared" ref="H44:H50" si="12">E44/C44</f>
        <v>3.5393194798750924</v>
      </c>
      <c r="I44" s="171">
        <f t="shared" ref="I44:I50" si="13">LN(H44)</f>
        <v>1.2639344713423002</v>
      </c>
      <c r="J44" s="556"/>
      <c r="K44" s="544"/>
      <c r="L44" s="203">
        <f t="shared" si="4"/>
        <v>5.9050328003316457</v>
      </c>
      <c r="M44" s="204">
        <f t="shared" si="5"/>
        <v>0.42906796951031762</v>
      </c>
      <c r="N44" s="204">
        <f t="shared" si="7"/>
        <v>-1.1954528193052329</v>
      </c>
      <c r="O44" s="204">
        <f t="shared" si="8"/>
        <v>13.005518419968524</v>
      </c>
      <c r="P44" s="544"/>
      <c r="Q44" s="544"/>
      <c r="R44" s="209">
        <f t="shared" si="6"/>
        <v>5.9021419000000002</v>
      </c>
      <c r="S44" s="544"/>
      <c r="T44" s="544"/>
      <c r="U44" s="544"/>
      <c r="V44" s="545"/>
    </row>
    <row r="45" spans="1:22">
      <c r="A45" s="546">
        <v>1997</v>
      </c>
      <c r="B45" s="207">
        <f t="shared" si="0"/>
        <v>1999</v>
      </c>
      <c r="C45" s="548">
        <v>1.422688</v>
      </c>
      <c r="D45" s="549">
        <v>4.5966230000000001</v>
      </c>
      <c r="E45" s="562">
        <v>9.43</v>
      </c>
      <c r="F45" s="564">
        <v>9.43</v>
      </c>
      <c r="G45" s="171">
        <f t="shared" si="11"/>
        <v>2.2438960966453663</v>
      </c>
      <c r="H45" s="170">
        <f t="shared" si="12"/>
        <v>6.6282979824107606</v>
      </c>
      <c r="I45" s="171">
        <f t="shared" si="13"/>
        <v>1.8913480566724332</v>
      </c>
      <c r="J45" s="556"/>
      <c r="K45" s="544"/>
      <c r="L45" s="203">
        <f t="shared" ref="L45:L50" si="14">C45*EXP(I$58)</f>
        <v>5.6635983382310062</v>
      </c>
      <c r="M45" s="204">
        <f t="shared" ref="M45:M50" si="15">(E45-L45)^2</f>
        <v>14.185781477776235</v>
      </c>
      <c r="N45" s="204">
        <f t="shared" ref="N45:N50" si="16">L45-SQRT(M$58)*M$61</f>
        <v>-1.4368872814058724</v>
      </c>
      <c r="O45" s="204">
        <f t="shared" ref="O45:O50" si="17">L45+SQRT(M$58)*M$61</f>
        <v>12.764083957867886</v>
      </c>
      <c r="P45" s="544"/>
      <c r="Q45" s="544"/>
      <c r="R45" s="209">
        <f t="shared" si="6"/>
        <v>5.9021419000000002</v>
      </c>
      <c r="S45" s="544"/>
      <c r="T45" s="544"/>
      <c r="U45" s="544"/>
      <c r="V45" s="545"/>
    </row>
    <row r="46" spans="1:22">
      <c r="A46" s="546">
        <v>1998</v>
      </c>
      <c r="B46" s="207">
        <f t="shared" si="0"/>
        <v>2000</v>
      </c>
      <c r="C46" s="548">
        <v>1.42</v>
      </c>
      <c r="D46" s="549"/>
      <c r="E46" s="565">
        <v>7.39</v>
      </c>
      <c r="F46" s="565">
        <v>7.39</v>
      </c>
      <c r="G46" s="171">
        <f t="shared" si="11"/>
        <v>2.0001277349601105</v>
      </c>
      <c r="H46" s="170">
        <f t="shared" si="12"/>
        <v>5.204225352112676</v>
      </c>
      <c r="I46" s="171">
        <f t="shared" si="13"/>
        <v>1.649470863346941</v>
      </c>
      <c r="J46" s="556"/>
      <c r="K46" s="545"/>
      <c r="L46" s="203">
        <f t="shared" si="14"/>
        <v>5.6528976418498145</v>
      </c>
      <c r="M46" s="204">
        <f t="shared" si="15"/>
        <v>3.0175246026909344</v>
      </c>
      <c r="N46" s="204">
        <f t="shared" si="16"/>
        <v>-1.4475879777870642</v>
      </c>
      <c r="O46" s="204">
        <f t="shared" si="17"/>
        <v>12.753383261486693</v>
      </c>
      <c r="P46" s="544"/>
      <c r="Q46" s="544"/>
      <c r="R46" s="210">
        <f>$E$58</f>
        <v>5.9021419000000002</v>
      </c>
      <c r="S46" s="544"/>
      <c r="T46" s="544"/>
      <c r="U46" s="544"/>
      <c r="V46" s="545"/>
    </row>
    <row r="47" spans="1:22">
      <c r="A47" s="546">
        <v>1999</v>
      </c>
      <c r="B47" s="207">
        <f t="shared" si="0"/>
        <v>2001</v>
      </c>
      <c r="C47" s="548">
        <v>2.46</v>
      </c>
      <c r="D47" s="549"/>
      <c r="E47" s="562">
        <v>7.0490000000000004</v>
      </c>
      <c r="F47" s="566">
        <v>7.0490000000000004</v>
      </c>
      <c r="G47" s="171">
        <f t="shared" si="11"/>
        <v>1.9528857627917386</v>
      </c>
      <c r="H47" s="170">
        <f t="shared" si="12"/>
        <v>2.865447154471545</v>
      </c>
      <c r="I47" s="171">
        <f t="shared" si="13"/>
        <v>1.0527244128474671</v>
      </c>
      <c r="J47" s="556"/>
      <c r="K47" s="545"/>
      <c r="L47" s="203">
        <f t="shared" si="14"/>
        <v>9.7930480274299594</v>
      </c>
      <c r="M47" s="204">
        <f t="shared" si="15"/>
        <v>7.5297995768422492</v>
      </c>
      <c r="N47" s="204">
        <f t="shared" si="16"/>
        <v>2.6925624077930808</v>
      </c>
      <c r="O47" s="204">
        <f t="shared" si="17"/>
        <v>16.893533647066839</v>
      </c>
      <c r="P47" s="544"/>
      <c r="Q47" s="544"/>
      <c r="R47" s="209">
        <f t="shared" si="6"/>
        <v>5.9021419000000002</v>
      </c>
      <c r="S47" s="544"/>
      <c r="T47" s="544"/>
      <c r="U47" s="544"/>
      <c r="V47" s="545"/>
    </row>
    <row r="48" spans="1:22">
      <c r="A48" s="546">
        <v>2000</v>
      </c>
      <c r="B48" s="207">
        <f t="shared" si="0"/>
        <v>2002</v>
      </c>
      <c r="C48" s="567">
        <v>0.94299999999999995</v>
      </c>
      <c r="D48" s="548"/>
      <c r="E48" s="568">
        <v>1.28</v>
      </c>
      <c r="F48" s="569">
        <v>1.28</v>
      </c>
      <c r="G48" s="201">
        <f t="shared" si="11"/>
        <v>0.24686007793152581</v>
      </c>
      <c r="H48" s="202">
        <f t="shared" si="12"/>
        <v>1.3573700954400849</v>
      </c>
      <c r="I48" s="201">
        <f t="shared" si="13"/>
        <v>0.30554907428020539</v>
      </c>
      <c r="J48" s="556"/>
      <c r="K48" s="545"/>
      <c r="L48" s="203">
        <f t="shared" si="14"/>
        <v>3.7540017438481512</v>
      </c>
      <c r="M48" s="204">
        <f t="shared" si="15"/>
        <v>6.1206846285636942</v>
      </c>
      <c r="N48" s="204">
        <f t="shared" si="16"/>
        <v>-3.3464838757887274</v>
      </c>
      <c r="O48" s="204">
        <f t="shared" si="17"/>
        <v>10.854487363485029</v>
      </c>
      <c r="P48" s="544"/>
      <c r="Q48" s="544"/>
      <c r="R48" s="210">
        <f>$E$58</f>
        <v>5.9021419000000002</v>
      </c>
      <c r="S48" s="544"/>
      <c r="T48" s="544"/>
      <c r="U48" s="544"/>
      <c r="V48" s="545"/>
    </row>
    <row r="49" spans="1:22">
      <c r="A49" s="546">
        <v>2001</v>
      </c>
      <c r="B49" s="547">
        <v>2003</v>
      </c>
      <c r="C49" s="567">
        <v>2.8570000000000002</v>
      </c>
      <c r="D49" s="548"/>
      <c r="E49" s="571">
        <v>7.35</v>
      </c>
      <c r="F49" s="569">
        <v>7.35</v>
      </c>
      <c r="G49" s="201">
        <f t="shared" si="11"/>
        <v>1.9947003132247452</v>
      </c>
      <c r="H49" s="202">
        <f t="shared" si="12"/>
        <v>2.5726286314315714</v>
      </c>
      <c r="I49" s="201">
        <f t="shared" si="13"/>
        <v>0.94492818997610917</v>
      </c>
      <c r="J49" s="556"/>
      <c r="K49" s="545"/>
      <c r="L49" s="203">
        <f t="shared" si="14"/>
        <v>11.373470818848537</v>
      </c>
      <c r="M49" s="204">
        <f t="shared" si="15"/>
        <v>16.188317430125718</v>
      </c>
      <c r="N49" s="204">
        <f t="shared" si="16"/>
        <v>4.2729851992116581</v>
      </c>
      <c r="O49" s="204">
        <f t="shared" si="17"/>
        <v>18.473956438485416</v>
      </c>
      <c r="P49" s="544"/>
      <c r="Q49" s="544"/>
      <c r="R49" s="210">
        <f>$E$58</f>
        <v>5.9021419000000002</v>
      </c>
      <c r="S49" s="544"/>
      <c r="T49" s="544"/>
      <c r="U49" s="544"/>
      <c r="V49" s="545"/>
    </row>
    <row r="50" spans="1:22">
      <c r="A50" s="546">
        <v>2002</v>
      </c>
      <c r="B50" s="547">
        <v>2004</v>
      </c>
      <c r="C50" s="567">
        <v>1.996</v>
      </c>
      <c r="D50" s="548"/>
      <c r="E50" s="571">
        <v>4.9000000000000004</v>
      </c>
      <c r="F50" s="569">
        <v>4.9000000000000004</v>
      </c>
      <c r="G50" s="201">
        <f>LN(E50)</f>
        <v>1.589235205116581</v>
      </c>
      <c r="H50" s="170">
        <f t="shared" si="12"/>
        <v>2.4549098196392789</v>
      </c>
      <c r="I50" s="201">
        <f t="shared" si="13"/>
        <v>0.8980900272273088</v>
      </c>
      <c r="J50" s="556"/>
      <c r="K50" s="545"/>
      <c r="L50" s="205">
        <f t="shared" si="14"/>
        <v>7.9459040092480491</v>
      </c>
      <c r="M50" s="172">
        <f t="shared" si="15"/>
        <v>9.2775312335533364</v>
      </c>
      <c r="N50" s="172">
        <f t="shared" si="16"/>
        <v>0.84541838961117044</v>
      </c>
      <c r="O50" s="172">
        <f t="shared" si="17"/>
        <v>15.046389628884928</v>
      </c>
      <c r="P50" s="544"/>
      <c r="Q50" s="544"/>
      <c r="R50" s="555"/>
      <c r="S50" s="544"/>
      <c r="T50" s="544"/>
      <c r="U50" s="544"/>
      <c r="V50" s="545"/>
    </row>
    <row r="51" spans="1:22">
      <c r="A51" s="546">
        <v>2003</v>
      </c>
      <c r="B51" s="547">
        <v>2005</v>
      </c>
      <c r="C51" s="573"/>
      <c r="D51" s="548"/>
      <c r="E51" s="574"/>
      <c r="F51" s="575"/>
      <c r="G51" s="570"/>
      <c r="H51" s="553"/>
      <c r="I51" s="570"/>
      <c r="J51" s="556"/>
      <c r="K51" s="545"/>
      <c r="L51" s="572"/>
      <c r="M51" s="568"/>
      <c r="N51" s="568"/>
      <c r="O51" s="568"/>
      <c r="P51" s="544"/>
      <c r="Q51" s="544"/>
      <c r="R51" s="555"/>
      <c r="S51" s="544"/>
      <c r="T51" s="544"/>
      <c r="U51" s="544"/>
      <c r="V51" s="545"/>
    </row>
    <row r="52" spans="1:22">
      <c r="A52" s="546"/>
      <c r="B52" s="547"/>
      <c r="C52" s="573"/>
      <c r="D52" s="548"/>
      <c r="E52" s="574"/>
      <c r="F52" s="575"/>
      <c r="G52" s="570"/>
      <c r="H52" s="553"/>
      <c r="I52" s="570"/>
      <c r="J52" s="556"/>
      <c r="K52" s="545"/>
      <c r="L52" s="572"/>
      <c r="M52" s="568"/>
      <c r="N52" s="568"/>
      <c r="O52" s="568"/>
      <c r="P52" s="544"/>
      <c r="Q52" s="544"/>
      <c r="R52" s="555"/>
      <c r="S52" s="544"/>
      <c r="T52" s="544"/>
      <c r="U52" s="544"/>
      <c r="V52" s="545"/>
    </row>
    <row r="53" spans="1:22">
      <c r="A53" s="546"/>
      <c r="B53" s="547"/>
      <c r="C53" s="573"/>
      <c r="D53" s="548"/>
      <c r="E53" s="574"/>
      <c r="F53" s="575"/>
      <c r="G53" s="570"/>
      <c r="H53" s="553"/>
      <c r="I53" s="570"/>
      <c r="J53" s="556"/>
      <c r="K53" s="545"/>
      <c r="L53" s="572"/>
      <c r="M53" s="568"/>
      <c r="N53" s="568"/>
      <c r="O53" s="568"/>
      <c r="P53" s="544"/>
      <c r="Q53" s="544"/>
      <c r="R53" s="555"/>
      <c r="S53" s="544"/>
      <c r="T53" s="544"/>
      <c r="U53" s="544"/>
      <c r="V53" s="545"/>
    </row>
    <row r="54" spans="1:22">
      <c r="A54" s="546"/>
      <c r="B54" s="547"/>
      <c r="C54" s="573"/>
      <c r="D54" s="548"/>
      <c r="E54" s="574"/>
      <c r="F54" s="575"/>
      <c r="G54" s="570"/>
      <c r="H54" s="553"/>
      <c r="I54" s="570"/>
      <c r="J54" s="556"/>
      <c r="K54" s="545"/>
      <c r="L54" s="572"/>
      <c r="M54" s="568"/>
      <c r="N54" s="568"/>
      <c r="O54" s="568"/>
      <c r="P54" s="544"/>
      <c r="Q54" s="544"/>
      <c r="R54" s="555"/>
      <c r="S54" s="544"/>
      <c r="T54" s="544"/>
      <c r="U54" s="544"/>
      <c r="V54" s="545"/>
    </row>
    <row r="55" spans="1:22">
      <c r="A55" s="546"/>
      <c r="B55" s="547"/>
      <c r="C55" s="573"/>
      <c r="D55" s="548"/>
      <c r="E55" s="574"/>
      <c r="F55" s="575"/>
      <c r="G55" s="570"/>
      <c r="H55" s="553"/>
      <c r="I55" s="570"/>
      <c r="J55" s="556"/>
      <c r="K55" s="545"/>
      <c r="L55" s="572"/>
      <c r="M55" s="568"/>
      <c r="N55" s="568"/>
      <c r="O55" s="568"/>
      <c r="P55" s="544"/>
      <c r="Q55" s="544"/>
      <c r="R55" s="555"/>
      <c r="S55" s="544"/>
      <c r="T55" s="544"/>
      <c r="U55" s="544"/>
      <c r="V55" s="545"/>
    </row>
    <row r="56" spans="1:22">
      <c r="A56" s="546"/>
      <c r="B56" s="547"/>
      <c r="C56" s="573"/>
      <c r="D56" s="548"/>
      <c r="E56" s="574"/>
      <c r="F56" s="575"/>
      <c r="G56" s="570"/>
      <c r="H56" s="553"/>
      <c r="I56" s="570"/>
      <c r="J56" s="556"/>
      <c r="K56" s="545"/>
      <c r="L56" s="572"/>
      <c r="M56" s="568"/>
      <c r="N56" s="568"/>
      <c r="O56" s="568"/>
      <c r="P56" s="544"/>
      <c r="Q56" s="544"/>
      <c r="R56" s="555"/>
      <c r="S56" s="544"/>
      <c r="T56" s="544"/>
      <c r="U56" s="544"/>
      <c r="V56" s="545"/>
    </row>
    <row r="57" spans="1:22">
      <c r="A57" s="576"/>
      <c r="B57" s="576"/>
      <c r="C57" s="576"/>
      <c r="D57" s="577"/>
      <c r="E57" s="578"/>
      <c r="F57" s="579"/>
      <c r="G57" s="580"/>
      <c r="H57" s="578"/>
      <c r="I57" s="580"/>
      <c r="J57" s="556"/>
      <c r="K57" s="545"/>
      <c r="L57" s="572"/>
      <c r="M57" s="581"/>
      <c r="N57" s="581"/>
      <c r="O57" s="581"/>
      <c r="P57" s="581"/>
      <c r="Q57" s="581"/>
      <c r="R57" s="582"/>
      <c r="S57" s="544"/>
      <c r="T57" s="544"/>
      <c r="U57" s="544"/>
      <c r="V57" s="545"/>
    </row>
    <row r="58" spans="1:22" ht="17.25" customHeight="1">
      <c r="A58" s="576" t="s">
        <v>127</v>
      </c>
      <c r="B58" s="576"/>
      <c r="C58" s="583" t="s">
        <v>188</v>
      </c>
      <c r="D58" s="584"/>
      <c r="E58" s="211">
        <f>AVERAGEA(E41:E50)</f>
        <v>5.9021419000000002</v>
      </c>
      <c r="F58" s="211">
        <f>AVERAGEA(F41:F50)</f>
        <v>5.4772999999999996</v>
      </c>
      <c r="G58" s="585"/>
      <c r="H58" s="217">
        <f>AVERAGEA(H8:H57)</f>
        <v>5.2661191911751191</v>
      </c>
      <c r="I58" s="217">
        <f>AVERAGEA(I8:I57)</f>
        <v>1.381511399043563</v>
      </c>
      <c r="J58" s="586"/>
      <c r="K58" s="587" t="s">
        <v>128</v>
      </c>
      <c r="L58" s="218">
        <f>AVERAGEA(L8:L57)</f>
        <v>5.9663071186176238</v>
      </c>
      <c r="M58" s="218">
        <f>AVERAGEA(M8:M57)</f>
        <v>29.695269629663947</v>
      </c>
      <c r="N58" s="588"/>
      <c r="O58" s="588"/>
      <c r="P58" s="588"/>
      <c r="Q58" s="588"/>
      <c r="R58" s="589"/>
      <c r="S58" s="544"/>
      <c r="T58" s="544"/>
      <c r="U58" s="544"/>
      <c r="V58" s="545"/>
    </row>
    <row r="59" spans="1:22">
      <c r="A59" s="545"/>
      <c r="B59" s="545"/>
      <c r="C59" s="590" t="s">
        <v>168</v>
      </c>
      <c r="D59" s="591"/>
      <c r="E59" s="212">
        <f>COUNTA(E41:E50)</f>
        <v>10</v>
      </c>
      <c r="F59" s="212">
        <f>COUNTA(F41:F50)</f>
        <v>10</v>
      </c>
      <c r="G59" s="545"/>
      <c r="H59" s="545"/>
      <c r="I59" s="545"/>
      <c r="J59" s="545"/>
      <c r="K59" s="592" t="s">
        <v>168</v>
      </c>
      <c r="L59" s="219">
        <f>COUNTA(L8:L57)</f>
        <v>43</v>
      </c>
      <c r="M59" s="219">
        <f>COUNTA(M8:M57)</f>
        <v>43</v>
      </c>
      <c r="N59" s="545"/>
      <c r="O59" s="545"/>
      <c r="P59" s="545"/>
      <c r="Q59" s="545"/>
      <c r="R59" s="545"/>
      <c r="S59" s="545"/>
      <c r="T59" s="545"/>
      <c r="U59" s="545"/>
      <c r="V59" s="545"/>
    </row>
    <row r="60" spans="1:22">
      <c r="A60" s="545"/>
      <c r="B60" s="545"/>
      <c r="C60" s="590" t="s">
        <v>165</v>
      </c>
      <c r="D60" s="591"/>
      <c r="E60" s="213">
        <f>STDEVA(E41:E50)</f>
        <v>2.4705891782160152</v>
      </c>
      <c r="F60" s="213">
        <f>STDEVA(F41:F50)</f>
        <v>2.3523903705710825</v>
      </c>
      <c r="G60" s="545"/>
      <c r="H60" s="545"/>
      <c r="I60" s="545"/>
      <c r="J60" s="545"/>
      <c r="K60" s="590" t="s">
        <v>165</v>
      </c>
      <c r="L60" s="220">
        <f>STDEVA(L8:L57)</f>
        <v>2.7205057818319576</v>
      </c>
      <c r="M60" s="220">
        <f>STDEVA(M8:M57)</f>
        <v>45.739026613520387</v>
      </c>
      <c r="N60" s="545"/>
      <c r="O60" s="545"/>
      <c r="P60" s="545"/>
      <c r="Q60" s="545"/>
      <c r="R60" s="545"/>
      <c r="S60" s="545"/>
      <c r="T60" s="545"/>
      <c r="U60" s="545"/>
      <c r="V60" s="545"/>
    </row>
    <row r="61" spans="1:22">
      <c r="A61" s="593"/>
      <c r="B61" s="593"/>
      <c r="C61" s="594" t="s">
        <v>129</v>
      </c>
      <c r="D61" s="595"/>
      <c r="E61" s="214">
        <f>VLOOKUP(E59-1,TVAL,2)</f>
        <v>1.383</v>
      </c>
      <c r="F61" s="214">
        <f>VLOOKUP(F59-1,TVAL,2)</f>
        <v>1.383</v>
      </c>
      <c r="G61" s="593"/>
      <c r="H61" s="593"/>
      <c r="I61" s="593"/>
      <c r="J61" s="593"/>
      <c r="K61" s="594" t="s">
        <v>129</v>
      </c>
      <c r="L61" s="221">
        <f>VLOOKUP(L59-1,TVAL,2)</f>
        <v>1.3029999999999999</v>
      </c>
      <c r="M61" s="221">
        <f>VLOOKUP(M59-1,TVAL,2)</f>
        <v>1.3029999999999999</v>
      </c>
      <c r="N61" s="593"/>
      <c r="O61" s="593"/>
      <c r="P61" s="593"/>
      <c r="Q61" s="593"/>
      <c r="R61" s="593"/>
      <c r="S61" s="593"/>
      <c r="T61" s="593"/>
      <c r="U61" s="593"/>
      <c r="V61" s="593"/>
    </row>
    <row r="62" spans="1:22" ht="16" thickBot="1">
      <c r="A62" s="545"/>
      <c r="B62" s="545"/>
      <c r="C62" s="596" t="s">
        <v>171</v>
      </c>
      <c r="D62" s="597"/>
      <c r="E62" s="215">
        <f>E60*E61</f>
        <v>3.4168248334727491</v>
      </c>
      <c r="F62" s="216">
        <f>F60*F61</f>
        <v>3.253355882499807</v>
      </c>
      <c r="G62" s="545"/>
      <c r="H62" s="545"/>
      <c r="I62" s="545"/>
      <c r="J62" s="545"/>
      <c r="K62" s="596" t="s">
        <v>172</v>
      </c>
      <c r="L62" s="222">
        <f>L60*L61</f>
        <v>3.5448190337270407</v>
      </c>
      <c r="M62" s="222">
        <f>M60*M61</f>
        <v>59.597951677417065</v>
      </c>
      <c r="N62" s="545"/>
      <c r="O62" s="545"/>
      <c r="P62" s="545"/>
      <c r="Q62" s="545"/>
      <c r="R62" s="545"/>
      <c r="S62" s="545"/>
      <c r="T62" s="545"/>
      <c r="U62" s="545"/>
      <c r="V62" s="545"/>
    </row>
    <row r="63" spans="1:22">
      <c r="A63" s="545"/>
      <c r="B63" s="545"/>
      <c r="C63" s="598" t="s">
        <v>75</v>
      </c>
      <c r="D63" s="599" t="s">
        <v>32</v>
      </c>
      <c r="E63" s="600" t="s">
        <v>33</v>
      </c>
      <c r="F63" s="591"/>
      <c r="G63" s="545"/>
      <c r="H63" s="545"/>
      <c r="I63" s="545"/>
      <c r="J63" s="545"/>
      <c r="K63" s="590" t="s">
        <v>32</v>
      </c>
      <c r="L63" s="223">
        <f>IF(+L58-L62&lt;0,0,+L58-L62)</f>
        <v>2.4214880848905831</v>
      </c>
      <c r="M63" s="223">
        <f>IF(+M58-M62&lt;0,0,+M58-M62)</f>
        <v>0</v>
      </c>
      <c r="N63" s="545"/>
      <c r="O63" s="545"/>
      <c r="P63" s="545"/>
      <c r="Q63" s="545"/>
      <c r="R63" s="545"/>
      <c r="S63" s="545"/>
      <c r="T63" s="545"/>
      <c r="U63" s="545"/>
      <c r="V63" s="545"/>
    </row>
    <row r="64" spans="1:22">
      <c r="A64" s="545"/>
      <c r="B64" s="601" t="s">
        <v>131</v>
      </c>
      <c r="C64" s="226">
        <f>F58</f>
        <v>5.4772999999999996</v>
      </c>
      <c r="D64" s="227">
        <f>IF(+F58-F62&lt;0,0,+F58-F62)</f>
        <v>2.2239441175001926</v>
      </c>
      <c r="E64" s="228">
        <f>F58+F62</f>
        <v>8.7306558824998071</v>
      </c>
      <c r="F64" s="545"/>
      <c r="G64" s="545"/>
      <c r="H64" s="545"/>
      <c r="I64" s="545"/>
      <c r="J64" s="545"/>
      <c r="K64" s="590" t="s">
        <v>55</v>
      </c>
      <c r="L64" s="224">
        <f>L58</f>
        <v>5.9663071186176238</v>
      </c>
      <c r="M64" s="224">
        <f>M58</f>
        <v>29.695269629663947</v>
      </c>
      <c r="N64" s="545"/>
      <c r="O64" s="545"/>
      <c r="P64" s="545"/>
      <c r="Q64" s="545"/>
      <c r="R64" s="545"/>
      <c r="S64" s="545"/>
      <c r="T64" s="545"/>
      <c r="U64" s="545"/>
      <c r="V64" s="545"/>
    </row>
    <row r="65" spans="1:22">
      <c r="A65" s="545"/>
      <c r="B65" s="601" t="s">
        <v>132</v>
      </c>
      <c r="C65" s="602">
        <v>1.4</v>
      </c>
      <c r="D65" s="603"/>
      <c r="E65" s="604"/>
      <c r="F65" s="545"/>
      <c r="G65" s="545"/>
      <c r="H65" s="545"/>
      <c r="I65" s="545"/>
      <c r="J65" s="545"/>
      <c r="K65" s="605" t="s">
        <v>33</v>
      </c>
      <c r="L65" s="225">
        <f>L58+L62</f>
        <v>9.511126152344664</v>
      </c>
      <c r="M65" s="225">
        <f>M58+M62</f>
        <v>89.293221307081012</v>
      </c>
      <c r="N65" s="545"/>
      <c r="O65" s="545"/>
      <c r="P65" s="545"/>
      <c r="Q65" s="545"/>
      <c r="R65" s="545"/>
      <c r="S65" s="545"/>
      <c r="T65" s="545"/>
      <c r="U65" s="545"/>
      <c r="V65" s="545"/>
    </row>
    <row r="66" spans="1:22" ht="16" thickBot="1">
      <c r="A66" s="545"/>
      <c r="B66" s="601" t="s">
        <v>133</v>
      </c>
      <c r="C66" s="229">
        <f>C64-C65</f>
        <v>4.0772999999999993</v>
      </c>
      <c r="D66" s="230">
        <f>IF(D64-C65&lt;=0,0,D64-C65)</f>
        <v>0.8239441175001927</v>
      </c>
      <c r="E66" s="231">
        <f>E64-C65</f>
        <v>7.3306558824998067</v>
      </c>
      <c r="F66" s="545"/>
      <c r="G66" s="545"/>
      <c r="H66" s="545"/>
      <c r="I66" s="545"/>
      <c r="J66" s="545"/>
      <c r="K66" s="545"/>
      <c r="L66" s="545"/>
      <c r="M66" s="545"/>
      <c r="N66" s="545"/>
      <c r="O66" s="545"/>
      <c r="P66" s="545"/>
      <c r="Q66" s="545"/>
      <c r="R66" s="545"/>
      <c r="S66" s="545"/>
      <c r="T66" s="545"/>
      <c r="U66" s="545"/>
      <c r="V66" s="545"/>
    </row>
    <row r="67" spans="1:22" ht="16" thickBot="1">
      <c r="A67" s="545"/>
      <c r="B67" s="545"/>
      <c r="C67" s="545"/>
      <c r="D67" s="545"/>
      <c r="E67" s="545"/>
      <c r="F67" s="545"/>
      <c r="G67" s="545"/>
      <c r="H67" s="545"/>
      <c r="I67" s="545"/>
      <c r="J67" s="545"/>
      <c r="K67" s="545"/>
      <c r="L67" s="545"/>
      <c r="M67" s="545"/>
      <c r="N67" s="545"/>
      <c r="O67" s="545"/>
      <c r="P67" s="545"/>
      <c r="Q67" s="545"/>
      <c r="R67" s="545"/>
      <c r="S67" s="545"/>
      <c r="T67" s="545"/>
      <c r="U67" s="545"/>
      <c r="V67" s="545"/>
    </row>
    <row r="68" spans="1:22" ht="16" thickBot="1">
      <c r="A68" s="545"/>
      <c r="B68" s="606" t="s">
        <v>167</v>
      </c>
      <c r="C68" s="607"/>
      <c r="D68" s="607"/>
      <c r="E68" s="607"/>
      <c r="F68" s="608" t="s">
        <v>32</v>
      </c>
      <c r="G68" s="609" t="s">
        <v>33</v>
      </c>
      <c r="H68" s="545"/>
      <c r="I68" s="545"/>
      <c r="J68" s="545"/>
      <c r="K68" s="545"/>
      <c r="L68" s="545"/>
      <c r="M68" s="545"/>
      <c r="N68" s="545"/>
      <c r="O68" s="545"/>
      <c r="P68" s="545"/>
      <c r="Q68" s="545"/>
      <c r="R68" s="545"/>
      <c r="S68" s="545"/>
      <c r="T68" s="545"/>
      <c r="U68" s="545"/>
      <c r="V68" s="545"/>
    </row>
    <row r="69" spans="1:22" ht="16" thickBot="1">
      <c r="A69" s="545"/>
      <c r="B69" s="610"/>
      <c r="C69" s="544"/>
      <c r="D69" s="544" t="s">
        <v>127</v>
      </c>
      <c r="E69" s="234">
        <f>AVERAGE(E45,E43,E41,E39,E37,E35,E33,E31,E29)</f>
        <v>8.975800333333332</v>
      </c>
      <c r="F69" s="232">
        <f>E69-E73</f>
        <v>1.3722737397067615</v>
      </c>
      <c r="G69" s="233">
        <f>E69+E73</f>
        <v>16.579326926959901</v>
      </c>
      <c r="H69" s="545"/>
      <c r="I69" s="545"/>
      <c r="J69" s="545"/>
      <c r="K69" s="591"/>
      <c r="L69" s="611"/>
      <c r="M69" s="545"/>
      <c r="N69" s="545"/>
      <c r="O69" s="545"/>
      <c r="P69" s="545"/>
      <c r="Q69" s="545"/>
      <c r="R69" s="545"/>
      <c r="S69" s="545"/>
      <c r="T69" s="545"/>
      <c r="U69" s="545"/>
      <c r="V69" s="545"/>
    </row>
    <row r="70" spans="1:22">
      <c r="A70" s="545"/>
      <c r="B70" s="610"/>
      <c r="C70" s="544"/>
      <c r="D70" s="544" t="s">
        <v>168</v>
      </c>
      <c r="E70" s="204">
        <f>COUNT(E45,E43,E41,E39,E37,E35,E33,E31,E29)</f>
        <v>9</v>
      </c>
      <c r="F70" s="544"/>
      <c r="G70" s="612"/>
      <c r="H70" s="545"/>
      <c r="I70" s="545"/>
      <c r="J70" s="545"/>
      <c r="K70" s="591"/>
      <c r="L70" s="611"/>
      <c r="M70" s="545"/>
      <c r="N70" s="545"/>
      <c r="O70" s="545"/>
      <c r="P70" s="545"/>
      <c r="Q70" s="545"/>
      <c r="R70" s="545"/>
      <c r="S70" s="545"/>
      <c r="T70" s="545"/>
      <c r="U70" s="545"/>
      <c r="V70" s="545"/>
    </row>
    <row r="71" spans="1:22">
      <c r="A71" s="545"/>
      <c r="B71" s="610"/>
      <c r="C71" s="544"/>
      <c r="D71" s="544" t="s">
        <v>169</v>
      </c>
      <c r="E71" s="235">
        <f>STDEV(E45,E43,E41,E39,E37,E35,E33,E31,E29)</f>
        <v>5.4427534671628992</v>
      </c>
      <c r="F71" s="544"/>
      <c r="G71" s="612"/>
      <c r="H71" s="545"/>
      <c r="I71" s="545"/>
      <c r="J71" s="545"/>
      <c r="K71" s="545"/>
      <c r="L71" s="545"/>
      <c r="M71" s="545"/>
      <c r="N71" s="545"/>
      <c r="O71" s="545"/>
      <c r="P71" s="545"/>
      <c r="Q71" s="545"/>
      <c r="R71" s="545"/>
      <c r="S71" s="545"/>
      <c r="T71" s="545"/>
      <c r="U71" s="545"/>
      <c r="V71" s="545"/>
    </row>
    <row r="72" spans="1:22">
      <c r="A72" s="545"/>
      <c r="B72" s="610"/>
      <c r="C72" s="544"/>
      <c r="D72" s="613" t="s">
        <v>170</v>
      </c>
      <c r="E72" s="236">
        <f>VLOOKUP(E70-1,TVAL,2)</f>
        <v>1.397</v>
      </c>
      <c r="F72" s="544"/>
      <c r="G72" s="612"/>
      <c r="H72" s="545"/>
      <c r="I72" s="545"/>
      <c r="J72" s="545"/>
      <c r="K72" s="545"/>
      <c r="L72" s="545"/>
      <c r="M72" s="545"/>
      <c r="N72" s="545"/>
      <c r="O72" s="545"/>
      <c r="P72" s="545"/>
      <c r="Q72" s="545"/>
      <c r="R72" s="545"/>
      <c r="S72" s="545"/>
      <c r="T72" s="545"/>
      <c r="U72" s="545"/>
      <c r="V72" s="545"/>
    </row>
    <row r="73" spans="1:22" ht="16" thickBot="1">
      <c r="A73" s="545"/>
      <c r="B73" s="614"/>
      <c r="C73" s="615"/>
      <c r="D73" s="616" t="s">
        <v>130</v>
      </c>
      <c r="E73" s="237">
        <f>E71*E72</f>
        <v>7.6035265936265706</v>
      </c>
      <c r="F73" s="615"/>
      <c r="G73" s="617"/>
      <c r="H73" s="545"/>
      <c r="I73" s="545"/>
      <c r="J73" s="545"/>
      <c r="K73" s="545"/>
      <c r="L73" s="545"/>
      <c r="M73" s="545"/>
      <c r="N73" s="545"/>
      <c r="O73" s="545"/>
      <c r="P73" s="545"/>
      <c r="Q73" s="545"/>
      <c r="R73" s="545"/>
      <c r="S73" s="545"/>
      <c r="T73" s="545"/>
      <c r="U73" s="545"/>
      <c r="V73" s="545"/>
    </row>
    <row r="74" spans="1:22">
      <c r="A74" s="545"/>
      <c r="B74" s="545"/>
      <c r="C74" s="545"/>
      <c r="D74" s="544"/>
      <c r="E74" s="544"/>
      <c r="F74" s="544"/>
      <c r="G74" s="544"/>
      <c r="H74" s="545"/>
      <c r="I74" s="545"/>
      <c r="J74" s="545"/>
      <c r="K74" s="545"/>
      <c r="L74" s="545"/>
      <c r="M74" s="545"/>
      <c r="N74" s="545"/>
      <c r="O74" s="545"/>
      <c r="P74" s="545"/>
      <c r="Q74" s="545"/>
      <c r="R74" s="545"/>
      <c r="S74" s="545"/>
      <c r="T74" s="545"/>
      <c r="U74" s="545"/>
      <c r="V74" s="545"/>
    </row>
    <row r="75" spans="1:22">
      <c r="A75" s="618">
        <v>4</v>
      </c>
      <c r="B75" s="545" t="s">
        <v>166</v>
      </c>
      <c r="C75" s="545"/>
      <c r="D75" s="545"/>
      <c r="E75" s="545"/>
      <c r="F75" s="545"/>
      <c r="G75" s="545"/>
      <c r="H75" s="545"/>
      <c r="I75" s="545"/>
      <c r="J75" s="545"/>
      <c r="K75" s="545"/>
      <c r="L75" s="545"/>
      <c r="M75" s="545"/>
      <c r="N75" s="545"/>
      <c r="O75" s="545"/>
      <c r="P75" s="545"/>
      <c r="Q75" s="545"/>
      <c r="R75" s="545"/>
      <c r="S75" s="545"/>
      <c r="T75" s="545"/>
      <c r="U75" s="545"/>
      <c r="V75" s="545"/>
    </row>
  </sheetData>
  <phoneticPr fontId="23" type="noConversion"/>
  <pageMargins left="0.75" right="1" top="1" bottom="1" header="0.5" footer="0.5"/>
  <pageSetup scale="48" orientation="portrait"/>
  <headerFooter alignWithMargins="0"/>
  <drawing r:id="rId1"/>
  <legacyDrawing r:id="rId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10"/>
  </sheetPr>
  <dimension ref="A1"/>
  <sheetViews>
    <sheetView zoomScale="65" workbookViewId="0">
      <selection activeCell="A7" sqref="A7"/>
    </sheetView>
  </sheetViews>
  <sheetFormatPr baseColWidth="10" defaultColWidth="8.625" defaultRowHeight="16" x14ac:dyDescent="0"/>
  <sheetData/>
  <phoneticPr fontId="23"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transitionEntry="1" codeName="Sheet3" enableFormatConditionsCalculation="0">
    <tabColor indexed="10"/>
  </sheetPr>
  <dimension ref="A1:AG71"/>
  <sheetViews>
    <sheetView showGridLines="0" zoomScale="50" workbookViewId="0">
      <selection activeCell="A7" sqref="A7"/>
    </sheetView>
  </sheetViews>
  <sheetFormatPr baseColWidth="10" defaultColWidth="9.875" defaultRowHeight="16" x14ac:dyDescent="0"/>
  <cols>
    <col min="1" max="1" width="5.875" customWidth="1"/>
    <col min="2" max="2" width="8" customWidth="1"/>
    <col min="3" max="4" width="7.875" customWidth="1"/>
    <col min="5" max="6" width="5.875" customWidth="1"/>
    <col min="7" max="7" width="7.875" customWidth="1"/>
    <col min="8" max="8" width="11.125" customWidth="1"/>
    <col min="9" max="9" width="7.875" customWidth="1"/>
    <col min="10" max="10" width="5.875" customWidth="1"/>
    <col min="11" max="11" width="7.875" customWidth="1"/>
    <col min="12" max="12" width="9.875" customWidth="1"/>
    <col min="13" max="13" width="9.5" customWidth="1"/>
    <col min="14" max="14" width="7.875" customWidth="1"/>
    <col min="15" max="15" width="9.125" customWidth="1"/>
    <col min="16" max="17" width="7.875" customWidth="1"/>
    <col min="18" max="18" width="8.875" customWidth="1"/>
    <col min="19" max="19" width="11" customWidth="1"/>
    <col min="20" max="20" width="7.875" customWidth="1"/>
    <col min="21" max="21" width="9.125" customWidth="1"/>
    <col min="22" max="22" width="12.5" customWidth="1"/>
    <col min="23" max="23" width="12.875" customWidth="1"/>
    <col min="24" max="24" width="7.875" customWidth="1"/>
    <col min="25" max="25" width="13.875" customWidth="1"/>
    <col min="26" max="28" width="7.875" customWidth="1"/>
    <col min="29" max="29" width="9.375" customWidth="1"/>
    <col min="30" max="31" width="7.875" customWidth="1"/>
  </cols>
  <sheetData>
    <row r="1" spans="1:33">
      <c r="A1" t="s">
        <v>0</v>
      </c>
      <c r="C1" s="37" t="str">
        <f ca="1">CELL("filename",C2)</f>
        <v>NWCLM04072996:Users:eric.ward:Documents:NCEAS-covariation:data:salmon data:[2015_PWS_Pink_Wild_forecast-FINAL.xlsm]Odd</v>
      </c>
      <c r="D1" s="4"/>
      <c r="E1" s="1"/>
      <c r="G1" t="s">
        <v>35</v>
      </c>
      <c r="I1" s="5"/>
      <c r="J1" s="1"/>
      <c r="M1" s="3"/>
      <c r="O1" s="3"/>
      <c r="P1" s="1"/>
      <c r="U1" s="4"/>
      <c r="V1" s="4"/>
      <c r="Z1" s="4"/>
    </row>
    <row r="2" spans="1:33">
      <c r="D2" s="4"/>
      <c r="E2" s="1"/>
      <c r="G2" s="8" t="s">
        <v>36</v>
      </c>
      <c r="H2" s="49" t="s">
        <v>175</v>
      </c>
      <c r="I2" s="5"/>
      <c r="J2" s="1"/>
      <c r="M2" s="3"/>
      <c r="O2" s="3"/>
      <c r="P2" s="1"/>
      <c r="U2" s="4"/>
      <c r="V2" s="4"/>
      <c r="Z2" s="4"/>
    </row>
    <row r="3" spans="1:33">
      <c r="D3" s="4"/>
      <c r="E3" s="1"/>
      <c r="G3" s="8" t="s">
        <v>38</v>
      </c>
      <c r="H3" s="49" t="s">
        <v>39</v>
      </c>
      <c r="I3" s="5"/>
      <c r="J3" s="1"/>
      <c r="M3" s="3"/>
      <c r="O3" s="3"/>
      <c r="P3" s="1"/>
      <c r="U3" s="4"/>
      <c r="V3" s="4"/>
      <c r="Z3" s="4"/>
    </row>
    <row r="4" spans="1:33">
      <c r="C4" s="4"/>
      <c r="D4" s="1"/>
      <c r="G4" s="1"/>
      <c r="I4" s="5"/>
      <c r="J4" s="1"/>
      <c r="M4" s="3"/>
      <c r="O4" s="3"/>
      <c r="P4" s="1"/>
      <c r="U4" s="4"/>
      <c r="V4" s="4"/>
      <c r="Z4" s="4"/>
    </row>
    <row r="5" spans="1:33">
      <c r="C5" s="4"/>
      <c r="D5" s="1"/>
      <c r="G5" s="1"/>
      <c r="I5" s="5"/>
      <c r="J5" s="1"/>
      <c r="M5" s="3"/>
      <c r="O5" s="3"/>
      <c r="P5" s="1"/>
      <c r="U5" s="4"/>
      <c r="V5" s="4"/>
      <c r="Z5" s="4"/>
    </row>
    <row r="6" spans="1:33">
      <c r="B6" s="6"/>
      <c r="C6" s="4"/>
      <c r="D6" s="1"/>
      <c r="G6" s="1"/>
      <c r="I6" s="5"/>
      <c r="J6" s="1"/>
      <c r="M6" s="3"/>
      <c r="O6" s="3"/>
      <c r="P6" s="1"/>
      <c r="U6" s="4"/>
      <c r="V6" s="4"/>
      <c r="Z6" s="4"/>
    </row>
    <row r="7" spans="1:33">
      <c r="C7" s="4"/>
      <c r="D7" s="1"/>
      <c r="G7" s="1"/>
      <c r="I7" s="5"/>
      <c r="J7" s="1"/>
      <c r="M7" s="3"/>
      <c r="O7" s="3"/>
      <c r="P7" s="1"/>
      <c r="U7" s="4"/>
      <c r="V7" s="4"/>
      <c r="Z7" s="4"/>
    </row>
    <row r="8" spans="1:33">
      <c r="C8" s="4"/>
      <c r="D8" s="1"/>
      <c r="G8" s="1"/>
      <c r="I8" s="5"/>
      <c r="J8" s="1"/>
      <c r="M8" s="3"/>
      <c r="O8" s="3"/>
      <c r="P8" s="1"/>
      <c r="U8" s="4"/>
      <c r="V8" s="4"/>
      <c r="Z8" s="4"/>
      <c r="AA8" t="s">
        <v>40</v>
      </c>
    </row>
    <row r="9" spans="1:33">
      <c r="A9" s="28"/>
      <c r="B9" s="28"/>
      <c r="C9" s="50" t="s">
        <v>41</v>
      </c>
      <c r="D9" s="51"/>
      <c r="E9" s="10"/>
      <c r="F9" s="15"/>
      <c r="G9" s="52"/>
      <c r="H9" s="15" t="s">
        <v>42</v>
      </c>
      <c r="I9" s="53"/>
      <c r="J9" s="52"/>
      <c r="K9" s="15"/>
      <c r="L9" s="15"/>
      <c r="M9" s="54"/>
      <c r="N9" s="10" t="s">
        <v>43</v>
      </c>
      <c r="O9" s="55"/>
      <c r="P9" s="52"/>
      <c r="Q9" s="15"/>
      <c r="R9" s="47"/>
      <c r="S9" s="10" t="s">
        <v>44</v>
      </c>
      <c r="T9" s="15"/>
      <c r="U9" s="56"/>
      <c r="V9" s="56"/>
      <c r="W9" s="47"/>
      <c r="X9" s="57" t="s">
        <v>15</v>
      </c>
      <c r="Y9" s="57" t="s">
        <v>5</v>
      </c>
      <c r="Z9" s="58" t="s">
        <v>45</v>
      </c>
      <c r="AA9" s="13" t="s">
        <v>46</v>
      </c>
      <c r="AB9" s="13" t="s">
        <v>47</v>
      </c>
      <c r="AC9" s="13" t="s">
        <v>48</v>
      </c>
      <c r="AD9" s="59" t="s">
        <v>49</v>
      </c>
      <c r="AE9" s="60"/>
    </row>
    <row r="10" spans="1:33">
      <c r="A10" s="61" t="s">
        <v>6</v>
      </c>
      <c r="B10" s="30" t="s">
        <v>7</v>
      </c>
      <c r="C10" s="62" t="s">
        <v>50</v>
      </c>
      <c r="D10" s="63" t="s">
        <v>51</v>
      </c>
      <c r="E10" s="28"/>
      <c r="F10" s="28"/>
      <c r="G10" s="64"/>
      <c r="H10" s="28"/>
      <c r="I10" s="65" t="s">
        <v>52</v>
      </c>
      <c r="J10" s="63" t="s">
        <v>53</v>
      </c>
      <c r="K10" s="19" t="s">
        <v>52</v>
      </c>
      <c r="L10" s="28"/>
      <c r="M10" s="66" t="s">
        <v>54</v>
      </c>
      <c r="N10" s="28"/>
      <c r="O10" s="67"/>
      <c r="P10" s="68" t="s">
        <v>55</v>
      </c>
      <c r="Q10" s="57" t="s">
        <v>32</v>
      </c>
      <c r="R10" s="57" t="s">
        <v>33</v>
      </c>
      <c r="S10" s="28"/>
      <c r="T10" s="28"/>
      <c r="U10" s="69" t="s">
        <v>55</v>
      </c>
      <c r="V10" s="69" t="s">
        <v>32</v>
      </c>
      <c r="W10" s="57" t="s">
        <v>33</v>
      </c>
      <c r="X10" s="61" t="s">
        <v>31</v>
      </c>
      <c r="Y10" s="61" t="s">
        <v>180</v>
      </c>
      <c r="Z10" s="70" t="s">
        <v>56</v>
      </c>
      <c r="AA10" s="57" t="s">
        <v>57</v>
      </c>
      <c r="AB10" s="57" t="s">
        <v>58</v>
      </c>
      <c r="AC10" s="57" t="s">
        <v>7</v>
      </c>
      <c r="AD10" s="13" t="s">
        <v>59</v>
      </c>
      <c r="AE10" s="13" t="s">
        <v>60</v>
      </c>
    </row>
    <row r="11" spans="1:33" ht="18">
      <c r="A11" s="71" t="s">
        <v>16</v>
      </c>
      <c r="B11" s="38" t="s">
        <v>16</v>
      </c>
      <c r="C11" s="72" t="s">
        <v>45</v>
      </c>
      <c r="D11" s="73" t="s">
        <v>61</v>
      </c>
      <c r="E11" s="23" t="s">
        <v>62</v>
      </c>
      <c r="F11" s="23" t="s">
        <v>63</v>
      </c>
      <c r="G11" s="73" t="s">
        <v>34</v>
      </c>
      <c r="H11" s="23" t="s">
        <v>64</v>
      </c>
      <c r="I11" s="74" t="s">
        <v>64</v>
      </c>
      <c r="J11" s="73" t="s">
        <v>65</v>
      </c>
      <c r="K11" s="23" t="s">
        <v>53</v>
      </c>
      <c r="L11" s="107" t="s">
        <v>173</v>
      </c>
      <c r="M11" s="75" t="s">
        <v>67</v>
      </c>
      <c r="N11" s="23" t="s">
        <v>68</v>
      </c>
      <c r="O11" s="75" t="s">
        <v>69</v>
      </c>
      <c r="P11" s="73" t="s">
        <v>65</v>
      </c>
      <c r="Q11" s="23" t="s">
        <v>70</v>
      </c>
      <c r="R11" s="23" t="s">
        <v>71</v>
      </c>
      <c r="S11" s="23" t="s">
        <v>68</v>
      </c>
      <c r="T11" s="23" t="s">
        <v>69</v>
      </c>
      <c r="U11" s="72" t="s">
        <v>65</v>
      </c>
      <c r="V11" s="72" t="s">
        <v>70</v>
      </c>
      <c r="W11" s="23" t="s">
        <v>71</v>
      </c>
      <c r="X11" s="23" t="s">
        <v>72</v>
      </c>
      <c r="Y11" s="23" t="s">
        <v>31</v>
      </c>
      <c r="Z11" s="76" t="s">
        <v>73</v>
      </c>
      <c r="AA11" s="71" t="s">
        <v>74</v>
      </c>
      <c r="AB11" s="71" t="s">
        <v>74</v>
      </c>
      <c r="AC11" s="71" t="s">
        <v>16</v>
      </c>
      <c r="AD11" s="13" t="s">
        <v>32</v>
      </c>
      <c r="AE11" s="13" t="s">
        <v>33</v>
      </c>
      <c r="AF11" s="13" t="s">
        <v>75</v>
      </c>
    </row>
    <row r="12" spans="1:33">
      <c r="A12" s="480"/>
      <c r="B12" s="492"/>
      <c r="C12" s="530"/>
      <c r="D12" s="483"/>
      <c r="E12" s="492"/>
      <c r="F12" s="492"/>
      <c r="G12" s="483"/>
      <c r="H12" s="492"/>
      <c r="I12" s="531"/>
      <c r="J12" s="483"/>
      <c r="K12" s="492"/>
      <c r="L12" s="492"/>
      <c r="M12" s="532"/>
      <c r="N12" s="492"/>
      <c r="O12" s="532"/>
      <c r="P12" s="483"/>
      <c r="Q12" s="492"/>
      <c r="R12" s="492"/>
      <c r="S12" s="492"/>
      <c r="T12" s="492"/>
      <c r="U12" s="530"/>
      <c r="V12" s="530"/>
      <c r="W12" s="492"/>
      <c r="X12" s="481"/>
      <c r="Y12" s="481"/>
      <c r="Z12" s="533"/>
      <c r="AA12" s="534"/>
      <c r="AB12" s="534"/>
      <c r="AC12" s="534"/>
      <c r="AD12" s="480"/>
      <c r="AE12" s="481"/>
      <c r="AF12" s="496"/>
      <c r="AG12" s="496"/>
    </row>
    <row r="13" spans="1:33">
      <c r="A13" s="485">
        <v>1963</v>
      </c>
      <c r="B13" s="37">
        <f t="shared" ref="B13:B31" si="0">A13+$H$4</f>
        <v>1963</v>
      </c>
      <c r="C13" s="111">
        <f t="shared" ref="C13:C31" si="1">VLOOKUP(A13,Main,3)</f>
        <v>1.3557399999999999</v>
      </c>
      <c r="D13" s="35">
        <f t="shared" ref="D13:D31" si="2">VLOOKUP($A13,Main,9)</f>
        <v>0.90685845171226243</v>
      </c>
      <c r="E13" s="496">
        <v>18</v>
      </c>
      <c r="F13" s="496">
        <v>16</v>
      </c>
      <c r="G13" s="508">
        <v>2.0918309260933809</v>
      </c>
      <c r="H13" s="508">
        <v>-0.31012665249924859</v>
      </c>
      <c r="I13" s="496">
        <v>0.29421563376338022</v>
      </c>
      <c r="J13" s="487">
        <v>1.6713798182340498</v>
      </c>
      <c r="K13" s="496">
        <v>0.71176634277441853</v>
      </c>
      <c r="L13" s="496">
        <v>6.4933555002621893E-2</v>
      </c>
      <c r="M13" s="508">
        <v>30.796600529471505</v>
      </c>
      <c r="N13" s="37">
        <f t="shared" ref="N13:N28" si="3">D13-J13</f>
        <v>-0.76452136652178737</v>
      </c>
      <c r="O13" s="111">
        <f t="shared" ref="O13:O31" si="4">N13^2</f>
        <v>0.58449291986834118</v>
      </c>
      <c r="P13" s="111">
        <f t="shared" ref="P13:P31" si="5">J13</f>
        <v>1.6713798182340498</v>
      </c>
      <c r="Q13" s="37">
        <f t="shared" ref="Q13:Q30" si="6">$P13-SQRT($O$42)*$Q$42</f>
        <v>-5.7514796749343926</v>
      </c>
      <c r="R13" s="37">
        <f t="shared" ref="R13:R31" si="7">$P13+SQRT($O$42)*$Q$42</f>
        <v>9.0942393114024931</v>
      </c>
      <c r="S13" s="93">
        <f t="shared" ref="S13:S28" si="8">EXP(D13)*C13-U13</f>
        <v>-3.8543315666512141</v>
      </c>
      <c r="T13" s="37">
        <f t="shared" ref="T13:T31" si="9">S13^2</f>
        <v>14.855871825684003</v>
      </c>
      <c r="U13" s="41">
        <f t="shared" ref="U13:U31" si="10">EXP(P13)*C13</f>
        <v>7.2118625666512139</v>
      </c>
      <c r="V13" s="111">
        <f t="shared" ref="V13:V31" si="11">EXP(Q13)*C13</f>
        <v>4.3086431267435445E-3</v>
      </c>
      <c r="W13" s="93">
        <f t="shared" ref="W13:W31" si="12">EXP(R13)*C13</f>
        <v>12071.308797295254</v>
      </c>
      <c r="X13" s="238">
        <f t="shared" ref="X13:X31" si="13">(+U13-EXP(D13)*C13)/(EXP(D13)*C13)</f>
        <v>1.1479660401203189</v>
      </c>
      <c r="Y13" s="238">
        <f t="shared" ref="Y13:Y31" si="14">ABS(X13)</f>
        <v>1.1479660401203189</v>
      </c>
      <c r="Z13" s="239">
        <f t="shared" ref="Z13:Z31" si="15">C13</f>
        <v>1.3557399999999999</v>
      </c>
      <c r="AA13" s="240">
        <f t="shared" ref="AA13:AA31" si="16">(+G$33+H$33*C13)</f>
        <v>1.6294717962059155</v>
      </c>
      <c r="AB13" s="241">
        <f>$B$13</f>
        <v>1963</v>
      </c>
      <c r="AC13" s="243">
        <f t="shared" ref="AC13:AC31" si="17">B13</f>
        <v>1963</v>
      </c>
      <c r="AD13" s="39">
        <f t="shared" ref="AD13:AD31" si="18">AA13-SQRT($O$42)*$Q$42</f>
        <v>-5.7933876969625278</v>
      </c>
      <c r="AE13" s="94">
        <f t="shared" ref="AE13:AE31" si="19">AA13+SQRT($O$42)*$Q$42</f>
        <v>9.0523312893743579</v>
      </c>
      <c r="AF13" s="496"/>
      <c r="AG13" s="496"/>
    </row>
    <row r="14" spans="1:33">
      <c r="A14" s="485">
        <v>1965</v>
      </c>
      <c r="B14" s="37">
        <f t="shared" si="0"/>
        <v>1965</v>
      </c>
      <c r="C14" s="111">
        <f t="shared" si="1"/>
        <v>0.97595600000000005</v>
      </c>
      <c r="D14" s="35">
        <f t="shared" si="2"/>
        <v>1.433615973062746</v>
      </c>
      <c r="E14" s="496">
        <v>18</v>
      </c>
      <c r="F14" s="496">
        <v>16</v>
      </c>
      <c r="G14" s="508">
        <v>2.0897918990335627</v>
      </c>
      <c r="H14" s="508">
        <v>-0.32394841733459073</v>
      </c>
      <c r="I14" s="496">
        <v>0.30870886402261805</v>
      </c>
      <c r="J14" s="487">
        <v>1.7736324974453648</v>
      </c>
      <c r="K14" s="496">
        <v>0.73115909459269535</v>
      </c>
      <c r="L14" s="496">
        <v>6.4391383434322713E-2</v>
      </c>
      <c r="M14" s="508">
        <v>30.822649511861229</v>
      </c>
      <c r="N14" s="37">
        <f t="shared" si="3"/>
        <v>-0.34001652438261876</v>
      </c>
      <c r="O14" s="111">
        <f t="shared" si="4"/>
        <v>0.11561123685323597</v>
      </c>
      <c r="P14" s="111">
        <f t="shared" si="5"/>
        <v>1.7736324974453648</v>
      </c>
      <c r="Q14" s="37">
        <f t="shared" si="6"/>
        <v>-5.6492269957230778</v>
      </c>
      <c r="R14" s="37">
        <f t="shared" si="7"/>
        <v>9.1964919906138078</v>
      </c>
      <c r="S14" s="93">
        <f t="shared" si="8"/>
        <v>-1.6575455116059858</v>
      </c>
      <c r="T14" s="37">
        <f t="shared" si="9"/>
        <v>2.7474571230451494</v>
      </c>
      <c r="U14" s="41">
        <f t="shared" si="10"/>
        <v>5.7505455116059858</v>
      </c>
      <c r="V14" s="111">
        <f t="shared" si="11"/>
        <v>3.4355963060333449E-3</v>
      </c>
      <c r="W14" s="93">
        <f t="shared" si="12"/>
        <v>9625.3374190031554</v>
      </c>
      <c r="X14" s="238">
        <f t="shared" si="13"/>
        <v>0.40497080664695478</v>
      </c>
      <c r="Y14" s="238">
        <f t="shared" si="14"/>
        <v>0.40497080664695478</v>
      </c>
      <c r="Z14" s="239">
        <f t="shared" si="15"/>
        <v>0.97595600000000005</v>
      </c>
      <c r="AA14" s="240">
        <f t="shared" si="16"/>
        <v>1.7416498940703038</v>
      </c>
      <c r="AB14" s="241">
        <f t="shared" ref="AB14:AB30" si="20">D14</f>
        <v>1.433615973062746</v>
      </c>
      <c r="AC14" s="243">
        <f t="shared" si="17"/>
        <v>1965</v>
      </c>
      <c r="AD14" s="39">
        <f t="shared" si="18"/>
        <v>-5.6812095990981391</v>
      </c>
      <c r="AE14" s="94">
        <f t="shared" si="19"/>
        <v>9.1645093872387466</v>
      </c>
      <c r="AF14" s="496"/>
      <c r="AG14" s="496"/>
    </row>
    <row r="15" spans="1:33">
      <c r="A15" s="485">
        <v>1967</v>
      </c>
      <c r="B15" s="37">
        <f t="shared" si="0"/>
        <v>1967</v>
      </c>
      <c r="C15" s="111">
        <f t="shared" si="1"/>
        <v>0.84226000000000001</v>
      </c>
      <c r="D15" s="35">
        <f t="shared" si="2"/>
        <v>1.9607557644787987</v>
      </c>
      <c r="E15" s="496">
        <v>18</v>
      </c>
      <c r="F15" s="496">
        <v>16</v>
      </c>
      <c r="G15" s="508">
        <v>1.9871685948114879</v>
      </c>
      <c r="H15" s="508">
        <v>-0.27357856565349681</v>
      </c>
      <c r="I15" s="496">
        <v>0.31439483605296253</v>
      </c>
      <c r="J15" s="487">
        <v>1.7567443121041737</v>
      </c>
      <c r="K15" s="496">
        <v>0.73406364353540987</v>
      </c>
      <c r="L15" s="496">
        <v>4.5186817191535868E-2</v>
      </c>
      <c r="M15" s="508">
        <v>30.826760098758637</v>
      </c>
      <c r="N15" s="37">
        <f t="shared" si="3"/>
        <v>0.20401145237462504</v>
      </c>
      <c r="O15" s="111">
        <f t="shared" si="4"/>
        <v>4.16206727000039E-2</v>
      </c>
      <c r="P15" s="111">
        <f t="shared" si="5"/>
        <v>1.7567443121041737</v>
      </c>
      <c r="Q15" s="37">
        <f t="shared" si="6"/>
        <v>-5.6661151810642689</v>
      </c>
      <c r="R15" s="37">
        <f t="shared" si="7"/>
        <v>9.1796038052726168</v>
      </c>
      <c r="S15" s="93">
        <f t="shared" si="8"/>
        <v>1.1043290549549525</v>
      </c>
      <c r="T15" s="37">
        <f t="shared" si="9"/>
        <v>1.2195426616176985</v>
      </c>
      <c r="U15" s="41">
        <f t="shared" si="10"/>
        <v>4.8796709450450466</v>
      </c>
      <c r="V15" s="111">
        <f t="shared" si="11"/>
        <v>2.9153024595005889E-3</v>
      </c>
      <c r="W15" s="93">
        <f t="shared" si="12"/>
        <v>8167.65631103534</v>
      </c>
      <c r="X15" s="238">
        <f t="shared" si="13"/>
        <v>-0.18454696773979823</v>
      </c>
      <c r="Y15" s="238">
        <f t="shared" si="14"/>
        <v>0.18454696773979823</v>
      </c>
      <c r="Z15" s="239">
        <f t="shared" si="15"/>
        <v>0.84226000000000001</v>
      </c>
      <c r="AA15" s="240">
        <f t="shared" si="16"/>
        <v>1.7811401384515237</v>
      </c>
      <c r="AB15" s="241">
        <f t="shared" si="20"/>
        <v>1.9607557644787987</v>
      </c>
      <c r="AC15" s="243">
        <f t="shared" si="17"/>
        <v>1967</v>
      </c>
      <c r="AD15" s="39">
        <f t="shared" si="18"/>
        <v>-5.6417193547169191</v>
      </c>
      <c r="AE15" s="94">
        <f t="shared" si="19"/>
        <v>9.2039996316199666</v>
      </c>
      <c r="AF15" s="496"/>
      <c r="AG15" s="496"/>
    </row>
    <row r="16" spans="1:33">
      <c r="A16" s="485">
        <v>1969</v>
      </c>
      <c r="B16" s="37">
        <f t="shared" si="0"/>
        <v>1969</v>
      </c>
      <c r="C16" s="111">
        <f t="shared" si="1"/>
        <v>0.40456999999999999</v>
      </c>
      <c r="D16" s="35">
        <f t="shared" si="2"/>
        <v>3.1490386675385906</v>
      </c>
      <c r="E16" s="496">
        <v>18</v>
      </c>
      <c r="F16" s="496">
        <v>16</v>
      </c>
      <c r="G16" s="508">
        <v>1.5057908579052044</v>
      </c>
      <c r="H16" s="508">
        <v>2.5960476699320345E-3</v>
      </c>
      <c r="I16" s="496">
        <v>0.29773977457002576</v>
      </c>
      <c r="J16" s="487">
        <v>1.5068411409110287</v>
      </c>
      <c r="K16" s="496">
        <v>0.64343713531064561</v>
      </c>
      <c r="L16" s="496">
        <v>4.7514872610934688E-6</v>
      </c>
      <c r="M16" s="508">
        <v>30.679249429660768</v>
      </c>
      <c r="N16" s="37">
        <f t="shared" si="3"/>
        <v>1.6421975266275619</v>
      </c>
      <c r="O16" s="111">
        <f t="shared" si="4"/>
        <v>2.696812716461682</v>
      </c>
      <c r="P16" s="111">
        <f t="shared" si="5"/>
        <v>1.5068411409110287</v>
      </c>
      <c r="Q16" s="37">
        <f t="shared" si="6"/>
        <v>-5.9160183522574137</v>
      </c>
      <c r="R16" s="37">
        <f t="shared" si="7"/>
        <v>8.929700634079472</v>
      </c>
      <c r="S16" s="93">
        <f t="shared" si="8"/>
        <v>7.6063964647553428</v>
      </c>
      <c r="T16" s="37">
        <f t="shared" si="9"/>
        <v>57.85726717904258</v>
      </c>
      <c r="U16" s="41">
        <f t="shared" si="10"/>
        <v>1.8256035352446593</v>
      </c>
      <c r="V16" s="111">
        <f t="shared" si="11"/>
        <v>1.0906855270181736E-3</v>
      </c>
      <c r="W16" s="93">
        <f t="shared" si="12"/>
        <v>3055.7187982583973</v>
      </c>
      <c r="X16" s="238">
        <f t="shared" si="13"/>
        <v>-0.80644576598339068</v>
      </c>
      <c r="Y16" s="238">
        <f t="shared" si="14"/>
        <v>0.80644576598339068</v>
      </c>
      <c r="Z16" s="239">
        <f t="shared" si="15"/>
        <v>0.40456999999999999</v>
      </c>
      <c r="AA16" s="240">
        <f t="shared" si="16"/>
        <v>1.9104221294102375</v>
      </c>
      <c r="AB16" s="241">
        <f t="shared" si="20"/>
        <v>3.1490386675385906</v>
      </c>
      <c r="AC16" s="243">
        <f t="shared" si="17"/>
        <v>1969</v>
      </c>
      <c r="AD16" s="39">
        <f t="shared" si="18"/>
        <v>-5.5124373637582051</v>
      </c>
      <c r="AE16" s="94">
        <f t="shared" si="19"/>
        <v>9.3332816225786797</v>
      </c>
      <c r="AF16" s="496"/>
      <c r="AG16" s="496"/>
    </row>
    <row r="17" spans="1:33">
      <c r="A17" s="485">
        <v>1971</v>
      </c>
      <c r="B17" s="37">
        <f t="shared" si="0"/>
        <v>1971</v>
      </c>
      <c r="C17" s="111">
        <f t="shared" si="1"/>
        <v>1.1125499999999999</v>
      </c>
      <c r="D17" s="35">
        <f t="shared" si="2"/>
        <v>1.0833206168135425</v>
      </c>
      <c r="E17" s="496">
        <v>18</v>
      </c>
      <c r="F17" s="496">
        <v>16</v>
      </c>
      <c r="G17" s="508">
        <v>2.1246341229574015</v>
      </c>
      <c r="H17" s="508">
        <v>-0.33593149519801763</v>
      </c>
      <c r="I17" s="496">
        <v>0.29984785843481793</v>
      </c>
      <c r="J17" s="487">
        <v>1.7508935379748469</v>
      </c>
      <c r="K17" s="496">
        <v>0.7178825559059977</v>
      </c>
      <c r="L17" s="496">
        <v>7.2741209761148909E-2</v>
      </c>
      <c r="M17" s="508">
        <v>30.804313824738202</v>
      </c>
      <c r="N17" s="37">
        <f t="shared" si="3"/>
        <v>-0.6675729211613044</v>
      </c>
      <c r="O17" s="111">
        <f t="shared" si="4"/>
        <v>0.44565360506783713</v>
      </c>
      <c r="P17" s="111">
        <f t="shared" si="5"/>
        <v>1.7508935379748469</v>
      </c>
      <c r="Q17" s="37">
        <f t="shared" si="6"/>
        <v>-5.6719659551935955</v>
      </c>
      <c r="R17" s="37">
        <f t="shared" si="7"/>
        <v>9.1737530311432902</v>
      </c>
      <c r="S17" s="93">
        <f t="shared" si="8"/>
        <v>-3.1210064469467644</v>
      </c>
      <c r="T17" s="37">
        <f t="shared" si="9"/>
        <v>9.7406812418832676</v>
      </c>
      <c r="U17" s="41">
        <f t="shared" si="10"/>
        <v>6.4080064469467635</v>
      </c>
      <c r="V17" s="111">
        <f t="shared" si="11"/>
        <v>3.8283886691681578E-3</v>
      </c>
      <c r="W17" s="93">
        <f t="shared" si="12"/>
        <v>10725.804032074282</v>
      </c>
      <c r="X17" s="238">
        <f t="shared" si="13"/>
        <v>0.94949998385967915</v>
      </c>
      <c r="Y17" s="238">
        <f t="shared" si="14"/>
        <v>0.94949998385967915</v>
      </c>
      <c r="Z17" s="239">
        <f t="shared" si="15"/>
        <v>1.1125499999999999</v>
      </c>
      <c r="AA17" s="240">
        <f t="shared" si="16"/>
        <v>1.7013036575261413</v>
      </c>
      <c r="AB17" s="241">
        <f t="shared" si="20"/>
        <v>1.0833206168135425</v>
      </c>
      <c r="AC17" s="243">
        <f t="shared" si="17"/>
        <v>1971</v>
      </c>
      <c r="AD17" s="39">
        <f t="shared" si="18"/>
        <v>-5.7215558356423015</v>
      </c>
      <c r="AE17" s="94">
        <f t="shared" si="19"/>
        <v>9.1241631506945851</v>
      </c>
      <c r="AF17" s="496"/>
      <c r="AG17" s="496"/>
    </row>
    <row r="18" spans="1:33">
      <c r="A18" s="485">
        <v>1973</v>
      </c>
      <c r="B18" s="37">
        <f t="shared" si="0"/>
        <v>1973</v>
      </c>
      <c r="C18" s="111">
        <f t="shared" si="1"/>
        <v>1.2250099999999999</v>
      </c>
      <c r="D18" s="35">
        <f t="shared" si="2"/>
        <v>1.6030831212860965</v>
      </c>
      <c r="E18" s="496">
        <v>18</v>
      </c>
      <c r="F18" s="496">
        <v>16</v>
      </c>
      <c r="G18" s="508">
        <v>2.0378082351831139</v>
      </c>
      <c r="H18" s="508">
        <v>-0.29825749114887729</v>
      </c>
      <c r="I18" s="496">
        <v>0.30528545300190174</v>
      </c>
      <c r="J18" s="487">
        <v>1.6724398259508277</v>
      </c>
      <c r="K18" s="496">
        <v>0.73543040909751334</v>
      </c>
      <c r="L18" s="496">
        <v>5.6297073452021444E-2</v>
      </c>
      <c r="M18" s="508">
        <v>30.828805116548526</v>
      </c>
      <c r="N18" s="37">
        <f t="shared" si="3"/>
        <v>-6.9356704664731206E-2</v>
      </c>
      <c r="O18" s="111">
        <f t="shared" si="4"/>
        <v>4.8103524819507471E-3</v>
      </c>
      <c r="P18" s="111">
        <f t="shared" si="5"/>
        <v>1.6724398259508277</v>
      </c>
      <c r="Q18" s="37">
        <f t="shared" si="6"/>
        <v>-5.7504196672176153</v>
      </c>
      <c r="R18" s="37">
        <f t="shared" si="7"/>
        <v>9.0952993191192704</v>
      </c>
      <c r="S18" s="93">
        <f t="shared" si="8"/>
        <v>-0.43710512417091341</v>
      </c>
      <c r="T18" s="37">
        <f t="shared" si="9"/>
        <v>0.19106088957646963</v>
      </c>
      <c r="U18" s="41">
        <f t="shared" si="10"/>
        <v>6.5233551241709131</v>
      </c>
      <c r="V18" s="111">
        <f t="shared" si="11"/>
        <v>3.8973023902364101E-3</v>
      </c>
      <c r="W18" s="93">
        <f t="shared" si="12"/>
        <v>10918.876139212167</v>
      </c>
      <c r="X18" s="238">
        <f t="shared" si="13"/>
        <v>7.1818463614033837E-2</v>
      </c>
      <c r="Y18" s="238">
        <f t="shared" si="14"/>
        <v>7.1818463614033837E-2</v>
      </c>
      <c r="Z18" s="239">
        <f t="shared" si="15"/>
        <v>1.2250099999999999</v>
      </c>
      <c r="AA18" s="240">
        <f t="shared" si="16"/>
        <v>1.6680859630318259</v>
      </c>
      <c r="AB18" s="241">
        <f t="shared" si="20"/>
        <v>1.6030831212860965</v>
      </c>
      <c r="AC18" s="243">
        <f t="shared" si="17"/>
        <v>1973</v>
      </c>
      <c r="AD18" s="39">
        <f t="shared" si="18"/>
        <v>-5.7547735301366174</v>
      </c>
      <c r="AE18" s="94">
        <f t="shared" si="19"/>
        <v>9.0909454562002683</v>
      </c>
      <c r="AF18" s="496"/>
      <c r="AG18" s="496"/>
    </row>
    <row r="19" spans="1:33">
      <c r="A19" s="485">
        <v>1975</v>
      </c>
      <c r="B19" s="37">
        <f t="shared" si="0"/>
        <v>1975</v>
      </c>
      <c r="C19" s="111">
        <f t="shared" si="1"/>
        <v>1.26556</v>
      </c>
      <c r="D19" s="35">
        <f t="shared" si="2"/>
        <v>1.5251669736156246</v>
      </c>
      <c r="E19" s="496">
        <v>18</v>
      </c>
      <c r="F19" s="496">
        <v>16</v>
      </c>
      <c r="G19" s="508">
        <v>2.0443424217389037</v>
      </c>
      <c r="H19" s="508">
        <v>-0.30020138079185105</v>
      </c>
      <c r="I19" s="496">
        <v>0.30454129497276877</v>
      </c>
      <c r="J19" s="487">
        <v>1.6644195622639686</v>
      </c>
      <c r="K19" s="496">
        <v>0.73484694888246715</v>
      </c>
      <c r="L19" s="496">
        <v>5.7254232758883403E-2</v>
      </c>
      <c r="M19" s="508">
        <v>30.827995064828347</v>
      </c>
      <c r="N19" s="37">
        <f t="shared" si="3"/>
        <v>-0.139252588648344</v>
      </c>
      <c r="O19" s="111">
        <f t="shared" si="4"/>
        <v>1.9391283445264904E-2</v>
      </c>
      <c r="P19" s="111">
        <f t="shared" si="5"/>
        <v>1.6644195622639686</v>
      </c>
      <c r="Q19" s="37">
        <f t="shared" si="6"/>
        <v>-5.7584399309044745</v>
      </c>
      <c r="R19" s="37">
        <f t="shared" si="7"/>
        <v>9.0872790554324112</v>
      </c>
      <c r="S19" s="93">
        <f t="shared" si="8"/>
        <v>-0.86905402118094521</v>
      </c>
      <c r="T19" s="37">
        <f t="shared" si="9"/>
        <v>0.75525489173077076</v>
      </c>
      <c r="U19" s="41">
        <f t="shared" si="10"/>
        <v>6.685455021180946</v>
      </c>
      <c r="V19" s="111">
        <f t="shared" si="11"/>
        <v>3.994147081970799E-3</v>
      </c>
      <c r="W19" s="93">
        <f t="shared" si="12"/>
        <v>11190.201042416264</v>
      </c>
      <c r="X19" s="238">
        <f t="shared" si="13"/>
        <v>0.14941439236753881</v>
      </c>
      <c r="Y19" s="238">
        <f t="shared" si="14"/>
        <v>0.14941439236753881</v>
      </c>
      <c r="Z19" s="239">
        <f t="shared" si="15"/>
        <v>1.26556</v>
      </c>
      <c r="AA19" s="240">
        <f t="shared" si="16"/>
        <v>1.6561085709658068</v>
      </c>
      <c r="AB19" s="241">
        <f t="shared" si="20"/>
        <v>1.5251669736156246</v>
      </c>
      <c r="AC19" s="243">
        <f t="shared" si="17"/>
        <v>1975</v>
      </c>
      <c r="AD19" s="39">
        <f t="shared" si="18"/>
        <v>-5.7667509222026361</v>
      </c>
      <c r="AE19" s="94">
        <f t="shared" si="19"/>
        <v>9.0789680641342496</v>
      </c>
      <c r="AF19" s="496"/>
      <c r="AG19" s="496"/>
    </row>
    <row r="20" spans="1:33">
      <c r="A20" s="485">
        <v>1977</v>
      </c>
      <c r="B20" s="37">
        <f t="shared" si="0"/>
        <v>1977</v>
      </c>
      <c r="C20" s="111">
        <f t="shared" si="1"/>
        <v>1.29817</v>
      </c>
      <c r="D20" s="35">
        <f t="shared" si="2"/>
        <v>2.5918010147265722</v>
      </c>
      <c r="E20" s="496">
        <v>18</v>
      </c>
      <c r="F20" s="496">
        <v>16</v>
      </c>
      <c r="G20" s="508">
        <v>1.9342304945102788</v>
      </c>
      <c r="H20" s="508">
        <v>-0.26617154058273829</v>
      </c>
      <c r="I20" s="496">
        <v>0.28736637937907517</v>
      </c>
      <c r="J20" s="487">
        <v>1.5886945856719854</v>
      </c>
      <c r="K20" s="496">
        <v>0.69417097201874378</v>
      </c>
      <c r="L20" s="496">
        <v>5.0891717175660177E-2</v>
      </c>
      <c r="M20" s="508">
        <v>30.773171107908045</v>
      </c>
      <c r="N20" s="37">
        <f t="shared" si="3"/>
        <v>1.0031064290545868</v>
      </c>
      <c r="O20" s="111">
        <f t="shared" si="4"/>
        <v>1.0062225080106448</v>
      </c>
      <c r="P20" s="111">
        <f t="shared" si="5"/>
        <v>1.5886945856719854</v>
      </c>
      <c r="Q20" s="37">
        <f t="shared" si="6"/>
        <v>-5.8341649074964579</v>
      </c>
      <c r="R20" s="37">
        <f t="shared" si="7"/>
        <v>9.0115540788404278</v>
      </c>
      <c r="S20" s="93">
        <f t="shared" si="8"/>
        <v>10.977907968727409</v>
      </c>
      <c r="T20" s="37">
        <f t="shared" si="9"/>
        <v>120.51446336984876</v>
      </c>
      <c r="U20" s="41">
        <f t="shared" si="10"/>
        <v>6.3575950312725933</v>
      </c>
      <c r="V20" s="111">
        <f t="shared" si="11"/>
        <v>3.798270957183692E-3</v>
      </c>
      <c r="W20" s="93">
        <f t="shared" si="12"/>
        <v>10641.424752812121</v>
      </c>
      <c r="X20" s="238">
        <f t="shared" si="13"/>
        <v>-0.63326157704956165</v>
      </c>
      <c r="Y20" s="238">
        <f t="shared" si="14"/>
        <v>0.63326157704956165</v>
      </c>
      <c r="Z20" s="239">
        <f t="shared" si="15"/>
        <v>1.29817</v>
      </c>
      <c r="AA20" s="240">
        <f t="shared" si="16"/>
        <v>1.6464764438320738</v>
      </c>
      <c r="AB20" s="241">
        <f t="shared" si="20"/>
        <v>2.5918010147265722</v>
      </c>
      <c r="AC20" s="243">
        <f t="shared" si="17"/>
        <v>1977</v>
      </c>
      <c r="AD20" s="39">
        <f t="shared" si="18"/>
        <v>-5.7763830493363688</v>
      </c>
      <c r="AE20" s="94">
        <f t="shared" si="19"/>
        <v>9.0693359370005169</v>
      </c>
      <c r="AF20" s="496"/>
      <c r="AG20" s="496"/>
    </row>
    <row r="21" spans="1:33">
      <c r="A21" s="485">
        <v>1979</v>
      </c>
      <c r="B21" s="37">
        <f t="shared" si="0"/>
        <v>1979</v>
      </c>
      <c r="C21" s="111">
        <f t="shared" si="1"/>
        <v>2.2172800000000001</v>
      </c>
      <c r="D21" s="35">
        <f t="shared" si="2"/>
        <v>2.177658614436718</v>
      </c>
      <c r="E21" s="496">
        <v>18</v>
      </c>
      <c r="F21" s="496">
        <v>16</v>
      </c>
      <c r="G21" s="508">
        <v>2.1568953440986141</v>
      </c>
      <c r="H21" s="508">
        <v>-0.41557140266600351</v>
      </c>
      <c r="I21" s="496">
        <v>0.30598442595620606</v>
      </c>
      <c r="J21" s="487">
        <v>1.2354571843953377</v>
      </c>
      <c r="K21" s="496">
        <v>0.70276082794485129</v>
      </c>
      <c r="L21" s="496">
        <v>0.10336817117074062</v>
      </c>
      <c r="M21" s="508">
        <v>30.779753273087969</v>
      </c>
      <c r="N21" s="37">
        <f t="shared" si="3"/>
        <v>0.94220143004138035</v>
      </c>
      <c r="O21" s="111">
        <f t="shared" si="4"/>
        <v>0.88774353477202217</v>
      </c>
      <c r="P21" s="111">
        <f t="shared" si="5"/>
        <v>1.2354571843953377</v>
      </c>
      <c r="Q21" s="37">
        <f t="shared" si="6"/>
        <v>-6.1874023087731054</v>
      </c>
      <c r="R21" s="37">
        <f t="shared" si="7"/>
        <v>8.6583166775637803</v>
      </c>
      <c r="S21" s="93">
        <f t="shared" si="8"/>
        <v>11.941531772426039</v>
      </c>
      <c r="T21" s="37">
        <f t="shared" si="9"/>
        <v>142.60018107186059</v>
      </c>
      <c r="U21" s="41">
        <f t="shared" si="10"/>
        <v>7.6273342275739564</v>
      </c>
      <c r="V21" s="111">
        <f t="shared" si="11"/>
        <v>4.5568618219346138E-3</v>
      </c>
      <c r="W21" s="93">
        <f t="shared" si="12"/>
        <v>12766.730634465999</v>
      </c>
      <c r="X21" s="238">
        <f t="shared" si="13"/>
        <v>-0.61023115863872956</v>
      </c>
      <c r="Y21" s="238">
        <f t="shared" si="14"/>
        <v>0.61023115863872956</v>
      </c>
      <c r="Z21" s="239">
        <f t="shared" si="15"/>
        <v>2.2172800000000001</v>
      </c>
      <c r="AA21" s="240">
        <f t="shared" si="16"/>
        <v>1.3749957823820447</v>
      </c>
      <c r="AB21" s="241">
        <f t="shared" si="20"/>
        <v>2.177658614436718</v>
      </c>
      <c r="AC21" s="243">
        <f t="shared" si="17"/>
        <v>1979</v>
      </c>
      <c r="AD21" s="39">
        <f t="shared" si="18"/>
        <v>-6.0478637107863982</v>
      </c>
      <c r="AE21" s="94">
        <f t="shared" si="19"/>
        <v>8.7978552755504875</v>
      </c>
      <c r="AF21" s="496"/>
      <c r="AG21" s="496"/>
    </row>
    <row r="22" spans="1:33">
      <c r="A22" s="485">
        <v>1981</v>
      </c>
      <c r="B22" s="37">
        <f t="shared" si="0"/>
        <v>1981</v>
      </c>
      <c r="C22" s="111">
        <f t="shared" si="1"/>
        <v>1.7130799999999999</v>
      </c>
      <c r="D22" s="35">
        <f t="shared" si="2"/>
        <v>1.9098933815045849</v>
      </c>
      <c r="E22" s="496">
        <v>18</v>
      </c>
      <c r="F22" s="496">
        <v>16</v>
      </c>
      <c r="G22" s="508">
        <v>2.0334237945729958</v>
      </c>
      <c r="H22" s="508">
        <v>-0.31251348224874786</v>
      </c>
      <c r="I22" s="496">
        <v>0.3025517640870119</v>
      </c>
      <c r="J22" s="487">
        <v>1.4980631984023107</v>
      </c>
      <c r="K22" s="496">
        <v>0.72883813105362627</v>
      </c>
      <c r="L22" s="496">
        <v>6.251476339585274E-2</v>
      </c>
      <c r="M22" s="508">
        <v>30.819649908368969</v>
      </c>
      <c r="N22" s="37">
        <f t="shared" si="3"/>
        <v>0.41183018310227415</v>
      </c>
      <c r="O22" s="111">
        <f t="shared" si="4"/>
        <v>0.16960409971405266</v>
      </c>
      <c r="P22" s="111">
        <f t="shared" si="5"/>
        <v>1.4980631984023107</v>
      </c>
      <c r="Q22" s="37">
        <f t="shared" si="6"/>
        <v>-5.9247962947661321</v>
      </c>
      <c r="R22" s="37">
        <f t="shared" si="7"/>
        <v>8.9209226915707536</v>
      </c>
      <c r="S22" s="93">
        <f t="shared" si="8"/>
        <v>3.9047114753744783</v>
      </c>
      <c r="T22" s="37">
        <f t="shared" si="9"/>
        <v>15.246771705921136</v>
      </c>
      <c r="U22" s="41">
        <f t="shared" si="10"/>
        <v>7.6626365246255226</v>
      </c>
      <c r="V22" s="111">
        <f t="shared" si="11"/>
        <v>4.5779527673240695E-3</v>
      </c>
      <c r="W22" s="93">
        <f t="shared" si="12"/>
        <v>12825.820075650568</v>
      </c>
      <c r="X22" s="238">
        <f t="shared" si="13"/>
        <v>-0.337563240543509</v>
      </c>
      <c r="Y22" s="238">
        <f t="shared" si="14"/>
        <v>0.337563240543509</v>
      </c>
      <c r="Z22" s="239">
        <f t="shared" si="15"/>
        <v>1.7130799999999999</v>
      </c>
      <c r="AA22" s="240">
        <f t="shared" si="16"/>
        <v>1.5239230593163666</v>
      </c>
      <c r="AB22" s="241">
        <f t="shared" si="20"/>
        <v>1.9098933815045849</v>
      </c>
      <c r="AC22" s="243">
        <f t="shared" si="17"/>
        <v>1981</v>
      </c>
      <c r="AD22" s="39">
        <f t="shared" si="18"/>
        <v>-5.898936433852076</v>
      </c>
      <c r="AE22" s="94">
        <f t="shared" si="19"/>
        <v>8.9467825524848088</v>
      </c>
      <c r="AF22" s="496"/>
      <c r="AG22" s="496"/>
    </row>
    <row r="23" spans="1:33">
      <c r="A23" s="485">
        <v>1983</v>
      </c>
      <c r="B23" s="37">
        <f t="shared" si="0"/>
        <v>1983</v>
      </c>
      <c r="C23" s="111">
        <f t="shared" si="1"/>
        <v>2.1631</v>
      </c>
      <c r="D23" s="35">
        <f t="shared" si="2"/>
        <v>2.2210903469249357</v>
      </c>
      <c r="E23" s="496">
        <v>18</v>
      </c>
      <c r="F23" s="496">
        <v>16</v>
      </c>
      <c r="G23" s="508">
        <v>2.1461957509783796</v>
      </c>
      <c r="H23" s="508">
        <v>-0.40890350753578164</v>
      </c>
      <c r="I23" s="496">
        <v>0.30284778304093607</v>
      </c>
      <c r="J23" s="487">
        <v>1.2616965738277304</v>
      </c>
      <c r="K23" s="496">
        <v>0.70097477705384115</v>
      </c>
      <c r="L23" s="496">
        <v>0.1022848782043132</v>
      </c>
      <c r="M23" s="508">
        <v>30.777937002138767</v>
      </c>
      <c r="N23" s="37">
        <f t="shared" si="3"/>
        <v>0.9593937730972053</v>
      </c>
      <c r="O23" s="111">
        <f t="shared" si="4"/>
        <v>0.92043641185769187</v>
      </c>
      <c r="P23" s="111">
        <f t="shared" si="5"/>
        <v>1.2616965738277304</v>
      </c>
      <c r="Q23" s="37">
        <f t="shared" si="6"/>
        <v>-6.1611629193407129</v>
      </c>
      <c r="R23" s="37">
        <f t="shared" si="7"/>
        <v>8.6845560669961728</v>
      </c>
      <c r="S23" s="93">
        <f t="shared" si="8"/>
        <v>12.299317000270932</v>
      </c>
      <c r="T23" s="37">
        <f t="shared" si="9"/>
        <v>151.27319867315356</v>
      </c>
      <c r="U23" s="41">
        <f t="shared" si="10"/>
        <v>7.6387879997290673</v>
      </c>
      <c r="V23" s="111">
        <f t="shared" si="11"/>
        <v>4.563704744441152E-3</v>
      </c>
      <c r="W23" s="93">
        <f t="shared" si="12"/>
        <v>12785.902106370848</v>
      </c>
      <c r="X23" s="238">
        <f t="shared" si="13"/>
        <v>-0.61687492368361652</v>
      </c>
      <c r="Y23" s="238">
        <f t="shared" si="14"/>
        <v>0.61687492368361652</v>
      </c>
      <c r="Z23" s="239">
        <f t="shared" si="15"/>
        <v>2.1631</v>
      </c>
      <c r="AA23" s="240">
        <f t="shared" si="16"/>
        <v>1.3909991141240152</v>
      </c>
      <c r="AB23" s="241">
        <f t="shared" si="20"/>
        <v>2.2210903469249357</v>
      </c>
      <c r="AC23" s="243">
        <f t="shared" si="17"/>
        <v>1983</v>
      </c>
      <c r="AD23" s="39">
        <f t="shared" si="18"/>
        <v>-6.0318603790444278</v>
      </c>
      <c r="AE23" s="94">
        <f t="shared" si="19"/>
        <v>8.8138586072924578</v>
      </c>
      <c r="AF23" s="496"/>
      <c r="AG23" s="496"/>
    </row>
    <row r="24" spans="1:33">
      <c r="A24" s="485">
        <v>1985</v>
      </c>
      <c r="B24" s="37">
        <f t="shared" si="0"/>
        <v>1985</v>
      </c>
      <c r="C24" s="111">
        <f t="shared" si="1"/>
        <v>2.6213299999999999</v>
      </c>
      <c r="D24" s="35">
        <f t="shared" si="2"/>
        <v>1.606403859834417</v>
      </c>
      <c r="E24" s="496">
        <v>18</v>
      </c>
      <c r="F24" s="496">
        <v>16</v>
      </c>
      <c r="G24" s="508">
        <v>2.1447064268124918</v>
      </c>
      <c r="H24" s="508">
        <v>-0.39094585166469864</v>
      </c>
      <c r="I24" s="496">
        <v>0.3447125392634301</v>
      </c>
      <c r="J24" s="487">
        <v>1.1199083374682672</v>
      </c>
      <c r="K24" s="496">
        <v>0.72833690955664598</v>
      </c>
      <c r="L24" s="496">
        <v>7.4407846723882926E-2</v>
      </c>
      <c r="M24" s="508">
        <v>30.815923586504066</v>
      </c>
      <c r="N24" s="37">
        <f t="shared" si="3"/>
        <v>0.48649552236614979</v>
      </c>
      <c r="O24" s="111">
        <f t="shared" si="4"/>
        <v>0.23667789328231295</v>
      </c>
      <c r="P24" s="111">
        <f t="shared" si="5"/>
        <v>1.1199083374682672</v>
      </c>
      <c r="Q24" s="37">
        <f t="shared" si="6"/>
        <v>-6.3029511557001756</v>
      </c>
      <c r="R24" s="37">
        <f t="shared" si="7"/>
        <v>8.5427678306367092</v>
      </c>
      <c r="S24" s="93">
        <f t="shared" si="8"/>
        <v>5.0336861137866933</v>
      </c>
      <c r="T24" s="37">
        <f t="shared" si="9"/>
        <v>25.337995892128983</v>
      </c>
      <c r="U24" s="41">
        <f t="shared" si="10"/>
        <v>8.0332578862133062</v>
      </c>
      <c r="V24" s="111">
        <f t="shared" si="11"/>
        <v>4.7993761745883353E-3</v>
      </c>
      <c r="W24" s="93">
        <f t="shared" si="12"/>
        <v>13446.170901980509</v>
      </c>
      <c r="X24" s="238">
        <f t="shared" si="13"/>
        <v>-0.38522290397714215</v>
      </c>
      <c r="Y24" s="238">
        <f t="shared" si="14"/>
        <v>0.38522290397714215</v>
      </c>
      <c r="Z24" s="239">
        <f t="shared" si="15"/>
        <v>2.6213299999999999</v>
      </c>
      <c r="AA24" s="240">
        <f t="shared" si="16"/>
        <v>1.2556501531767434</v>
      </c>
      <c r="AB24" s="241">
        <f t="shared" si="20"/>
        <v>1.606403859834417</v>
      </c>
      <c r="AC24" s="243">
        <f t="shared" si="17"/>
        <v>1985</v>
      </c>
      <c r="AD24" s="39">
        <f t="shared" si="18"/>
        <v>-6.1672093399916994</v>
      </c>
      <c r="AE24" s="94">
        <f t="shared" si="19"/>
        <v>8.6785096463451872</v>
      </c>
      <c r="AF24" s="496"/>
      <c r="AG24" s="496"/>
    </row>
    <row r="25" spans="1:33">
      <c r="A25" s="485">
        <v>1987</v>
      </c>
      <c r="B25" s="37">
        <f t="shared" si="0"/>
        <v>1987</v>
      </c>
      <c r="C25" s="111">
        <f t="shared" si="1"/>
        <v>1.46624</v>
      </c>
      <c r="D25" s="35">
        <f t="shared" si="2"/>
        <v>1.1733358348640461</v>
      </c>
      <c r="E25" s="496">
        <v>18</v>
      </c>
      <c r="F25" s="496">
        <v>16</v>
      </c>
      <c r="G25" s="508">
        <v>2.053751164639503</v>
      </c>
      <c r="H25" s="508">
        <v>-0.29557911583133528</v>
      </c>
      <c r="I25" s="496">
        <v>0.30038714578870601</v>
      </c>
      <c r="J25" s="487">
        <v>1.620361241842966</v>
      </c>
      <c r="K25" s="496">
        <v>0.72753524662379743</v>
      </c>
      <c r="L25" s="496">
        <v>5.7062120001944598E-2</v>
      </c>
      <c r="M25" s="508">
        <v>30.817970596437267</v>
      </c>
      <c r="N25" s="37">
        <f t="shared" si="3"/>
        <v>-0.4470254069789199</v>
      </c>
      <c r="O25" s="111">
        <f t="shared" si="4"/>
        <v>0.19983171448466897</v>
      </c>
      <c r="P25" s="111">
        <f t="shared" si="5"/>
        <v>1.620361241842966</v>
      </c>
      <c r="Q25" s="37">
        <f t="shared" si="6"/>
        <v>-5.8024982513254768</v>
      </c>
      <c r="R25" s="37">
        <f t="shared" si="7"/>
        <v>9.0432207350114098</v>
      </c>
      <c r="S25" s="93">
        <f t="shared" si="8"/>
        <v>-2.6717200856414305</v>
      </c>
      <c r="T25" s="37">
        <f t="shared" si="9"/>
        <v>7.1380882160198524</v>
      </c>
      <c r="U25" s="41">
        <f t="shared" si="10"/>
        <v>7.4117200856414307</v>
      </c>
      <c r="V25" s="111">
        <f t="shared" si="11"/>
        <v>4.4280456690919149E-3</v>
      </c>
      <c r="W25" s="93">
        <f t="shared" si="12"/>
        <v>12405.832896291291</v>
      </c>
      <c r="X25" s="238">
        <f t="shared" si="13"/>
        <v>0.56365402650663088</v>
      </c>
      <c r="Y25" s="238">
        <f t="shared" si="14"/>
        <v>0.56365402650663088</v>
      </c>
      <c r="Z25" s="239">
        <f t="shared" si="15"/>
        <v>1.46624</v>
      </c>
      <c r="AA25" s="240">
        <f t="shared" si="16"/>
        <v>1.5968330336092427</v>
      </c>
      <c r="AB25" s="241">
        <f t="shared" si="20"/>
        <v>1.1733358348640461</v>
      </c>
      <c r="AC25" s="243">
        <f t="shared" si="17"/>
        <v>1987</v>
      </c>
      <c r="AD25" s="39">
        <f t="shared" si="18"/>
        <v>-5.8260264595592002</v>
      </c>
      <c r="AE25" s="94">
        <f t="shared" si="19"/>
        <v>9.0196925267776855</v>
      </c>
      <c r="AF25" s="496"/>
      <c r="AG25" s="496"/>
    </row>
    <row r="26" spans="1:33">
      <c r="A26" s="485">
        <v>1989</v>
      </c>
      <c r="B26" s="37">
        <f t="shared" si="0"/>
        <v>1989</v>
      </c>
      <c r="C26" s="111">
        <f t="shared" si="1"/>
        <v>1.27277</v>
      </c>
      <c r="D26" s="35">
        <f t="shared" si="2"/>
        <v>1.7790265543379131</v>
      </c>
      <c r="E26" s="496">
        <v>18</v>
      </c>
      <c r="F26" s="496">
        <v>16</v>
      </c>
      <c r="G26" s="508">
        <v>2.016396572700081</v>
      </c>
      <c r="H26" s="508">
        <v>-0.29092854431306442</v>
      </c>
      <c r="I26" s="496">
        <v>0.30449022448273733</v>
      </c>
      <c r="J26" s="487">
        <v>1.646111449354742</v>
      </c>
      <c r="K26" s="496">
        <v>0.73491555002103726</v>
      </c>
      <c r="L26" s="496">
        <v>5.3976874021785207E-2</v>
      </c>
      <c r="M26" s="508">
        <v>30.828090890290152</v>
      </c>
      <c r="N26" s="37">
        <f t="shared" si="3"/>
        <v>0.13291510498317116</v>
      </c>
      <c r="O26" s="111">
        <f t="shared" si="4"/>
        <v>1.7666425132687413E-2</v>
      </c>
      <c r="P26" s="111">
        <f t="shared" si="5"/>
        <v>1.646111449354742</v>
      </c>
      <c r="Q26" s="37">
        <f t="shared" si="6"/>
        <v>-5.7767480438137007</v>
      </c>
      <c r="R26" s="37">
        <f t="shared" si="7"/>
        <v>9.068970942523185</v>
      </c>
      <c r="S26" s="93">
        <f t="shared" si="8"/>
        <v>0.93843278912901784</v>
      </c>
      <c r="T26" s="37">
        <f t="shared" si="9"/>
        <v>0.88065609971246772</v>
      </c>
      <c r="U26" s="41">
        <f t="shared" si="10"/>
        <v>6.6015672108709831</v>
      </c>
      <c r="V26" s="111">
        <f t="shared" si="11"/>
        <v>3.9440292886865867E-3</v>
      </c>
      <c r="W26" s="93">
        <f t="shared" si="12"/>
        <v>11049.788541037902</v>
      </c>
      <c r="X26" s="238">
        <f t="shared" si="13"/>
        <v>-0.12446058211260182</v>
      </c>
      <c r="Y26" s="238">
        <f t="shared" si="14"/>
        <v>0.12446058211260182</v>
      </c>
      <c r="Z26" s="239">
        <f t="shared" si="15"/>
        <v>1.27277</v>
      </c>
      <c r="AA26" s="240">
        <f t="shared" si="16"/>
        <v>1.6539789286280511</v>
      </c>
      <c r="AB26" s="241">
        <f t="shared" si="20"/>
        <v>1.7790265543379131</v>
      </c>
      <c r="AC26" s="243">
        <f t="shared" si="17"/>
        <v>1989</v>
      </c>
      <c r="AD26" s="39">
        <f t="shared" si="18"/>
        <v>-5.7688805645403916</v>
      </c>
      <c r="AE26" s="94">
        <f t="shared" si="19"/>
        <v>9.0768384217964933</v>
      </c>
      <c r="AF26" s="496"/>
      <c r="AG26" s="496"/>
    </row>
    <row r="27" spans="1:33">
      <c r="A27" s="485">
        <v>1991</v>
      </c>
      <c r="B27" s="37">
        <f t="shared" si="0"/>
        <v>1991</v>
      </c>
      <c r="C27" s="111">
        <f t="shared" si="1"/>
        <v>1.837</v>
      </c>
      <c r="D27" s="35">
        <f t="shared" si="2"/>
        <v>-0.17635138980745074</v>
      </c>
      <c r="E27" s="496">
        <v>18</v>
      </c>
      <c r="F27" s="496">
        <v>16</v>
      </c>
      <c r="G27" s="508">
        <v>1.9587578348388099</v>
      </c>
      <c r="H27" s="508">
        <v>-0.18243541651679382</v>
      </c>
      <c r="I27" s="496">
        <v>0.24869941809203819</v>
      </c>
      <c r="J27" s="487">
        <v>1.6236239746974597</v>
      </c>
      <c r="K27" s="496">
        <v>0.59496146717648435</v>
      </c>
      <c r="L27" s="496">
        <v>3.2537408915244731E-2</v>
      </c>
      <c r="M27" s="508">
        <v>30.649077285418382</v>
      </c>
      <c r="N27" s="37">
        <f t="shared" si="3"/>
        <v>-1.7999753645049104</v>
      </c>
      <c r="O27" s="111">
        <f t="shared" si="4"/>
        <v>3.2399113128245851</v>
      </c>
      <c r="P27" s="111">
        <f t="shared" si="5"/>
        <v>1.6236239746974597</v>
      </c>
      <c r="Q27" s="37">
        <f t="shared" si="6"/>
        <v>-5.799235518470983</v>
      </c>
      <c r="R27" s="37">
        <f t="shared" si="7"/>
        <v>9.0464834678659027</v>
      </c>
      <c r="S27" s="93">
        <f t="shared" si="8"/>
        <v>-7.776227582490006</v>
      </c>
      <c r="T27" s="37">
        <f t="shared" si="9"/>
        <v>60.469715414678362</v>
      </c>
      <c r="U27" s="41">
        <f t="shared" si="10"/>
        <v>9.316227582490006</v>
      </c>
      <c r="V27" s="111">
        <f t="shared" si="11"/>
        <v>5.5658714471472663E-3</v>
      </c>
      <c r="W27" s="93">
        <f t="shared" si="12"/>
        <v>15593.622165533863</v>
      </c>
      <c r="X27" s="238">
        <f t="shared" si="13"/>
        <v>5.0494984301883159</v>
      </c>
      <c r="Y27" s="238">
        <f t="shared" si="14"/>
        <v>5.0494984301883159</v>
      </c>
      <c r="Z27" s="239">
        <f t="shared" si="15"/>
        <v>1.837</v>
      </c>
      <c r="AA27" s="240">
        <f t="shared" si="16"/>
        <v>1.4873203854613464</v>
      </c>
      <c r="AB27" s="241">
        <f t="shared" si="20"/>
        <v>-0.17635138980745074</v>
      </c>
      <c r="AC27" s="243">
        <f t="shared" si="17"/>
        <v>1991</v>
      </c>
      <c r="AD27" s="39">
        <f t="shared" si="18"/>
        <v>-5.9355391077070969</v>
      </c>
      <c r="AE27" s="94">
        <f t="shared" si="19"/>
        <v>8.9101798786297888</v>
      </c>
      <c r="AF27" s="496"/>
      <c r="AG27" s="496"/>
    </row>
    <row r="28" spans="1:33">
      <c r="A28" s="485">
        <v>1993</v>
      </c>
      <c r="B28" s="37">
        <f t="shared" si="0"/>
        <v>1993</v>
      </c>
      <c r="C28" s="111">
        <f t="shared" si="1"/>
        <v>1.0663579999999999</v>
      </c>
      <c r="D28" s="35">
        <f t="shared" si="2"/>
        <v>1.3043903216206232</v>
      </c>
      <c r="E28" s="496">
        <v>18</v>
      </c>
      <c r="F28" s="496">
        <v>16</v>
      </c>
      <c r="G28" s="508">
        <v>2.0984160543180508</v>
      </c>
      <c r="H28" s="508">
        <v>-0.32600831091110927</v>
      </c>
      <c r="I28" s="496">
        <v>0.30497417363066415</v>
      </c>
      <c r="J28" s="487">
        <v>1.7507744839115023</v>
      </c>
      <c r="K28" s="496">
        <v>0.72779497138796867</v>
      </c>
      <c r="L28" s="496">
        <v>6.6657966277323066E-2</v>
      </c>
      <c r="M28" s="508">
        <v>30.818002423889521</v>
      </c>
      <c r="N28" s="37">
        <f t="shared" si="3"/>
        <v>-0.44638416229087907</v>
      </c>
      <c r="O28" s="111">
        <f t="shared" si="4"/>
        <v>0.19925882034412987</v>
      </c>
      <c r="P28" s="111">
        <f t="shared" si="5"/>
        <v>1.7507744839115023</v>
      </c>
      <c r="Q28" s="37">
        <f t="shared" si="6"/>
        <v>-5.672085009256941</v>
      </c>
      <c r="R28" s="37">
        <f t="shared" si="7"/>
        <v>9.1736339770799447</v>
      </c>
      <c r="S28" s="93">
        <f t="shared" si="8"/>
        <v>-2.2112210359148454</v>
      </c>
      <c r="T28" s="37">
        <f t="shared" si="9"/>
        <v>4.889498469672322</v>
      </c>
      <c r="U28" s="41">
        <f t="shared" si="10"/>
        <v>6.141221035914846</v>
      </c>
      <c r="V28" s="111">
        <f t="shared" si="11"/>
        <v>3.6690008387797175E-3</v>
      </c>
      <c r="W28" s="93">
        <f t="shared" si="12"/>
        <v>10279.255162151059</v>
      </c>
      <c r="X28" s="238">
        <f t="shared" si="13"/>
        <v>0.56265166308265779</v>
      </c>
      <c r="Y28" s="238">
        <f t="shared" si="14"/>
        <v>0.56265166308265779</v>
      </c>
      <c r="Z28" s="239">
        <f t="shared" si="15"/>
        <v>1.0663579999999999</v>
      </c>
      <c r="AA28" s="240">
        <f t="shared" si="16"/>
        <v>1.714947546411802</v>
      </c>
      <c r="AB28" s="241">
        <f t="shared" si="20"/>
        <v>1.3043903216206232</v>
      </c>
      <c r="AC28" s="243">
        <f t="shared" si="17"/>
        <v>1993</v>
      </c>
      <c r="AD28" s="39">
        <f t="shared" si="18"/>
        <v>-5.7079119467566404</v>
      </c>
      <c r="AE28" s="94">
        <f t="shared" si="19"/>
        <v>9.1378070395802453</v>
      </c>
      <c r="AF28" s="496"/>
      <c r="AG28" s="496"/>
    </row>
    <row r="29" spans="1:33">
      <c r="A29" s="485">
        <v>1995</v>
      </c>
      <c r="B29" s="37">
        <f t="shared" si="0"/>
        <v>1995</v>
      </c>
      <c r="C29" s="111">
        <f t="shared" si="1"/>
        <v>1.1901839999999999</v>
      </c>
      <c r="D29" s="35">
        <f t="shared" si="2"/>
        <v>1.1315185410329844</v>
      </c>
      <c r="E29" s="496">
        <v>18</v>
      </c>
      <c r="F29" s="496">
        <v>16</v>
      </c>
      <c r="G29" s="508">
        <v>2.1015977060644979</v>
      </c>
      <c r="H29" s="508">
        <v>-0.32319264116031993</v>
      </c>
      <c r="I29" s="496">
        <v>0.300163660417885</v>
      </c>
      <c r="J29" s="487">
        <v>1.7169389956377437</v>
      </c>
      <c r="K29" s="496">
        <v>0.72189399304252144</v>
      </c>
      <c r="L29" s="496">
        <v>6.7562607199671859E-2</v>
      </c>
      <c r="M29" s="508">
        <v>15.020979762157857</v>
      </c>
      <c r="N29" s="242">
        <f>D29-$E$31</f>
        <v>-16.868481458967015</v>
      </c>
      <c r="O29" s="111">
        <f t="shared" si="4"/>
        <v>284.54566673151396</v>
      </c>
      <c r="P29" s="111">
        <f t="shared" si="5"/>
        <v>1.7169389956377437</v>
      </c>
      <c r="Q29" s="37">
        <f t="shared" si="6"/>
        <v>-5.7059204975306992</v>
      </c>
      <c r="R29" s="37">
        <f t="shared" si="7"/>
        <v>9.1397984888061856</v>
      </c>
      <c r="S29" s="93">
        <f>EXP(D29)*C29-$E$31</f>
        <v>-14.309999999999999</v>
      </c>
      <c r="T29" s="37">
        <f t="shared" si="9"/>
        <v>204.77609999999996</v>
      </c>
      <c r="U29" s="41">
        <f t="shared" si="10"/>
        <v>6.6263022106645852</v>
      </c>
      <c r="V29" s="111">
        <f t="shared" si="11"/>
        <v>3.958806925651483E-3</v>
      </c>
      <c r="W29" s="93">
        <f t="shared" si="12"/>
        <v>11091.19030346058</v>
      </c>
      <c r="X29" s="238">
        <f t="shared" si="13"/>
        <v>0.79574585654866792</v>
      </c>
      <c r="Y29" s="238">
        <f t="shared" si="14"/>
        <v>0.79574585654866792</v>
      </c>
      <c r="Z29" s="239">
        <f t="shared" si="15"/>
        <v>1.1901839999999999</v>
      </c>
      <c r="AA29" s="240">
        <f t="shared" si="16"/>
        <v>1.6783726376579955</v>
      </c>
      <c r="AB29" s="241">
        <f t="shared" si="20"/>
        <v>1.1315185410329844</v>
      </c>
      <c r="AC29" s="243">
        <f t="shared" si="17"/>
        <v>1995</v>
      </c>
      <c r="AD29" s="39">
        <f t="shared" si="18"/>
        <v>-5.7444868555104476</v>
      </c>
      <c r="AE29" s="94">
        <f t="shared" si="19"/>
        <v>9.101232130826439</v>
      </c>
      <c r="AF29" s="496"/>
      <c r="AG29" s="496"/>
    </row>
    <row r="30" spans="1:33">
      <c r="A30" s="485">
        <v>1997</v>
      </c>
      <c r="B30" s="37">
        <f t="shared" si="0"/>
        <v>1997</v>
      </c>
      <c r="C30" s="111">
        <f t="shared" si="1"/>
        <v>1.422688</v>
      </c>
      <c r="D30" s="35">
        <f t="shared" si="2"/>
        <v>1.8913480566724332</v>
      </c>
      <c r="E30" s="496">
        <v>18</v>
      </c>
      <c r="F30" s="496">
        <v>16</v>
      </c>
      <c r="G30" s="508">
        <v>2.0108234369086473</v>
      </c>
      <c r="H30" s="508">
        <v>-0.29302844810776507</v>
      </c>
      <c r="I30" s="496">
        <v>0.30231119156274433</v>
      </c>
      <c r="J30" s="487">
        <v>1.5939353801271072</v>
      </c>
      <c r="K30" s="496">
        <v>0.73205481415902141</v>
      </c>
      <c r="L30" s="496">
        <v>5.5463814884343397E-2</v>
      </c>
      <c r="M30" s="508">
        <v>16.413035278838024</v>
      </c>
      <c r="N30" s="242">
        <f>D30-$E$31</f>
        <v>-16.108651943327565</v>
      </c>
      <c r="O30" s="111">
        <f t="shared" si="4"/>
        <v>259.48866743127093</v>
      </c>
      <c r="P30" s="111">
        <f t="shared" si="5"/>
        <v>1.5939353801271072</v>
      </c>
      <c r="Q30" s="37">
        <f t="shared" si="6"/>
        <v>-5.8289241130413352</v>
      </c>
      <c r="R30" s="37">
        <f t="shared" si="7"/>
        <v>9.0167948732955505</v>
      </c>
      <c r="S30" s="93">
        <f>EXP(D30)*C30-$E$31</f>
        <v>-8.5699999999999985</v>
      </c>
      <c r="T30" s="37">
        <f t="shared" si="9"/>
        <v>73.444899999999976</v>
      </c>
      <c r="U30" s="41">
        <f t="shared" si="10"/>
        <v>7.0040140477718378</v>
      </c>
      <c r="V30" s="111">
        <f t="shared" si="11"/>
        <v>4.1844664547677646E-3</v>
      </c>
      <c r="W30" s="93">
        <f t="shared" si="12"/>
        <v>11723.40925937901</v>
      </c>
      <c r="X30" s="238">
        <f t="shared" si="13"/>
        <v>-0.25726256121189428</v>
      </c>
      <c r="Y30" s="238">
        <f t="shared" si="14"/>
        <v>0.25726256121189428</v>
      </c>
      <c r="Z30" s="239">
        <f t="shared" si="15"/>
        <v>1.422688</v>
      </c>
      <c r="AA30" s="240">
        <f t="shared" si="16"/>
        <v>1.6096971366735893</v>
      </c>
      <c r="AB30" s="241">
        <f t="shared" si="20"/>
        <v>1.8913480566724332</v>
      </c>
      <c r="AC30" s="243">
        <f t="shared" si="17"/>
        <v>1997</v>
      </c>
      <c r="AD30" s="39">
        <f t="shared" si="18"/>
        <v>-5.8131623564948534</v>
      </c>
      <c r="AE30" s="94">
        <f t="shared" si="19"/>
        <v>9.0325566298420323</v>
      </c>
      <c r="AF30" s="496"/>
      <c r="AG30" s="496"/>
    </row>
    <row r="31" spans="1:33">
      <c r="A31" s="485">
        <v>1999</v>
      </c>
      <c r="B31" s="37">
        <f t="shared" si="0"/>
        <v>1999</v>
      </c>
      <c r="C31" s="111">
        <f t="shared" si="1"/>
        <v>2.46</v>
      </c>
      <c r="D31" s="35">
        <f t="shared" si="2"/>
        <v>1.0527244128474671</v>
      </c>
      <c r="E31" s="496">
        <v>18</v>
      </c>
      <c r="F31" s="496">
        <v>16</v>
      </c>
      <c r="G31" s="508">
        <v>1.9670965490770116</v>
      </c>
      <c r="H31" s="508">
        <v>-0.24109313583786576</v>
      </c>
      <c r="I31" s="496">
        <v>0.33318446754272346</v>
      </c>
      <c r="J31" s="487">
        <v>1.3740074349158617</v>
      </c>
      <c r="K31" s="496">
        <v>0.73219396356857447</v>
      </c>
      <c r="L31" s="496">
        <v>3.1688049390275343E-2</v>
      </c>
      <c r="M31" s="508">
        <v>30.82333775944922</v>
      </c>
      <c r="N31" s="242">
        <f>D31-J31</f>
        <v>-0.32128302206839465</v>
      </c>
      <c r="O31" s="111">
        <f t="shared" si="4"/>
        <v>0.10322278026940057</v>
      </c>
      <c r="P31" s="111">
        <f t="shared" si="5"/>
        <v>1.3740074349158617</v>
      </c>
      <c r="Q31" s="37">
        <f>$P31-(SQRT($O$42)*$Q$42)</f>
        <v>-6.0488520582525815</v>
      </c>
      <c r="R31" s="37">
        <f t="shared" si="7"/>
        <v>8.7968669280843041</v>
      </c>
      <c r="S31" s="93">
        <f>EXP(D31)*C31-$E$31</f>
        <v>-10.951000000000001</v>
      </c>
      <c r="T31" s="37">
        <f t="shared" si="9"/>
        <v>119.92440100000002</v>
      </c>
      <c r="U31" s="41">
        <f t="shared" si="10"/>
        <v>9.7198363786664483</v>
      </c>
      <c r="V31" s="111">
        <f t="shared" si="11"/>
        <v>5.8070028122373706E-3</v>
      </c>
      <c r="W31" s="93">
        <f t="shared" si="12"/>
        <v>16269.187786331966</v>
      </c>
      <c r="X31" s="238">
        <f t="shared" si="13"/>
        <v>0.37889578360993742</v>
      </c>
      <c r="Y31" s="238">
        <f t="shared" si="14"/>
        <v>0.37889578360993742</v>
      </c>
      <c r="Z31" s="239">
        <f t="shared" si="15"/>
        <v>2.46</v>
      </c>
      <c r="AA31" s="240">
        <f t="shared" si="16"/>
        <v>1.3033027465678864</v>
      </c>
      <c r="AB31" s="516"/>
      <c r="AC31" s="243">
        <f t="shared" si="17"/>
        <v>1999</v>
      </c>
      <c r="AD31" s="39">
        <f t="shared" si="18"/>
        <v>-6.1195567466005567</v>
      </c>
      <c r="AE31" s="94">
        <f t="shared" si="19"/>
        <v>8.726162239736329</v>
      </c>
      <c r="AF31" s="496"/>
      <c r="AG31" s="496"/>
    </row>
    <row r="32" spans="1:33">
      <c r="A32" s="485"/>
      <c r="B32" s="496"/>
      <c r="C32" s="512"/>
      <c r="D32" s="487"/>
      <c r="E32" s="496"/>
      <c r="F32" s="496"/>
      <c r="G32" s="508"/>
      <c r="H32" s="508"/>
      <c r="I32" s="496"/>
      <c r="J32" s="487"/>
      <c r="K32" s="496"/>
      <c r="L32" s="496"/>
      <c r="M32" s="510"/>
      <c r="N32" s="496"/>
      <c r="O32" s="512"/>
      <c r="P32" s="512"/>
      <c r="Q32" s="496"/>
      <c r="R32" s="496"/>
      <c r="S32" s="494"/>
      <c r="T32" s="496"/>
      <c r="U32" s="510"/>
      <c r="V32" s="512"/>
      <c r="W32" s="494"/>
      <c r="X32" s="535"/>
      <c r="Y32" s="535"/>
      <c r="Z32" s="514"/>
      <c r="AA32" s="515"/>
      <c r="AB32" s="497"/>
      <c r="AC32" s="517"/>
      <c r="AD32" s="496"/>
      <c r="AE32" s="497"/>
      <c r="AF32" s="496"/>
      <c r="AG32" s="496"/>
    </row>
    <row r="33" spans="1:33" ht="18">
      <c r="A33" s="485">
        <v>2001</v>
      </c>
      <c r="B33" s="37">
        <f>A33+2</f>
        <v>2003</v>
      </c>
      <c r="C33" s="111">
        <f>VLOOKUP(A33,Main,3)</f>
        <v>2.8570000000000002</v>
      </c>
      <c r="D33" s="487"/>
      <c r="E33" s="496">
        <v>19</v>
      </c>
      <c r="F33" s="496">
        <v>17</v>
      </c>
      <c r="G33" s="508">
        <v>2.029921352792464</v>
      </c>
      <c r="H33" s="508">
        <v>-0.29537341716446247</v>
      </c>
      <c r="I33" s="496">
        <v>0.29465731997684813</v>
      </c>
      <c r="J33" s="487">
        <v>1.3033027465678864</v>
      </c>
      <c r="K33" s="496">
        <v>0.71365812250531124</v>
      </c>
      <c r="L33" s="536">
        <v>5.5810824890877825E-2</v>
      </c>
      <c r="M33" s="508">
        <v>29.206489602650286</v>
      </c>
      <c r="N33" s="242">
        <f>D33-$E$33</f>
        <v>-19</v>
      </c>
      <c r="O33" s="111">
        <f>N33^2</f>
        <v>361</v>
      </c>
      <c r="P33" s="111">
        <f>J33</f>
        <v>1.3033027465678864</v>
      </c>
      <c r="Q33" s="37">
        <f>$P33-(SQRT($O$42)*$Q$42)</f>
        <v>-6.1195567466005567</v>
      </c>
      <c r="R33" s="37">
        <f>$P33+SQRT($O$42)*$Q$42</f>
        <v>8.726162239736329</v>
      </c>
      <c r="S33" s="93">
        <f>EXP(D33)*C33-$E$33</f>
        <v>-16.143000000000001</v>
      </c>
      <c r="T33" s="37">
        <f>S33^2</f>
        <v>260.59644900000001</v>
      </c>
      <c r="U33" s="244">
        <f>EXP(P33)*C33</f>
        <v>10.51786110703914</v>
      </c>
      <c r="V33" s="245">
        <f>EXP(Q33)*C33</f>
        <v>6.2837733731149611E-3</v>
      </c>
      <c r="W33" s="246">
        <f>EXP(R33)*C33</f>
        <v>17604.931893355013</v>
      </c>
      <c r="X33" s="513"/>
      <c r="Y33" s="513"/>
      <c r="Z33" s="239">
        <f>C33</f>
        <v>2.8570000000000002</v>
      </c>
      <c r="AA33" s="240">
        <f>(+G$33+H$33*C33)</f>
        <v>1.1860394999535946</v>
      </c>
      <c r="AB33" s="516"/>
      <c r="AC33" s="243">
        <f>B33</f>
        <v>2003</v>
      </c>
      <c r="AD33" s="39">
        <f>AA33-SQRT($O$42)*$Q$42</f>
        <v>-6.2368199932148478</v>
      </c>
      <c r="AE33" s="94">
        <f>AA33+SQRT($O$42)*$Q$42</f>
        <v>8.6088989931220379</v>
      </c>
      <c r="AF33" s="247">
        <f>AA33</f>
        <v>1.1860394999535946</v>
      </c>
      <c r="AG33" s="496"/>
    </row>
    <row r="34" spans="1:33" ht="18">
      <c r="A34" s="485"/>
      <c r="B34" s="496"/>
      <c r="C34" s="512"/>
      <c r="D34" s="487"/>
      <c r="E34" s="496"/>
      <c r="F34" s="496"/>
      <c r="G34" s="508"/>
      <c r="H34" s="508"/>
      <c r="I34" s="496"/>
      <c r="J34" s="487"/>
      <c r="K34" s="496"/>
      <c r="L34" s="536"/>
      <c r="M34" s="508"/>
      <c r="N34" s="509"/>
      <c r="O34" s="512"/>
      <c r="P34" s="512"/>
      <c r="Q34" s="496"/>
      <c r="R34" s="496"/>
      <c r="S34" s="494"/>
      <c r="T34" s="496"/>
      <c r="U34" s="538"/>
      <c r="V34" s="518"/>
      <c r="W34" s="539"/>
      <c r="X34" s="513"/>
      <c r="Y34" s="513"/>
      <c r="Z34" s="514"/>
      <c r="AA34" s="515"/>
      <c r="AB34" s="497"/>
      <c r="AC34" s="495"/>
      <c r="AD34" s="540"/>
      <c r="AE34" s="497"/>
      <c r="AF34" s="537"/>
      <c r="AG34" s="496"/>
    </row>
    <row r="35" spans="1:33" ht="18">
      <c r="A35" s="485"/>
      <c r="B35" s="496"/>
      <c r="C35" s="512"/>
      <c r="D35" s="487"/>
      <c r="E35" s="496"/>
      <c r="F35" s="496"/>
      <c r="G35" s="508"/>
      <c r="H35" s="508"/>
      <c r="I35" s="496"/>
      <c r="J35" s="487"/>
      <c r="K35" s="496"/>
      <c r="L35" s="536"/>
      <c r="M35" s="508"/>
      <c r="N35" s="509"/>
      <c r="O35" s="512"/>
      <c r="P35" s="512"/>
      <c r="Q35" s="496"/>
      <c r="R35" s="496"/>
      <c r="S35" s="494"/>
      <c r="T35" s="496"/>
      <c r="U35" s="538"/>
      <c r="V35" s="518"/>
      <c r="W35" s="539"/>
      <c r="X35" s="513"/>
      <c r="Y35" s="513"/>
      <c r="Z35" s="514"/>
      <c r="AA35" s="515"/>
      <c r="AB35" s="497"/>
      <c r="AC35" s="495"/>
      <c r="AD35" s="540"/>
      <c r="AE35" s="497"/>
      <c r="AF35" s="537"/>
      <c r="AG35" s="496"/>
    </row>
    <row r="36" spans="1:33" ht="18">
      <c r="A36" s="485"/>
      <c r="B36" s="496"/>
      <c r="C36" s="512"/>
      <c r="D36" s="487"/>
      <c r="E36" s="496"/>
      <c r="F36" s="496"/>
      <c r="G36" s="508"/>
      <c r="H36" s="508"/>
      <c r="I36" s="496"/>
      <c r="J36" s="487"/>
      <c r="K36" s="496"/>
      <c r="L36" s="536"/>
      <c r="M36" s="508"/>
      <c r="N36" s="509"/>
      <c r="O36" s="512"/>
      <c r="P36" s="512"/>
      <c r="Q36" s="496"/>
      <c r="R36" s="496"/>
      <c r="S36" s="494"/>
      <c r="T36" s="496"/>
      <c r="U36" s="538"/>
      <c r="V36" s="518"/>
      <c r="W36" s="539"/>
      <c r="X36" s="513"/>
      <c r="Y36" s="513"/>
      <c r="Z36" s="514"/>
      <c r="AA36" s="515"/>
      <c r="AB36" s="497"/>
      <c r="AC36" s="495"/>
      <c r="AD36" s="540"/>
      <c r="AE36" s="497"/>
      <c r="AF36" s="537"/>
      <c r="AG36" s="496"/>
    </row>
    <row r="37" spans="1:33" ht="18">
      <c r="A37" s="485"/>
      <c r="B37" s="496"/>
      <c r="C37" s="512"/>
      <c r="D37" s="487"/>
      <c r="E37" s="496"/>
      <c r="F37" s="496"/>
      <c r="G37" s="508"/>
      <c r="H37" s="508"/>
      <c r="I37" s="496"/>
      <c r="J37" s="487"/>
      <c r="K37" s="496"/>
      <c r="L37" s="536"/>
      <c r="M37" s="508"/>
      <c r="N37" s="509"/>
      <c r="O37" s="512"/>
      <c r="P37" s="512"/>
      <c r="Q37" s="496"/>
      <c r="R37" s="496"/>
      <c r="S37" s="494"/>
      <c r="T37" s="496"/>
      <c r="U37" s="538"/>
      <c r="V37" s="518"/>
      <c r="W37" s="539"/>
      <c r="X37" s="513"/>
      <c r="Y37" s="513"/>
      <c r="Z37" s="514"/>
      <c r="AA37" s="515"/>
      <c r="AB37" s="497"/>
      <c r="AC37" s="495"/>
      <c r="AD37" s="540"/>
      <c r="AE37" s="497"/>
      <c r="AF37" s="537"/>
      <c r="AG37" s="496"/>
    </row>
    <row r="38" spans="1:33" ht="18">
      <c r="A38" s="485"/>
      <c r="B38" s="496"/>
      <c r="C38" s="512"/>
      <c r="D38" s="487"/>
      <c r="E38" s="496"/>
      <c r="F38" s="496"/>
      <c r="G38" s="508"/>
      <c r="H38" s="508"/>
      <c r="I38" s="496"/>
      <c r="J38" s="487"/>
      <c r="K38" s="496"/>
      <c r="L38" s="536"/>
      <c r="M38" s="508"/>
      <c r="N38" s="509"/>
      <c r="O38" s="512"/>
      <c r="P38" s="512"/>
      <c r="Q38" s="496"/>
      <c r="R38" s="496"/>
      <c r="S38" s="494"/>
      <c r="T38" s="496"/>
      <c r="U38" s="538"/>
      <c r="V38" s="518"/>
      <c r="W38" s="539"/>
      <c r="X38" s="513"/>
      <c r="Y38" s="513"/>
      <c r="Z38" s="514"/>
      <c r="AA38" s="515"/>
      <c r="AB38" s="497"/>
      <c r="AC38" s="495"/>
      <c r="AD38" s="540"/>
      <c r="AE38" s="497"/>
      <c r="AF38" s="537"/>
      <c r="AG38" s="496"/>
    </row>
    <row r="39" spans="1:33" ht="18">
      <c r="A39" s="485"/>
      <c r="B39" s="496"/>
      <c r="C39" s="512"/>
      <c r="D39" s="487"/>
      <c r="E39" s="496"/>
      <c r="F39" s="496"/>
      <c r="G39" s="508"/>
      <c r="H39" s="508"/>
      <c r="I39" s="496"/>
      <c r="J39" s="487"/>
      <c r="K39" s="496"/>
      <c r="L39" s="536"/>
      <c r="M39" s="508"/>
      <c r="N39" s="509"/>
      <c r="O39" s="512"/>
      <c r="P39" s="512"/>
      <c r="Q39" s="496"/>
      <c r="R39" s="496"/>
      <c r="S39" s="494"/>
      <c r="T39" s="496"/>
      <c r="U39" s="538"/>
      <c r="V39" s="518"/>
      <c r="W39" s="539"/>
      <c r="X39" s="513"/>
      <c r="Y39" s="513"/>
      <c r="Z39" s="514"/>
      <c r="AA39" s="515"/>
      <c r="AB39" s="497"/>
      <c r="AC39" s="495"/>
      <c r="AD39" s="540"/>
      <c r="AE39" s="497"/>
      <c r="AF39" s="537"/>
      <c r="AG39" s="496"/>
    </row>
    <row r="40" spans="1:33" ht="18">
      <c r="A40" s="485"/>
      <c r="B40" s="496"/>
      <c r="C40" s="512"/>
      <c r="D40" s="487"/>
      <c r="E40" s="496"/>
      <c r="F40" s="496"/>
      <c r="G40" s="508"/>
      <c r="H40" s="508"/>
      <c r="I40" s="496"/>
      <c r="J40" s="487"/>
      <c r="K40" s="496"/>
      <c r="L40" s="536"/>
      <c r="M40" s="508"/>
      <c r="N40" s="509"/>
      <c r="O40" s="512"/>
      <c r="P40" s="512"/>
      <c r="Q40" s="496"/>
      <c r="R40" s="496"/>
      <c r="S40" s="494"/>
      <c r="T40" s="496"/>
      <c r="U40" s="538"/>
      <c r="V40" s="518"/>
      <c r="W40" s="539"/>
      <c r="X40" s="513"/>
      <c r="Y40" s="513"/>
      <c r="Z40" s="514"/>
      <c r="AA40" s="515"/>
      <c r="AB40" s="497"/>
      <c r="AC40" s="495"/>
      <c r="AD40" s="540"/>
      <c r="AE40" s="497"/>
      <c r="AF40" s="537"/>
      <c r="AG40" s="496"/>
    </row>
    <row r="41" spans="1:33">
      <c r="A41" s="498"/>
      <c r="B41" s="499"/>
      <c r="C41" s="518"/>
      <c r="D41" s="500"/>
      <c r="E41" s="499"/>
      <c r="F41" s="499"/>
      <c r="G41" s="500"/>
      <c r="H41" s="499"/>
      <c r="I41" s="519"/>
      <c r="J41" s="500"/>
      <c r="K41" s="499"/>
      <c r="L41" s="499"/>
      <c r="M41" s="520"/>
      <c r="N41" s="499"/>
      <c r="O41" s="520"/>
      <c r="P41" s="500"/>
      <c r="Q41" s="499"/>
      <c r="R41" s="499"/>
      <c r="S41" s="499"/>
      <c r="T41" s="499"/>
      <c r="U41" s="539"/>
      <c r="V41" s="521"/>
      <c r="W41" s="521"/>
      <c r="X41" s="502"/>
      <c r="Y41" s="502"/>
      <c r="Z41" s="522"/>
      <c r="AA41" s="523"/>
      <c r="AB41" s="502"/>
      <c r="AC41" s="502"/>
      <c r="AD41" s="499"/>
      <c r="AE41" s="502"/>
      <c r="AF41" s="496"/>
      <c r="AG41" s="496"/>
    </row>
    <row r="42" spans="1:33">
      <c r="A42" s="485"/>
      <c r="B42" s="496"/>
      <c r="C42" s="524"/>
      <c r="D42" s="525" t="s">
        <v>76</v>
      </c>
      <c r="E42" s="526" t="s">
        <v>77</v>
      </c>
      <c r="F42" s="37">
        <f>F28</f>
        <v>16</v>
      </c>
      <c r="G42" s="487"/>
      <c r="H42" s="496"/>
      <c r="I42" s="527"/>
      <c r="J42" s="487"/>
      <c r="K42" s="496"/>
      <c r="L42" s="496"/>
      <c r="M42" s="528" t="s">
        <v>78</v>
      </c>
      <c r="N42" s="496"/>
      <c r="O42" s="35">
        <f>AVERAGEA(O13:O30)</f>
        <v>30.82333775944922</v>
      </c>
      <c r="P42" s="525" t="s">
        <v>79</v>
      </c>
      <c r="Q42" s="37">
        <f>VLOOKUP(F42,TVAL,2)</f>
        <v>1.337</v>
      </c>
      <c r="R42" s="496"/>
      <c r="S42" s="496"/>
      <c r="T42" s="496"/>
      <c r="U42" s="524"/>
      <c r="V42" s="524"/>
      <c r="W42" s="496"/>
      <c r="X42" s="497"/>
      <c r="Y42" s="540"/>
      <c r="Z42" s="529"/>
      <c r="AA42" s="496"/>
      <c r="AB42" s="496"/>
      <c r="AC42" s="496"/>
      <c r="AD42" s="496"/>
      <c r="AE42" s="496"/>
      <c r="AF42" s="496"/>
      <c r="AG42" s="496"/>
    </row>
    <row r="43" spans="1:33" ht="18">
      <c r="A43" s="485"/>
      <c r="B43" s="496"/>
      <c r="C43" s="524"/>
      <c r="D43" s="525" t="s">
        <v>80</v>
      </c>
      <c r="E43" s="526" t="s">
        <v>77</v>
      </c>
      <c r="F43" s="37">
        <f>F33</f>
        <v>17</v>
      </c>
      <c r="G43" s="487"/>
      <c r="H43" s="496"/>
      <c r="I43" s="527"/>
      <c r="J43" s="487"/>
      <c r="K43" s="496"/>
      <c r="L43" s="496"/>
      <c r="M43" s="528" t="s">
        <v>81</v>
      </c>
      <c r="N43" s="496"/>
      <c r="O43" s="35">
        <f>AVERAGEA(O13:O31)</f>
        <v>29.206489602650286</v>
      </c>
      <c r="P43" s="525" t="s">
        <v>79</v>
      </c>
      <c r="Q43" s="37">
        <f>VLOOKUP(F43,TVAL,2)</f>
        <v>1.333</v>
      </c>
      <c r="R43" s="496"/>
      <c r="S43" s="526" t="s">
        <v>82</v>
      </c>
      <c r="T43" s="37">
        <f>AVERAGEA(T13:T31)</f>
        <v>53.361216090819788</v>
      </c>
      <c r="U43" s="524"/>
      <c r="V43" s="524"/>
      <c r="W43" s="496" t="s">
        <v>83</v>
      </c>
      <c r="X43" s="248">
        <f>AVERAGEA(X13:X32)</f>
        <v>0.32201293503181533</v>
      </c>
      <c r="Y43" s="248">
        <f>AVERAGEA(Y13:Y32)</f>
        <v>0.73842026986763054</v>
      </c>
      <c r="Z43" s="529"/>
      <c r="AA43" s="496"/>
      <c r="AB43" s="496"/>
      <c r="AC43" s="496"/>
      <c r="AD43" s="496"/>
      <c r="AE43" s="496"/>
      <c r="AF43" s="496"/>
      <c r="AG43" s="496"/>
    </row>
    <row r="44" spans="1:33">
      <c r="A44" s="499"/>
      <c r="B44" s="499"/>
      <c r="C44" s="521"/>
      <c r="D44" s="500"/>
      <c r="E44" s="499"/>
      <c r="F44" s="499"/>
      <c r="G44" s="500"/>
      <c r="H44" s="499"/>
      <c r="I44" s="519"/>
      <c r="J44" s="500"/>
      <c r="K44" s="499"/>
      <c r="L44" s="499"/>
      <c r="M44" s="520"/>
      <c r="N44" s="499"/>
      <c r="O44" s="520"/>
      <c r="P44" s="500"/>
      <c r="Q44" s="499"/>
      <c r="R44" s="499"/>
      <c r="S44" s="499"/>
      <c r="T44" s="499"/>
      <c r="U44" s="521"/>
      <c r="V44" s="521"/>
      <c r="W44" s="499"/>
      <c r="X44" s="502"/>
      <c r="Y44" s="540"/>
      <c r="Z44" s="524"/>
      <c r="AA44" s="496"/>
      <c r="AB44" s="496"/>
      <c r="AC44" s="496"/>
      <c r="AD44" s="496"/>
      <c r="AE44" s="496"/>
      <c r="AF44" s="496"/>
      <c r="AG44" s="496"/>
    </row>
    <row r="45" spans="1:33">
      <c r="C45" s="4"/>
      <c r="D45" s="1"/>
      <c r="G45" s="1"/>
      <c r="I45" s="5"/>
      <c r="J45" s="1"/>
      <c r="M45" s="3"/>
      <c r="O45" s="3"/>
      <c r="P45" s="1"/>
      <c r="U45" s="4"/>
      <c r="V45" s="4"/>
      <c r="Z45" s="4"/>
    </row>
    <row r="46" spans="1:33">
      <c r="C46" s="4"/>
      <c r="D46" s="1"/>
      <c r="G46" s="1"/>
      <c r="I46" s="5"/>
      <c r="J46" s="1"/>
      <c r="M46" s="3" t="s">
        <v>84</v>
      </c>
      <c r="O46" s="3"/>
      <c r="P46" s="1"/>
      <c r="U46" s="4"/>
      <c r="V46" s="4"/>
      <c r="Z46" s="4"/>
    </row>
    <row r="47" spans="1:33">
      <c r="C47" s="4"/>
      <c r="D47" s="1"/>
      <c r="G47" s="1"/>
      <c r="I47" s="5"/>
      <c r="J47" s="1"/>
      <c r="M47" s="3"/>
      <c r="O47" s="3"/>
      <c r="P47" s="1"/>
      <c r="U47" s="4"/>
      <c r="V47" s="4"/>
      <c r="Z47" s="4"/>
    </row>
    <row r="48" spans="1:33">
      <c r="C48" s="4"/>
      <c r="D48" s="1"/>
      <c r="G48" s="1"/>
      <c r="I48" s="5"/>
      <c r="J48" s="1"/>
      <c r="M48" s="3"/>
      <c r="O48" s="3"/>
      <c r="P48" s="1"/>
      <c r="U48" s="4"/>
      <c r="V48" s="4"/>
      <c r="Z48" s="4"/>
    </row>
    <row r="49" spans="3:26">
      <c r="C49" s="4"/>
      <c r="D49" s="1"/>
      <c r="G49" s="1"/>
      <c r="I49" s="5"/>
      <c r="J49" s="1"/>
      <c r="M49" s="3"/>
      <c r="O49" s="3"/>
      <c r="P49" s="1"/>
      <c r="U49" s="4"/>
      <c r="V49" s="4"/>
      <c r="Z49" s="4"/>
    </row>
    <row r="50" spans="3:26">
      <c r="C50" s="4"/>
      <c r="D50" s="1"/>
      <c r="G50" s="1"/>
      <c r="I50" s="5"/>
      <c r="J50" s="1"/>
      <c r="M50" s="3"/>
      <c r="O50" s="3"/>
      <c r="P50" s="1"/>
      <c r="U50" s="4"/>
      <c r="V50" s="4"/>
      <c r="Z50" s="4"/>
    </row>
    <row r="51" spans="3:26">
      <c r="C51" s="4"/>
      <c r="D51" s="1"/>
      <c r="G51" s="1"/>
      <c r="I51" s="5"/>
      <c r="M51" s="3"/>
      <c r="O51" s="3"/>
      <c r="P51" s="1"/>
      <c r="U51" s="4"/>
      <c r="V51" s="4"/>
      <c r="Z51" s="4"/>
    </row>
    <row r="52" spans="3:26">
      <c r="C52" s="4"/>
      <c r="D52" s="1"/>
      <c r="G52" s="1"/>
      <c r="I52" s="5"/>
      <c r="M52" s="3"/>
      <c r="O52" s="3"/>
      <c r="P52" s="1"/>
      <c r="U52" s="4"/>
      <c r="V52" s="4"/>
      <c r="Z52" s="4"/>
    </row>
    <row r="53" spans="3:26">
      <c r="C53" s="4"/>
      <c r="D53" s="1"/>
      <c r="G53" s="1"/>
      <c r="I53" s="5"/>
      <c r="J53" s="1"/>
      <c r="M53" s="3"/>
      <c r="O53" s="3"/>
      <c r="P53" s="1"/>
      <c r="U53" s="4"/>
      <c r="V53" s="4"/>
      <c r="Z53" s="4"/>
    </row>
    <row r="54" spans="3:26">
      <c r="C54" s="4"/>
      <c r="D54" s="1"/>
      <c r="G54" s="1"/>
      <c r="I54" s="5"/>
      <c r="J54" s="1"/>
      <c r="M54" s="3"/>
      <c r="O54" s="3"/>
      <c r="P54" s="1"/>
      <c r="U54" s="4"/>
      <c r="V54" s="4"/>
      <c r="Z54" s="4"/>
    </row>
    <row r="55" spans="3:26">
      <c r="C55" s="4"/>
      <c r="D55" s="1"/>
      <c r="G55" s="1"/>
      <c r="I55" s="5"/>
      <c r="J55" s="1"/>
      <c r="M55" s="3"/>
      <c r="O55" s="3"/>
      <c r="P55" s="1"/>
      <c r="U55" s="4"/>
      <c r="V55" s="4"/>
      <c r="Z55" s="4"/>
    </row>
    <row r="56" spans="3:26">
      <c r="C56" s="4"/>
      <c r="D56" s="1"/>
      <c r="G56" s="1"/>
      <c r="I56" s="5"/>
      <c r="J56" s="1"/>
      <c r="M56" s="3"/>
      <c r="O56" s="3"/>
      <c r="P56" s="1"/>
      <c r="U56" s="4"/>
      <c r="V56" s="4"/>
      <c r="Z56" s="4"/>
    </row>
    <row r="57" spans="3:26">
      <c r="C57" s="4"/>
      <c r="D57" s="1"/>
      <c r="G57" s="1"/>
      <c r="I57" s="5"/>
      <c r="J57" s="1"/>
      <c r="M57" s="3"/>
      <c r="O57" s="3"/>
      <c r="P57" s="1"/>
      <c r="U57" s="4"/>
      <c r="V57" s="4"/>
      <c r="Z57" s="4"/>
    </row>
    <row r="58" spans="3:26">
      <c r="C58" s="4"/>
      <c r="D58" s="1"/>
      <c r="G58" s="1"/>
      <c r="I58" s="5"/>
      <c r="J58" s="1"/>
      <c r="M58" s="3"/>
      <c r="O58" s="3"/>
      <c r="P58" s="1"/>
      <c r="U58" s="4"/>
      <c r="V58" s="4"/>
      <c r="Z58" s="4"/>
    </row>
    <row r="59" spans="3:26">
      <c r="C59" s="4"/>
      <c r="D59" s="1"/>
      <c r="G59" s="1"/>
      <c r="I59" s="5"/>
      <c r="J59" s="1"/>
      <c r="M59" s="3"/>
      <c r="O59" s="3"/>
      <c r="P59" s="1"/>
      <c r="U59" s="4"/>
      <c r="V59" s="4"/>
      <c r="Z59" s="4"/>
    </row>
    <row r="60" spans="3:26">
      <c r="C60" s="4"/>
      <c r="D60" s="1"/>
      <c r="G60" s="1"/>
      <c r="I60" s="5"/>
      <c r="J60" s="1"/>
      <c r="M60" s="3"/>
      <c r="O60" s="3"/>
      <c r="P60" s="1"/>
      <c r="U60" s="4"/>
      <c r="V60" s="4"/>
      <c r="Z60" s="4"/>
    </row>
    <row r="61" spans="3:26">
      <c r="C61" s="4"/>
      <c r="D61" s="1"/>
      <c r="G61" s="1"/>
      <c r="I61" s="5"/>
      <c r="J61" s="1"/>
      <c r="M61" s="3"/>
      <c r="O61" s="3"/>
      <c r="P61" s="1"/>
      <c r="U61" s="4"/>
      <c r="V61" s="4"/>
      <c r="Z61" s="4"/>
    </row>
    <row r="62" spans="3:26">
      <c r="C62" s="4"/>
      <c r="D62" s="1"/>
      <c r="G62" s="1"/>
      <c r="I62" s="5"/>
      <c r="J62" s="1"/>
      <c r="M62" s="3"/>
      <c r="O62" s="3"/>
      <c r="P62" s="1"/>
      <c r="U62" s="4"/>
      <c r="V62" s="4"/>
      <c r="Z62" s="4"/>
    </row>
    <row r="63" spans="3:26">
      <c r="C63" s="4"/>
      <c r="D63" s="1"/>
      <c r="G63" s="1"/>
      <c r="I63" s="5"/>
      <c r="J63" s="1"/>
      <c r="M63" s="3"/>
      <c r="O63" s="3"/>
      <c r="P63" s="1"/>
      <c r="U63" s="4"/>
      <c r="V63" s="4"/>
      <c r="Z63" s="4"/>
    </row>
    <row r="64" spans="3:26">
      <c r="C64" s="4"/>
      <c r="D64" s="1"/>
      <c r="G64" s="1"/>
      <c r="I64" s="5"/>
      <c r="J64" s="1"/>
      <c r="M64" s="3"/>
      <c r="O64" s="3"/>
      <c r="P64" s="1"/>
      <c r="U64" s="4"/>
      <c r="V64" s="4"/>
      <c r="Z64" s="4"/>
    </row>
    <row r="65" spans="3:26">
      <c r="C65" s="4"/>
      <c r="D65" s="1"/>
      <c r="G65" s="1"/>
      <c r="I65" s="5"/>
      <c r="J65" s="1"/>
      <c r="M65" s="3"/>
      <c r="O65" s="3"/>
      <c r="P65" s="1"/>
      <c r="U65" s="4"/>
      <c r="V65" s="4"/>
      <c r="Z65" s="4"/>
    </row>
    <row r="66" spans="3:26">
      <c r="C66" s="4"/>
      <c r="D66" s="1"/>
      <c r="G66" s="1"/>
      <c r="I66" s="5"/>
      <c r="J66" s="1"/>
      <c r="M66" s="3"/>
      <c r="O66" s="3"/>
      <c r="P66" s="1"/>
      <c r="U66" s="4"/>
      <c r="V66" s="4"/>
      <c r="Z66" s="4"/>
    </row>
    <row r="67" spans="3:26">
      <c r="C67" s="4"/>
      <c r="D67" s="1"/>
      <c r="G67" s="1"/>
      <c r="I67" s="5"/>
      <c r="J67" s="1"/>
      <c r="M67" s="3"/>
      <c r="O67" s="3"/>
      <c r="P67" s="1"/>
      <c r="U67" s="4"/>
      <c r="V67" s="4"/>
      <c r="Z67" s="4"/>
    </row>
    <row r="68" spans="3:26">
      <c r="D68" s="1"/>
      <c r="M68" s="3"/>
      <c r="V68" s="4"/>
    </row>
    <row r="69" spans="3:26">
      <c r="D69" s="1"/>
      <c r="M69" s="3"/>
      <c r="V69" s="4"/>
    </row>
    <row r="70" spans="3:26">
      <c r="D70" s="1"/>
      <c r="M70" s="3"/>
      <c r="V70" s="4"/>
    </row>
    <row r="71" spans="3:26">
      <c r="D71" s="1"/>
      <c r="M71" s="3"/>
      <c r="V71" s="4"/>
    </row>
  </sheetData>
  <phoneticPr fontId="23" type="noConversion"/>
  <pageMargins left="0.75" right="1" top="1" bottom="1" header="0.5" footer="0.5"/>
  <pageSetup orientation="landscape" horizontalDpi="300" verticalDpi="300"/>
  <headerFooter alignWithMargins="0"/>
  <drawing r:id="rId1"/>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transitionEntry="1" codeName="Sheet4" enableFormatConditionsCalculation="0">
    <tabColor indexed="10"/>
  </sheetPr>
  <dimension ref="A1:AE68"/>
  <sheetViews>
    <sheetView showGridLines="0" zoomScale="50" workbookViewId="0">
      <selection activeCell="A7" sqref="A7"/>
    </sheetView>
  </sheetViews>
  <sheetFormatPr baseColWidth="10" defaultColWidth="9.875" defaultRowHeight="16" x14ac:dyDescent="0"/>
  <cols>
    <col min="1" max="2" width="6.875" customWidth="1"/>
    <col min="3" max="3" width="10.125" customWidth="1"/>
    <col min="4" max="4" width="7.875" customWidth="1"/>
    <col min="5" max="5" width="4.875" customWidth="1"/>
    <col min="6" max="6" width="5.875" customWidth="1"/>
    <col min="7" max="7" width="7.875" customWidth="1"/>
    <col min="8" max="8" width="8.875" customWidth="1"/>
    <col min="10" max="10" width="6.875" customWidth="1"/>
    <col min="12" max="12" width="9.875" bestFit="1" customWidth="1"/>
    <col min="23" max="23" width="10.875" customWidth="1"/>
    <col min="25" max="25" width="10.125" bestFit="1" customWidth="1"/>
    <col min="31" max="31" width="6.875" customWidth="1"/>
  </cols>
  <sheetData>
    <row r="1" spans="1:31">
      <c r="A1" t="s">
        <v>0</v>
      </c>
      <c r="C1" s="37" t="str">
        <f ca="1">CELL("filename",C2)</f>
        <v>NWCLM04072996:Users:eric.ward:Documents:NCEAS-covariation:data:salmon data:[2015_PWS_Pink_Wild_forecast-FINAL.xlsm]Even</v>
      </c>
      <c r="D1" s="4"/>
      <c r="E1" s="1"/>
      <c r="G1" t="s">
        <v>35</v>
      </c>
      <c r="I1" s="5"/>
      <c r="J1" s="1"/>
      <c r="M1" s="3"/>
      <c r="O1" s="3"/>
      <c r="P1" s="1"/>
      <c r="U1" s="4"/>
      <c r="V1" s="4"/>
      <c r="Y1" s="4"/>
    </row>
    <row r="2" spans="1:31">
      <c r="D2" s="4"/>
      <c r="E2" s="1"/>
      <c r="G2" s="8" t="s">
        <v>36</v>
      </c>
      <c r="H2" s="49" t="s">
        <v>37</v>
      </c>
      <c r="I2" s="5"/>
      <c r="J2" s="1"/>
      <c r="M2" s="3"/>
      <c r="O2" s="3"/>
      <c r="P2" s="1"/>
      <c r="U2" s="4"/>
      <c r="V2" s="4"/>
      <c r="Y2" s="4"/>
    </row>
    <row r="3" spans="1:31">
      <c r="D3" s="4"/>
      <c r="E3" s="1"/>
      <c r="G3" s="8" t="s">
        <v>38</v>
      </c>
      <c r="H3" s="49" t="s">
        <v>39</v>
      </c>
      <c r="I3" s="5"/>
      <c r="J3" s="1"/>
      <c r="M3" s="3"/>
      <c r="O3" s="3"/>
      <c r="P3" s="1"/>
      <c r="U3" s="4"/>
      <c r="V3" s="4"/>
      <c r="Y3" s="4"/>
    </row>
    <row r="4" spans="1:31">
      <c r="C4" s="4"/>
      <c r="D4" s="1"/>
      <c r="G4" s="1"/>
      <c r="I4" s="5"/>
      <c r="J4" s="1"/>
      <c r="M4" s="3"/>
      <c r="O4" s="3"/>
      <c r="P4" s="1"/>
      <c r="U4" s="4"/>
      <c r="V4" s="4"/>
      <c r="Y4" s="4"/>
    </row>
    <row r="5" spans="1:31">
      <c r="C5" s="4"/>
      <c r="D5" s="1"/>
      <c r="G5" s="1"/>
      <c r="I5" s="5"/>
      <c r="J5" s="1"/>
      <c r="M5" s="3"/>
      <c r="O5" s="3"/>
      <c r="P5" s="1"/>
      <c r="U5" s="4"/>
      <c r="V5" s="4"/>
      <c r="Y5" s="4"/>
    </row>
    <row r="6" spans="1:31">
      <c r="B6" s="6"/>
      <c r="C6" s="4"/>
      <c r="D6" s="1"/>
      <c r="G6" s="1"/>
      <c r="I6" s="5"/>
      <c r="J6" s="1"/>
      <c r="M6" s="3"/>
      <c r="O6" s="3"/>
      <c r="P6" s="1"/>
      <c r="U6" s="4"/>
      <c r="V6" s="4"/>
      <c r="Y6" s="4"/>
    </row>
    <row r="7" spans="1:31">
      <c r="C7" s="4"/>
      <c r="D7" s="1"/>
      <c r="G7" s="1"/>
      <c r="I7" s="5"/>
      <c r="J7" s="1"/>
      <c r="M7" s="3"/>
      <c r="O7" s="3"/>
      <c r="P7" s="1"/>
      <c r="U7" s="4"/>
      <c r="V7" s="4"/>
      <c r="Y7" s="4"/>
    </row>
    <row r="8" spans="1:31">
      <c r="C8" s="4"/>
      <c r="D8" s="1"/>
      <c r="G8" s="1"/>
      <c r="I8" s="5"/>
      <c r="J8" s="1"/>
      <c r="M8" s="3"/>
      <c r="O8" s="3"/>
      <c r="P8" s="1"/>
      <c r="U8" s="4"/>
      <c r="V8" s="4"/>
      <c r="Y8" s="4"/>
      <c r="Z8" t="s">
        <v>40</v>
      </c>
    </row>
    <row r="9" spans="1:31">
      <c r="A9" s="28"/>
      <c r="B9" s="28"/>
      <c r="C9" s="50" t="s">
        <v>41</v>
      </c>
      <c r="D9" s="51"/>
      <c r="E9" s="10"/>
      <c r="F9" s="15"/>
      <c r="G9" s="52"/>
      <c r="H9" s="15" t="s">
        <v>42</v>
      </c>
      <c r="I9" s="53"/>
      <c r="J9" s="52"/>
      <c r="K9" s="15"/>
      <c r="L9" s="15"/>
      <c r="M9" s="54"/>
      <c r="N9" s="10" t="s">
        <v>43</v>
      </c>
      <c r="O9" s="55"/>
      <c r="P9" s="52"/>
      <c r="Q9" s="15"/>
      <c r="R9" s="47"/>
      <c r="S9" s="10" t="s">
        <v>44</v>
      </c>
      <c r="T9" s="15"/>
      <c r="U9" s="56"/>
      <c r="V9" s="56"/>
      <c r="W9" s="47"/>
      <c r="X9" s="57" t="s">
        <v>15</v>
      </c>
      <c r="Y9" s="58" t="s">
        <v>45</v>
      </c>
      <c r="Z9" s="13" t="s">
        <v>46</v>
      </c>
      <c r="AA9" s="13" t="s">
        <v>47</v>
      </c>
      <c r="AB9" s="59" t="s">
        <v>49</v>
      </c>
      <c r="AC9" s="60"/>
      <c r="AE9" s="13" t="s">
        <v>48</v>
      </c>
    </row>
    <row r="10" spans="1:31">
      <c r="A10" s="61" t="s">
        <v>6</v>
      </c>
      <c r="B10" s="30" t="s">
        <v>7</v>
      </c>
      <c r="C10" s="62" t="s">
        <v>50</v>
      </c>
      <c r="D10" s="63" t="s">
        <v>51</v>
      </c>
      <c r="E10" s="28"/>
      <c r="F10" s="28"/>
      <c r="G10" s="64"/>
      <c r="H10" s="28"/>
      <c r="I10" s="65" t="s">
        <v>52</v>
      </c>
      <c r="J10" s="63" t="s">
        <v>53</v>
      </c>
      <c r="K10" s="19" t="s">
        <v>52</v>
      </c>
      <c r="L10" s="28"/>
      <c r="M10" s="66" t="s">
        <v>54</v>
      </c>
      <c r="N10" s="28"/>
      <c r="O10" s="67"/>
      <c r="P10" s="68" t="s">
        <v>55</v>
      </c>
      <c r="Q10" s="57" t="s">
        <v>32</v>
      </c>
      <c r="R10" s="57" t="s">
        <v>33</v>
      </c>
      <c r="S10" s="28"/>
      <c r="T10" s="28"/>
      <c r="U10" s="69" t="s">
        <v>55</v>
      </c>
      <c r="V10" s="69" t="s">
        <v>32</v>
      </c>
      <c r="W10" s="57" t="s">
        <v>33</v>
      </c>
      <c r="X10" s="61" t="s">
        <v>31</v>
      </c>
      <c r="Y10" s="70" t="s">
        <v>56</v>
      </c>
      <c r="Z10" s="57" t="s">
        <v>57</v>
      </c>
      <c r="AA10" s="57" t="s">
        <v>58</v>
      </c>
      <c r="AB10" s="13" t="s">
        <v>59</v>
      </c>
      <c r="AC10" s="13" t="s">
        <v>60</v>
      </c>
      <c r="AE10" s="57" t="s">
        <v>7</v>
      </c>
    </row>
    <row r="11" spans="1:31">
      <c r="A11" s="71" t="s">
        <v>16</v>
      </c>
      <c r="B11" s="38" t="s">
        <v>16</v>
      </c>
      <c r="C11" s="72" t="s">
        <v>45</v>
      </c>
      <c r="D11" s="73" t="s">
        <v>61</v>
      </c>
      <c r="E11" s="23" t="s">
        <v>62</v>
      </c>
      <c r="F11" s="23" t="s">
        <v>63</v>
      </c>
      <c r="G11" s="73" t="s">
        <v>34</v>
      </c>
      <c r="H11" s="23" t="s">
        <v>64</v>
      </c>
      <c r="I11" s="74" t="s">
        <v>64</v>
      </c>
      <c r="J11" s="73" t="s">
        <v>65</v>
      </c>
      <c r="K11" s="23" t="s">
        <v>53</v>
      </c>
      <c r="L11" s="23" t="s">
        <v>66</v>
      </c>
      <c r="M11" s="75" t="s">
        <v>67</v>
      </c>
      <c r="N11" s="23" t="s">
        <v>68</v>
      </c>
      <c r="O11" s="75" t="s">
        <v>69</v>
      </c>
      <c r="P11" s="73" t="s">
        <v>65</v>
      </c>
      <c r="Q11" s="23" t="s">
        <v>70</v>
      </c>
      <c r="R11" s="23" t="s">
        <v>71</v>
      </c>
      <c r="S11" s="23" t="s">
        <v>68</v>
      </c>
      <c r="T11" s="23" t="s">
        <v>69</v>
      </c>
      <c r="U11" s="72" t="s">
        <v>65</v>
      </c>
      <c r="V11" s="72" t="s">
        <v>70</v>
      </c>
      <c r="W11" s="23" t="s">
        <v>71</v>
      </c>
      <c r="X11" s="23" t="s">
        <v>72</v>
      </c>
      <c r="Y11" s="76" t="s">
        <v>73</v>
      </c>
      <c r="Z11" s="71" t="s">
        <v>74</v>
      </c>
      <c r="AA11" s="71" t="s">
        <v>74</v>
      </c>
      <c r="AB11" s="13" t="s">
        <v>32</v>
      </c>
      <c r="AC11" s="13" t="s">
        <v>33</v>
      </c>
      <c r="AD11" s="13" t="s">
        <v>75</v>
      </c>
      <c r="AE11" s="71" t="s">
        <v>16</v>
      </c>
    </row>
    <row r="12" spans="1:31">
      <c r="A12" s="18"/>
      <c r="B12" s="27"/>
      <c r="C12" s="77"/>
      <c r="D12" s="78"/>
      <c r="E12" s="27"/>
      <c r="F12" s="27"/>
      <c r="G12" s="78"/>
      <c r="H12" s="27"/>
      <c r="I12" s="79"/>
      <c r="J12" s="78"/>
      <c r="K12" s="27"/>
      <c r="L12" s="27"/>
      <c r="M12" s="80"/>
      <c r="N12" s="27"/>
      <c r="O12" s="80"/>
      <c r="P12" s="78"/>
      <c r="Q12" s="27"/>
      <c r="R12" s="27"/>
      <c r="S12" s="27"/>
      <c r="T12" s="27"/>
      <c r="U12" s="77"/>
      <c r="V12" s="77"/>
      <c r="W12" s="27"/>
      <c r="X12" s="26"/>
      <c r="Y12" s="81"/>
      <c r="Z12" s="28"/>
      <c r="AA12" s="28"/>
      <c r="AB12" s="18"/>
      <c r="AC12" s="26"/>
      <c r="AE12" s="28"/>
    </row>
    <row r="13" spans="1:31">
      <c r="A13" s="485">
        <v>1960</v>
      </c>
      <c r="B13" s="37">
        <f>A13+$H$4</f>
        <v>1960</v>
      </c>
      <c r="C13" s="111">
        <f>VLOOKUP(A13,Main,3)</f>
        <v>1.350722</v>
      </c>
      <c r="D13" s="35">
        <f t="shared" ref="D13:D29" si="0">VLOOKUP($A13,Main,7)</f>
        <v>2.1702331188677255</v>
      </c>
      <c r="E13" s="496">
        <v>17</v>
      </c>
      <c r="F13" s="496">
        <v>15</v>
      </c>
      <c r="G13" s="508">
        <v>1.2155930183496617</v>
      </c>
      <c r="H13" s="508">
        <v>0.26603566727452171</v>
      </c>
      <c r="I13" s="496">
        <v>0.28335701601414831</v>
      </c>
      <c r="J13" s="487">
        <v>1.5749332469220383</v>
      </c>
      <c r="K13" s="496">
        <v>0.95488607661961866</v>
      </c>
      <c r="L13" s="496">
        <v>5.5503562195151866E-2</v>
      </c>
      <c r="M13" s="508">
        <v>1.233398577198856</v>
      </c>
      <c r="N13" s="37">
        <f t="shared" ref="N13:N29" si="1">D13-J13</f>
        <v>0.59529987194568723</v>
      </c>
      <c r="O13" s="111">
        <f t="shared" ref="O13:O30" si="2">N13^2</f>
        <v>0.35438193753855163</v>
      </c>
      <c r="P13" s="111">
        <f t="shared" ref="P13:P30" si="3">J13</f>
        <v>1.5749332469220383</v>
      </c>
      <c r="Q13" s="37">
        <f t="shared" ref="Q13:Q30" si="4">$P13-SQRT($O$34)*$Q$34</f>
        <v>8.3033744319318314E-2</v>
      </c>
      <c r="R13" s="37">
        <f t="shared" ref="R13:R30" si="5">$P13+SQRT($O$34)*$Q$34</f>
        <v>3.0668327495247585</v>
      </c>
      <c r="S13" s="111">
        <f t="shared" ref="S13:S29" si="6">EXP(D13)*C13-U13</f>
        <v>5.3082116240356543</v>
      </c>
      <c r="T13" s="37">
        <f t="shared" ref="T13:T30" si="7">S13^2</f>
        <v>28.177110645547238</v>
      </c>
      <c r="U13" s="111">
        <f t="shared" ref="U13:U30" si="8">EXP(P13)*C13</f>
        <v>6.5245534313363427</v>
      </c>
      <c r="V13" s="111">
        <f t="shared" ref="V13:V30" si="9">EXP(Q13)*C13</f>
        <v>1.467665449261875</v>
      </c>
      <c r="W13" s="111">
        <f t="shared" ref="W13:W30" si="10">EXP(R13)*C13</f>
        <v>29.005109781505212</v>
      </c>
      <c r="X13" s="249">
        <f>(+U13-EXP(D13)*C13)/(EXP(D13)*C13)</f>
        <v>-0.44860280747531289</v>
      </c>
      <c r="Y13" s="239">
        <f t="shared" ref="Y13:Y30" si="11">C13</f>
        <v>1.350722</v>
      </c>
      <c r="Z13" s="240">
        <f t="shared" ref="Z13:Z30" si="12">(+G$32+H$32*C13)</f>
        <v>1.6081063124399873</v>
      </c>
      <c r="AA13" s="241">
        <f t="shared" ref="AA13:AA30" si="13">D13</f>
        <v>2.1702331188677255</v>
      </c>
      <c r="AB13" s="39">
        <f t="shared" ref="AB13:AB30" si="14">Z13-SQRT($O$34)*$Q$34</f>
        <v>0.11620680983726728</v>
      </c>
      <c r="AC13" s="94">
        <f t="shared" ref="AC13:AC30" si="15">Z13+SQRT($O$34)*$Q$34</f>
        <v>3.1000058150427074</v>
      </c>
      <c r="AD13" s="496"/>
      <c r="AE13" s="243">
        <f t="shared" ref="AE13:AE30" si="16">B13</f>
        <v>1960</v>
      </c>
    </row>
    <row r="14" spans="1:31">
      <c r="A14" s="485">
        <v>1962</v>
      </c>
      <c r="B14" s="37">
        <f t="shared" ref="B14:B30" si="17">A14+$H$4</f>
        <v>1962</v>
      </c>
      <c r="C14" s="111">
        <f t="shared" ref="C14:C30" si="18">VLOOKUP(A14,Main,3)</f>
        <v>2.0180099999999999</v>
      </c>
      <c r="D14" s="35">
        <f t="shared" si="0"/>
        <v>1.7998228724376104</v>
      </c>
      <c r="E14" s="496">
        <v>17</v>
      </c>
      <c r="F14" s="496">
        <v>15</v>
      </c>
      <c r="G14" s="508">
        <v>1.2522341559432404</v>
      </c>
      <c r="H14" s="508">
        <v>0.26278818748286853</v>
      </c>
      <c r="I14" s="496">
        <v>0.29211452407129906</v>
      </c>
      <c r="J14" s="487">
        <v>1.7825433461655438</v>
      </c>
      <c r="K14" s="496">
        <v>0.96648757634285298</v>
      </c>
      <c r="L14" s="496">
        <v>5.1190921754436715E-2</v>
      </c>
      <c r="M14" s="508">
        <v>1.2542270098759363</v>
      </c>
      <c r="N14" s="37">
        <f t="shared" si="1"/>
        <v>1.7279526272066636E-2</v>
      </c>
      <c r="O14" s="111">
        <f t="shared" si="2"/>
        <v>2.9858202818704112E-4</v>
      </c>
      <c r="P14" s="111">
        <f t="shared" si="3"/>
        <v>1.7825433461655438</v>
      </c>
      <c r="Q14" s="37">
        <f t="shared" si="4"/>
        <v>0.2906438435628238</v>
      </c>
      <c r="R14" s="37">
        <f t="shared" si="5"/>
        <v>3.2744428487682637</v>
      </c>
      <c r="S14" s="111">
        <f t="shared" si="6"/>
        <v>0.2091035901238314</v>
      </c>
      <c r="T14" s="37">
        <f t="shared" si="7"/>
        <v>4.3724311402675277E-2</v>
      </c>
      <c r="U14" s="111">
        <f t="shared" si="8"/>
        <v>11.996983263636167</v>
      </c>
      <c r="V14" s="111">
        <f t="shared" si="9"/>
        <v>2.6986609913937718</v>
      </c>
      <c r="W14" s="111">
        <f t="shared" si="10"/>
        <v>53.332970642463806</v>
      </c>
      <c r="X14" s="249">
        <f t="shared" ref="X14:X30" si="19">(+U14-EXP(D14)*C14)/(EXP(D14)*C14)</f>
        <v>-1.7131091448806011E-2</v>
      </c>
      <c r="Y14" s="239">
        <f t="shared" si="11"/>
        <v>2.0180099999999999</v>
      </c>
      <c r="Z14" s="240">
        <f t="shared" si="12"/>
        <v>1.784094586066693</v>
      </c>
      <c r="AA14" s="241">
        <f t="shared" si="13"/>
        <v>1.7998228724376104</v>
      </c>
      <c r="AB14" s="39">
        <f t="shared" si="14"/>
        <v>0.29219508346397305</v>
      </c>
      <c r="AC14" s="94">
        <f t="shared" si="15"/>
        <v>3.275994088669413</v>
      </c>
      <c r="AD14" s="496"/>
      <c r="AE14" s="243">
        <f t="shared" si="16"/>
        <v>1962</v>
      </c>
    </row>
    <row r="15" spans="1:31">
      <c r="A15" s="485">
        <v>1964</v>
      </c>
      <c r="B15" s="37">
        <f t="shared" si="17"/>
        <v>1964</v>
      </c>
      <c r="C15" s="111">
        <f t="shared" si="18"/>
        <v>1.84168</v>
      </c>
      <c r="D15" s="35">
        <f t="shared" si="0"/>
        <v>1.3862943611198906</v>
      </c>
      <c r="E15" s="496">
        <v>17</v>
      </c>
      <c r="F15" s="496">
        <v>15</v>
      </c>
      <c r="G15" s="508">
        <v>1.2521219841335061</v>
      </c>
      <c r="H15" s="508">
        <v>0.27865592877323686</v>
      </c>
      <c r="I15" s="496">
        <v>0.28810784075779172</v>
      </c>
      <c r="J15" s="487">
        <v>1.7653170350366008</v>
      </c>
      <c r="K15" s="496">
        <v>0.96189383778201798</v>
      </c>
      <c r="L15" s="496">
        <v>5.8703195852550363E-2</v>
      </c>
      <c r="M15" s="508">
        <v>1.2457940919162431</v>
      </c>
      <c r="N15" s="37">
        <f t="shared" si="1"/>
        <v>-0.37902267391671018</v>
      </c>
      <c r="O15" s="111">
        <f t="shared" si="2"/>
        <v>0.14365818734297281</v>
      </c>
      <c r="P15" s="111">
        <f t="shared" si="3"/>
        <v>1.7653170350366008</v>
      </c>
      <c r="Q15" s="37">
        <f t="shared" si="4"/>
        <v>0.27341753243388078</v>
      </c>
      <c r="R15" s="37">
        <f t="shared" si="5"/>
        <v>3.2572165376393207</v>
      </c>
      <c r="S15" s="111">
        <f t="shared" si="6"/>
        <v>-3.394998281409511</v>
      </c>
      <c r="T15" s="37">
        <f t="shared" si="7"/>
        <v>11.526013330773534</v>
      </c>
      <c r="U15" s="111">
        <f t="shared" si="8"/>
        <v>10.761718281409511</v>
      </c>
      <c r="V15" s="111">
        <f t="shared" si="9"/>
        <v>2.4207943520633584</v>
      </c>
      <c r="W15" s="111">
        <f t="shared" si="10"/>
        <v>47.841560878440333</v>
      </c>
      <c r="X15" s="249">
        <f t="shared" si="19"/>
        <v>0.46085615869878466</v>
      </c>
      <c r="Y15" s="239">
        <f t="shared" si="11"/>
        <v>1.84168</v>
      </c>
      <c r="Z15" s="240">
        <f t="shared" si="12"/>
        <v>1.7375899099918992</v>
      </c>
      <c r="AA15" s="241">
        <f t="shared" si="13"/>
        <v>1.3862943611198906</v>
      </c>
      <c r="AB15" s="39">
        <f t="shared" si="14"/>
        <v>0.24569040738917924</v>
      </c>
      <c r="AC15" s="94">
        <f t="shared" si="15"/>
        <v>3.229489412594619</v>
      </c>
      <c r="AD15" s="496"/>
      <c r="AE15" s="243">
        <f t="shared" si="16"/>
        <v>1964</v>
      </c>
    </row>
    <row r="16" spans="1:31">
      <c r="A16" s="485">
        <v>1966</v>
      </c>
      <c r="B16" s="37">
        <f t="shared" si="17"/>
        <v>1966</v>
      </c>
      <c r="C16" s="111">
        <f t="shared" si="18"/>
        <v>1.42317</v>
      </c>
      <c r="D16" s="35">
        <f t="shared" si="0"/>
        <v>1.2641267271456831</v>
      </c>
      <c r="E16" s="496">
        <v>17</v>
      </c>
      <c r="F16" s="496">
        <v>15</v>
      </c>
      <c r="G16" s="508">
        <v>1.2753881011322012</v>
      </c>
      <c r="H16" s="508">
        <v>0.26083709074484601</v>
      </c>
      <c r="I16" s="496">
        <v>0.28570541949010908</v>
      </c>
      <c r="J16" s="487">
        <v>1.6146406464676704</v>
      </c>
      <c r="K16" s="496">
        <v>0.96249004654591963</v>
      </c>
      <c r="L16" s="496">
        <v>5.2641107219709889E-2</v>
      </c>
      <c r="M16" s="508">
        <v>1.2470175142518025</v>
      </c>
      <c r="N16" s="37">
        <f t="shared" si="1"/>
        <v>-0.35051391932198728</v>
      </c>
      <c r="O16" s="111">
        <f t="shared" si="2"/>
        <v>0.12286000763846061</v>
      </c>
      <c r="P16" s="111">
        <f t="shared" si="3"/>
        <v>1.6146406464676704</v>
      </c>
      <c r="Q16" s="37">
        <f t="shared" si="4"/>
        <v>0.12274114386495039</v>
      </c>
      <c r="R16" s="37">
        <f t="shared" si="5"/>
        <v>3.1065401490703906</v>
      </c>
      <c r="S16" s="111">
        <f t="shared" si="6"/>
        <v>-2.1149465496954418</v>
      </c>
      <c r="T16" s="37">
        <f t="shared" si="7"/>
        <v>4.4729989080686536</v>
      </c>
      <c r="U16" s="111">
        <f t="shared" si="8"/>
        <v>7.1529683496954419</v>
      </c>
      <c r="V16" s="111">
        <f t="shared" si="9"/>
        <v>1.6090242216564277</v>
      </c>
      <c r="W16" s="111">
        <f t="shared" si="10"/>
        <v>31.798748286755078</v>
      </c>
      <c r="X16" s="249">
        <f t="shared" si="19"/>
        <v>0.41979702225493382</v>
      </c>
      <c r="Y16" s="239">
        <f t="shared" si="11"/>
        <v>1.42317</v>
      </c>
      <c r="Z16" s="240">
        <f t="shared" si="12"/>
        <v>1.6272135022106824</v>
      </c>
      <c r="AA16" s="241">
        <f t="shared" si="13"/>
        <v>1.2641267271456831</v>
      </c>
      <c r="AB16" s="39">
        <f t="shared" si="14"/>
        <v>0.13531399960796242</v>
      </c>
      <c r="AC16" s="94">
        <f t="shared" si="15"/>
        <v>3.1191130048134026</v>
      </c>
      <c r="AD16" s="496"/>
      <c r="AE16" s="243">
        <f t="shared" si="16"/>
        <v>1966</v>
      </c>
    </row>
    <row r="17" spans="1:31">
      <c r="A17" s="485">
        <v>1968</v>
      </c>
      <c r="B17" s="37">
        <f t="shared" si="17"/>
        <v>1968</v>
      </c>
      <c r="C17" s="111">
        <f t="shared" si="18"/>
        <v>1.1565099999999999</v>
      </c>
      <c r="D17" s="35">
        <f t="shared" si="0"/>
        <v>1.3083830886569414</v>
      </c>
      <c r="E17" s="496">
        <v>17</v>
      </c>
      <c r="F17" s="496">
        <v>15</v>
      </c>
      <c r="G17" s="508">
        <v>1.2747915661411711</v>
      </c>
      <c r="H17" s="508">
        <v>0.25714734890075636</v>
      </c>
      <c r="I17" s="496">
        <v>0.28742192106920206</v>
      </c>
      <c r="J17" s="487">
        <v>1.5555373272505499</v>
      </c>
      <c r="K17" s="496">
        <v>0.96452222609441196</v>
      </c>
      <c r="L17" s="496">
        <v>5.0658855239009225E-2</v>
      </c>
      <c r="M17" s="508">
        <v>1.2506513254273126</v>
      </c>
      <c r="N17" s="37">
        <f t="shared" si="1"/>
        <v>-0.24715423859360852</v>
      </c>
      <c r="O17" s="111">
        <f t="shared" si="2"/>
        <v>6.1085217654786368E-2</v>
      </c>
      <c r="P17" s="111">
        <f t="shared" si="3"/>
        <v>1.5555373272505499</v>
      </c>
      <c r="Q17" s="37">
        <f t="shared" si="4"/>
        <v>6.3637824647829966E-2</v>
      </c>
      <c r="R17" s="37">
        <f t="shared" si="5"/>
        <v>3.0474368298532699</v>
      </c>
      <c r="S17" s="111">
        <f t="shared" si="6"/>
        <v>-1.1998160950477166</v>
      </c>
      <c r="T17" s="37">
        <f t="shared" si="7"/>
        <v>1.4395586619355514</v>
      </c>
      <c r="U17" s="111">
        <f t="shared" si="8"/>
        <v>5.4791182059077164</v>
      </c>
      <c r="V17" s="111">
        <f t="shared" si="9"/>
        <v>1.2325000581051913</v>
      </c>
      <c r="W17" s="111">
        <f t="shared" si="10"/>
        <v>24.357594238545008</v>
      </c>
      <c r="X17" s="249">
        <f t="shared" si="19"/>
        <v>0.28037658103241342</v>
      </c>
      <c r="Y17" s="239">
        <f t="shared" si="11"/>
        <v>1.1565099999999999</v>
      </c>
      <c r="Z17" s="240">
        <f t="shared" si="12"/>
        <v>1.5568854983423417</v>
      </c>
      <c r="AA17" s="241">
        <f t="shared" si="13"/>
        <v>1.3083830886569414</v>
      </c>
      <c r="AB17" s="39">
        <f t="shared" si="14"/>
        <v>6.4985995739621716E-2</v>
      </c>
      <c r="AC17" s="94">
        <f t="shared" si="15"/>
        <v>3.0487850009450614</v>
      </c>
      <c r="AD17" s="496"/>
      <c r="AE17" s="243">
        <f t="shared" si="16"/>
        <v>1968</v>
      </c>
    </row>
    <row r="18" spans="1:31">
      <c r="A18" s="485">
        <v>1970</v>
      </c>
      <c r="B18" s="37">
        <f t="shared" si="17"/>
        <v>1970</v>
      </c>
      <c r="C18" s="111">
        <f t="shared" si="18"/>
        <v>0.97921999999999998</v>
      </c>
      <c r="D18" s="35">
        <f t="shared" si="0"/>
        <v>-0.41551544396166579</v>
      </c>
      <c r="E18" s="496">
        <v>17</v>
      </c>
      <c r="F18" s="496">
        <v>15</v>
      </c>
      <c r="G18" s="508">
        <v>1.494243541070988</v>
      </c>
      <c r="H18" s="508">
        <v>0.17212391467103386</v>
      </c>
      <c r="I18" s="496">
        <v>0.24626588107395223</v>
      </c>
      <c r="J18" s="487">
        <v>1.6474665286719956</v>
      </c>
      <c r="K18" s="496">
        <v>0.82006577519008272</v>
      </c>
      <c r="L18" s="496">
        <v>3.1540188226580168E-2</v>
      </c>
      <c r="M18" s="508">
        <v>1.0038978312063311</v>
      </c>
      <c r="N18" s="37">
        <f t="shared" si="1"/>
        <v>-2.0629819726336613</v>
      </c>
      <c r="O18" s="111">
        <f t="shared" si="2"/>
        <v>4.2558946194114728</v>
      </c>
      <c r="P18" s="111">
        <f t="shared" si="3"/>
        <v>1.6474665286719956</v>
      </c>
      <c r="Q18" s="37">
        <f t="shared" si="4"/>
        <v>0.15556702606927564</v>
      </c>
      <c r="R18" s="37">
        <f t="shared" si="5"/>
        <v>3.1393660312747156</v>
      </c>
      <c r="S18" s="111">
        <f t="shared" si="6"/>
        <v>-4.4395923258952346</v>
      </c>
      <c r="T18" s="37">
        <f t="shared" si="7"/>
        <v>19.70998002014786</v>
      </c>
      <c r="U18" s="111">
        <f t="shared" si="8"/>
        <v>5.0858775258952349</v>
      </c>
      <c r="V18" s="111">
        <f t="shared" si="9"/>
        <v>1.144042546741022</v>
      </c>
      <c r="W18" s="111">
        <f t="shared" si="10"/>
        <v>22.609430289187998</v>
      </c>
      <c r="X18" s="249">
        <f t="shared" si="19"/>
        <v>6.869401196089953</v>
      </c>
      <c r="Y18" s="239">
        <f t="shared" si="11"/>
        <v>0.97921999999999998</v>
      </c>
      <c r="Z18" s="240">
        <f t="shared" si="12"/>
        <v>1.5101276351239432</v>
      </c>
      <c r="AA18" s="241">
        <f t="shared" si="13"/>
        <v>-0.41551544396166579</v>
      </c>
      <c r="AB18" s="39">
        <f t="shared" si="14"/>
        <v>1.8228132521223239E-2</v>
      </c>
      <c r="AC18" s="94">
        <f t="shared" si="15"/>
        <v>3.002027137726663</v>
      </c>
      <c r="AD18" s="496"/>
      <c r="AE18" s="243">
        <f t="shared" si="16"/>
        <v>1970</v>
      </c>
    </row>
    <row r="19" spans="1:31">
      <c r="A19" s="485">
        <v>1972</v>
      </c>
      <c r="B19" s="37">
        <f t="shared" si="17"/>
        <v>1972</v>
      </c>
      <c r="C19" s="111">
        <f t="shared" si="18"/>
        <v>0.64117999999999997</v>
      </c>
      <c r="D19" s="35">
        <f t="shared" si="0"/>
        <v>0.27002713721306021</v>
      </c>
      <c r="E19" s="496">
        <v>17</v>
      </c>
      <c r="F19" s="496">
        <v>15</v>
      </c>
      <c r="G19" s="508">
        <v>1.4472042676512562</v>
      </c>
      <c r="H19" s="508">
        <v>0.1747960172248805</v>
      </c>
      <c r="I19" s="496">
        <v>0.27955806239558256</v>
      </c>
      <c r="J19" s="487">
        <v>1.5533788644339932</v>
      </c>
      <c r="K19" s="496">
        <v>0.91455279263227596</v>
      </c>
      <c r="L19" s="496">
        <v>2.5401165888460878E-2</v>
      </c>
      <c r="M19" s="508">
        <v>1.1573627114210678</v>
      </c>
      <c r="N19" s="37">
        <f t="shared" si="1"/>
        <v>-1.2833517272209329</v>
      </c>
      <c r="O19" s="111">
        <f t="shared" si="2"/>
        <v>1.6469916557609519</v>
      </c>
      <c r="P19" s="111">
        <f t="shared" si="3"/>
        <v>1.5533788644339932</v>
      </c>
      <c r="Q19" s="37">
        <f t="shared" si="4"/>
        <v>6.1479361831273227E-2</v>
      </c>
      <c r="R19" s="37">
        <f t="shared" si="5"/>
        <v>3.0452783670367132</v>
      </c>
      <c r="S19" s="111">
        <f t="shared" si="6"/>
        <v>-2.1911791286015472</v>
      </c>
      <c r="T19" s="37">
        <f t="shared" si="7"/>
        <v>4.801265973619036</v>
      </c>
      <c r="U19" s="111">
        <f t="shared" si="8"/>
        <v>3.0311249286015474</v>
      </c>
      <c r="V19" s="111">
        <f t="shared" si="9"/>
        <v>0.68183629376665134</v>
      </c>
      <c r="W19" s="111">
        <f t="shared" si="10"/>
        <v>13.474962269952298</v>
      </c>
      <c r="X19" s="249">
        <f t="shared" si="19"/>
        <v>2.6087149058921986</v>
      </c>
      <c r="Y19" s="239">
        <f t="shared" si="11"/>
        <v>0.64117999999999997</v>
      </c>
      <c r="Z19" s="240">
        <f t="shared" si="12"/>
        <v>1.4209741121821675</v>
      </c>
      <c r="AA19" s="241">
        <f t="shared" si="13"/>
        <v>0.27002713721306021</v>
      </c>
      <c r="AB19" s="39">
        <f t="shared" si="14"/>
        <v>-7.0925390420552459E-2</v>
      </c>
      <c r="AC19" s="94">
        <f t="shared" si="15"/>
        <v>2.9128736147848873</v>
      </c>
      <c r="AD19" s="496"/>
      <c r="AE19" s="243">
        <f t="shared" si="16"/>
        <v>1972</v>
      </c>
    </row>
    <row r="20" spans="1:31">
      <c r="A20" s="485">
        <v>1974</v>
      </c>
      <c r="B20" s="37">
        <f t="shared" si="17"/>
        <v>1974</v>
      </c>
      <c r="C20" s="111">
        <f t="shared" si="18"/>
        <v>0.95811999999999997</v>
      </c>
      <c r="D20" s="35">
        <f t="shared" si="0"/>
        <v>1.3673732301916035</v>
      </c>
      <c r="E20" s="496">
        <v>17</v>
      </c>
      <c r="F20" s="496">
        <v>15</v>
      </c>
      <c r="G20" s="508">
        <v>1.2665229294171099</v>
      </c>
      <c r="H20" s="508">
        <v>0.25804050911714771</v>
      </c>
      <c r="I20" s="496">
        <v>0.29055455371655253</v>
      </c>
      <c r="J20" s="487">
        <v>1.4881126362163692</v>
      </c>
      <c r="K20" s="496">
        <v>0.96603470319493889</v>
      </c>
      <c r="L20" s="496">
        <v>4.9954383868904294E-2</v>
      </c>
      <c r="M20" s="508">
        <v>1.2533870438677586</v>
      </c>
      <c r="N20" s="37">
        <f t="shared" si="1"/>
        <v>-0.12073940602476574</v>
      </c>
      <c r="O20" s="111">
        <f t="shared" si="2"/>
        <v>1.4578004167213237E-2</v>
      </c>
      <c r="P20" s="111">
        <f t="shared" si="3"/>
        <v>1.4881126362163692</v>
      </c>
      <c r="Q20" s="37">
        <f t="shared" si="4"/>
        <v>-3.786866386350729E-3</v>
      </c>
      <c r="R20" s="37">
        <f t="shared" si="5"/>
        <v>2.980012138819089</v>
      </c>
      <c r="S20" s="111">
        <f t="shared" si="6"/>
        <v>-0.48260696352576815</v>
      </c>
      <c r="T20" s="37">
        <f t="shared" si="7"/>
        <v>0.23290948124356212</v>
      </c>
      <c r="U20" s="111">
        <f t="shared" si="8"/>
        <v>4.2432538327657685</v>
      </c>
      <c r="V20" s="111">
        <f t="shared" si="9"/>
        <v>0.95449858880576399</v>
      </c>
      <c r="W20" s="111">
        <f t="shared" si="10"/>
        <v>18.86351986314498</v>
      </c>
      <c r="X20" s="249">
        <f t="shared" si="19"/>
        <v>0.12833083783357185</v>
      </c>
      <c r="Y20" s="239">
        <f t="shared" si="11"/>
        <v>0.95811999999999997</v>
      </c>
      <c r="Z20" s="240">
        <f t="shared" si="12"/>
        <v>1.5045627926968002</v>
      </c>
      <c r="AA20" s="241">
        <f t="shared" si="13"/>
        <v>1.3673732301916035</v>
      </c>
      <c r="AB20" s="39">
        <f t="shared" si="14"/>
        <v>1.2663290094080182E-2</v>
      </c>
      <c r="AC20" s="94">
        <f t="shared" si="15"/>
        <v>2.9964622952995201</v>
      </c>
      <c r="AD20" s="496"/>
      <c r="AE20" s="243">
        <f t="shared" si="16"/>
        <v>1974</v>
      </c>
    </row>
    <row r="21" spans="1:31">
      <c r="A21" s="485">
        <v>1976</v>
      </c>
      <c r="B21" s="37">
        <f t="shared" si="17"/>
        <v>1976</v>
      </c>
      <c r="C21" s="111">
        <f t="shared" si="18"/>
        <v>0.92625999999999997</v>
      </c>
      <c r="D21" s="35">
        <f t="shared" si="0"/>
        <v>1.367387497507603</v>
      </c>
      <c r="E21" s="496">
        <v>17</v>
      </c>
      <c r="F21" s="496">
        <v>15</v>
      </c>
      <c r="G21" s="508">
        <v>1.2666462211077771</v>
      </c>
      <c r="H21" s="508">
        <v>0.25802647815608304</v>
      </c>
      <c r="I21" s="496">
        <v>0.29044852638621532</v>
      </c>
      <c r="J21" s="487">
        <v>1.4899939405996827</v>
      </c>
      <c r="K21" s="496">
        <v>0.96601995975211452</v>
      </c>
      <c r="L21" s="496">
        <v>4.9983873965327677E-2</v>
      </c>
      <c r="M21" s="508">
        <v>1.253360318237142</v>
      </c>
      <c r="N21" s="37">
        <f t="shared" si="1"/>
        <v>-0.12260644309207969</v>
      </c>
      <c r="O21" s="111">
        <f t="shared" si="2"/>
        <v>1.5032339887691374E-2</v>
      </c>
      <c r="P21" s="111">
        <f t="shared" si="3"/>
        <v>1.4899939405996827</v>
      </c>
      <c r="Q21" s="37">
        <f t="shared" si="4"/>
        <v>-1.9055620030372644E-3</v>
      </c>
      <c r="R21" s="37">
        <f t="shared" si="5"/>
        <v>2.9818934432024027</v>
      </c>
      <c r="S21" s="111">
        <f t="shared" si="6"/>
        <v>-0.47423181237360446</v>
      </c>
      <c r="T21" s="37">
        <f t="shared" si="7"/>
        <v>0.22489581186715357</v>
      </c>
      <c r="U21" s="111">
        <f t="shared" si="8"/>
        <v>4.1098791919536044</v>
      </c>
      <c r="V21" s="111">
        <f t="shared" si="9"/>
        <v>0.9244966347735426</v>
      </c>
      <c r="W21" s="111">
        <f t="shared" si="10"/>
        <v>18.270598655657331</v>
      </c>
      <c r="X21" s="249">
        <f t="shared" si="19"/>
        <v>0.13043944113974801</v>
      </c>
      <c r="Y21" s="239">
        <f t="shared" si="11"/>
        <v>0.92625999999999997</v>
      </c>
      <c r="Z21" s="240">
        <f t="shared" si="12"/>
        <v>1.4961601443684218</v>
      </c>
      <c r="AA21" s="241">
        <f t="shared" si="13"/>
        <v>1.367387497507603</v>
      </c>
      <c r="AB21" s="39">
        <f t="shared" si="14"/>
        <v>4.2606417657018447E-3</v>
      </c>
      <c r="AC21" s="94">
        <f t="shared" si="15"/>
        <v>2.9880596469711418</v>
      </c>
      <c r="AD21" s="496"/>
      <c r="AE21" s="243">
        <f t="shared" si="16"/>
        <v>1976</v>
      </c>
    </row>
    <row r="22" spans="1:31">
      <c r="A22" s="485">
        <v>1978</v>
      </c>
      <c r="B22" s="37">
        <f t="shared" si="17"/>
        <v>1978</v>
      </c>
      <c r="C22" s="111">
        <f t="shared" si="18"/>
        <v>1.1450100000000001</v>
      </c>
      <c r="D22" s="35">
        <f t="shared" si="0"/>
        <v>2.6400508359243839</v>
      </c>
      <c r="E22" s="496">
        <v>17</v>
      </c>
      <c r="F22" s="496">
        <v>15</v>
      </c>
      <c r="G22" s="508">
        <v>1.1364967817038778</v>
      </c>
      <c r="H22" s="508">
        <v>0.29915371334142415</v>
      </c>
      <c r="I22" s="496">
        <v>0.27442765414943504</v>
      </c>
      <c r="J22" s="487">
        <v>1.4523672045468208</v>
      </c>
      <c r="K22" s="496">
        <v>0.91991907834362674</v>
      </c>
      <c r="L22" s="496">
        <v>7.3405955345725596E-2</v>
      </c>
      <c r="M22" s="508">
        <v>1.1712685495104065</v>
      </c>
      <c r="N22" s="37">
        <f t="shared" si="1"/>
        <v>1.1876836313775632</v>
      </c>
      <c r="O22" s="111">
        <f t="shared" si="2"/>
        <v>1.4105924082421955</v>
      </c>
      <c r="P22" s="111">
        <f t="shared" si="3"/>
        <v>1.4523672045468208</v>
      </c>
      <c r="Q22" s="37">
        <f t="shared" si="4"/>
        <v>-3.9532298055899195E-2</v>
      </c>
      <c r="R22" s="37">
        <f t="shared" si="5"/>
        <v>2.9442667071495405</v>
      </c>
      <c r="S22" s="111">
        <f t="shared" si="6"/>
        <v>11.153196464487692</v>
      </c>
      <c r="T22" s="37">
        <f t="shared" si="7"/>
        <v>124.39379137546075</v>
      </c>
      <c r="U22" s="111">
        <f t="shared" si="8"/>
        <v>4.8928774946723053</v>
      </c>
      <c r="V22" s="111">
        <f t="shared" si="9"/>
        <v>1.100628161294823</v>
      </c>
      <c r="W22" s="111">
        <f t="shared" si="10"/>
        <v>21.751442512343555</v>
      </c>
      <c r="X22" s="249">
        <f t="shared" si="19"/>
        <v>-0.69507323055312376</v>
      </c>
      <c r="Y22" s="239">
        <f t="shared" si="11"/>
        <v>1.1450100000000001</v>
      </c>
      <c r="Z22" s="240">
        <f t="shared" si="12"/>
        <v>1.5538525273512447</v>
      </c>
      <c r="AA22" s="241">
        <f t="shared" si="13"/>
        <v>2.6400508359243839</v>
      </c>
      <c r="AB22" s="39">
        <f t="shared" si="14"/>
        <v>6.195302474852471E-2</v>
      </c>
      <c r="AC22" s="94">
        <f t="shared" si="15"/>
        <v>3.0457520299539649</v>
      </c>
      <c r="AD22" s="496"/>
      <c r="AE22" s="243">
        <f t="shared" si="16"/>
        <v>1978</v>
      </c>
    </row>
    <row r="23" spans="1:31">
      <c r="A23" s="485">
        <v>1980</v>
      </c>
      <c r="B23" s="37">
        <f t="shared" si="17"/>
        <v>1980</v>
      </c>
      <c r="C23" s="111">
        <f t="shared" si="18"/>
        <v>1.67194</v>
      </c>
      <c r="D23" s="35">
        <f t="shared" si="0"/>
        <v>2.8210405553721984</v>
      </c>
      <c r="E23" s="496">
        <v>17</v>
      </c>
      <c r="F23" s="496">
        <v>15</v>
      </c>
      <c r="G23" s="508">
        <v>1.2111146110873694</v>
      </c>
      <c r="H23" s="508">
        <v>0.24415762095326365</v>
      </c>
      <c r="I23" s="496">
        <v>0.2723497091264574</v>
      </c>
      <c r="J23" s="487">
        <v>1.5959338790480178</v>
      </c>
      <c r="K23" s="496">
        <v>0.91646405874212256</v>
      </c>
      <c r="L23" s="496">
        <v>5.0854375841805577E-2</v>
      </c>
      <c r="M23" s="508">
        <v>1.1659571400908839</v>
      </c>
      <c r="N23" s="37">
        <f t="shared" si="1"/>
        <v>1.2251066763241807</v>
      </c>
      <c r="O23" s="111">
        <f t="shared" si="2"/>
        <v>1.5008863683740807</v>
      </c>
      <c r="P23" s="111">
        <f t="shared" si="3"/>
        <v>1.5959338790480178</v>
      </c>
      <c r="Q23" s="37">
        <f t="shared" si="4"/>
        <v>0.10403437644529778</v>
      </c>
      <c r="R23" s="37">
        <f t="shared" si="5"/>
        <v>3.0878333816507375</v>
      </c>
      <c r="S23" s="111">
        <f t="shared" si="6"/>
        <v>19.83152121947635</v>
      </c>
      <c r="T23" s="37">
        <f t="shared" si="7"/>
        <v>393.28923387854076</v>
      </c>
      <c r="U23" s="111">
        <f t="shared" si="8"/>
        <v>8.2475691455036557</v>
      </c>
      <c r="V23" s="111">
        <f t="shared" si="9"/>
        <v>1.8552491603666357</v>
      </c>
      <c r="W23" s="111">
        <f t="shared" si="10"/>
        <v>36.664830936466373</v>
      </c>
      <c r="X23" s="249">
        <f t="shared" si="19"/>
        <v>-0.70627363499673945</v>
      </c>
      <c r="Y23" s="239">
        <f t="shared" si="11"/>
        <v>1.67194</v>
      </c>
      <c r="Z23" s="240">
        <f t="shared" si="12"/>
        <v>1.6928232581633078</v>
      </c>
      <c r="AA23" s="241">
        <f t="shared" si="13"/>
        <v>2.8210405553721984</v>
      </c>
      <c r="AB23" s="39">
        <f t="shared" si="14"/>
        <v>0.20092375556058784</v>
      </c>
      <c r="AC23" s="94">
        <f t="shared" si="15"/>
        <v>3.1847227607660278</v>
      </c>
      <c r="AD23" s="496"/>
      <c r="AE23" s="243">
        <f t="shared" si="16"/>
        <v>1980</v>
      </c>
    </row>
    <row r="24" spans="1:31">
      <c r="A24" s="485">
        <v>1982</v>
      </c>
      <c r="B24" s="37">
        <f t="shared" si="17"/>
        <v>1982</v>
      </c>
      <c r="C24" s="111">
        <f t="shared" si="18"/>
        <v>2.2745700000000002</v>
      </c>
      <c r="D24" s="35">
        <f t="shared" si="0"/>
        <v>3.054072547055926</v>
      </c>
      <c r="E24" s="496">
        <v>17</v>
      </c>
      <c r="F24" s="496">
        <v>15</v>
      </c>
      <c r="G24" s="508">
        <v>1.2961247894070598</v>
      </c>
      <c r="H24" s="508">
        <v>0.17681670961879689</v>
      </c>
      <c r="I24" s="496">
        <v>0.27511648053427096</v>
      </c>
      <c r="J24" s="487">
        <v>1.6687182644170773</v>
      </c>
      <c r="K24" s="496">
        <v>0.90498523334532233</v>
      </c>
      <c r="L24" s="496">
        <v>2.6799365945841726E-2</v>
      </c>
      <c r="M24" s="508">
        <v>1.1413500742054887</v>
      </c>
      <c r="N24" s="37">
        <f t="shared" si="1"/>
        <v>1.3853542826388487</v>
      </c>
      <c r="O24" s="111">
        <f t="shared" si="2"/>
        <v>1.9192064884257991</v>
      </c>
      <c r="P24" s="111">
        <f t="shared" si="3"/>
        <v>1.6687182644170773</v>
      </c>
      <c r="Q24" s="37">
        <f t="shared" si="4"/>
        <v>0.17681876181435729</v>
      </c>
      <c r="R24" s="37">
        <f t="shared" si="5"/>
        <v>3.1606177670197972</v>
      </c>
      <c r="S24" s="111">
        <f t="shared" si="6"/>
        <v>36.156905076723021</v>
      </c>
      <c r="T24" s="37">
        <f t="shared" si="7"/>
        <v>1307.321784727159</v>
      </c>
      <c r="U24" s="111">
        <f t="shared" si="8"/>
        <v>12.067420347686991</v>
      </c>
      <c r="V24" s="111">
        <f t="shared" si="9"/>
        <v>2.7145054588651609</v>
      </c>
      <c r="W24" s="111">
        <f t="shared" si="10"/>
        <v>53.646100939745281</v>
      </c>
      <c r="X24" s="249">
        <f t="shared" si="19"/>
        <v>-0.74976486987667124</v>
      </c>
      <c r="Y24" s="239">
        <f t="shared" si="11"/>
        <v>2.2745700000000002</v>
      </c>
      <c r="Z24" s="240">
        <f t="shared" si="12"/>
        <v>1.8517588501950268</v>
      </c>
      <c r="AA24" s="241">
        <f t="shared" si="13"/>
        <v>3.054072547055926</v>
      </c>
      <c r="AB24" s="39">
        <f t="shared" si="14"/>
        <v>0.35985934759230687</v>
      </c>
      <c r="AC24" s="94">
        <f t="shared" si="15"/>
        <v>3.343658352797747</v>
      </c>
      <c r="AD24" s="496"/>
      <c r="AE24" s="243">
        <f t="shared" si="16"/>
        <v>1982</v>
      </c>
    </row>
    <row r="25" spans="1:31">
      <c r="A25" s="485">
        <v>1984</v>
      </c>
      <c r="B25" s="37">
        <f t="shared" si="17"/>
        <v>1984</v>
      </c>
      <c r="C25" s="111">
        <f t="shared" si="18"/>
        <v>4.03186</v>
      </c>
      <c r="D25" s="35">
        <f t="shared" si="0"/>
        <v>1.716309545778278</v>
      </c>
      <c r="E25" s="496">
        <v>17</v>
      </c>
      <c r="F25" s="496">
        <v>15</v>
      </c>
      <c r="G25" s="508">
        <v>0.60256896580914954</v>
      </c>
      <c r="H25" s="508">
        <v>0.82071167382120336</v>
      </c>
      <c r="I25" s="496">
        <v>0.50335029421194788</v>
      </c>
      <c r="J25" s="487">
        <v>4.0103772205499792</v>
      </c>
      <c r="K25" s="496">
        <v>0.91523976293181719</v>
      </c>
      <c r="L25" s="496">
        <v>0.15055187573928921</v>
      </c>
      <c r="M25" s="508">
        <v>0.94467125020509801</v>
      </c>
      <c r="N25" s="37">
        <f t="shared" si="1"/>
        <v>-2.2940676747717013</v>
      </c>
      <c r="O25" s="111">
        <f t="shared" si="2"/>
        <v>5.26274649643244</v>
      </c>
      <c r="P25" s="111">
        <f t="shared" si="3"/>
        <v>4.0103772205499792</v>
      </c>
      <c r="Q25" s="37">
        <f t="shared" si="4"/>
        <v>2.5184777179472593</v>
      </c>
      <c r="R25" s="37">
        <f t="shared" si="5"/>
        <v>5.5022767231526988</v>
      </c>
      <c r="S25" s="111">
        <f t="shared" si="6"/>
        <v>-199.99525460133799</v>
      </c>
      <c r="T25" s="37">
        <f t="shared" si="7"/>
        <v>39998.101863054006</v>
      </c>
      <c r="U25" s="111">
        <f t="shared" si="8"/>
        <v>222.428350271358</v>
      </c>
      <c r="V25" s="111">
        <f t="shared" si="9"/>
        <v>50.034137671660936</v>
      </c>
      <c r="W25" s="111">
        <f t="shared" si="10"/>
        <v>988.81230509264719</v>
      </c>
      <c r="X25" s="249">
        <f t="shared" si="19"/>
        <v>8.9151875221847021</v>
      </c>
      <c r="Y25" s="239">
        <f t="shared" si="11"/>
        <v>4.03186</v>
      </c>
      <c r="Z25" s="240">
        <f t="shared" si="12"/>
        <v>2.3152205539293567</v>
      </c>
      <c r="AA25" s="241">
        <f t="shared" si="13"/>
        <v>1.716309545778278</v>
      </c>
      <c r="AB25" s="39">
        <f t="shared" si="14"/>
        <v>0.82332105132663669</v>
      </c>
      <c r="AC25" s="94">
        <f t="shared" si="15"/>
        <v>3.8071200565320766</v>
      </c>
      <c r="AD25" s="496"/>
      <c r="AE25" s="243">
        <f t="shared" si="16"/>
        <v>1984</v>
      </c>
    </row>
    <row r="26" spans="1:31">
      <c r="A26" s="485">
        <v>1986</v>
      </c>
      <c r="B26" s="37">
        <f t="shared" si="17"/>
        <v>1986</v>
      </c>
      <c r="C26" s="111">
        <f t="shared" si="18"/>
        <v>0.96021999999999996</v>
      </c>
      <c r="D26" s="35">
        <f t="shared" si="0"/>
        <v>0.5692469731004034</v>
      </c>
      <c r="E26" s="496">
        <v>17</v>
      </c>
      <c r="F26" s="496">
        <v>15</v>
      </c>
      <c r="G26" s="508">
        <v>1.3441407331882331</v>
      </c>
      <c r="H26" s="508">
        <v>0.23918823745714138</v>
      </c>
      <c r="I26" s="496">
        <v>0.27702292041380039</v>
      </c>
      <c r="J26" s="487">
        <v>1.6138661329215278</v>
      </c>
      <c r="K26" s="496">
        <v>0.93051902089382477</v>
      </c>
      <c r="L26" s="496">
        <v>4.7346921521485064E-2</v>
      </c>
      <c r="M26" s="508">
        <v>1.1900546212266889</v>
      </c>
      <c r="N26" s="37">
        <f t="shared" si="1"/>
        <v>-1.0446191598211243</v>
      </c>
      <c r="O26" s="111">
        <f t="shared" si="2"/>
        <v>1.0912291890653916</v>
      </c>
      <c r="P26" s="111">
        <f t="shared" si="3"/>
        <v>1.6138661329215278</v>
      </c>
      <c r="Q26" s="37">
        <f t="shared" si="4"/>
        <v>0.12196663031880783</v>
      </c>
      <c r="R26" s="37">
        <f t="shared" si="5"/>
        <v>3.1057656355242478</v>
      </c>
      <c r="S26" s="111">
        <f t="shared" si="6"/>
        <v>-3.1257601857350314</v>
      </c>
      <c r="T26" s="37">
        <f t="shared" si="7"/>
        <v>9.7703767387262985</v>
      </c>
      <c r="U26" s="111">
        <f t="shared" si="8"/>
        <v>4.8224074716550316</v>
      </c>
      <c r="V26" s="111">
        <f t="shared" si="9"/>
        <v>1.0847762843687483</v>
      </c>
      <c r="W26" s="111">
        <f t="shared" si="10"/>
        <v>21.438165783839157</v>
      </c>
      <c r="X26" s="249">
        <f t="shared" si="19"/>
        <v>1.8423158494254162</v>
      </c>
      <c r="Y26" s="239">
        <f t="shared" si="11"/>
        <v>0.96021999999999996</v>
      </c>
      <c r="Z26" s="240">
        <f t="shared" si="12"/>
        <v>1.5051166395734352</v>
      </c>
      <c r="AA26" s="241">
        <f t="shared" si="13"/>
        <v>0.5692469731004034</v>
      </c>
      <c r="AB26" s="39">
        <f t="shared" si="14"/>
        <v>1.3217136970715249E-2</v>
      </c>
      <c r="AC26" s="94">
        <f t="shared" si="15"/>
        <v>2.9970161421761552</v>
      </c>
      <c r="AD26" s="496"/>
      <c r="AE26" s="243">
        <f t="shared" si="16"/>
        <v>1986</v>
      </c>
    </row>
    <row r="27" spans="1:31">
      <c r="A27" s="485">
        <v>1988</v>
      </c>
      <c r="B27" s="37">
        <f t="shared" si="17"/>
        <v>1988</v>
      </c>
      <c r="C27" s="111">
        <f t="shared" si="18"/>
        <v>0.96453</v>
      </c>
      <c r="D27" s="35">
        <f t="shared" si="0"/>
        <v>2.6685256978093768</v>
      </c>
      <c r="E27" s="496">
        <v>17</v>
      </c>
      <c r="F27" s="496">
        <v>15</v>
      </c>
      <c r="G27" s="508">
        <v>1.1161813355723083</v>
      </c>
      <c r="H27" s="508">
        <v>0.31114971113950463</v>
      </c>
      <c r="I27" s="496">
        <v>0.2738453505870776</v>
      </c>
      <c r="J27" s="487">
        <v>1.4162945664576947</v>
      </c>
      <c r="K27" s="496">
        <v>0.91492483048634676</v>
      </c>
      <c r="L27" s="496">
        <v>7.9246515086567368E-2</v>
      </c>
      <c r="M27" s="508">
        <v>1.1620044084466348</v>
      </c>
      <c r="N27" s="37">
        <f t="shared" si="1"/>
        <v>1.2522311313516821</v>
      </c>
      <c r="O27" s="111">
        <f t="shared" si="2"/>
        <v>1.5680828063263137</v>
      </c>
      <c r="P27" s="111">
        <f t="shared" si="3"/>
        <v>1.4162945664576947</v>
      </c>
      <c r="Q27" s="37">
        <f t="shared" si="4"/>
        <v>-7.5604936145025281E-2</v>
      </c>
      <c r="R27" s="37">
        <f t="shared" si="5"/>
        <v>2.9081940690604147</v>
      </c>
      <c r="S27" s="111">
        <f t="shared" si="6"/>
        <v>9.9316467899986591</v>
      </c>
      <c r="T27" s="37">
        <f t="shared" si="7"/>
        <v>98.637607961290669</v>
      </c>
      <c r="U27" s="111">
        <f t="shared" si="8"/>
        <v>3.9756180628813418</v>
      </c>
      <c r="V27" s="111">
        <f t="shared" si="9"/>
        <v>0.89429526966986372</v>
      </c>
      <c r="W27" s="111">
        <f t="shared" si="10"/>
        <v>17.673736536416136</v>
      </c>
      <c r="X27" s="249">
        <f t="shared" si="19"/>
        <v>-0.71413372040167578</v>
      </c>
      <c r="Y27" s="239">
        <f t="shared" si="11"/>
        <v>0.96453</v>
      </c>
      <c r="Z27" s="240">
        <f t="shared" si="12"/>
        <v>1.5062533443535768</v>
      </c>
      <c r="AA27" s="241">
        <f t="shared" si="13"/>
        <v>2.6685256978093768</v>
      </c>
      <c r="AB27" s="39">
        <f t="shared" si="14"/>
        <v>1.4353841750856855E-2</v>
      </c>
      <c r="AC27" s="94">
        <f t="shared" si="15"/>
        <v>2.9981528469562968</v>
      </c>
      <c r="AD27" s="496"/>
      <c r="AE27" s="243">
        <f t="shared" si="16"/>
        <v>1988</v>
      </c>
    </row>
    <row r="28" spans="1:31">
      <c r="A28" s="485">
        <v>1990</v>
      </c>
      <c r="B28" s="37">
        <f t="shared" si="17"/>
        <v>1990</v>
      </c>
      <c r="C28" s="111">
        <f t="shared" si="18"/>
        <v>1.325852</v>
      </c>
      <c r="D28" s="35">
        <f t="shared" si="0"/>
        <v>0.79013821965574615</v>
      </c>
      <c r="E28" s="496">
        <v>17</v>
      </c>
      <c r="F28" s="496">
        <v>15</v>
      </c>
      <c r="G28" s="508">
        <v>1.3068763416293969</v>
      </c>
      <c r="H28" s="508">
        <v>0.25853514486929163</v>
      </c>
      <c r="I28" s="496">
        <v>0.27961023468488627</v>
      </c>
      <c r="J28" s="487">
        <v>1.649655680524637</v>
      </c>
      <c r="K28" s="496">
        <v>0.94213676055418616</v>
      </c>
      <c r="L28" s="496">
        <v>5.3922322081346848E-2</v>
      </c>
      <c r="M28" s="508">
        <v>1.2107874990812117</v>
      </c>
      <c r="N28" s="37">
        <f t="shared" si="1"/>
        <v>-0.8595174608688908</v>
      </c>
      <c r="O28" s="111">
        <f t="shared" si="2"/>
        <v>0.73877026553850522</v>
      </c>
      <c r="P28" s="111">
        <f t="shared" si="3"/>
        <v>1.649655680524637</v>
      </c>
      <c r="Q28" s="37">
        <f t="shared" si="4"/>
        <v>0.15775617792191698</v>
      </c>
      <c r="R28" s="37">
        <f t="shared" si="5"/>
        <v>3.1415551831273572</v>
      </c>
      <c r="S28" s="111">
        <f t="shared" si="6"/>
        <v>-3.9795265756976845</v>
      </c>
      <c r="T28" s="37">
        <f t="shared" si="7"/>
        <v>15.836631766684139</v>
      </c>
      <c r="U28" s="111">
        <f t="shared" si="8"/>
        <v>6.9013079539496847</v>
      </c>
      <c r="V28" s="111">
        <f t="shared" si="9"/>
        <v>1.5524144825117263</v>
      </c>
      <c r="W28" s="111">
        <f t="shared" si="10"/>
        <v>30.679983993829715</v>
      </c>
      <c r="X28" s="249">
        <f t="shared" si="19"/>
        <v>1.3620206512776449</v>
      </c>
      <c r="Y28" s="239">
        <f t="shared" si="11"/>
        <v>1.325852</v>
      </c>
      <c r="Z28" s="240">
        <f t="shared" si="12"/>
        <v>1.6015471830009802</v>
      </c>
      <c r="AA28" s="241">
        <f t="shared" si="13"/>
        <v>0.79013821965574615</v>
      </c>
      <c r="AB28" s="39">
        <f t="shared" si="14"/>
        <v>0.10964768039826023</v>
      </c>
      <c r="AC28" s="94">
        <f t="shared" si="15"/>
        <v>3.0934466856037002</v>
      </c>
      <c r="AD28" s="496"/>
      <c r="AE28" s="243">
        <f t="shared" si="16"/>
        <v>1990</v>
      </c>
    </row>
    <row r="29" spans="1:31">
      <c r="A29" s="485">
        <v>1992</v>
      </c>
      <c r="B29" s="37">
        <f t="shared" si="17"/>
        <v>1992</v>
      </c>
      <c r="C29" s="111">
        <f t="shared" si="18"/>
        <v>0.55510499999999996</v>
      </c>
      <c r="D29" s="35">
        <f t="shared" si="0"/>
        <v>2.2514689408106254</v>
      </c>
      <c r="E29" s="496">
        <v>17</v>
      </c>
      <c r="F29" s="496">
        <v>15</v>
      </c>
      <c r="G29" s="508">
        <v>1.0984927712253361</v>
      </c>
      <c r="H29" s="508">
        <v>0.33519983475766135</v>
      </c>
      <c r="I29" s="496">
        <v>0.28782136790004176</v>
      </c>
      <c r="J29" s="487">
        <v>1.2845638754984876</v>
      </c>
      <c r="K29" s="496">
        <v>0.93761348870546524</v>
      </c>
      <c r="L29" s="496">
        <v>8.2923186109934988E-2</v>
      </c>
      <c r="M29" s="508">
        <v>1.1992501379172258</v>
      </c>
      <c r="N29" s="37">
        <f t="shared" si="1"/>
        <v>0.96690506531213782</v>
      </c>
      <c r="O29" s="111">
        <f t="shared" si="2"/>
        <v>0.93490540532626953</v>
      </c>
      <c r="P29" s="111">
        <f t="shared" si="3"/>
        <v>1.2845638754984876</v>
      </c>
      <c r="Q29" s="37">
        <f t="shared" si="4"/>
        <v>-0.20733562710423237</v>
      </c>
      <c r="R29" s="37">
        <f t="shared" si="5"/>
        <v>2.7764633781012078</v>
      </c>
      <c r="S29" s="111">
        <f t="shared" si="6"/>
        <v>3.2687863871734679</v>
      </c>
      <c r="T29" s="37">
        <f t="shared" si="7"/>
        <v>10.684964444970573</v>
      </c>
      <c r="U29" s="111">
        <f t="shared" si="8"/>
        <v>2.0056453545415325</v>
      </c>
      <c r="V29" s="111">
        <f t="shared" si="9"/>
        <v>0.45115982592701159</v>
      </c>
      <c r="W29" s="111">
        <f t="shared" si="10"/>
        <v>8.9161602098073462</v>
      </c>
      <c r="X29" s="249">
        <f t="shared" si="19"/>
        <v>-0.61974190723162348</v>
      </c>
      <c r="Y29" s="239">
        <f t="shared" si="11"/>
        <v>0.55510499999999996</v>
      </c>
      <c r="Z29" s="240">
        <f t="shared" si="12"/>
        <v>1.3982729836553265</v>
      </c>
      <c r="AA29" s="241">
        <f t="shared" si="13"/>
        <v>2.2514689408106254</v>
      </c>
      <c r="AB29" s="39">
        <f t="shared" si="14"/>
        <v>-9.3626518947393489E-2</v>
      </c>
      <c r="AC29" s="94">
        <f t="shared" si="15"/>
        <v>2.8901724862580465</v>
      </c>
      <c r="AD29" s="496"/>
      <c r="AE29" s="243">
        <f t="shared" si="16"/>
        <v>1992</v>
      </c>
    </row>
    <row r="30" spans="1:31">
      <c r="A30" s="485">
        <v>1994</v>
      </c>
      <c r="B30" s="37">
        <f t="shared" si="17"/>
        <v>1994</v>
      </c>
      <c r="C30" s="111">
        <f t="shared" si="18"/>
        <v>1.413184</v>
      </c>
      <c r="D30" s="35">
        <f>VLOOKUP($A30,Main,7)</f>
        <v>2.1251707162732809</v>
      </c>
      <c r="E30" s="496">
        <v>17</v>
      </c>
      <c r="F30" s="496">
        <v>15</v>
      </c>
      <c r="G30" s="508">
        <v>1.2236342492570478</v>
      </c>
      <c r="H30" s="508">
        <v>0.26286879069053515</v>
      </c>
      <c r="I30" s="496">
        <v>0.28405300685214901</v>
      </c>
      <c r="J30" s="487">
        <v>1.595116218360261</v>
      </c>
      <c r="K30" s="496">
        <v>0.95730193265606656</v>
      </c>
      <c r="L30" s="496">
        <v>5.4010044922631839E-2</v>
      </c>
      <c r="M30" s="508">
        <v>1.2377176458330166</v>
      </c>
      <c r="N30" s="242">
        <f>D30-J30</f>
        <v>0.53005449791301995</v>
      </c>
      <c r="O30" s="111">
        <f t="shared" si="2"/>
        <v>0.28095777075782369</v>
      </c>
      <c r="P30" s="111">
        <f t="shared" si="3"/>
        <v>1.595116218360261</v>
      </c>
      <c r="Q30" s="37">
        <f t="shared" si="4"/>
        <v>0.10321671575754099</v>
      </c>
      <c r="R30" s="37">
        <f t="shared" si="5"/>
        <v>3.0870157209629809</v>
      </c>
      <c r="S30" s="111">
        <f>EXP(D30)*C30-$E$30</f>
        <v>-5.165535072832002</v>
      </c>
      <c r="T30" s="37">
        <f t="shared" si="7"/>
        <v>26.682752588657515</v>
      </c>
      <c r="U30" s="111">
        <f t="shared" si="8"/>
        <v>6.9654452570415613</v>
      </c>
      <c r="V30" s="111">
        <f t="shared" si="9"/>
        <v>1.5668418459699949</v>
      </c>
      <c r="W30" s="111">
        <f t="shared" si="10"/>
        <v>30.965108414504204</v>
      </c>
      <c r="X30" s="249">
        <f t="shared" si="19"/>
        <v>-0.41142710719001635</v>
      </c>
      <c r="Y30" s="239">
        <f t="shared" si="11"/>
        <v>1.413184</v>
      </c>
      <c r="Z30" s="240">
        <f t="shared" si="12"/>
        <v>1.6245798284439785</v>
      </c>
      <c r="AA30" s="241">
        <f t="shared" si="13"/>
        <v>2.1251707162732809</v>
      </c>
      <c r="AB30" s="39">
        <f t="shared" si="14"/>
        <v>0.13268032584125855</v>
      </c>
      <c r="AC30" s="94">
        <f t="shared" si="15"/>
        <v>3.1164793310466985</v>
      </c>
      <c r="AD30" s="496"/>
      <c r="AE30" s="243">
        <f t="shared" si="16"/>
        <v>1994</v>
      </c>
    </row>
    <row r="31" spans="1:31">
      <c r="A31" s="485"/>
      <c r="B31" s="496"/>
      <c r="C31" s="512"/>
      <c r="D31" s="487"/>
      <c r="E31" s="496"/>
      <c r="F31" s="496"/>
      <c r="G31" s="508"/>
      <c r="H31" s="508"/>
      <c r="I31" s="496"/>
      <c r="J31" s="487"/>
      <c r="K31" s="496"/>
      <c r="L31" s="496"/>
      <c r="M31" s="510"/>
      <c r="N31" s="496"/>
      <c r="O31" s="512"/>
      <c r="P31" s="512"/>
      <c r="Q31" s="496"/>
      <c r="R31" s="496"/>
      <c r="S31" s="512"/>
      <c r="T31" s="496"/>
      <c r="U31" s="512"/>
      <c r="V31" s="512"/>
      <c r="W31" s="512"/>
      <c r="X31" s="513"/>
      <c r="Y31" s="514"/>
      <c r="Z31" s="515"/>
      <c r="AA31" s="497"/>
      <c r="AB31" s="496"/>
      <c r="AC31" s="497"/>
      <c r="AD31" s="496"/>
      <c r="AE31" s="517"/>
    </row>
    <row r="32" spans="1:31">
      <c r="A32" s="485">
        <v>1996</v>
      </c>
      <c r="B32" s="37">
        <f>A32+2</f>
        <v>1998</v>
      </c>
      <c r="C32" s="111">
        <f>VLOOKUP(A32,Main,3)</f>
        <v>1.483336</v>
      </c>
      <c r="D32" s="487"/>
      <c r="E32" s="496">
        <v>18</v>
      </c>
      <c r="F32" s="496">
        <v>16</v>
      </c>
      <c r="G32" s="508">
        <v>1.2518714739150758</v>
      </c>
      <c r="H32" s="508">
        <v>0.26373660792147569</v>
      </c>
      <c r="I32" s="496">
        <v>0.27767039676152128</v>
      </c>
      <c r="J32" s="487">
        <v>1.6430814789628858</v>
      </c>
      <c r="K32" s="496">
        <v>0.9358066475544573</v>
      </c>
      <c r="L32" s="511">
        <v>5.3375205899041989E-2</v>
      </c>
      <c r="M32" s="508">
        <v>1.1845643194399502</v>
      </c>
      <c r="N32" s="37">
        <f>D32-$E$32</f>
        <v>-18</v>
      </c>
      <c r="O32" s="111">
        <f>N32^2</f>
        <v>324</v>
      </c>
      <c r="P32" s="111">
        <f>J32</f>
        <v>1.6430814789628858</v>
      </c>
      <c r="Q32" s="37">
        <f>$P32-(SQRT($O$34)*$Q$34)</f>
        <v>0.15118197636016584</v>
      </c>
      <c r="R32" s="37">
        <f>$P32+SQRT($O$34)*$Q$34</f>
        <v>3.1349809815656058</v>
      </c>
      <c r="S32" s="111">
        <f>EXP(D32)*C32-$E$32</f>
        <v>-16.516663999999999</v>
      </c>
      <c r="T32" s="37">
        <f>S32^2</f>
        <v>272.80018968889595</v>
      </c>
      <c r="U32" s="250">
        <f>EXP(P32)*C32</f>
        <v>7.6704484691513999</v>
      </c>
      <c r="V32" s="245">
        <f>EXP(Q32)*C32</f>
        <v>1.7254287694922572</v>
      </c>
      <c r="W32" s="251">
        <f>EXP(R32)*C32</f>
        <v>34.099222615385443</v>
      </c>
      <c r="X32" s="513"/>
      <c r="Y32" s="239">
        <f>C32</f>
        <v>1.483336</v>
      </c>
      <c r="Z32" s="240">
        <f>(+G$32+H$32*C32)</f>
        <v>1.6430814789628858</v>
      </c>
      <c r="AA32" s="516"/>
      <c r="AB32" s="39">
        <f>Z32-SQRT($O$34)*$Q$34</f>
        <v>0.15118197636016584</v>
      </c>
      <c r="AC32" s="94">
        <f>Z32+SQRT($O$34)*$Q$34</f>
        <v>3.1349809815656058</v>
      </c>
      <c r="AD32" s="37">
        <f>Z32</f>
        <v>1.6430814789628858</v>
      </c>
      <c r="AE32" s="243">
        <f>B32</f>
        <v>1998</v>
      </c>
    </row>
    <row r="33" spans="1:31">
      <c r="A33" s="498"/>
      <c r="B33" s="499"/>
      <c r="C33" s="518"/>
      <c r="D33" s="500"/>
      <c r="E33" s="499"/>
      <c r="F33" s="499"/>
      <c r="G33" s="500"/>
      <c r="H33" s="499"/>
      <c r="I33" s="519"/>
      <c r="J33" s="500"/>
      <c r="K33" s="499"/>
      <c r="L33" s="499"/>
      <c r="M33" s="520"/>
      <c r="N33" s="499"/>
      <c r="O33" s="520"/>
      <c r="P33" s="500"/>
      <c r="Q33" s="499"/>
      <c r="R33" s="499"/>
      <c r="S33" s="499"/>
      <c r="T33" s="499"/>
      <c r="U33" s="521"/>
      <c r="V33" s="521"/>
      <c r="W33" s="521"/>
      <c r="X33" s="502"/>
      <c r="Y33" s="522"/>
      <c r="Z33" s="523"/>
      <c r="AA33" s="502"/>
      <c r="AB33" s="499"/>
      <c r="AC33" s="502"/>
      <c r="AD33" s="496"/>
      <c r="AE33" s="502"/>
    </row>
    <row r="34" spans="1:31">
      <c r="A34" s="485"/>
      <c r="B34" s="496"/>
      <c r="C34" s="524"/>
      <c r="D34" s="525" t="s">
        <v>76</v>
      </c>
      <c r="E34" s="526" t="s">
        <v>77</v>
      </c>
      <c r="F34" s="37">
        <f>F29</f>
        <v>15</v>
      </c>
      <c r="G34" s="487"/>
      <c r="H34" s="496"/>
      <c r="I34" s="527"/>
      <c r="J34" s="487"/>
      <c r="K34" s="496"/>
      <c r="L34" s="496"/>
      <c r="M34" s="528" t="s">
        <v>78</v>
      </c>
      <c r="N34" s="496"/>
      <c r="O34" s="48">
        <f>AVERAGEA(O13:O29)</f>
        <v>1.2377176458330166</v>
      </c>
      <c r="P34" s="525" t="s">
        <v>79</v>
      </c>
      <c r="Q34" s="37">
        <f>VLOOKUP(F34,TVAL,2)</f>
        <v>1.341</v>
      </c>
      <c r="R34" s="496"/>
      <c r="S34" s="496"/>
      <c r="T34" s="496"/>
      <c r="U34" s="524"/>
      <c r="V34" s="524"/>
      <c r="W34" s="496"/>
      <c r="X34" s="497"/>
      <c r="Y34" s="529"/>
      <c r="Z34" s="496"/>
      <c r="AA34" s="496"/>
      <c r="AB34" s="496"/>
      <c r="AC34" s="496"/>
      <c r="AD34" s="496"/>
      <c r="AE34" s="496"/>
    </row>
    <row r="35" spans="1:31">
      <c r="A35" s="485"/>
      <c r="B35" s="496"/>
      <c r="C35" s="524"/>
      <c r="D35" s="525" t="s">
        <v>80</v>
      </c>
      <c r="E35" s="526" t="s">
        <v>77</v>
      </c>
      <c r="F35" s="37">
        <f>F32</f>
        <v>16</v>
      </c>
      <c r="G35" s="487"/>
      <c r="H35" s="496"/>
      <c r="I35" s="527"/>
      <c r="J35" s="487"/>
      <c r="K35" s="496"/>
      <c r="L35" s="496"/>
      <c r="M35" s="528" t="s">
        <v>81</v>
      </c>
      <c r="N35" s="496"/>
      <c r="O35" s="48">
        <f>AVERAGEA(O13:O30)</f>
        <v>1.1845643194399502</v>
      </c>
      <c r="P35" s="525" t="s">
        <v>79</v>
      </c>
      <c r="Q35" s="37">
        <f>VLOOKUP(F35,TVAL,2)</f>
        <v>1.337</v>
      </c>
      <c r="R35" s="496"/>
      <c r="S35" s="526" t="s">
        <v>82</v>
      </c>
      <c r="T35" s="37">
        <f>AVERAGEA(T13:T31)</f>
        <v>2336.4081924266716</v>
      </c>
      <c r="U35" s="524"/>
      <c r="V35" s="524"/>
      <c r="W35" s="496" t="s">
        <v>83</v>
      </c>
      <c r="X35" s="249">
        <f>AVERAGEA(X13:X30)</f>
        <v>1.0364050998141887</v>
      </c>
      <c r="Y35" s="529"/>
      <c r="Z35" s="496"/>
      <c r="AA35" s="496"/>
      <c r="AB35" s="496"/>
      <c r="AC35" s="496"/>
      <c r="AD35" s="496"/>
      <c r="AE35" s="496"/>
    </row>
    <row r="36" spans="1:31">
      <c r="A36" s="499"/>
      <c r="B36" s="499"/>
      <c r="C36" s="521"/>
      <c r="D36" s="500"/>
      <c r="E36" s="499"/>
      <c r="F36" s="499"/>
      <c r="G36" s="500"/>
      <c r="H36" s="499"/>
      <c r="I36" s="519"/>
      <c r="J36" s="500"/>
      <c r="K36" s="499"/>
      <c r="L36" s="499"/>
      <c r="M36" s="520"/>
      <c r="N36" s="499"/>
      <c r="O36" s="520"/>
      <c r="P36" s="500"/>
      <c r="Q36" s="499"/>
      <c r="R36" s="499"/>
      <c r="S36" s="499"/>
      <c r="T36" s="499"/>
      <c r="U36" s="521"/>
      <c r="V36" s="521"/>
      <c r="W36" s="499"/>
      <c r="X36" s="502"/>
      <c r="Y36" s="524"/>
      <c r="Z36" s="496"/>
      <c r="AA36" s="496"/>
      <c r="AB36" s="496"/>
      <c r="AC36" s="496"/>
      <c r="AD36" s="496"/>
      <c r="AE36" s="496"/>
    </row>
    <row r="37" spans="1:31">
      <c r="C37" s="4"/>
      <c r="D37" s="1"/>
      <c r="G37" s="1"/>
      <c r="I37" s="5"/>
      <c r="J37" s="1"/>
      <c r="M37" s="3"/>
      <c r="O37" s="3"/>
      <c r="P37" s="1"/>
      <c r="U37" s="4"/>
      <c r="V37" s="4"/>
      <c r="Y37" s="4"/>
    </row>
    <row r="38" spans="1:31">
      <c r="C38" s="4"/>
      <c r="D38" s="1"/>
      <c r="G38" s="1"/>
      <c r="I38" s="5"/>
      <c r="J38" s="1"/>
      <c r="M38" s="3" t="s">
        <v>84</v>
      </c>
      <c r="O38" s="3"/>
      <c r="P38" s="1"/>
      <c r="U38" s="4"/>
      <c r="V38" s="4"/>
      <c r="Y38" s="4"/>
    </row>
    <row r="39" spans="1:31">
      <c r="C39" s="4"/>
      <c r="D39" s="1"/>
      <c r="G39" s="1"/>
      <c r="I39" s="5"/>
      <c r="J39" s="1"/>
      <c r="M39" s="3"/>
      <c r="O39" s="3"/>
      <c r="P39" s="1"/>
      <c r="U39" s="4"/>
      <c r="V39" s="4"/>
      <c r="Y39" s="4"/>
    </row>
    <row r="40" spans="1:31">
      <c r="C40" s="4"/>
      <c r="D40" s="1"/>
      <c r="G40" s="1"/>
      <c r="I40" s="5"/>
      <c r="J40" s="1"/>
      <c r="M40" s="3"/>
      <c r="O40" s="3"/>
      <c r="P40" s="1"/>
      <c r="U40" s="4"/>
      <c r="V40" s="4"/>
      <c r="Y40" s="4"/>
    </row>
    <row r="41" spans="1:31">
      <c r="C41" s="4"/>
      <c r="D41" s="1"/>
      <c r="G41" s="1"/>
      <c r="I41" s="5"/>
      <c r="J41" s="1"/>
      <c r="M41" s="3"/>
      <c r="O41" s="3"/>
      <c r="P41" s="1"/>
      <c r="U41" s="4"/>
      <c r="V41" s="4"/>
      <c r="Y41" s="4"/>
    </row>
    <row r="42" spans="1:31">
      <c r="C42" s="4"/>
      <c r="D42" s="1"/>
      <c r="G42" s="1"/>
      <c r="I42" s="5"/>
      <c r="J42" s="1"/>
      <c r="M42" s="3"/>
      <c r="O42" s="3"/>
      <c r="P42" s="1"/>
      <c r="U42" s="4"/>
      <c r="V42" s="4"/>
      <c r="Y42" s="4"/>
    </row>
    <row r="43" spans="1:31">
      <c r="C43" s="4"/>
      <c r="D43" s="1"/>
      <c r="G43" s="1"/>
      <c r="I43" s="5"/>
      <c r="M43" s="3"/>
      <c r="O43" s="3"/>
      <c r="P43" s="1"/>
      <c r="U43" s="4"/>
      <c r="V43" s="4"/>
      <c r="Y43" s="4"/>
    </row>
    <row r="44" spans="1:31">
      <c r="C44" s="4"/>
      <c r="D44" s="1"/>
      <c r="G44" s="1"/>
      <c r="I44" s="5"/>
      <c r="M44" s="3"/>
      <c r="O44" s="3"/>
      <c r="P44" s="1"/>
      <c r="U44" s="4"/>
      <c r="V44" s="4"/>
      <c r="Y44" s="4"/>
    </row>
    <row r="45" spans="1:31">
      <c r="C45" s="4"/>
      <c r="D45" s="1"/>
      <c r="G45" s="1"/>
      <c r="I45" s="5"/>
      <c r="J45" s="1"/>
      <c r="M45" s="3"/>
      <c r="O45" s="3"/>
      <c r="P45" s="1"/>
      <c r="U45" s="4"/>
      <c r="V45" s="4"/>
      <c r="Y45" s="4"/>
    </row>
    <row r="46" spans="1:31">
      <c r="C46" s="4"/>
      <c r="D46" s="1"/>
      <c r="G46" s="1"/>
      <c r="I46" s="5"/>
      <c r="J46" s="1"/>
      <c r="M46" s="3"/>
      <c r="O46" s="3"/>
      <c r="P46" s="1"/>
      <c r="U46" s="4"/>
      <c r="V46" s="4"/>
      <c r="Y46" s="4"/>
    </row>
    <row r="47" spans="1:31">
      <c r="C47" s="4"/>
      <c r="D47" s="1"/>
      <c r="G47" s="1"/>
      <c r="I47" s="5"/>
      <c r="J47" s="1"/>
      <c r="M47" s="3"/>
      <c r="O47" s="3"/>
      <c r="P47" s="1"/>
      <c r="U47" s="4"/>
      <c r="V47" s="4"/>
      <c r="Y47" s="4"/>
    </row>
    <row r="48" spans="1:31">
      <c r="C48" s="4"/>
      <c r="D48" s="1"/>
      <c r="G48" s="1"/>
      <c r="I48" s="5"/>
      <c r="J48" s="1"/>
      <c r="M48" s="3"/>
      <c r="O48" s="3"/>
      <c r="P48" s="1"/>
      <c r="U48" s="4"/>
      <c r="V48" s="4"/>
      <c r="Y48" s="4"/>
    </row>
    <row r="49" spans="3:25">
      <c r="C49" s="4"/>
      <c r="D49" s="1"/>
      <c r="G49" s="1"/>
      <c r="I49" s="5"/>
      <c r="J49" s="1"/>
      <c r="M49" s="3"/>
      <c r="O49" s="3"/>
      <c r="P49" s="1"/>
      <c r="U49" s="4"/>
      <c r="V49" s="4"/>
      <c r="Y49" s="4"/>
    </row>
    <row r="50" spans="3:25">
      <c r="C50" s="4"/>
      <c r="D50" s="1"/>
      <c r="G50" s="1"/>
      <c r="I50" s="5"/>
      <c r="J50" s="1"/>
      <c r="M50" s="3"/>
      <c r="O50" s="3"/>
      <c r="P50" s="1"/>
      <c r="U50" s="4"/>
      <c r="V50" s="4"/>
      <c r="Y50" s="4"/>
    </row>
    <row r="51" spans="3:25">
      <c r="C51" s="4"/>
      <c r="D51" s="1"/>
      <c r="G51" s="1"/>
      <c r="I51" s="5"/>
      <c r="J51" s="1"/>
      <c r="M51" s="3"/>
      <c r="O51" s="3"/>
      <c r="P51" s="1"/>
      <c r="U51" s="4"/>
      <c r="V51" s="4"/>
      <c r="Y51" s="4"/>
    </row>
    <row r="52" spans="3:25">
      <c r="C52" s="4"/>
      <c r="D52" s="1"/>
      <c r="G52" s="1"/>
      <c r="I52" s="5"/>
      <c r="J52" s="1"/>
      <c r="M52" s="3"/>
      <c r="O52" s="3"/>
      <c r="P52" s="1"/>
      <c r="U52" s="4"/>
      <c r="V52" s="4"/>
      <c r="Y52" s="4"/>
    </row>
    <row r="53" spans="3:25">
      <c r="C53" s="4"/>
      <c r="D53" s="1"/>
      <c r="G53" s="1"/>
      <c r="I53" s="5"/>
      <c r="J53" s="1"/>
      <c r="M53" s="3"/>
      <c r="O53" s="3"/>
      <c r="P53" s="1"/>
      <c r="U53" s="4"/>
      <c r="V53" s="4"/>
      <c r="Y53" s="4"/>
    </row>
    <row r="54" spans="3:25">
      <c r="C54" s="4"/>
      <c r="D54" s="1"/>
      <c r="G54" s="1"/>
      <c r="I54" s="5"/>
      <c r="J54" s="1"/>
      <c r="M54" s="3"/>
      <c r="O54" s="3"/>
      <c r="P54" s="1"/>
      <c r="U54" s="4"/>
      <c r="V54" s="4"/>
      <c r="Y54" s="4"/>
    </row>
    <row r="55" spans="3:25">
      <c r="C55" s="4"/>
      <c r="D55" s="1"/>
      <c r="G55" s="1"/>
      <c r="I55" s="5"/>
      <c r="J55" s="1"/>
      <c r="M55" s="3"/>
      <c r="O55" s="3"/>
      <c r="P55" s="1"/>
      <c r="U55" s="4"/>
      <c r="V55" s="4"/>
      <c r="Y55" s="4"/>
    </row>
    <row r="56" spans="3:25">
      <c r="C56" s="4"/>
      <c r="D56" s="1"/>
      <c r="G56" s="1"/>
      <c r="I56" s="5"/>
      <c r="J56" s="1"/>
      <c r="M56" s="3"/>
      <c r="O56" s="3"/>
      <c r="P56" s="1"/>
      <c r="U56" s="4"/>
      <c r="V56" s="4"/>
      <c r="Y56" s="4"/>
    </row>
    <row r="57" spans="3:25">
      <c r="C57" s="4"/>
      <c r="D57" s="1"/>
      <c r="G57" s="1"/>
      <c r="I57" s="5"/>
      <c r="J57" s="1"/>
      <c r="M57" s="3"/>
      <c r="O57" s="3"/>
      <c r="P57" s="1"/>
      <c r="U57" s="4"/>
      <c r="V57" s="4"/>
      <c r="Y57" s="4"/>
    </row>
    <row r="58" spans="3:25">
      <c r="C58" s="4"/>
      <c r="D58" s="1"/>
      <c r="G58" s="1"/>
      <c r="I58" s="5"/>
      <c r="J58" s="1"/>
      <c r="M58" s="3"/>
      <c r="O58" s="3"/>
      <c r="P58" s="1"/>
      <c r="U58" s="4"/>
      <c r="V58" s="4"/>
      <c r="Y58" s="4"/>
    </row>
    <row r="59" spans="3:25">
      <c r="C59" s="4"/>
      <c r="D59" s="1"/>
      <c r="G59" s="1"/>
      <c r="I59" s="5"/>
      <c r="J59" s="1"/>
      <c r="M59" s="3"/>
      <c r="O59" s="3"/>
      <c r="P59" s="1"/>
      <c r="U59" s="4"/>
      <c r="V59" s="4"/>
      <c r="Y59" s="4"/>
    </row>
    <row r="60" spans="3:25">
      <c r="D60" s="1"/>
      <c r="M60" s="3"/>
      <c r="V60" s="4"/>
    </row>
    <row r="61" spans="3:25">
      <c r="D61" s="1"/>
      <c r="M61" s="3"/>
      <c r="V61" s="4"/>
    </row>
    <row r="62" spans="3:25">
      <c r="D62" s="1"/>
      <c r="M62" s="3"/>
      <c r="V62" s="4"/>
    </row>
    <row r="63" spans="3:25">
      <c r="D63" s="1"/>
      <c r="M63" s="3"/>
      <c r="V63" s="4"/>
    </row>
    <row r="67" spans="21:25">
      <c r="U67" s="46"/>
      <c r="V67" s="46"/>
      <c r="W67" s="83" t="s">
        <v>55</v>
      </c>
      <c r="X67" s="83" t="s">
        <v>85</v>
      </c>
      <c r="Y67" s="83" t="s">
        <v>86</v>
      </c>
    </row>
    <row r="68" spans="21:25">
      <c r="U68" s="46" t="s">
        <v>87</v>
      </c>
      <c r="V68" s="46"/>
      <c r="W68" s="252">
        <f>U32</f>
        <v>7.6704484691513999</v>
      </c>
      <c r="X68" s="252">
        <f>V32</f>
        <v>1.7254287694922572</v>
      </c>
      <c r="Y68" s="252">
        <f>W32</f>
        <v>34.099222615385443</v>
      </c>
    </row>
  </sheetData>
  <phoneticPr fontId="23" type="noConversion"/>
  <pageMargins left="0.75" right="1" top="1" bottom="1" header="0.5" footer="0.5"/>
  <pageSetup orientation="landscape"/>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transitionEntry="1" codeName="Sheet5" enableFormatConditionsCalculation="0">
    <tabColor indexed="10"/>
  </sheetPr>
  <dimension ref="A1:L65"/>
  <sheetViews>
    <sheetView showGridLines="0" zoomScale="50" workbookViewId="0">
      <selection activeCell="A7" sqref="A7"/>
    </sheetView>
  </sheetViews>
  <sheetFormatPr baseColWidth="10" defaultColWidth="9.875" defaultRowHeight="16" x14ac:dyDescent="0"/>
  <cols>
    <col min="1" max="1" width="5.875" customWidth="1"/>
    <col min="2" max="2" width="6.875" customWidth="1"/>
    <col min="3" max="11" width="7.875" customWidth="1"/>
    <col min="12" max="12" width="4" customWidth="1"/>
    <col min="22" max="22" width="3.125" customWidth="1"/>
  </cols>
  <sheetData>
    <row r="1" spans="1:11">
      <c r="A1" t="s">
        <v>0</v>
      </c>
      <c r="B1" s="37" t="str">
        <f ca="1">CELL("filename",B2)</f>
        <v>NWCLM04072996:Users:eric.ward:Documents:NCEAS-covariation:data:salmon data:[2015_PWS_Pink_Wild_forecast-FINAL.xlsm]FryExclude89</v>
      </c>
    </row>
    <row r="3" spans="1:11">
      <c r="A3" s="8"/>
      <c r="B3" s="9"/>
    </row>
    <row r="5" spans="1:11">
      <c r="A5" t="s">
        <v>88</v>
      </c>
      <c r="I5" s="84" t="s">
        <v>89</v>
      </c>
    </row>
    <row r="6" spans="1:11">
      <c r="I6" s="84" t="s">
        <v>90</v>
      </c>
    </row>
    <row r="7" spans="1:11">
      <c r="I7" s="84" t="s">
        <v>91</v>
      </c>
    </row>
    <row r="8" spans="1:11">
      <c r="A8" s="20" t="s">
        <v>92</v>
      </c>
      <c r="B8" s="85" t="s">
        <v>93</v>
      </c>
      <c r="C8" s="18"/>
      <c r="D8" s="86" t="s">
        <v>94</v>
      </c>
      <c r="E8" s="87"/>
      <c r="F8" s="87"/>
      <c r="G8" s="87"/>
      <c r="H8" s="16"/>
      <c r="I8" s="20" t="s">
        <v>95</v>
      </c>
      <c r="J8" s="27"/>
      <c r="K8" s="16"/>
    </row>
    <row r="9" spans="1:11">
      <c r="A9" s="88" t="s">
        <v>96</v>
      </c>
      <c r="B9" s="89" t="s">
        <v>96</v>
      </c>
      <c r="C9" s="90" t="s">
        <v>97</v>
      </c>
      <c r="D9" s="91" t="s">
        <v>98</v>
      </c>
      <c r="E9" s="91" t="s">
        <v>99</v>
      </c>
      <c r="F9" s="91" t="s">
        <v>100</v>
      </c>
      <c r="G9" s="91" t="s">
        <v>101</v>
      </c>
      <c r="H9" s="89" t="s">
        <v>102</v>
      </c>
      <c r="I9" s="90" t="s">
        <v>100</v>
      </c>
      <c r="J9" s="91" t="s">
        <v>101</v>
      </c>
      <c r="K9" s="89" t="s">
        <v>102</v>
      </c>
    </row>
    <row r="10" spans="1:11">
      <c r="A10" s="480">
        <v>1960</v>
      </c>
      <c r="B10" s="481">
        <f>A10+1</f>
        <v>1961</v>
      </c>
      <c r="C10" s="482">
        <v>187.50890000000001</v>
      </c>
      <c r="D10" s="483">
        <v>299.3426</v>
      </c>
      <c r="E10" s="483">
        <v>498.59</v>
      </c>
      <c r="F10" s="483">
        <v>276.64999999999998</v>
      </c>
      <c r="G10" s="483">
        <v>694.14340000000004</v>
      </c>
      <c r="H10" s="484">
        <v>325.76</v>
      </c>
      <c r="I10" s="482">
        <v>260.33</v>
      </c>
      <c r="J10" s="483">
        <v>499.31270000000001</v>
      </c>
      <c r="K10" s="484">
        <v>286.67</v>
      </c>
    </row>
    <row r="11" spans="1:11">
      <c r="A11" s="485">
        <v>1961</v>
      </c>
      <c r="B11" s="481">
        <f t="shared" ref="B11:B44" si="0">A11+1</f>
        <v>1962</v>
      </c>
      <c r="C11" s="486">
        <v>91.18</v>
      </c>
      <c r="D11" s="487">
        <v>153.19</v>
      </c>
      <c r="E11" s="487">
        <v>250.5437</v>
      </c>
      <c r="F11" s="487">
        <v>153.55000000000001</v>
      </c>
      <c r="G11" s="487">
        <v>292.09440000000001</v>
      </c>
      <c r="H11" s="488">
        <v>178.29</v>
      </c>
      <c r="I11" s="486">
        <v>166.55</v>
      </c>
      <c r="J11" s="487">
        <v>277.86869999999999</v>
      </c>
      <c r="K11" s="488">
        <v>191.13</v>
      </c>
    </row>
    <row r="12" spans="1:11">
      <c r="A12" s="480">
        <v>1962</v>
      </c>
      <c r="B12" s="481">
        <f t="shared" si="0"/>
        <v>1963</v>
      </c>
      <c r="C12" s="486">
        <v>98.372</v>
      </c>
      <c r="D12" s="487">
        <v>233.363</v>
      </c>
      <c r="E12" s="487">
        <v>365.15300000000002</v>
      </c>
      <c r="F12" s="487">
        <v>232.29599999999999</v>
      </c>
      <c r="G12" s="487">
        <v>342.13760000000002</v>
      </c>
      <c r="H12" s="488">
        <v>254.91040000000001</v>
      </c>
      <c r="I12" s="486">
        <v>218.6591</v>
      </c>
      <c r="J12" s="487">
        <v>301.50900000000001</v>
      </c>
      <c r="K12" s="488">
        <v>244.96950000000001</v>
      </c>
    </row>
    <row r="13" spans="1:11">
      <c r="A13" s="485">
        <v>1963</v>
      </c>
      <c r="B13" s="481">
        <f t="shared" si="0"/>
        <v>1964</v>
      </c>
      <c r="C13" s="486">
        <v>32.694719999999997</v>
      </c>
      <c r="D13" s="487">
        <v>116.401</v>
      </c>
      <c r="E13" s="487">
        <v>126.67270000000001</v>
      </c>
      <c r="F13" s="487">
        <v>91.922820000000002</v>
      </c>
      <c r="G13" s="487">
        <v>180.32130000000001</v>
      </c>
      <c r="H13" s="488">
        <v>118.1661</v>
      </c>
      <c r="I13" s="486">
        <v>94.593829999999997</v>
      </c>
      <c r="J13" s="487">
        <v>170.42599999999999</v>
      </c>
      <c r="K13" s="488">
        <v>134.6499</v>
      </c>
    </row>
    <row r="14" spans="1:11">
      <c r="A14" s="480">
        <v>1964</v>
      </c>
      <c r="B14" s="481">
        <f t="shared" si="0"/>
        <v>1965</v>
      </c>
      <c r="C14" s="486">
        <v>127.5731</v>
      </c>
      <c r="D14" s="487">
        <v>282.25130000000001</v>
      </c>
      <c r="E14" s="487">
        <v>253.95</v>
      </c>
      <c r="F14" s="487">
        <v>213.81</v>
      </c>
      <c r="G14" s="487">
        <v>313.27</v>
      </c>
      <c r="H14" s="488">
        <v>258.66000000000003</v>
      </c>
      <c r="I14" s="486">
        <v>192.78</v>
      </c>
      <c r="J14" s="487">
        <v>232.4188</v>
      </c>
      <c r="K14" s="488">
        <v>213.28</v>
      </c>
    </row>
    <row r="15" spans="1:11">
      <c r="A15" s="485">
        <v>1965</v>
      </c>
      <c r="B15" s="481">
        <f t="shared" si="0"/>
        <v>1966</v>
      </c>
      <c r="C15" s="486">
        <v>22.55</v>
      </c>
      <c r="D15" s="487">
        <v>98.79</v>
      </c>
      <c r="E15" s="487">
        <v>101.73</v>
      </c>
      <c r="F15" s="487">
        <v>77.58</v>
      </c>
      <c r="G15" s="487">
        <v>162.37100000000001</v>
      </c>
      <c r="H15" s="488">
        <v>117.06</v>
      </c>
      <c r="I15" s="486">
        <v>81.7</v>
      </c>
      <c r="J15" s="487">
        <v>195.83449999999999</v>
      </c>
      <c r="K15" s="488">
        <v>147.56</v>
      </c>
    </row>
    <row r="16" spans="1:11">
      <c r="A16" s="480">
        <v>1966</v>
      </c>
      <c r="B16" s="481">
        <f t="shared" si="0"/>
        <v>1967</v>
      </c>
      <c r="C16" s="486">
        <v>63.865749999999998</v>
      </c>
      <c r="D16" s="487">
        <v>105.37949999999999</v>
      </c>
      <c r="E16" s="487">
        <v>141.3665</v>
      </c>
      <c r="F16" s="487">
        <v>108.84</v>
      </c>
      <c r="G16" s="487">
        <v>199.37</v>
      </c>
      <c r="H16" s="488">
        <v>141.58279999999999</v>
      </c>
      <c r="I16" s="486">
        <v>109.44</v>
      </c>
      <c r="J16" s="487">
        <v>231.03</v>
      </c>
      <c r="K16" s="488">
        <v>154.16999999999999</v>
      </c>
    </row>
    <row r="17" spans="1:11">
      <c r="A17" s="485">
        <v>1967</v>
      </c>
      <c r="B17" s="481">
        <f t="shared" si="0"/>
        <v>1968</v>
      </c>
      <c r="C17" s="486">
        <v>39.819049999999997</v>
      </c>
      <c r="D17" s="487">
        <v>128.22329999999999</v>
      </c>
      <c r="E17" s="487">
        <v>368.1</v>
      </c>
      <c r="F17" s="487">
        <v>183.95</v>
      </c>
      <c r="G17" s="487">
        <v>277.72129999999999</v>
      </c>
      <c r="H17" s="488">
        <v>223.09</v>
      </c>
      <c r="I17" s="486">
        <v>204.04</v>
      </c>
      <c r="J17" s="487">
        <v>275.04070000000002</v>
      </c>
      <c r="K17" s="488">
        <v>241.79</v>
      </c>
    </row>
    <row r="18" spans="1:11">
      <c r="A18" s="480">
        <v>1968</v>
      </c>
      <c r="B18" s="481">
        <f t="shared" si="0"/>
        <v>1969</v>
      </c>
      <c r="C18" s="486">
        <v>51.05706</v>
      </c>
      <c r="D18" s="487">
        <v>413.98110000000003</v>
      </c>
      <c r="E18" s="487">
        <v>236.92</v>
      </c>
      <c r="F18" s="487">
        <v>244.3116</v>
      </c>
      <c r="G18" s="487">
        <v>242.7594</v>
      </c>
      <c r="H18" s="488">
        <v>243.5934</v>
      </c>
      <c r="I18" s="486">
        <v>263.0763</v>
      </c>
      <c r="J18" s="487">
        <v>238.16229999999999</v>
      </c>
      <c r="K18" s="488">
        <v>251.68700000000001</v>
      </c>
    </row>
    <row r="19" spans="1:11">
      <c r="A19" s="485">
        <v>1969</v>
      </c>
      <c r="B19" s="481">
        <f t="shared" si="0"/>
        <v>1970</v>
      </c>
      <c r="C19" s="486">
        <v>24.549109999999999</v>
      </c>
      <c r="D19" s="487">
        <v>72.851920000000007</v>
      </c>
      <c r="E19" s="487">
        <v>200.87</v>
      </c>
      <c r="F19" s="487">
        <v>112.18</v>
      </c>
      <c r="G19" s="487">
        <v>426.15</v>
      </c>
      <c r="H19" s="488">
        <v>239.15</v>
      </c>
      <c r="I19" s="486">
        <v>110.2101</v>
      </c>
      <c r="J19" s="487">
        <v>443.56</v>
      </c>
      <c r="K19" s="488">
        <v>277.5</v>
      </c>
    </row>
    <row r="20" spans="1:11">
      <c r="A20" s="480">
        <v>1970</v>
      </c>
      <c r="B20" s="481">
        <f t="shared" si="0"/>
        <v>1971</v>
      </c>
      <c r="C20" s="486">
        <v>62.378689999999999</v>
      </c>
      <c r="D20" s="487">
        <v>297.62759999999997</v>
      </c>
      <c r="E20" s="487">
        <v>208.78710000000001</v>
      </c>
      <c r="F20" s="487">
        <v>200.80009999999999</v>
      </c>
      <c r="G20" s="487">
        <v>83.896420000000006</v>
      </c>
      <c r="H20" s="488">
        <v>150.24719999999999</v>
      </c>
      <c r="I20" s="486">
        <v>201.7071</v>
      </c>
      <c r="J20" s="487">
        <v>63.168239999999997</v>
      </c>
      <c r="K20" s="488">
        <v>138.69280000000001</v>
      </c>
    </row>
    <row r="21" spans="1:11">
      <c r="A21" s="485">
        <v>1971</v>
      </c>
      <c r="B21" s="481">
        <f t="shared" si="0"/>
        <v>1972</v>
      </c>
      <c r="C21" s="486">
        <v>1.907483</v>
      </c>
      <c r="D21" s="487">
        <v>103.9371</v>
      </c>
      <c r="E21" s="487">
        <v>189.0121</v>
      </c>
      <c r="F21" s="487">
        <v>104.2123</v>
      </c>
      <c r="G21" s="487">
        <v>150.0539</v>
      </c>
      <c r="H21" s="488">
        <v>120.3917</v>
      </c>
      <c r="I21" s="486">
        <v>100.2402</v>
      </c>
      <c r="J21" s="487">
        <v>174.53970000000001</v>
      </c>
      <c r="K21" s="488">
        <v>136.37960000000001</v>
      </c>
    </row>
    <row r="22" spans="1:11">
      <c r="A22" s="480">
        <v>1972</v>
      </c>
      <c r="B22" s="481">
        <f t="shared" si="0"/>
        <v>1973</v>
      </c>
      <c r="C22" s="486">
        <v>43.352809999999998</v>
      </c>
      <c r="D22" s="487">
        <v>333.86189999999999</v>
      </c>
      <c r="E22" s="487">
        <v>214.37620000000001</v>
      </c>
      <c r="F22" s="487">
        <v>210.5188</v>
      </c>
      <c r="G22" s="487">
        <v>62.52</v>
      </c>
      <c r="H22" s="488">
        <v>154.01</v>
      </c>
      <c r="I22" s="486">
        <v>210.79409999999999</v>
      </c>
      <c r="J22" s="487">
        <v>90.76</v>
      </c>
      <c r="K22" s="488">
        <v>164.66</v>
      </c>
    </row>
    <row r="23" spans="1:11">
      <c r="A23" s="485">
        <v>1973</v>
      </c>
      <c r="B23" s="481">
        <f t="shared" si="0"/>
        <v>1974</v>
      </c>
      <c r="C23" s="486">
        <v>28.75273</v>
      </c>
      <c r="D23" s="487">
        <v>160.66980000000001</v>
      </c>
      <c r="E23" s="487">
        <v>286.57780000000002</v>
      </c>
      <c r="F23" s="487">
        <v>174.54640000000001</v>
      </c>
      <c r="G23" s="487">
        <v>230.41</v>
      </c>
      <c r="H23" s="488">
        <v>191.94</v>
      </c>
      <c r="I23" s="486">
        <v>171.85050000000001</v>
      </c>
      <c r="J23" s="487">
        <v>183.61859999999999</v>
      </c>
      <c r="K23" s="488">
        <v>176.1541</v>
      </c>
    </row>
    <row r="24" spans="1:11">
      <c r="A24" s="480">
        <v>1974</v>
      </c>
      <c r="B24" s="481">
        <f t="shared" si="0"/>
        <v>1975</v>
      </c>
      <c r="C24" s="486">
        <v>80.578699999999998</v>
      </c>
      <c r="D24" s="487">
        <v>348.6927</v>
      </c>
      <c r="E24" s="487">
        <v>399.23</v>
      </c>
      <c r="F24" s="487">
        <v>296.59589999999997</v>
      </c>
      <c r="G24" s="487">
        <v>268.53559999999999</v>
      </c>
      <c r="H24" s="488">
        <v>288.21010000000001</v>
      </c>
      <c r="I24" s="486">
        <v>320.57909999999998</v>
      </c>
      <c r="J24" s="487">
        <v>301.34930000000003</v>
      </c>
      <c r="K24" s="488">
        <v>314.68790000000001</v>
      </c>
    </row>
    <row r="25" spans="1:11">
      <c r="A25" s="485">
        <v>1975</v>
      </c>
      <c r="B25" s="481">
        <f t="shared" si="0"/>
        <v>1976</v>
      </c>
      <c r="C25" s="486">
        <v>8.5031850000000002</v>
      </c>
      <c r="D25" s="487">
        <v>159.91999999999999</v>
      </c>
      <c r="E25" s="487">
        <v>338.92</v>
      </c>
      <c r="F25" s="487">
        <v>194.21</v>
      </c>
      <c r="G25" s="487">
        <v>310.91849999999999</v>
      </c>
      <c r="H25" s="488">
        <v>232.09</v>
      </c>
      <c r="I25" s="486">
        <v>209.63</v>
      </c>
      <c r="J25" s="487">
        <v>358.95339999999999</v>
      </c>
      <c r="K25" s="488">
        <v>266.17</v>
      </c>
    </row>
    <row r="26" spans="1:11">
      <c r="A26" s="480">
        <v>1976</v>
      </c>
      <c r="B26" s="481">
        <f t="shared" si="0"/>
        <v>1977</v>
      </c>
      <c r="C26" s="486">
        <v>174.51</v>
      </c>
      <c r="D26" s="487">
        <v>295.75360000000001</v>
      </c>
      <c r="E26" s="487">
        <v>247.44</v>
      </c>
      <c r="F26" s="487">
        <v>245.18639999999999</v>
      </c>
      <c r="G26" s="487">
        <v>326.51170000000002</v>
      </c>
      <c r="H26" s="488">
        <v>275.30689999999998</v>
      </c>
      <c r="I26" s="486">
        <v>275.79329999999999</v>
      </c>
      <c r="J26" s="487">
        <v>340.5222</v>
      </c>
      <c r="K26" s="488">
        <v>299.90960000000001</v>
      </c>
    </row>
    <row r="27" spans="1:11">
      <c r="A27" s="485">
        <v>1977</v>
      </c>
      <c r="B27" s="481">
        <f t="shared" si="0"/>
        <v>1978</v>
      </c>
      <c r="C27" s="486">
        <v>76.796109999999999</v>
      </c>
      <c r="D27" s="487">
        <v>218.4248</v>
      </c>
      <c r="E27" s="487">
        <v>380.72</v>
      </c>
      <c r="F27" s="487">
        <v>239.39</v>
      </c>
      <c r="G27" s="487">
        <v>409.19900000000001</v>
      </c>
      <c r="H27" s="488">
        <v>308.06</v>
      </c>
      <c r="I27" s="486">
        <v>259.64999999999998</v>
      </c>
      <c r="J27" s="487">
        <v>407.41239999999999</v>
      </c>
      <c r="K27" s="488">
        <v>326.10000000000002</v>
      </c>
    </row>
    <row r="28" spans="1:11">
      <c r="A28" s="480">
        <v>1978</v>
      </c>
      <c r="B28" s="481">
        <f t="shared" si="0"/>
        <v>1979</v>
      </c>
      <c r="C28" s="486">
        <v>129.5324</v>
      </c>
      <c r="D28" s="487">
        <v>297.58640000000003</v>
      </c>
      <c r="E28" s="487">
        <v>524.63</v>
      </c>
      <c r="F28" s="487">
        <v>341.33</v>
      </c>
      <c r="G28" s="487">
        <v>341.09</v>
      </c>
      <c r="H28" s="488">
        <v>341.24</v>
      </c>
      <c r="I28" s="486">
        <v>369.86</v>
      </c>
      <c r="J28" s="487">
        <v>357.65550000000002</v>
      </c>
      <c r="K28" s="488">
        <v>365.36</v>
      </c>
    </row>
    <row r="29" spans="1:11">
      <c r="A29" s="485">
        <v>1979</v>
      </c>
      <c r="B29" s="481">
        <f t="shared" si="0"/>
        <v>1980</v>
      </c>
      <c r="C29" s="486">
        <v>19.778690000000001</v>
      </c>
      <c r="D29" s="487">
        <v>112.66679999999999</v>
      </c>
      <c r="E29" s="487">
        <v>207.09</v>
      </c>
      <c r="F29" s="487">
        <v>122.04</v>
      </c>
      <c r="G29" s="487">
        <v>412.20729999999998</v>
      </c>
      <c r="H29" s="488">
        <v>230.86</v>
      </c>
      <c r="I29" s="486">
        <v>138.97999999999999</v>
      </c>
      <c r="J29" s="487">
        <v>447.87020000000001</v>
      </c>
      <c r="K29" s="488">
        <v>266.81</v>
      </c>
    </row>
    <row r="30" spans="1:11">
      <c r="A30" s="480">
        <v>1980</v>
      </c>
      <c r="B30" s="481">
        <f t="shared" si="0"/>
        <v>1981</v>
      </c>
      <c r="C30" s="486">
        <v>243.78749999999999</v>
      </c>
      <c r="D30" s="487">
        <v>513.4769</v>
      </c>
      <c r="E30" s="487">
        <v>602.28</v>
      </c>
      <c r="F30" s="487">
        <v>470.73</v>
      </c>
      <c r="G30" s="487">
        <v>488.94</v>
      </c>
      <c r="H30" s="488">
        <v>477.31</v>
      </c>
      <c r="I30" s="486">
        <v>540</v>
      </c>
      <c r="J30" s="487">
        <v>512.01</v>
      </c>
      <c r="K30" s="488">
        <v>529.74</v>
      </c>
    </row>
    <row r="31" spans="1:11">
      <c r="A31" s="485">
        <v>1981</v>
      </c>
      <c r="B31" s="481">
        <f t="shared" si="0"/>
        <v>1982</v>
      </c>
      <c r="C31" s="486">
        <v>113.687</v>
      </c>
      <c r="D31" s="487">
        <v>238.2133</v>
      </c>
      <c r="E31" s="487">
        <v>496.3895</v>
      </c>
      <c r="F31" s="487">
        <v>300.86</v>
      </c>
      <c r="G31" s="487">
        <v>387.18060000000003</v>
      </c>
      <c r="H31" s="488">
        <v>330.65</v>
      </c>
      <c r="I31" s="486">
        <v>306.62</v>
      </c>
      <c r="J31" s="487">
        <v>390.31569999999999</v>
      </c>
      <c r="K31" s="488">
        <v>337.62</v>
      </c>
    </row>
    <row r="32" spans="1:11">
      <c r="A32" s="480">
        <v>1982</v>
      </c>
      <c r="B32" s="481">
        <f t="shared" si="0"/>
        <v>1983</v>
      </c>
      <c r="C32" s="486">
        <v>118.8798</v>
      </c>
      <c r="D32" s="487">
        <v>300.1284</v>
      </c>
      <c r="E32" s="487">
        <v>486.96530000000001</v>
      </c>
      <c r="F32" s="487">
        <v>322.89</v>
      </c>
      <c r="G32" s="487">
        <v>531.79830000000004</v>
      </c>
      <c r="H32" s="488">
        <v>398.53</v>
      </c>
      <c r="I32" s="486">
        <v>347.16</v>
      </c>
      <c r="J32" s="487">
        <v>503.13339999999999</v>
      </c>
      <c r="K32" s="488">
        <v>404.14</v>
      </c>
    </row>
    <row r="33" spans="1:12">
      <c r="A33" s="485">
        <v>1983</v>
      </c>
      <c r="B33" s="481">
        <f t="shared" si="0"/>
        <v>1984</v>
      </c>
      <c r="C33" s="486">
        <v>43.285359999999997</v>
      </c>
      <c r="D33" s="487">
        <v>289.3544</v>
      </c>
      <c r="E33" s="487">
        <v>253.45230000000001</v>
      </c>
      <c r="F33" s="487">
        <v>208.11</v>
      </c>
      <c r="G33" s="487">
        <v>354.8535</v>
      </c>
      <c r="H33" s="488">
        <v>272.58999999999997</v>
      </c>
      <c r="I33" s="486">
        <v>204.66</v>
      </c>
      <c r="J33" s="487">
        <v>352.07420000000002</v>
      </c>
      <c r="K33" s="488">
        <v>273.60000000000002</v>
      </c>
    </row>
    <row r="34" spans="1:12">
      <c r="A34" s="480">
        <v>1984</v>
      </c>
      <c r="B34" s="481">
        <f t="shared" si="0"/>
        <v>1985</v>
      </c>
      <c r="C34" s="486">
        <v>85.967740000000006</v>
      </c>
      <c r="D34" s="487">
        <v>367.07119999999998</v>
      </c>
      <c r="E34" s="487">
        <v>521.13070000000005</v>
      </c>
      <c r="F34" s="487">
        <v>348.9</v>
      </c>
      <c r="G34" s="487">
        <v>641.20650000000001</v>
      </c>
      <c r="H34" s="488">
        <v>423.47</v>
      </c>
      <c r="I34" s="486">
        <v>374.03</v>
      </c>
      <c r="J34" s="487">
        <v>601.96</v>
      </c>
      <c r="K34" s="488">
        <v>435.98</v>
      </c>
    </row>
    <row r="35" spans="1:12">
      <c r="A35" s="485">
        <v>1985</v>
      </c>
      <c r="B35" s="481">
        <f t="shared" si="0"/>
        <v>1986</v>
      </c>
      <c r="C35" s="486">
        <v>81.278559999999999</v>
      </c>
      <c r="D35" s="487">
        <v>173.1978</v>
      </c>
      <c r="E35" s="487">
        <v>281.14640000000003</v>
      </c>
      <c r="F35" s="487">
        <v>190.97649999999999</v>
      </c>
      <c r="G35" s="487">
        <v>362.10070000000002</v>
      </c>
      <c r="H35" s="488">
        <v>256.40640000000002</v>
      </c>
      <c r="I35" s="486">
        <v>207.52350000000001</v>
      </c>
      <c r="J35" s="487">
        <v>337.70420000000001</v>
      </c>
      <c r="K35" s="488">
        <v>261.23700000000002</v>
      </c>
    </row>
    <row r="36" spans="1:12">
      <c r="A36" s="480">
        <v>1986</v>
      </c>
      <c r="B36" s="481">
        <f t="shared" si="0"/>
        <v>1987</v>
      </c>
      <c r="C36" s="486">
        <v>117.381</v>
      </c>
      <c r="D36" s="487">
        <v>320.51369999999997</v>
      </c>
      <c r="E36" s="487">
        <v>264.08999999999997</v>
      </c>
      <c r="F36" s="487">
        <v>248.08</v>
      </c>
      <c r="G36" s="487">
        <v>100.9538</v>
      </c>
      <c r="H36" s="488">
        <v>194.69669999999999</v>
      </c>
      <c r="I36" s="486">
        <v>291.39</v>
      </c>
      <c r="J36" s="487">
        <v>114.0044</v>
      </c>
      <c r="K36" s="488">
        <v>227.8999</v>
      </c>
    </row>
    <row r="37" spans="1:12">
      <c r="A37" s="485">
        <v>1987</v>
      </c>
      <c r="B37" s="481">
        <f t="shared" si="0"/>
        <v>1988</v>
      </c>
      <c r="C37" s="486">
        <v>18.62801</v>
      </c>
      <c r="D37" s="487">
        <v>253.25129999999999</v>
      </c>
      <c r="E37" s="487">
        <v>317.28710000000001</v>
      </c>
      <c r="F37" s="487">
        <v>229.12</v>
      </c>
      <c r="G37" s="487">
        <v>488.1816</v>
      </c>
      <c r="H37" s="488">
        <v>343.85</v>
      </c>
      <c r="I37" s="486">
        <v>247.68</v>
      </c>
      <c r="J37" s="487">
        <v>465.07319999999999</v>
      </c>
      <c r="K37" s="488">
        <v>351.76</v>
      </c>
    </row>
    <row r="38" spans="1:12">
      <c r="A38" s="480">
        <v>1988</v>
      </c>
      <c r="B38" s="481">
        <f t="shared" si="0"/>
        <v>1989</v>
      </c>
      <c r="C38" s="486">
        <v>141.90719999999999</v>
      </c>
      <c r="D38" s="487">
        <v>406.56</v>
      </c>
      <c r="E38" s="487">
        <v>339.71</v>
      </c>
      <c r="F38" s="487">
        <v>311.64999999999998</v>
      </c>
      <c r="G38" s="487">
        <v>200.66</v>
      </c>
      <c r="H38" s="488">
        <v>273.10000000000002</v>
      </c>
      <c r="I38" s="486">
        <v>315.06</v>
      </c>
      <c r="J38" s="487">
        <v>203</v>
      </c>
      <c r="K38" s="488">
        <v>275.99</v>
      </c>
    </row>
    <row r="39" spans="1:12">
      <c r="A39" s="485">
        <v>1989</v>
      </c>
      <c r="B39" s="481">
        <f t="shared" si="0"/>
        <v>1990</v>
      </c>
      <c r="C39" s="486">
        <v>22.17146</v>
      </c>
      <c r="D39" s="487">
        <v>153.91999999999999</v>
      </c>
      <c r="E39" s="487">
        <v>213.75</v>
      </c>
      <c r="F39" s="487">
        <v>133.69999999999999</v>
      </c>
      <c r="G39" s="487">
        <v>341.01639999999998</v>
      </c>
      <c r="H39" s="488">
        <v>194.24</v>
      </c>
      <c r="I39" s="486">
        <v>135.12</v>
      </c>
      <c r="J39" s="487">
        <v>359.8938</v>
      </c>
      <c r="K39" s="488">
        <v>203.94</v>
      </c>
    </row>
    <row r="40" spans="1:12">
      <c r="A40" s="480">
        <v>1990</v>
      </c>
      <c r="B40" s="481">
        <f t="shared" si="0"/>
        <v>1991</v>
      </c>
      <c r="C40" s="486">
        <v>61.107489999999999</v>
      </c>
      <c r="D40" s="487">
        <v>242.16</v>
      </c>
      <c r="E40" s="487">
        <v>273.51</v>
      </c>
      <c r="F40" s="487">
        <v>191.44</v>
      </c>
      <c r="G40" s="487">
        <v>144.55000000000001</v>
      </c>
      <c r="H40" s="488">
        <v>179.72</v>
      </c>
      <c r="I40" s="486">
        <v>198.07</v>
      </c>
      <c r="J40" s="487">
        <v>146.0625</v>
      </c>
      <c r="K40" s="488">
        <v>184.68</v>
      </c>
    </row>
    <row r="41" spans="1:12">
      <c r="A41" s="485">
        <v>1991</v>
      </c>
      <c r="B41" s="481">
        <f t="shared" si="0"/>
        <v>1992</v>
      </c>
      <c r="C41" s="489">
        <v>68.790000000000006</v>
      </c>
      <c r="D41" s="490">
        <v>231.04</v>
      </c>
      <c r="E41" s="490">
        <v>513.98</v>
      </c>
      <c r="F41" s="490">
        <v>280.32</v>
      </c>
      <c r="G41" s="490">
        <v>664.6</v>
      </c>
      <c r="H41" s="491">
        <v>381.06</v>
      </c>
      <c r="I41" s="480">
        <v>280.95</v>
      </c>
      <c r="J41" s="492">
        <v>779.97</v>
      </c>
      <c r="K41" s="481">
        <v>427.43</v>
      </c>
      <c r="L41" t="s">
        <v>103</v>
      </c>
    </row>
    <row r="42" spans="1:12">
      <c r="A42" s="480">
        <v>1992</v>
      </c>
      <c r="B42" s="481">
        <f t="shared" si="0"/>
        <v>1993</v>
      </c>
      <c r="C42" s="493">
        <v>74</v>
      </c>
      <c r="D42" s="494">
        <v>188</v>
      </c>
      <c r="E42" s="494">
        <v>269</v>
      </c>
      <c r="F42" s="494">
        <v>180</v>
      </c>
      <c r="G42" s="494">
        <v>90</v>
      </c>
      <c r="H42" s="495">
        <v>156</v>
      </c>
      <c r="I42" s="485">
        <v>176.61</v>
      </c>
      <c r="J42" s="496">
        <v>82.07</v>
      </c>
      <c r="K42" s="497">
        <v>148.86000000000001</v>
      </c>
      <c r="L42" t="s">
        <v>104</v>
      </c>
    </row>
    <row r="43" spans="1:12">
      <c r="A43" s="485">
        <v>1993</v>
      </c>
      <c r="B43" s="481">
        <f t="shared" si="0"/>
        <v>1994</v>
      </c>
      <c r="C43" s="493">
        <v>69</v>
      </c>
      <c r="D43" s="494">
        <v>192</v>
      </c>
      <c r="E43" s="494">
        <v>325</v>
      </c>
      <c r="F43" s="494">
        <v>202</v>
      </c>
      <c r="G43" s="494">
        <v>361</v>
      </c>
      <c r="H43" s="495">
        <v>243</v>
      </c>
      <c r="I43" s="485">
        <v>206.01</v>
      </c>
      <c r="J43" s="496">
        <v>466.89</v>
      </c>
      <c r="K43" s="497">
        <v>281.08999999999997</v>
      </c>
      <c r="L43" t="s">
        <v>105</v>
      </c>
    </row>
    <row r="44" spans="1:12">
      <c r="A44" s="480">
        <v>1994</v>
      </c>
      <c r="B44" s="481">
        <f t="shared" si="0"/>
        <v>1995</v>
      </c>
      <c r="C44" s="498">
        <v>78.930000000000007</v>
      </c>
      <c r="D44" s="499">
        <v>344.71</v>
      </c>
      <c r="E44" s="500">
        <v>444.61</v>
      </c>
      <c r="F44" s="500">
        <v>289.42</v>
      </c>
      <c r="G44" s="500">
        <v>331.74</v>
      </c>
      <c r="H44" s="501">
        <v>298.62</v>
      </c>
      <c r="I44" s="498">
        <v>288.10000000000002</v>
      </c>
      <c r="J44" s="499">
        <v>289.74</v>
      </c>
      <c r="K44" s="502">
        <v>288.52</v>
      </c>
    </row>
    <row r="45" spans="1:12">
      <c r="A45" s="485"/>
      <c r="B45" s="497"/>
      <c r="C45" s="485"/>
      <c r="D45" s="496"/>
      <c r="E45" s="496"/>
      <c r="F45" s="496"/>
      <c r="G45" s="496"/>
      <c r="H45" s="497"/>
      <c r="I45" s="485"/>
      <c r="J45" s="496"/>
      <c r="K45" s="497"/>
    </row>
    <row r="46" spans="1:12">
      <c r="A46" s="503" t="s">
        <v>106</v>
      </c>
      <c r="B46" s="504"/>
      <c r="C46" s="505">
        <f t="shared" ref="C46:K46" si="1">AVERAGEA(C10:C45)</f>
        <v>77.258903085714266</v>
      </c>
      <c r="D46" s="506">
        <f t="shared" si="1"/>
        <v>241.32889771428569</v>
      </c>
      <c r="E46" s="506">
        <f t="shared" si="1"/>
        <v>318.3708685714285</v>
      </c>
      <c r="F46" s="506">
        <f t="shared" si="1"/>
        <v>220.91762342857135</v>
      </c>
      <c r="G46" s="506">
        <f t="shared" si="1"/>
        <v>320.4132062857143</v>
      </c>
      <c r="H46" s="507">
        <f t="shared" si="1"/>
        <v>251.88176285714289</v>
      </c>
      <c r="I46" s="505">
        <f t="shared" si="1"/>
        <v>230.84134657142857</v>
      </c>
      <c r="J46" s="506">
        <f t="shared" si="1"/>
        <v>319.85467542857134</v>
      </c>
      <c r="K46" s="507">
        <f t="shared" si="1"/>
        <v>263.73763714285724</v>
      </c>
    </row>
    <row r="47" spans="1:12">
      <c r="A47" s="496"/>
      <c r="B47" s="496"/>
      <c r="C47" s="496"/>
      <c r="D47" s="496"/>
      <c r="E47" s="496"/>
      <c r="F47" s="496"/>
      <c r="G47" s="496"/>
      <c r="H47" s="496"/>
      <c r="I47" s="496"/>
      <c r="J47" s="496"/>
      <c r="K47" s="496"/>
    </row>
    <row r="48" spans="1:12">
      <c r="A48" t="s">
        <v>107</v>
      </c>
    </row>
    <row r="49" spans="1:2">
      <c r="A49" t="s">
        <v>108</v>
      </c>
    </row>
    <row r="52" spans="1:2">
      <c r="A52" t="s">
        <v>109</v>
      </c>
    </row>
    <row r="54" spans="1:2">
      <c r="A54" t="s">
        <v>110</v>
      </c>
      <c r="B54" t="s">
        <v>111</v>
      </c>
    </row>
    <row r="55" spans="1:2">
      <c r="A55" t="s">
        <v>112</v>
      </c>
      <c r="B55" t="s">
        <v>113</v>
      </c>
    </row>
    <row r="56" spans="1:2">
      <c r="B56" t="s">
        <v>114</v>
      </c>
    </row>
    <row r="59" spans="1:2">
      <c r="A59" t="s">
        <v>115</v>
      </c>
    </row>
    <row r="61" spans="1:2">
      <c r="A61" t="s">
        <v>110</v>
      </c>
      <c r="B61" t="s">
        <v>116</v>
      </c>
    </row>
    <row r="62" spans="1:2">
      <c r="B62" t="s">
        <v>117</v>
      </c>
    </row>
    <row r="64" spans="1:2">
      <c r="A64" t="s">
        <v>112</v>
      </c>
      <c r="B64" t="s">
        <v>118</v>
      </c>
    </row>
    <row r="65" spans="2:2">
      <c r="B65" t="s">
        <v>119</v>
      </c>
    </row>
  </sheetData>
  <phoneticPr fontId="23" type="noConversion"/>
  <pageMargins left="0.75" right="1" top="1" bottom="1" header="0.5" footer="0.5"/>
  <pageSetup orientation="landscape" horizontalDpi="300" verticalDpi="300"/>
  <headerFooter alignWithMargins="0"/>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transitionEntry="1" codeName="Sheet6" enableFormatConditionsCalculation="0">
    <tabColor indexed="10"/>
  </sheetPr>
  <dimension ref="A1:V67"/>
  <sheetViews>
    <sheetView showGridLines="0" zoomScale="50" workbookViewId="0">
      <selection activeCell="A7" sqref="A7"/>
    </sheetView>
  </sheetViews>
  <sheetFormatPr baseColWidth="10" defaultColWidth="9.875" defaultRowHeight="16" x14ac:dyDescent="0"/>
  <cols>
    <col min="1" max="1" width="5.875" customWidth="1"/>
    <col min="2" max="2" width="6.875" customWidth="1"/>
    <col min="3" max="11" width="7.875" customWidth="1"/>
  </cols>
  <sheetData>
    <row r="1" spans="1:11">
      <c r="A1" t="s">
        <v>0</v>
      </c>
      <c r="B1" s="37" t="str">
        <f ca="1">CELL("filename",B2)</f>
        <v>NWCLM04072996:Users:eric.ward:Documents:NCEAS-covariation:data:salmon data:[2015_PWS_Pink_Wild_forecast-FINAL.xlsm]FryInclude89</v>
      </c>
    </row>
    <row r="2" spans="1:11">
      <c r="A2" t="s">
        <v>1</v>
      </c>
      <c r="B2" s="37" t="e">
        <f ca="1">CELL("sheetname",B3)</f>
        <v>#VALUE!</v>
      </c>
    </row>
    <row r="3" spans="1:11">
      <c r="A3" s="8" t="s">
        <v>2</v>
      </c>
      <c r="B3" s="9">
        <v>35034</v>
      </c>
    </row>
    <row r="6" spans="1:11">
      <c r="A6" s="20" t="s">
        <v>92</v>
      </c>
      <c r="B6" s="85" t="s">
        <v>93</v>
      </c>
      <c r="C6" s="18"/>
      <c r="D6" s="86" t="s">
        <v>94</v>
      </c>
      <c r="E6" s="87"/>
      <c r="F6" s="87"/>
      <c r="G6" s="87"/>
      <c r="H6" s="16"/>
      <c r="I6" s="20" t="s">
        <v>95</v>
      </c>
      <c r="J6" s="27"/>
      <c r="K6" s="16"/>
    </row>
    <row r="7" spans="1:11">
      <c r="A7" s="88" t="s">
        <v>96</v>
      </c>
      <c r="B7" s="89" t="s">
        <v>96</v>
      </c>
      <c r="C7" s="90" t="s">
        <v>97</v>
      </c>
      <c r="D7" s="91" t="s">
        <v>98</v>
      </c>
      <c r="E7" s="91" t="s">
        <v>99</v>
      </c>
      <c r="F7" s="91" t="s">
        <v>100</v>
      </c>
      <c r="G7" s="91" t="s">
        <v>101</v>
      </c>
      <c r="H7" s="89" t="s">
        <v>102</v>
      </c>
      <c r="I7" s="90" t="s">
        <v>100</v>
      </c>
      <c r="J7" s="91" t="s">
        <v>101</v>
      </c>
      <c r="K7" s="89" t="s">
        <v>102</v>
      </c>
    </row>
    <row r="8" spans="1:11">
      <c r="A8" s="18">
        <v>1960</v>
      </c>
      <c r="B8" s="92">
        <f>A8+1</f>
        <v>1961</v>
      </c>
      <c r="C8" s="482">
        <v>187.50890000000001</v>
      </c>
      <c r="D8" s="483">
        <v>299.3426</v>
      </c>
      <c r="E8" s="483">
        <v>498.58460000000002</v>
      </c>
      <c r="F8" s="483">
        <v>319.83769999999998</v>
      </c>
      <c r="G8" s="483">
        <v>694.14340000000004</v>
      </c>
      <c r="H8" s="484">
        <v>373.30990000000003</v>
      </c>
      <c r="I8" s="482">
        <v>295.55309999999997</v>
      </c>
      <c r="J8" s="483">
        <v>499.31270000000001</v>
      </c>
      <c r="K8" s="484">
        <v>322.13040000000001</v>
      </c>
    </row>
    <row r="9" spans="1:11">
      <c r="A9" s="31">
        <v>1961</v>
      </c>
      <c r="B9" s="92">
        <f t="shared" ref="B9:B42" si="0">A9+1</f>
        <v>1962</v>
      </c>
      <c r="C9" s="486">
        <v>95.219139999999996</v>
      </c>
      <c r="D9" s="487">
        <v>160.31139999999999</v>
      </c>
      <c r="E9" s="487">
        <v>250.5437</v>
      </c>
      <c r="F9" s="487">
        <v>174.34309999999999</v>
      </c>
      <c r="G9" s="487">
        <v>292.09440000000001</v>
      </c>
      <c r="H9" s="488">
        <v>198.374</v>
      </c>
      <c r="I9" s="486">
        <v>178.52709999999999</v>
      </c>
      <c r="J9" s="487">
        <v>277.86869999999999</v>
      </c>
      <c r="K9" s="488">
        <v>202.0762</v>
      </c>
    </row>
    <row r="10" spans="1:11">
      <c r="A10" s="18">
        <v>1962</v>
      </c>
      <c r="B10" s="92">
        <f t="shared" si="0"/>
        <v>1963</v>
      </c>
      <c r="C10" s="486">
        <v>100.27670000000001</v>
      </c>
      <c r="D10" s="487">
        <v>246.45779999999999</v>
      </c>
      <c r="E10" s="487">
        <v>386.46859999999998</v>
      </c>
      <c r="F10" s="487">
        <v>244.40110000000001</v>
      </c>
      <c r="G10" s="487">
        <v>342.13760000000002</v>
      </c>
      <c r="H10" s="488">
        <v>265.452</v>
      </c>
      <c r="I10" s="486">
        <v>231.98079999999999</v>
      </c>
      <c r="J10" s="487">
        <v>301.50900000000001</v>
      </c>
      <c r="K10" s="488">
        <v>255.11590000000001</v>
      </c>
    </row>
    <row r="11" spans="1:11">
      <c r="A11" s="31">
        <v>1963</v>
      </c>
      <c r="B11" s="92">
        <f t="shared" si="0"/>
        <v>1964</v>
      </c>
      <c r="C11" s="486">
        <v>32.630549999999999</v>
      </c>
      <c r="D11" s="487">
        <v>112.9024</v>
      </c>
      <c r="E11" s="487">
        <v>135.7208</v>
      </c>
      <c r="F11" s="487">
        <v>93.751249999999999</v>
      </c>
      <c r="G11" s="487">
        <v>180.32130000000001</v>
      </c>
      <c r="H11" s="488">
        <v>120.7157</v>
      </c>
      <c r="I11" s="486">
        <v>94.729609999999994</v>
      </c>
      <c r="J11" s="487">
        <v>170.42599999999999</v>
      </c>
      <c r="K11" s="488">
        <v>136.2773</v>
      </c>
    </row>
    <row r="12" spans="1:11">
      <c r="A12" s="18">
        <v>1964</v>
      </c>
      <c r="B12" s="92">
        <f t="shared" si="0"/>
        <v>1965</v>
      </c>
      <c r="C12" s="486">
        <v>119.3083</v>
      </c>
      <c r="D12" s="487">
        <v>276.09010000000001</v>
      </c>
      <c r="E12" s="487">
        <v>262.5342</v>
      </c>
      <c r="F12" s="487">
        <v>224.1754</v>
      </c>
      <c r="G12" s="487">
        <v>324.79419999999999</v>
      </c>
      <c r="H12" s="488">
        <v>271.27359999999999</v>
      </c>
      <c r="I12" s="486">
        <v>196.9237</v>
      </c>
      <c r="J12" s="487">
        <v>236.63759999999999</v>
      </c>
      <c r="K12" s="488">
        <v>218.23150000000001</v>
      </c>
    </row>
    <row r="13" spans="1:11">
      <c r="A13" s="31">
        <v>1965</v>
      </c>
      <c r="B13" s="92">
        <f t="shared" si="0"/>
        <v>1966</v>
      </c>
      <c r="C13" s="486">
        <v>24.336590000000001</v>
      </c>
      <c r="D13" s="487">
        <v>101.6674</v>
      </c>
      <c r="E13" s="487">
        <v>101.89409999999999</v>
      </c>
      <c r="F13" s="487">
        <v>82.786450000000002</v>
      </c>
      <c r="G13" s="487">
        <v>166.8913</v>
      </c>
      <c r="H13" s="488">
        <v>122.80410000000001</v>
      </c>
      <c r="I13" s="486">
        <v>85.321550000000002</v>
      </c>
      <c r="J13" s="487">
        <v>200.22460000000001</v>
      </c>
      <c r="K13" s="488">
        <v>152.001</v>
      </c>
    </row>
    <row r="14" spans="1:11">
      <c r="A14" s="18">
        <v>1966</v>
      </c>
      <c r="B14" s="92">
        <f t="shared" si="0"/>
        <v>1967</v>
      </c>
      <c r="C14" s="486">
        <v>52.610030000000002</v>
      </c>
      <c r="D14" s="487">
        <v>95.864590000000007</v>
      </c>
      <c r="E14" s="487">
        <v>139.9263</v>
      </c>
      <c r="F14" s="487">
        <v>104.7214</v>
      </c>
      <c r="G14" s="487">
        <v>198.48050000000001</v>
      </c>
      <c r="H14" s="488">
        <v>140.14150000000001</v>
      </c>
      <c r="I14" s="486">
        <v>105.83029999999999</v>
      </c>
      <c r="J14" s="487">
        <v>236.36580000000001</v>
      </c>
      <c r="K14" s="488">
        <v>155.18530000000001</v>
      </c>
    </row>
    <row r="15" spans="1:11">
      <c r="A15" s="31">
        <v>1967</v>
      </c>
      <c r="B15" s="92">
        <f t="shared" si="0"/>
        <v>1968</v>
      </c>
      <c r="C15" s="486">
        <v>39.819049999999997</v>
      </c>
      <c r="D15" s="487">
        <v>132.2158</v>
      </c>
      <c r="E15" s="487">
        <v>353.2595</v>
      </c>
      <c r="F15" s="487">
        <v>191.41589999999999</v>
      </c>
      <c r="G15" s="487">
        <v>276.44970000000001</v>
      </c>
      <c r="H15" s="488">
        <v>228.7672</v>
      </c>
      <c r="I15" s="486">
        <v>221.66650000000001</v>
      </c>
      <c r="J15" s="487">
        <v>272.75020000000001</v>
      </c>
      <c r="K15" s="488">
        <v>249.90700000000001</v>
      </c>
    </row>
    <row r="16" spans="1:11">
      <c r="A16" s="18">
        <v>1968</v>
      </c>
      <c r="B16" s="92">
        <f t="shared" si="0"/>
        <v>1969</v>
      </c>
      <c r="C16" s="486">
        <v>53.744280000000003</v>
      </c>
      <c r="D16" s="487">
        <v>431.9803</v>
      </c>
      <c r="E16" s="487">
        <v>254.90620000000001</v>
      </c>
      <c r="F16" s="487">
        <v>254.93379999999999</v>
      </c>
      <c r="G16" s="487">
        <v>257.90750000000003</v>
      </c>
      <c r="H16" s="488">
        <v>256.29180000000002</v>
      </c>
      <c r="I16" s="486">
        <v>271.31459999999998</v>
      </c>
      <c r="J16" s="487">
        <v>249.02340000000001</v>
      </c>
      <c r="K16" s="488">
        <v>261.22629999999998</v>
      </c>
    </row>
    <row r="17" spans="1:11">
      <c r="A17" s="31">
        <v>1969</v>
      </c>
      <c r="B17" s="92">
        <f t="shared" si="0"/>
        <v>1970</v>
      </c>
      <c r="C17" s="486">
        <v>25.770440000000001</v>
      </c>
      <c r="D17" s="487">
        <v>67.643259999999998</v>
      </c>
      <c r="E17" s="487">
        <v>173.6857</v>
      </c>
      <c r="F17" s="487">
        <v>107.1996</v>
      </c>
      <c r="G17" s="487">
        <v>400.262</v>
      </c>
      <c r="H17" s="488">
        <v>237.2047</v>
      </c>
      <c r="I17" s="486">
        <v>105.0596</v>
      </c>
      <c r="J17" s="487">
        <v>426.84019999999998</v>
      </c>
      <c r="K17" s="488">
        <v>274.0607</v>
      </c>
    </row>
    <row r="18" spans="1:11">
      <c r="A18" s="18">
        <v>1970</v>
      </c>
      <c r="B18" s="92">
        <f t="shared" si="0"/>
        <v>1971</v>
      </c>
      <c r="C18" s="486">
        <v>66.048029999999997</v>
      </c>
      <c r="D18" s="487">
        <v>310.56790000000001</v>
      </c>
      <c r="E18" s="487">
        <v>219.22649999999999</v>
      </c>
      <c r="F18" s="487">
        <v>210.84010000000001</v>
      </c>
      <c r="G18" s="487">
        <v>87.466189999999997</v>
      </c>
      <c r="H18" s="488">
        <v>157.3005</v>
      </c>
      <c r="I18" s="486">
        <v>208.09020000000001</v>
      </c>
      <c r="J18" s="487">
        <v>66.285799999999995</v>
      </c>
      <c r="K18" s="488">
        <v>144.26179999999999</v>
      </c>
    </row>
    <row r="19" spans="1:11">
      <c r="A19" s="31">
        <v>1971</v>
      </c>
      <c r="B19" s="92">
        <f t="shared" si="0"/>
        <v>1972</v>
      </c>
      <c r="C19" s="486">
        <v>2.0134539999999999</v>
      </c>
      <c r="D19" s="487">
        <v>108.45610000000001</v>
      </c>
      <c r="E19" s="487">
        <v>197.6036</v>
      </c>
      <c r="F19" s="487">
        <v>109.1748</v>
      </c>
      <c r="G19" s="487">
        <v>150.0539</v>
      </c>
      <c r="H19" s="488">
        <v>124.0399</v>
      </c>
      <c r="I19" s="486">
        <v>106.0732</v>
      </c>
      <c r="J19" s="487">
        <v>174.53970000000001</v>
      </c>
      <c r="K19" s="488">
        <v>140.3433</v>
      </c>
    </row>
    <row r="20" spans="1:11">
      <c r="A20" s="18">
        <v>1972</v>
      </c>
      <c r="B20" s="92">
        <f t="shared" si="0"/>
        <v>1973</v>
      </c>
      <c r="C20" s="486">
        <v>45.761299999999999</v>
      </c>
      <c r="D20" s="487">
        <v>347.6832</v>
      </c>
      <c r="E20" s="487">
        <v>223.6969</v>
      </c>
      <c r="F20" s="487">
        <v>220.202</v>
      </c>
      <c r="G20" s="487">
        <v>64.642009999999999</v>
      </c>
      <c r="H20" s="488">
        <v>160.941</v>
      </c>
      <c r="I20" s="486">
        <v>216.58670000000001</v>
      </c>
      <c r="J20" s="487">
        <v>96.389859999999999</v>
      </c>
      <c r="K20" s="488">
        <v>171.20349999999999</v>
      </c>
    </row>
    <row r="21" spans="1:11">
      <c r="A21" s="31">
        <v>1973</v>
      </c>
      <c r="B21" s="92">
        <f t="shared" si="0"/>
        <v>1974</v>
      </c>
      <c r="C21" s="486">
        <v>30.266030000000001</v>
      </c>
      <c r="D21" s="487">
        <v>167.65539999999999</v>
      </c>
      <c r="E21" s="487">
        <v>295.99430000000001</v>
      </c>
      <c r="F21" s="487">
        <v>181.6996</v>
      </c>
      <c r="G21" s="487">
        <v>226.2679</v>
      </c>
      <c r="H21" s="488">
        <v>195.68180000000001</v>
      </c>
      <c r="I21" s="486">
        <v>179.34540000000001</v>
      </c>
      <c r="J21" s="487">
        <v>183.61859999999999</v>
      </c>
      <c r="K21" s="488">
        <v>180.95490000000001</v>
      </c>
    </row>
    <row r="22" spans="1:11">
      <c r="A22" s="18">
        <v>1974</v>
      </c>
      <c r="B22" s="92">
        <f t="shared" si="0"/>
        <v>1975</v>
      </c>
      <c r="C22" s="486">
        <v>85.66395</v>
      </c>
      <c r="D22" s="487">
        <v>363.27190000000002</v>
      </c>
      <c r="E22" s="487">
        <v>408.39620000000002</v>
      </c>
      <c r="F22" s="487">
        <v>311.38099999999997</v>
      </c>
      <c r="G22" s="487">
        <v>303.56200000000001</v>
      </c>
      <c r="H22" s="488">
        <v>309.16079999999999</v>
      </c>
      <c r="I22" s="486">
        <v>330.5736</v>
      </c>
      <c r="J22" s="487">
        <v>332.73989999999998</v>
      </c>
      <c r="K22" s="488">
        <v>331.20670000000001</v>
      </c>
    </row>
    <row r="23" spans="1:11">
      <c r="A23" s="31">
        <v>1975</v>
      </c>
      <c r="B23" s="92">
        <f t="shared" si="0"/>
        <v>1976</v>
      </c>
      <c r="C23" s="486">
        <v>8.9755839999999996</v>
      </c>
      <c r="D23" s="487">
        <v>172.7191</v>
      </c>
      <c r="E23" s="487">
        <v>372.46260000000001</v>
      </c>
      <c r="F23" s="487">
        <v>205.6148</v>
      </c>
      <c r="G23" s="487">
        <v>310.91849999999999</v>
      </c>
      <c r="H23" s="488">
        <v>242.0283</v>
      </c>
      <c r="I23" s="486">
        <v>216.1525</v>
      </c>
      <c r="J23" s="487">
        <v>358.95339999999999</v>
      </c>
      <c r="K23" s="488">
        <v>273.02629999999999</v>
      </c>
    </row>
    <row r="24" spans="1:11">
      <c r="A24" s="18">
        <v>1976</v>
      </c>
      <c r="B24" s="92">
        <f t="shared" si="0"/>
        <v>1977</v>
      </c>
      <c r="C24" s="486">
        <v>184.77529999999999</v>
      </c>
      <c r="D24" s="487">
        <v>293.18880000000001</v>
      </c>
      <c r="E24" s="487">
        <v>262.29199999999997</v>
      </c>
      <c r="F24" s="487">
        <v>256.81790000000001</v>
      </c>
      <c r="G24" s="487">
        <v>326.51170000000002</v>
      </c>
      <c r="H24" s="488">
        <v>283.88350000000003</v>
      </c>
      <c r="I24" s="486">
        <v>283.41320000000002</v>
      </c>
      <c r="J24" s="487">
        <v>340.5222</v>
      </c>
      <c r="K24" s="488">
        <v>305.25569999999999</v>
      </c>
    </row>
    <row r="25" spans="1:11">
      <c r="A25" s="31">
        <v>1977</v>
      </c>
      <c r="B25" s="92">
        <f t="shared" si="0"/>
        <v>1978</v>
      </c>
      <c r="C25" s="486">
        <v>80.838009999999997</v>
      </c>
      <c r="D25" s="487">
        <v>229.5934</v>
      </c>
      <c r="E25" s="487">
        <v>396.81200000000001</v>
      </c>
      <c r="F25" s="487">
        <v>256.6979</v>
      </c>
      <c r="G25" s="487">
        <v>409.19900000000001</v>
      </c>
      <c r="H25" s="488">
        <v>322.74169999999998</v>
      </c>
      <c r="I25" s="486">
        <v>274.71460000000002</v>
      </c>
      <c r="J25" s="487">
        <v>407.41239999999999</v>
      </c>
      <c r="K25" s="488">
        <v>337.48099999999999</v>
      </c>
    </row>
    <row r="26" spans="1:11">
      <c r="A26" s="18">
        <v>1978</v>
      </c>
      <c r="B26" s="92">
        <f t="shared" si="0"/>
        <v>1979</v>
      </c>
      <c r="C26" s="486">
        <v>137.54419999999999</v>
      </c>
      <c r="D26" s="487">
        <v>309.6499</v>
      </c>
      <c r="E26" s="487">
        <v>567.42570000000001</v>
      </c>
      <c r="F26" s="487">
        <v>369.67720000000003</v>
      </c>
      <c r="G26" s="487">
        <v>341.09</v>
      </c>
      <c r="H26" s="488">
        <v>358.45609999999999</v>
      </c>
      <c r="I26" s="486">
        <v>396.01979999999998</v>
      </c>
      <c r="J26" s="487">
        <v>357.65550000000002</v>
      </c>
      <c r="K26" s="488">
        <v>381.06420000000003</v>
      </c>
    </row>
    <row r="27" spans="1:11">
      <c r="A27" s="31">
        <v>1979</v>
      </c>
      <c r="B27" s="92">
        <f t="shared" si="0"/>
        <v>1980</v>
      </c>
      <c r="C27" s="486">
        <v>16.77168</v>
      </c>
      <c r="D27" s="487">
        <v>118.21899999999999</v>
      </c>
      <c r="E27" s="487">
        <v>221.78739999999999</v>
      </c>
      <c r="F27" s="487">
        <v>133.3372</v>
      </c>
      <c r="G27" s="487">
        <v>412.20729999999998</v>
      </c>
      <c r="H27" s="488">
        <v>244.8853</v>
      </c>
      <c r="I27" s="486">
        <v>148.59700000000001</v>
      </c>
      <c r="J27" s="487">
        <v>447.87020000000001</v>
      </c>
      <c r="K27" s="488">
        <v>277.9846</v>
      </c>
    </row>
    <row r="28" spans="1:11">
      <c r="A28" s="18">
        <v>1980</v>
      </c>
      <c r="B28" s="92">
        <f t="shared" si="0"/>
        <v>1981</v>
      </c>
      <c r="C28" s="486">
        <v>253.15299999999999</v>
      </c>
      <c r="D28" s="487">
        <v>515.79499999999996</v>
      </c>
      <c r="E28" s="487">
        <v>608.13890000000004</v>
      </c>
      <c r="F28" s="487">
        <v>486.39530000000002</v>
      </c>
      <c r="G28" s="487">
        <v>500.55880000000002</v>
      </c>
      <c r="H28" s="488">
        <v>491.70659999999998</v>
      </c>
      <c r="I28" s="486">
        <v>561.22550000000001</v>
      </c>
      <c r="J28" s="487">
        <v>520.41049999999996</v>
      </c>
      <c r="K28" s="488">
        <v>545.79290000000003</v>
      </c>
    </row>
    <row r="29" spans="1:11">
      <c r="A29" s="31">
        <v>1981</v>
      </c>
      <c r="B29" s="92">
        <f t="shared" si="0"/>
        <v>1982</v>
      </c>
      <c r="C29" s="486">
        <v>120.7925</v>
      </c>
      <c r="D29" s="487">
        <v>257.1628</v>
      </c>
      <c r="E29" s="487">
        <v>555.84879999999998</v>
      </c>
      <c r="F29" s="487">
        <v>337.24200000000002</v>
      </c>
      <c r="G29" s="487">
        <v>387.18060000000003</v>
      </c>
      <c r="H29" s="488">
        <v>355.79059999999998</v>
      </c>
      <c r="I29" s="486">
        <v>332.34019999999998</v>
      </c>
      <c r="J29" s="487">
        <v>390.31569999999999</v>
      </c>
      <c r="K29" s="488">
        <v>354.92020000000002</v>
      </c>
    </row>
    <row r="30" spans="1:11">
      <c r="A30" s="18">
        <v>1982</v>
      </c>
      <c r="B30" s="92">
        <f t="shared" si="0"/>
        <v>1983</v>
      </c>
      <c r="C30" s="486">
        <v>125.8728</v>
      </c>
      <c r="D30" s="487">
        <v>307.95069999999998</v>
      </c>
      <c r="E30" s="487">
        <v>533.57640000000004</v>
      </c>
      <c r="F30" s="487">
        <v>345.3818</v>
      </c>
      <c r="G30" s="487">
        <v>531.79830000000004</v>
      </c>
      <c r="H30" s="488">
        <v>416.55900000000003</v>
      </c>
      <c r="I30" s="486">
        <v>367.64749999999998</v>
      </c>
      <c r="J30" s="487">
        <v>503.13339999999999</v>
      </c>
      <c r="K30" s="488">
        <v>419.26929999999999</v>
      </c>
    </row>
    <row r="31" spans="1:11">
      <c r="A31" s="31">
        <v>1983</v>
      </c>
      <c r="B31" s="92">
        <f t="shared" si="0"/>
        <v>1984</v>
      </c>
      <c r="C31" s="486">
        <v>45.83155</v>
      </c>
      <c r="D31" s="487">
        <v>313.46730000000002</v>
      </c>
      <c r="E31" s="487">
        <v>266.72070000000002</v>
      </c>
      <c r="F31" s="487">
        <v>226.8237</v>
      </c>
      <c r="G31" s="487">
        <v>354.8535</v>
      </c>
      <c r="H31" s="488">
        <v>286.70859999999999</v>
      </c>
      <c r="I31" s="486">
        <v>218.17679999999999</v>
      </c>
      <c r="J31" s="487">
        <v>352.07420000000002</v>
      </c>
      <c r="K31" s="488">
        <v>283.49619999999999</v>
      </c>
    </row>
    <row r="32" spans="1:11">
      <c r="A32" s="18">
        <v>1984</v>
      </c>
      <c r="B32" s="92">
        <f t="shared" si="0"/>
        <v>1985</v>
      </c>
      <c r="C32" s="486">
        <v>90.743729999999999</v>
      </c>
      <c r="D32" s="487">
        <v>376.97030000000001</v>
      </c>
      <c r="E32" s="487">
        <v>576.30619999999999</v>
      </c>
      <c r="F32" s="487">
        <v>371.47750000000002</v>
      </c>
      <c r="G32" s="487">
        <v>641.20650000000001</v>
      </c>
      <c r="H32" s="488">
        <v>444.77339999999998</v>
      </c>
      <c r="I32" s="486">
        <v>391.53899999999999</v>
      </c>
      <c r="J32" s="487">
        <v>601.96</v>
      </c>
      <c r="K32" s="488">
        <v>451.70519999999999</v>
      </c>
    </row>
    <row r="33" spans="1:22">
      <c r="A33" s="31">
        <v>1985</v>
      </c>
      <c r="B33" s="92">
        <f t="shared" si="0"/>
        <v>1986</v>
      </c>
      <c r="C33" s="486">
        <v>86.697119999999998</v>
      </c>
      <c r="D33" s="487">
        <v>187.5812</v>
      </c>
      <c r="E33" s="487">
        <v>311.7122</v>
      </c>
      <c r="F33" s="487">
        <v>206.76519999999999</v>
      </c>
      <c r="G33" s="487">
        <v>362.10070000000002</v>
      </c>
      <c r="H33" s="488">
        <v>269.87029999999999</v>
      </c>
      <c r="I33" s="486">
        <v>217.8784</v>
      </c>
      <c r="J33" s="487">
        <v>337.70420000000001</v>
      </c>
      <c r="K33" s="488">
        <v>269.07990000000001</v>
      </c>
    </row>
    <row r="34" spans="1:22">
      <c r="A34" s="18">
        <v>1986</v>
      </c>
      <c r="B34" s="92">
        <f t="shared" si="0"/>
        <v>1987</v>
      </c>
      <c r="C34" s="486">
        <v>102.4618</v>
      </c>
      <c r="D34" s="487">
        <v>325.35820000000001</v>
      </c>
      <c r="E34" s="487">
        <v>273.07139999999998</v>
      </c>
      <c r="F34" s="487">
        <v>253.9991</v>
      </c>
      <c r="G34" s="487">
        <v>100.9538</v>
      </c>
      <c r="H34" s="488">
        <v>195.35560000000001</v>
      </c>
      <c r="I34" s="486">
        <v>298.08109999999999</v>
      </c>
      <c r="J34" s="487">
        <v>114.0044</v>
      </c>
      <c r="K34" s="488">
        <v>229.143</v>
      </c>
    </row>
    <row r="35" spans="1:22">
      <c r="A35" s="31">
        <v>1987</v>
      </c>
      <c r="B35" s="92">
        <f t="shared" si="0"/>
        <v>1988</v>
      </c>
      <c r="C35" s="486">
        <v>19.723769999999998</v>
      </c>
      <c r="D35" s="487">
        <v>271.8614</v>
      </c>
      <c r="E35" s="487">
        <v>347.21609999999998</v>
      </c>
      <c r="F35" s="487">
        <v>240.1464</v>
      </c>
      <c r="G35" s="487">
        <v>488.1816</v>
      </c>
      <c r="H35" s="488">
        <v>355.77190000000002</v>
      </c>
      <c r="I35" s="486">
        <v>245.5712</v>
      </c>
      <c r="J35" s="487">
        <v>465.07319999999999</v>
      </c>
      <c r="K35" s="488">
        <v>354.87049999999999</v>
      </c>
    </row>
    <row r="36" spans="1:22">
      <c r="A36" s="18">
        <v>1988</v>
      </c>
      <c r="B36" s="92">
        <f t="shared" si="0"/>
        <v>1989</v>
      </c>
      <c r="C36" s="486">
        <v>146.94970000000001</v>
      </c>
      <c r="D36" s="487">
        <v>337.45409999999998</v>
      </c>
      <c r="E36" s="487">
        <v>313.91950000000003</v>
      </c>
      <c r="F36" s="487">
        <v>281.51229999999998</v>
      </c>
      <c r="G36" s="487">
        <v>157.49080000000001</v>
      </c>
      <c r="H36" s="488">
        <v>239.4528</v>
      </c>
      <c r="I36" s="486">
        <v>286.99439999999998</v>
      </c>
      <c r="J36" s="487">
        <v>152.59039999999999</v>
      </c>
      <c r="K36" s="488">
        <v>239.40299999999999</v>
      </c>
    </row>
    <row r="37" spans="1:22">
      <c r="A37" s="31">
        <v>1989</v>
      </c>
      <c r="B37" s="92">
        <f t="shared" si="0"/>
        <v>1990</v>
      </c>
      <c r="C37" s="486">
        <v>22.60529</v>
      </c>
      <c r="D37" s="487">
        <v>147.9487</v>
      </c>
      <c r="E37" s="487">
        <v>201.58</v>
      </c>
      <c r="F37" s="487">
        <v>132.9546</v>
      </c>
      <c r="G37" s="487">
        <v>330.98649999999998</v>
      </c>
      <c r="H37" s="488">
        <v>190.99850000000001</v>
      </c>
      <c r="I37" s="486">
        <v>134.27600000000001</v>
      </c>
      <c r="J37" s="487">
        <v>349.15069999999997</v>
      </c>
      <c r="K37" s="488">
        <v>200.22909999999999</v>
      </c>
    </row>
    <row r="38" spans="1:22">
      <c r="A38" s="18">
        <v>1990</v>
      </c>
      <c r="B38" s="92">
        <f t="shared" si="0"/>
        <v>1991</v>
      </c>
      <c r="C38" s="486">
        <v>61.596339999999998</v>
      </c>
      <c r="D38" s="487">
        <v>238.32980000000001</v>
      </c>
      <c r="E38" s="487">
        <v>257.41219999999998</v>
      </c>
      <c r="F38" s="487">
        <v>190.42</v>
      </c>
      <c r="G38" s="487">
        <v>140.02379999999999</v>
      </c>
      <c r="H38" s="488">
        <v>178.06800000000001</v>
      </c>
      <c r="I38" s="486">
        <v>196.8048</v>
      </c>
      <c r="J38" s="487">
        <v>140.33449999999999</v>
      </c>
      <c r="K38" s="488">
        <v>182.13239999999999</v>
      </c>
    </row>
    <row r="39" spans="1:22">
      <c r="A39" s="31">
        <v>1991</v>
      </c>
      <c r="B39" s="92">
        <f t="shared" si="0"/>
        <v>1992</v>
      </c>
      <c r="C39" s="482">
        <v>66.03</v>
      </c>
      <c r="D39" s="483">
        <v>231.36</v>
      </c>
      <c r="E39" s="483">
        <v>503.5</v>
      </c>
      <c r="F39" s="483">
        <v>275.49</v>
      </c>
      <c r="G39" s="483">
        <v>640.96</v>
      </c>
      <c r="H39" s="484">
        <v>371.13</v>
      </c>
      <c r="I39" s="482">
        <v>275.77</v>
      </c>
      <c r="J39" s="483">
        <v>745.49</v>
      </c>
      <c r="K39" s="484">
        <v>415.49</v>
      </c>
      <c r="L39" t="s">
        <v>120</v>
      </c>
    </row>
    <row r="40" spans="1:22">
      <c r="A40" s="18">
        <v>1992</v>
      </c>
      <c r="B40" s="92">
        <f t="shared" si="0"/>
        <v>1993</v>
      </c>
      <c r="C40" s="486">
        <v>71.03</v>
      </c>
      <c r="D40" s="487">
        <v>204.79</v>
      </c>
      <c r="E40" s="487">
        <v>261.61</v>
      </c>
      <c r="F40" s="487">
        <v>181.58</v>
      </c>
      <c r="G40" s="487">
        <v>86.46</v>
      </c>
      <c r="H40" s="488">
        <v>156.46</v>
      </c>
      <c r="I40" s="486">
        <v>178.91</v>
      </c>
      <c r="J40" s="487">
        <v>79.38</v>
      </c>
      <c r="K40" s="488">
        <v>149.86000000000001</v>
      </c>
      <c r="L40" t="s">
        <v>121</v>
      </c>
    </row>
    <row r="41" spans="1:22">
      <c r="A41" s="31">
        <v>1993</v>
      </c>
      <c r="B41" s="92">
        <f t="shared" si="0"/>
        <v>1994</v>
      </c>
      <c r="C41" s="485">
        <v>65.94</v>
      </c>
      <c r="D41" s="496">
        <v>192.94</v>
      </c>
      <c r="E41" s="496">
        <v>314.98</v>
      </c>
      <c r="F41" s="496">
        <v>197.44</v>
      </c>
      <c r="G41" s="496">
        <v>348.58</v>
      </c>
      <c r="H41" s="497">
        <v>236.26</v>
      </c>
      <c r="I41" s="485">
        <v>201.01</v>
      </c>
      <c r="J41" s="496">
        <v>451.71</v>
      </c>
      <c r="K41" s="497">
        <v>272.8</v>
      </c>
    </row>
    <row r="42" spans="1:22">
      <c r="A42" s="18">
        <v>1994</v>
      </c>
      <c r="B42" s="92">
        <f t="shared" si="0"/>
        <v>1995</v>
      </c>
      <c r="C42" s="498">
        <v>75.94</v>
      </c>
      <c r="D42" s="499">
        <v>344.21</v>
      </c>
      <c r="E42" s="500">
        <v>456.59</v>
      </c>
      <c r="F42" s="500">
        <v>292.25</v>
      </c>
      <c r="G42" s="500">
        <v>316.16000000000003</v>
      </c>
      <c r="H42" s="501">
        <v>297.48</v>
      </c>
      <c r="I42" s="498">
        <v>291.19</v>
      </c>
      <c r="J42" s="499">
        <v>277.86</v>
      </c>
      <c r="K42" s="502">
        <v>287.79000000000002</v>
      </c>
    </row>
    <row r="43" spans="1:22">
      <c r="A43" s="31"/>
      <c r="B43" s="34"/>
      <c r="C43" s="485"/>
      <c r="D43" s="496"/>
      <c r="E43" s="496"/>
      <c r="F43" s="496"/>
      <c r="G43" s="496"/>
      <c r="H43" s="497"/>
      <c r="I43" s="485"/>
      <c r="J43" s="496"/>
      <c r="K43" s="497"/>
    </row>
    <row r="44" spans="1:22">
      <c r="A44" s="95" t="s">
        <v>106</v>
      </c>
      <c r="B44" s="47"/>
      <c r="C44" s="505">
        <f t="shared" ref="C44:K44" si="1">AVERAGEA(C8:C43)</f>
        <v>78.435689085714316</v>
      </c>
      <c r="D44" s="506">
        <f t="shared" si="1"/>
        <v>245.67599571428568</v>
      </c>
      <c r="E44" s="506">
        <f t="shared" si="1"/>
        <v>328.72580857142862</v>
      </c>
      <c r="F44" s="506">
        <f t="shared" si="1"/>
        <v>230.65388857142855</v>
      </c>
      <c r="G44" s="506">
        <f t="shared" si="1"/>
        <v>318.65415142857137</v>
      </c>
      <c r="H44" s="507">
        <f t="shared" si="1"/>
        <v>259.99539142857139</v>
      </c>
      <c r="I44" s="505">
        <f t="shared" si="1"/>
        <v>238.39679885714287</v>
      </c>
      <c r="J44" s="506">
        <f t="shared" si="1"/>
        <v>317.66105599999997</v>
      </c>
      <c r="K44" s="507">
        <f t="shared" si="1"/>
        <v>269.28500857142859</v>
      </c>
      <c r="M44" s="1"/>
      <c r="N44" s="1"/>
      <c r="O44" s="1"/>
      <c r="P44" s="1"/>
      <c r="Q44" s="1"/>
      <c r="R44" s="1"/>
      <c r="S44" s="1"/>
      <c r="T44" s="1"/>
      <c r="U44" s="1"/>
      <c r="V44" s="1"/>
    </row>
    <row r="45" spans="1:22">
      <c r="C45" s="496"/>
      <c r="D45" s="496"/>
      <c r="E45" s="496"/>
      <c r="F45" s="496"/>
      <c r="G45" s="496"/>
      <c r="H45" s="496"/>
      <c r="I45" s="496"/>
      <c r="J45" s="496"/>
      <c r="K45" s="496"/>
    </row>
    <row r="46" spans="1:22">
      <c r="A46" t="s">
        <v>107</v>
      </c>
    </row>
    <row r="47" spans="1:22">
      <c r="A47" t="s">
        <v>108</v>
      </c>
    </row>
    <row r="48" spans="1:22">
      <c r="B48" s="84" t="s">
        <v>122</v>
      </c>
    </row>
    <row r="50" spans="1:9">
      <c r="A50" t="s">
        <v>123</v>
      </c>
    </row>
    <row r="51" spans="1:9">
      <c r="A51">
        <v>150.1696</v>
      </c>
      <c r="B51">
        <v>342.416</v>
      </c>
      <c r="C51">
        <v>295.0376</v>
      </c>
      <c r="D51">
        <v>275.86869999999999</v>
      </c>
      <c r="E51">
        <v>220.3108</v>
      </c>
      <c r="F51">
        <v>255.66579999999999</v>
      </c>
      <c r="G51">
        <v>331.94639999999998</v>
      </c>
      <c r="H51">
        <v>202.99709999999999</v>
      </c>
      <c r="I51">
        <v>284.8143</v>
      </c>
    </row>
    <row r="54" spans="1:9">
      <c r="A54" t="s">
        <v>109</v>
      </c>
    </row>
    <row r="56" spans="1:9">
      <c r="A56" t="s">
        <v>110</v>
      </c>
      <c r="B56" t="s">
        <v>111</v>
      </c>
    </row>
    <row r="57" spans="1:9">
      <c r="A57" t="s">
        <v>112</v>
      </c>
      <c r="B57" t="s">
        <v>113</v>
      </c>
    </row>
    <row r="58" spans="1:9">
      <c r="B58" t="s">
        <v>114</v>
      </c>
    </row>
    <row r="61" spans="1:9">
      <c r="A61" t="s">
        <v>115</v>
      </c>
    </row>
    <row r="63" spans="1:9">
      <c r="A63" t="s">
        <v>110</v>
      </c>
      <c r="B63" t="s">
        <v>116</v>
      </c>
    </row>
    <row r="64" spans="1:9">
      <c r="B64" t="s">
        <v>117</v>
      </c>
    </row>
    <row r="66" spans="1:2">
      <c r="A66" t="s">
        <v>112</v>
      </c>
      <c r="B66" t="s">
        <v>118</v>
      </c>
    </row>
    <row r="67" spans="1:2">
      <c r="B67" t="s">
        <v>119</v>
      </c>
    </row>
  </sheetData>
  <phoneticPr fontId="23" type="noConversion"/>
  <pageMargins left="0.75" right="1" top="1" bottom="1" header="0.5" footer="0.5"/>
  <pageSetup orientation="landscape" horizontalDpi="300" verticalDpi="300"/>
  <headerFooter alignWithMargins="0"/>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indexed="10"/>
  </sheetPr>
  <dimension ref="A1:H22"/>
  <sheetViews>
    <sheetView workbookViewId="0">
      <selection activeCell="A7" sqref="A7"/>
    </sheetView>
  </sheetViews>
  <sheetFormatPr baseColWidth="10" defaultColWidth="8.625" defaultRowHeight="16" x14ac:dyDescent="0"/>
  <sheetData>
    <row r="1" spans="1:8" ht="17">
      <c r="A1" s="99" t="s">
        <v>62</v>
      </c>
      <c r="B1" s="99" t="s">
        <v>135</v>
      </c>
      <c r="C1" s="100" t="s">
        <v>136</v>
      </c>
      <c r="D1" s="101" t="s">
        <v>137</v>
      </c>
      <c r="E1" s="102" t="s">
        <v>138</v>
      </c>
      <c r="F1" s="100" t="s">
        <v>139</v>
      </c>
      <c r="G1" s="99" t="s">
        <v>140</v>
      </c>
      <c r="H1" s="99" t="s">
        <v>141</v>
      </c>
    </row>
    <row r="2" spans="1:8">
      <c r="A2" s="37">
        <f>B12</f>
        <v>19</v>
      </c>
      <c r="B2" s="37">
        <f>B17</f>
        <v>17</v>
      </c>
      <c r="C2" s="37">
        <f>B21</f>
        <v>2.029921352792464</v>
      </c>
      <c r="D2" s="37">
        <f>B22</f>
        <v>-0.29537341716446247</v>
      </c>
      <c r="E2" s="37">
        <f>C22</f>
        <v>0.29465731997684813</v>
      </c>
      <c r="G2" s="37">
        <f>B11</f>
        <v>0.71365812250531124</v>
      </c>
      <c r="H2" s="37">
        <f>B9</f>
        <v>5.5810824890877825E-2</v>
      </c>
    </row>
    <row r="5" spans="1:8">
      <c r="A5" t="s">
        <v>142</v>
      </c>
    </row>
    <row r="6" spans="1:8" ht="17" thickBot="1"/>
    <row r="7" spans="1:8">
      <c r="A7" s="106" t="s">
        <v>143</v>
      </c>
      <c r="B7" s="106"/>
    </row>
    <row r="8" spans="1:8">
      <c r="A8" s="103" t="s">
        <v>144</v>
      </c>
      <c r="B8" s="103">
        <v>0.23624314781783159</v>
      </c>
    </row>
    <row r="9" spans="1:8">
      <c r="A9" s="103" t="s">
        <v>145</v>
      </c>
      <c r="B9" s="103">
        <v>5.5810824890877825E-2</v>
      </c>
    </row>
    <row r="10" spans="1:8">
      <c r="A10" s="103" t="s">
        <v>146</v>
      </c>
      <c r="B10" s="103">
        <v>2.7028517857652368E-4</v>
      </c>
    </row>
    <row r="11" spans="1:8">
      <c r="A11" s="103" t="s">
        <v>147</v>
      </c>
      <c r="B11" s="103">
        <v>0.71365812250531124</v>
      </c>
    </row>
    <row r="12" spans="1:8" ht="17" thickBot="1">
      <c r="A12" s="104" t="s">
        <v>148</v>
      </c>
      <c r="B12" s="104">
        <v>19</v>
      </c>
    </row>
    <row r="14" spans="1:8" ht="17" thickBot="1">
      <c r="A14" t="s">
        <v>149</v>
      </c>
    </row>
    <row r="15" spans="1:8">
      <c r="A15" s="105"/>
      <c r="B15" s="105" t="s">
        <v>150</v>
      </c>
      <c r="C15" s="105" t="s">
        <v>151</v>
      </c>
      <c r="D15" s="105" t="s">
        <v>152</v>
      </c>
      <c r="E15" s="105" t="s">
        <v>153</v>
      </c>
      <c r="F15" s="105" t="s">
        <v>154</v>
      </c>
    </row>
    <row r="16" spans="1:8">
      <c r="A16" s="103" t="s">
        <v>155</v>
      </c>
      <c r="B16" s="103">
        <v>1</v>
      </c>
      <c r="C16" s="103">
        <v>0.51178643658282397</v>
      </c>
      <c r="D16" s="103">
        <v>0.51178643658282397</v>
      </c>
      <c r="E16" s="103">
        <v>1.004866448543291</v>
      </c>
      <c r="F16" s="103">
        <v>0.33019179917432373</v>
      </c>
    </row>
    <row r="17" spans="1:7">
      <c r="A17" s="103" t="s">
        <v>156</v>
      </c>
      <c r="B17" s="103">
        <v>17</v>
      </c>
      <c r="C17" s="103">
        <v>8.6582345689026994</v>
      </c>
      <c r="D17" s="103">
        <v>0.50930791581780588</v>
      </c>
      <c r="E17" s="103"/>
      <c r="F17" s="103"/>
    </row>
    <row r="18" spans="1:7" ht="17" thickBot="1">
      <c r="A18" s="104" t="s">
        <v>10</v>
      </c>
      <c r="B18" s="104">
        <v>18</v>
      </c>
      <c r="C18" s="104">
        <v>9.1700210054855233</v>
      </c>
      <c r="D18" s="104"/>
      <c r="E18" s="104"/>
      <c r="F18" s="104"/>
    </row>
    <row r="19" spans="1:7" ht="17" thickBot="1"/>
    <row r="20" spans="1:7">
      <c r="A20" s="105"/>
      <c r="B20" s="105" t="s">
        <v>157</v>
      </c>
      <c r="C20" s="105" t="s">
        <v>147</v>
      </c>
      <c r="D20" s="105" t="s">
        <v>158</v>
      </c>
      <c r="E20" s="105" t="s">
        <v>159</v>
      </c>
      <c r="F20" s="105" t="s">
        <v>160</v>
      </c>
      <c r="G20" s="105" t="s">
        <v>161</v>
      </c>
    </row>
    <row r="21" spans="1:7">
      <c r="A21" s="103" t="s">
        <v>136</v>
      </c>
      <c r="B21" s="103">
        <v>2.029921352792464</v>
      </c>
      <c r="C21" s="103">
        <v>0.46276419184559892</v>
      </c>
      <c r="D21" s="103">
        <v>4.3865134523410712</v>
      </c>
      <c r="E21" s="103">
        <v>4.0267333304291837E-4</v>
      </c>
      <c r="F21" s="103">
        <v>1.0535728884391911</v>
      </c>
      <c r="G21" s="103">
        <v>3.0062698171457369</v>
      </c>
    </row>
    <row r="22" spans="1:7" ht="17" thickBot="1">
      <c r="A22" s="104" t="s">
        <v>162</v>
      </c>
      <c r="B22" s="104">
        <v>-0.29537341716446247</v>
      </c>
      <c r="C22" s="104">
        <v>0.29465731997684813</v>
      </c>
      <c r="D22" s="104">
        <v>-1.0024302711626869</v>
      </c>
      <c r="E22" s="104">
        <v>0.33019179917432251</v>
      </c>
      <c r="F22" s="104">
        <v>-0.91704688918157506</v>
      </c>
      <c r="G22" s="104">
        <v>0.32630005485265007</v>
      </c>
    </row>
  </sheetData>
  <phoneticPr fontId="23"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transitionEntry="1" codeName="Sheet8" enableFormatConditionsCalculation="0">
    <tabColor indexed="10"/>
  </sheetPr>
  <dimension ref="A1:B43"/>
  <sheetViews>
    <sheetView showGridLines="0" workbookViewId="0">
      <selection activeCell="A7" sqref="A7"/>
    </sheetView>
  </sheetViews>
  <sheetFormatPr baseColWidth="10" defaultColWidth="9.875" defaultRowHeight="16" x14ac:dyDescent="0"/>
  <sheetData>
    <row r="1" spans="1:2">
      <c r="A1" t="s">
        <v>124</v>
      </c>
    </row>
    <row r="2" spans="1:2">
      <c r="B2" s="2">
        <v>0.2</v>
      </c>
    </row>
    <row r="3" spans="1:2">
      <c r="A3">
        <v>1</v>
      </c>
      <c r="B3" s="96">
        <v>3.0779999999999998</v>
      </c>
    </row>
    <row r="4" spans="1:2">
      <c r="A4">
        <v>2</v>
      </c>
      <c r="B4" s="2">
        <v>1.8859999999999999</v>
      </c>
    </row>
    <row r="5" spans="1:2">
      <c r="A5">
        <v>3</v>
      </c>
      <c r="B5" s="2">
        <v>1.6379999999999999</v>
      </c>
    </row>
    <row r="6" spans="1:2">
      <c r="A6">
        <v>4</v>
      </c>
      <c r="B6" s="2">
        <v>1.5329999999999999</v>
      </c>
    </row>
    <row r="7" spans="1:2">
      <c r="A7">
        <v>5</v>
      </c>
      <c r="B7" s="2">
        <v>1.476</v>
      </c>
    </row>
    <row r="8" spans="1:2">
      <c r="A8">
        <v>6</v>
      </c>
      <c r="B8" s="2">
        <v>1.44</v>
      </c>
    </row>
    <row r="9" spans="1:2">
      <c r="A9">
        <v>7</v>
      </c>
      <c r="B9" s="2">
        <v>1.415</v>
      </c>
    </row>
    <row r="10" spans="1:2">
      <c r="A10">
        <v>8</v>
      </c>
      <c r="B10" s="2">
        <v>1.397</v>
      </c>
    </row>
    <row r="11" spans="1:2">
      <c r="A11">
        <v>9</v>
      </c>
      <c r="B11" s="2">
        <v>1.383</v>
      </c>
    </row>
    <row r="12" spans="1:2">
      <c r="A12">
        <v>10</v>
      </c>
      <c r="B12" s="2">
        <v>1.3720000000000001</v>
      </c>
    </row>
    <row r="13" spans="1:2">
      <c r="A13">
        <v>11</v>
      </c>
      <c r="B13" s="2">
        <v>1.363</v>
      </c>
    </row>
    <row r="14" spans="1:2">
      <c r="A14">
        <v>12</v>
      </c>
      <c r="B14" s="2">
        <v>1.3560000000000001</v>
      </c>
    </row>
    <row r="15" spans="1:2">
      <c r="A15">
        <v>13</v>
      </c>
      <c r="B15" s="2">
        <v>1.35</v>
      </c>
    </row>
    <row r="16" spans="1:2">
      <c r="A16">
        <v>14</v>
      </c>
      <c r="B16" s="2">
        <v>1.345</v>
      </c>
    </row>
    <row r="17" spans="1:2">
      <c r="A17">
        <v>15</v>
      </c>
      <c r="B17" s="2">
        <v>1.341</v>
      </c>
    </row>
    <row r="18" spans="1:2">
      <c r="A18">
        <v>16</v>
      </c>
      <c r="B18" s="2">
        <v>1.337</v>
      </c>
    </row>
    <row r="19" spans="1:2">
      <c r="A19">
        <v>17</v>
      </c>
      <c r="B19" s="2">
        <v>1.333</v>
      </c>
    </row>
    <row r="20" spans="1:2">
      <c r="A20">
        <v>18</v>
      </c>
      <c r="B20" s="2">
        <v>1.33</v>
      </c>
    </row>
    <row r="21" spans="1:2">
      <c r="A21">
        <v>19</v>
      </c>
      <c r="B21" s="2">
        <v>1.3280000000000001</v>
      </c>
    </row>
    <row r="22" spans="1:2">
      <c r="A22">
        <v>20</v>
      </c>
      <c r="B22" s="2">
        <v>1.325</v>
      </c>
    </row>
    <row r="23" spans="1:2">
      <c r="A23">
        <v>21</v>
      </c>
      <c r="B23" s="2">
        <v>1.323</v>
      </c>
    </row>
    <row r="24" spans="1:2">
      <c r="A24">
        <v>22</v>
      </c>
      <c r="B24" s="2">
        <v>1.321</v>
      </c>
    </row>
    <row r="25" spans="1:2">
      <c r="A25">
        <v>23</v>
      </c>
      <c r="B25" s="2">
        <v>1.319</v>
      </c>
    </row>
    <row r="26" spans="1:2">
      <c r="A26">
        <v>24</v>
      </c>
      <c r="B26" s="2">
        <v>1.3180000000000001</v>
      </c>
    </row>
    <row r="27" spans="1:2">
      <c r="A27">
        <v>25</v>
      </c>
      <c r="B27" s="2">
        <v>1.3160000000000001</v>
      </c>
    </row>
    <row r="28" spans="1:2">
      <c r="A28">
        <v>26</v>
      </c>
      <c r="B28" s="2">
        <v>1.3149999999999999</v>
      </c>
    </row>
    <row r="29" spans="1:2">
      <c r="A29">
        <v>27</v>
      </c>
      <c r="B29" s="2">
        <v>1.3140000000000001</v>
      </c>
    </row>
    <row r="30" spans="1:2">
      <c r="A30">
        <v>28</v>
      </c>
      <c r="B30" s="2">
        <v>1.3129999999999999</v>
      </c>
    </row>
    <row r="31" spans="1:2">
      <c r="A31">
        <v>29</v>
      </c>
      <c r="B31" s="2">
        <v>1.3109999999999999</v>
      </c>
    </row>
    <row r="32" spans="1:2">
      <c r="A32">
        <v>30</v>
      </c>
      <c r="B32" s="2">
        <v>1.31</v>
      </c>
    </row>
    <row r="33" spans="1:2">
      <c r="A33">
        <v>35</v>
      </c>
      <c r="B33" s="2">
        <v>1.306</v>
      </c>
    </row>
    <row r="34" spans="1:2">
      <c r="A34">
        <v>40</v>
      </c>
      <c r="B34" s="2">
        <v>1.3029999999999999</v>
      </c>
    </row>
    <row r="35" spans="1:2">
      <c r="A35">
        <v>45</v>
      </c>
      <c r="B35" s="2">
        <v>1.3009999999999999</v>
      </c>
    </row>
    <row r="36" spans="1:2">
      <c r="A36">
        <v>50</v>
      </c>
      <c r="B36" s="2">
        <v>1.2989999999999999</v>
      </c>
    </row>
    <row r="37" spans="1:2">
      <c r="A37">
        <v>55</v>
      </c>
      <c r="B37" s="2">
        <v>1.2969999999999999</v>
      </c>
    </row>
    <row r="38" spans="1:2">
      <c r="A38">
        <v>60</v>
      </c>
      <c r="B38" s="2">
        <v>1.296</v>
      </c>
    </row>
    <row r="39" spans="1:2">
      <c r="A39">
        <v>70</v>
      </c>
      <c r="B39" s="2">
        <v>1.294</v>
      </c>
    </row>
    <row r="40" spans="1:2">
      <c r="A40">
        <v>80</v>
      </c>
      <c r="B40" s="2">
        <v>1.2929999999999999</v>
      </c>
    </row>
    <row r="41" spans="1:2">
      <c r="A41">
        <v>90</v>
      </c>
      <c r="B41" s="2">
        <v>1.2909999999999999</v>
      </c>
    </row>
    <row r="42" spans="1:2">
      <c r="A42">
        <v>100</v>
      </c>
      <c r="B42" s="2">
        <v>1.29</v>
      </c>
    </row>
    <row r="43" spans="1:2">
      <c r="A43">
        <v>120</v>
      </c>
      <c r="B43" s="82">
        <v>1.2889999999999999</v>
      </c>
    </row>
  </sheetData>
  <phoneticPr fontId="23" type="noConversion"/>
  <pageMargins left="0.75" right="1" top="1" bottom="1" header="0.5" footer="0.5"/>
  <pageSetup orientation="landscape" horizontalDpi="300" verticalDpi="300"/>
  <headerFooter alignWithMargins="0"/>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0"/>
  </sheetPr>
  <dimension ref="A1:L46"/>
  <sheetViews>
    <sheetView workbookViewId="0">
      <selection activeCell="A7" sqref="A7"/>
    </sheetView>
  </sheetViews>
  <sheetFormatPr baseColWidth="10" defaultColWidth="8.625" defaultRowHeight="16" x14ac:dyDescent="0"/>
  <cols>
    <col min="4" max="4" width="11.375" customWidth="1"/>
    <col min="5" max="5" width="10.5" customWidth="1"/>
    <col min="6" max="12" width="10.875" customWidth="1"/>
  </cols>
  <sheetData>
    <row r="1" spans="1:12">
      <c r="A1" s="14"/>
      <c r="B1" s="11"/>
      <c r="C1" s="11"/>
      <c r="D1" s="11"/>
      <c r="E1" s="11"/>
      <c r="F1" s="11"/>
      <c r="G1" s="15"/>
      <c r="H1" s="11" t="s">
        <v>3</v>
      </c>
      <c r="I1" s="11"/>
      <c r="J1" s="11"/>
      <c r="K1" s="11"/>
      <c r="L1" s="12"/>
    </row>
    <row r="2" spans="1:12">
      <c r="A2" s="19" t="s">
        <v>6</v>
      </c>
      <c r="B2" s="827"/>
      <c r="C2" s="828" t="s">
        <v>8</v>
      </c>
      <c r="D2" s="829"/>
      <c r="E2" s="829"/>
      <c r="F2" s="14"/>
      <c r="G2" s="11" t="s">
        <v>9</v>
      </c>
      <c r="H2" s="11"/>
      <c r="I2" s="11"/>
      <c r="J2" s="11"/>
      <c r="K2" s="12"/>
      <c r="L2" s="17"/>
    </row>
    <row r="3" spans="1:12">
      <c r="A3" s="23" t="s">
        <v>16</v>
      </c>
      <c r="B3" s="830" t="s">
        <v>8</v>
      </c>
      <c r="C3" s="830" t="s">
        <v>18</v>
      </c>
      <c r="D3" s="830" t="s">
        <v>125</v>
      </c>
      <c r="E3" s="830" t="s">
        <v>126</v>
      </c>
      <c r="F3" s="24" t="s">
        <v>19</v>
      </c>
      <c r="G3" s="24" t="s">
        <v>20</v>
      </c>
      <c r="H3" s="24" t="s">
        <v>21</v>
      </c>
      <c r="I3" s="24" t="s">
        <v>22</v>
      </c>
      <c r="J3" s="24" t="s">
        <v>23</v>
      </c>
      <c r="K3" s="24" t="s">
        <v>24</v>
      </c>
      <c r="L3" s="23" t="s">
        <v>25</v>
      </c>
    </row>
    <row r="4" spans="1:12">
      <c r="A4" s="25">
        <v>1</v>
      </c>
      <c r="B4" s="25">
        <v>3</v>
      </c>
      <c r="C4" s="25">
        <v>4</v>
      </c>
      <c r="D4" s="25">
        <v>5</v>
      </c>
      <c r="E4" s="25">
        <v>6</v>
      </c>
      <c r="F4" s="25">
        <v>7</v>
      </c>
      <c r="G4" s="25">
        <v>8</v>
      </c>
      <c r="H4" s="25">
        <v>9</v>
      </c>
      <c r="I4" s="25">
        <v>10</v>
      </c>
      <c r="J4" s="25">
        <v>11</v>
      </c>
      <c r="K4" s="25">
        <v>12</v>
      </c>
      <c r="L4" s="25">
        <v>13</v>
      </c>
    </row>
    <row r="5" spans="1:12">
      <c r="A5" s="29">
        <v>1960</v>
      </c>
      <c r="B5" s="253">
        <f>(6.55+9.1+10.4+12.16)/4</f>
        <v>9.5524999999999984</v>
      </c>
      <c r="C5" s="254">
        <f>(0.91+1.98+0.59-0.23)/4</f>
        <v>0.8125</v>
      </c>
      <c r="D5" s="31"/>
      <c r="E5" s="31"/>
      <c r="F5" s="40" t="e">
        <f>VLOOKUP(MainData!$A8,FRYINDX,3)</f>
        <v>#NAME?</v>
      </c>
      <c r="G5" s="41" t="e">
        <f>VLOOKUP(MainData!$A8,FRYINDX,4)</f>
        <v>#NAME?</v>
      </c>
      <c r="H5" s="41" t="e">
        <f>VLOOKUP(MainData!$A8,FRYINDX,5)</f>
        <v>#NAME?</v>
      </c>
      <c r="I5" s="41" t="e">
        <f>VLOOKUP(MainData!$A8,FRYINDX,6)</f>
        <v>#NAME?</v>
      </c>
      <c r="J5" s="41" t="e">
        <f>VLOOKUP(MainData!$A8,FRYINDX,7)</f>
        <v>#NAME?</v>
      </c>
      <c r="K5" s="41" t="e">
        <f>VLOOKUP(MainData!$A8,FRYINDX,8)</f>
        <v>#NAME?</v>
      </c>
      <c r="L5" s="255" t="e">
        <f t="shared" ref="L5:L39" si="0">AVERAGEA(F5:H5,J5)</f>
        <v>#NAME?</v>
      </c>
    </row>
    <row r="6" spans="1:12">
      <c r="A6" s="29">
        <v>1961</v>
      </c>
      <c r="B6" s="253">
        <f>(5.4+7.71+10.25+12.76)/4</f>
        <v>9.0299999999999994</v>
      </c>
      <c r="C6" s="254">
        <f>(-0.24+0.59+0.44+0.37)/4</f>
        <v>0.29000000000000004</v>
      </c>
      <c r="D6" s="31"/>
      <c r="E6" s="31"/>
      <c r="F6" s="40" t="e">
        <f>VLOOKUP(MainData!$A9,FRYINDX,3)</f>
        <v>#NAME?</v>
      </c>
      <c r="G6" s="41" t="e">
        <f>VLOOKUP(MainData!$A9,FRYINDX,4)</f>
        <v>#NAME?</v>
      </c>
      <c r="H6" s="41" t="e">
        <f>VLOOKUP(MainData!$A9,FRYINDX,5)</f>
        <v>#NAME?</v>
      </c>
      <c r="I6" s="41" t="e">
        <f>VLOOKUP(MainData!$A9,FRYINDX,6)</f>
        <v>#NAME?</v>
      </c>
      <c r="J6" s="41" t="e">
        <f>VLOOKUP(MainData!$A9,FRYINDX,7)</f>
        <v>#NAME?</v>
      </c>
      <c r="K6" s="41" t="e">
        <f>VLOOKUP(MainData!$A9,FRYINDX,8)</f>
        <v>#NAME?</v>
      </c>
      <c r="L6" s="255" t="e">
        <f t="shared" si="0"/>
        <v>#NAME?</v>
      </c>
    </row>
    <row r="7" spans="1:12">
      <c r="A7" s="29">
        <v>1962</v>
      </c>
      <c r="B7" s="253">
        <f>(5.57+8.03+10.56+12.79)/4</f>
        <v>9.2375000000000007</v>
      </c>
      <c r="C7" s="254">
        <f>(1.03+0.91+0.75+0.4)/4</f>
        <v>0.77249999999999996</v>
      </c>
      <c r="D7" s="31"/>
      <c r="E7" s="31"/>
      <c r="F7" s="40" t="e">
        <f>VLOOKUP(MainData!$A10,FRYINDX,3)</f>
        <v>#NAME?</v>
      </c>
      <c r="G7" s="41" t="e">
        <f>VLOOKUP(MainData!$A10,FRYINDX,4)</f>
        <v>#NAME?</v>
      </c>
      <c r="H7" s="41" t="e">
        <f>VLOOKUP(MainData!$A10,FRYINDX,5)</f>
        <v>#NAME?</v>
      </c>
      <c r="I7" s="41" t="e">
        <f>VLOOKUP(MainData!$A10,FRYINDX,6)</f>
        <v>#NAME?</v>
      </c>
      <c r="J7" s="41" t="e">
        <f>VLOOKUP(MainData!$A10,FRYINDX,7)</f>
        <v>#NAME?</v>
      </c>
      <c r="K7" s="41" t="e">
        <f>VLOOKUP(MainData!$A10,FRYINDX,8)</f>
        <v>#NAME?</v>
      </c>
      <c r="L7" s="255" t="e">
        <f t="shared" si="0"/>
        <v>#NAME?</v>
      </c>
    </row>
    <row r="8" spans="1:12">
      <c r="A8" s="29">
        <v>1963</v>
      </c>
      <c r="B8" s="253">
        <f>(5.44+6.35+10.53+11.53)/4</f>
        <v>8.4625000000000004</v>
      </c>
      <c r="C8" s="254">
        <f>(-0.2-0.77+0.72-0.86)/4</f>
        <v>-0.27749999999999997</v>
      </c>
      <c r="D8" s="31"/>
      <c r="E8" s="31"/>
      <c r="F8" s="40" t="e">
        <f>VLOOKUP(MainData!$A11,FRYINDX,3)</f>
        <v>#NAME?</v>
      </c>
      <c r="G8" s="41" t="e">
        <f>VLOOKUP(MainData!$A11,FRYINDX,4)</f>
        <v>#NAME?</v>
      </c>
      <c r="H8" s="41" t="e">
        <f>VLOOKUP(MainData!$A11,FRYINDX,5)</f>
        <v>#NAME?</v>
      </c>
      <c r="I8" s="41" t="e">
        <f>VLOOKUP(MainData!$A11,FRYINDX,6)</f>
        <v>#NAME?</v>
      </c>
      <c r="J8" s="41" t="e">
        <f>VLOOKUP(MainData!$A11,FRYINDX,7)</f>
        <v>#NAME?</v>
      </c>
      <c r="K8" s="41" t="e">
        <f>VLOOKUP(MainData!$A11,FRYINDX,8)</f>
        <v>#NAME?</v>
      </c>
      <c r="L8" s="255" t="e">
        <f t="shared" si="0"/>
        <v>#NAME?</v>
      </c>
    </row>
    <row r="9" spans="1:12">
      <c r="A9" s="29">
        <v>1964</v>
      </c>
      <c r="B9" s="36">
        <v>7</v>
      </c>
      <c r="C9" s="37">
        <v>-0.8</v>
      </c>
      <c r="D9" s="31"/>
      <c r="E9" s="31"/>
      <c r="F9" s="40" t="e">
        <f>VLOOKUP(MainData!$A12,FRYINDX,3)</f>
        <v>#NAME?</v>
      </c>
      <c r="G9" s="41" t="e">
        <f>VLOOKUP(MainData!$A12,FRYINDX,4)</f>
        <v>#NAME?</v>
      </c>
      <c r="H9" s="41" t="e">
        <f>VLOOKUP(MainData!$A12,FRYINDX,5)</f>
        <v>#NAME?</v>
      </c>
      <c r="I9" s="41" t="e">
        <f>VLOOKUP(MainData!$A12,FRYINDX,6)</f>
        <v>#NAME?</v>
      </c>
      <c r="J9" s="41" t="e">
        <f>VLOOKUP(MainData!$A12,FRYINDX,7)</f>
        <v>#NAME?</v>
      </c>
      <c r="K9" s="41" t="e">
        <f>VLOOKUP(MainData!$A12,FRYINDX,8)</f>
        <v>#NAME?</v>
      </c>
      <c r="L9" s="255" t="e">
        <f t="shared" si="0"/>
        <v>#NAME?</v>
      </c>
    </row>
    <row r="10" spans="1:12">
      <c r="A10" s="29">
        <v>1965</v>
      </c>
      <c r="B10" s="36">
        <v>8</v>
      </c>
      <c r="C10" s="37">
        <v>-0.8</v>
      </c>
      <c r="D10" s="31"/>
      <c r="E10" s="31"/>
      <c r="F10" s="40" t="e">
        <f>VLOOKUP(MainData!$A13,FRYINDX,3)</f>
        <v>#NAME?</v>
      </c>
      <c r="G10" s="41" t="e">
        <f>VLOOKUP(MainData!$A13,FRYINDX,4)</f>
        <v>#NAME?</v>
      </c>
      <c r="H10" s="41" t="e">
        <f>VLOOKUP(MainData!$A13,FRYINDX,5)</f>
        <v>#NAME?</v>
      </c>
      <c r="I10" s="41" t="e">
        <f>VLOOKUP(MainData!$A13,FRYINDX,6)</f>
        <v>#NAME?</v>
      </c>
      <c r="J10" s="41" t="e">
        <f>VLOOKUP(MainData!$A13,FRYINDX,7)</f>
        <v>#NAME?</v>
      </c>
      <c r="K10" s="41" t="e">
        <f>VLOOKUP(MainData!$A13,FRYINDX,8)</f>
        <v>#NAME?</v>
      </c>
      <c r="L10" s="255" t="e">
        <f t="shared" si="0"/>
        <v>#NAME?</v>
      </c>
    </row>
    <row r="11" spans="1:12">
      <c r="A11" s="29">
        <v>1966</v>
      </c>
      <c r="B11" s="36">
        <v>9.1</v>
      </c>
      <c r="C11" s="37">
        <v>0.5</v>
      </c>
      <c r="D11" s="31"/>
      <c r="E11" s="31"/>
      <c r="F11" s="40" t="e">
        <f>VLOOKUP(MainData!$A14,FRYINDX,3)</f>
        <v>#NAME?</v>
      </c>
      <c r="G11" s="41" t="e">
        <f>VLOOKUP(MainData!$A14,FRYINDX,4)</f>
        <v>#NAME?</v>
      </c>
      <c r="H11" s="41" t="e">
        <f>VLOOKUP(MainData!$A14,FRYINDX,5)</f>
        <v>#NAME?</v>
      </c>
      <c r="I11" s="41" t="e">
        <f>VLOOKUP(MainData!$A14,FRYINDX,6)</f>
        <v>#NAME?</v>
      </c>
      <c r="J11" s="41" t="e">
        <f>VLOOKUP(MainData!$A14,FRYINDX,7)</f>
        <v>#NAME?</v>
      </c>
      <c r="K11" s="41" t="e">
        <f>VLOOKUP(MainData!$A14,FRYINDX,8)</f>
        <v>#NAME?</v>
      </c>
      <c r="L11" s="255" t="e">
        <f t="shared" si="0"/>
        <v>#NAME?</v>
      </c>
    </row>
    <row r="12" spans="1:12">
      <c r="A12" s="29">
        <v>1967</v>
      </c>
      <c r="B12" s="36">
        <v>9.4</v>
      </c>
      <c r="C12" s="37">
        <v>1.2</v>
      </c>
      <c r="D12" s="31"/>
      <c r="E12" s="31"/>
      <c r="F12" s="40" t="e">
        <f>VLOOKUP(MainData!$A15,FRYINDX,3)</f>
        <v>#NAME?</v>
      </c>
      <c r="G12" s="41" t="e">
        <f>VLOOKUP(MainData!$A15,FRYINDX,4)</f>
        <v>#NAME?</v>
      </c>
      <c r="H12" s="41" t="e">
        <f>VLOOKUP(MainData!$A15,FRYINDX,5)</f>
        <v>#NAME?</v>
      </c>
      <c r="I12" s="41" t="e">
        <f>VLOOKUP(MainData!$A15,FRYINDX,6)</f>
        <v>#NAME?</v>
      </c>
      <c r="J12" s="41" t="e">
        <f>VLOOKUP(MainData!$A15,FRYINDX,7)</f>
        <v>#NAME?</v>
      </c>
      <c r="K12" s="41" t="e">
        <f>VLOOKUP(MainData!$A15,FRYINDX,8)</f>
        <v>#NAME?</v>
      </c>
      <c r="L12" s="255" t="e">
        <f t="shared" si="0"/>
        <v>#NAME?</v>
      </c>
    </row>
    <row r="13" spans="1:12">
      <c r="A13" s="29">
        <v>1968</v>
      </c>
      <c r="B13" s="36">
        <v>7.6</v>
      </c>
      <c r="C13" s="37">
        <v>-0.2</v>
      </c>
      <c r="D13" s="31"/>
      <c r="E13" s="31"/>
      <c r="F13" s="40" t="e">
        <f>VLOOKUP(MainData!$A16,FRYINDX,3)</f>
        <v>#NAME?</v>
      </c>
      <c r="G13" s="41" t="e">
        <f>VLOOKUP(MainData!$A16,FRYINDX,4)</f>
        <v>#NAME?</v>
      </c>
      <c r="H13" s="41" t="e">
        <f>VLOOKUP(MainData!$A16,FRYINDX,5)</f>
        <v>#NAME?</v>
      </c>
      <c r="I13" s="41" t="e">
        <f>VLOOKUP(MainData!$A16,FRYINDX,6)</f>
        <v>#NAME?</v>
      </c>
      <c r="J13" s="41" t="e">
        <f>VLOOKUP(MainData!$A16,FRYINDX,7)</f>
        <v>#NAME?</v>
      </c>
      <c r="K13" s="41" t="e">
        <f>VLOOKUP(MainData!$A16,FRYINDX,8)</f>
        <v>#NAME?</v>
      </c>
      <c r="L13" s="255" t="e">
        <f t="shared" si="0"/>
        <v>#NAME?</v>
      </c>
    </row>
    <row r="14" spans="1:12">
      <c r="A14" s="29">
        <v>1969</v>
      </c>
      <c r="B14" s="36">
        <v>7.5</v>
      </c>
      <c r="C14" s="37">
        <v>0.6</v>
      </c>
      <c r="D14" s="31"/>
      <c r="E14" s="31"/>
      <c r="F14" s="40" t="e">
        <f>VLOOKUP(MainData!$A17,FRYINDX,3)</f>
        <v>#NAME?</v>
      </c>
      <c r="G14" s="41" t="e">
        <f>VLOOKUP(MainData!$A17,FRYINDX,4)</f>
        <v>#NAME?</v>
      </c>
      <c r="H14" s="41" t="e">
        <f>VLOOKUP(MainData!$A17,FRYINDX,5)</f>
        <v>#NAME?</v>
      </c>
      <c r="I14" s="41" t="e">
        <f>VLOOKUP(MainData!$A17,FRYINDX,6)</f>
        <v>#NAME?</v>
      </c>
      <c r="J14" s="41" t="e">
        <f>VLOOKUP(MainData!$A17,FRYINDX,7)</f>
        <v>#NAME?</v>
      </c>
      <c r="K14" s="41" t="e">
        <f>VLOOKUP(MainData!$A17,FRYINDX,8)</f>
        <v>#NAME?</v>
      </c>
      <c r="L14" s="255" t="e">
        <f t="shared" si="0"/>
        <v>#NAME?</v>
      </c>
    </row>
    <row r="15" spans="1:12">
      <c r="A15" s="29">
        <v>1970</v>
      </c>
      <c r="B15" s="36">
        <v>5.8</v>
      </c>
      <c r="C15" s="37">
        <v>-1.5</v>
      </c>
      <c r="D15" s="31"/>
      <c r="E15" s="31"/>
      <c r="F15" s="40" t="e">
        <f>VLOOKUP(MainData!$A18,FRYINDX,3)</f>
        <v>#NAME?</v>
      </c>
      <c r="G15" s="41" t="e">
        <f>VLOOKUP(MainData!$A18,FRYINDX,4)</f>
        <v>#NAME?</v>
      </c>
      <c r="H15" s="41" t="e">
        <f>VLOOKUP(MainData!$A18,FRYINDX,5)</f>
        <v>#NAME?</v>
      </c>
      <c r="I15" s="41" t="e">
        <f>VLOOKUP(MainData!$A18,FRYINDX,6)</f>
        <v>#NAME?</v>
      </c>
      <c r="J15" s="41" t="e">
        <f>VLOOKUP(MainData!$A18,FRYINDX,7)</f>
        <v>#NAME?</v>
      </c>
      <c r="K15" s="41" t="e">
        <f>VLOOKUP(MainData!$A18,FRYINDX,8)</f>
        <v>#NAME?</v>
      </c>
      <c r="L15" s="255" t="e">
        <f t="shared" si="0"/>
        <v>#NAME?</v>
      </c>
    </row>
    <row r="16" spans="1:12">
      <c r="A16" s="29">
        <v>1971</v>
      </c>
      <c r="B16" s="36">
        <v>5.8</v>
      </c>
      <c r="C16" s="37">
        <v>-1.9</v>
      </c>
      <c r="D16" s="31"/>
      <c r="E16" s="31"/>
      <c r="F16" s="40" t="e">
        <f>VLOOKUP(MainData!$A19,FRYINDX,3)</f>
        <v>#NAME?</v>
      </c>
      <c r="G16" s="41" t="e">
        <f>VLOOKUP(MainData!$A19,FRYINDX,4)</f>
        <v>#NAME?</v>
      </c>
      <c r="H16" s="41" t="e">
        <f>VLOOKUP(MainData!$A19,FRYINDX,5)</f>
        <v>#NAME?</v>
      </c>
      <c r="I16" s="41" t="e">
        <f>VLOOKUP(MainData!$A19,FRYINDX,6)</f>
        <v>#NAME?</v>
      </c>
      <c r="J16" s="41" t="e">
        <f>VLOOKUP(MainData!$A19,FRYINDX,7)</f>
        <v>#NAME?</v>
      </c>
      <c r="K16" s="41" t="e">
        <f>VLOOKUP(MainData!$A19,FRYINDX,8)</f>
        <v>#NAME?</v>
      </c>
      <c r="L16" s="255" t="e">
        <f t="shared" si="0"/>
        <v>#NAME?</v>
      </c>
    </row>
    <row r="17" spans="1:12">
      <c r="A17" s="29">
        <v>1972</v>
      </c>
      <c r="B17" s="36">
        <v>6.4</v>
      </c>
      <c r="C17" s="37">
        <v>-0.6</v>
      </c>
      <c r="D17" s="31"/>
      <c r="E17" s="31"/>
      <c r="F17" s="40" t="e">
        <f>VLOOKUP(MainData!$A20,FRYINDX,3)</f>
        <v>#NAME?</v>
      </c>
      <c r="G17" s="41" t="e">
        <f>VLOOKUP(MainData!$A20,FRYINDX,4)</f>
        <v>#NAME?</v>
      </c>
      <c r="H17" s="41" t="e">
        <f>VLOOKUP(MainData!$A20,FRYINDX,5)</f>
        <v>#NAME?</v>
      </c>
      <c r="I17" s="41" t="e">
        <f>VLOOKUP(MainData!$A20,FRYINDX,6)</f>
        <v>#NAME?</v>
      </c>
      <c r="J17" s="41" t="e">
        <f>VLOOKUP(MainData!$A20,FRYINDX,7)</f>
        <v>#NAME?</v>
      </c>
      <c r="K17" s="41" t="e">
        <f>VLOOKUP(MainData!$A20,FRYINDX,8)</f>
        <v>#NAME?</v>
      </c>
      <c r="L17" s="255" t="e">
        <f t="shared" si="0"/>
        <v>#NAME?</v>
      </c>
    </row>
    <row r="18" spans="1:12">
      <c r="A18" s="29">
        <v>1973</v>
      </c>
      <c r="B18" s="36">
        <v>7.7</v>
      </c>
      <c r="C18" s="37">
        <v>0.1</v>
      </c>
      <c r="D18" s="31"/>
      <c r="E18" s="31"/>
      <c r="F18" s="40" t="e">
        <f>VLOOKUP(MainData!$A21,FRYINDX,3)</f>
        <v>#NAME?</v>
      </c>
      <c r="G18" s="41" t="e">
        <f>VLOOKUP(MainData!$A21,FRYINDX,4)</f>
        <v>#NAME?</v>
      </c>
      <c r="H18" s="41" t="e">
        <f>VLOOKUP(MainData!$A21,FRYINDX,5)</f>
        <v>#NAME?</v>
      </c>
      <c r="I18" s="41" t="e">
        <f>VLOOKUP(MainData!$A21,FRYINDX,6)</f>
        <v>#NAME?</v>
      </c>
      <c r="J18" s="41" t="e">
        <f>VLOOKUP(MainData!$A21,FRYINDX,7)</f>
        <v>#NAME?</v>
      </c>
      <c r="K18" s="41" t="e">
        <f>VLOOKUP(MainData!$A21,FRYINDX,8)</f>
        <v>#NAME?</v>
      </c>
      <c r="L18" s="255" t="e">
        <f t="shared" si="0"/>
        <v>#NAME?</v>
      </c>
    </row>
    <row r="19" spans="1:12">
      <c r="A19" s="29">
        <v>1974</v>
      </c>
      <c r="B19" s="36">
        <v>5.5</v>
      </c>
      <c r="C19" s="37">
        <v>-1</v>
      </c>
      <c r="D19" s="31"/>
      <c r="E19" s="31"/>
      <c r="F19" s="40" t="e">
        <f>VLOOKUP(MainData!$A22,FRYINDX,3)</f>
        <v>#NAME?</v>
      </c>
      <c r="G19" s="41" t="e">
        <f>VLOOKUP(MainData!$A22,FRYINDX,4)</f>
        <v>#NAME?</v>
      </c>
      <c r="H19" s="41" t="e">
        <f>VLOOKUP(MainData!$A22,FRYINDX,5)</f>
        <v>#NAME?</v>
      </c>
      <c r="I19" s="41" t="e">
        <f>VLOOKUP(MainData!$A22,FRYINDX,6)</f>
        <v>#NAME?</v>
      </c>
      <c r="J19" s="41" t="e">
        <f>VLOOKUP(MainData!$A22,FRYINDX,7)</f>
        <v>#NAME?</v>
      </c>
      <c r="K19" s="41" t="e">
        <f>VLOOKUP(MainData!$A22,FRYINDX,8)</f>
        <v>#NAME?</v>
      </c>
      <c r="L19" s="255" t="e">
        <f t="shared" si="0"/>
        <v>#NAME?</v>
      </c>
    </row>
    <row r="20" spans="1:12">
      <c r="A20" s="29">
        <v>1975</v>
      </c>
      <c r="B20" s="36">
        <v>7.6</v>
      </c>
      <c r="C20" s="37">
        <v>-0.2</v>
      </c>
      <c r="D20" s="31"/>
      <c r="E20" s="31"/>
      <c r="F20" s="40" t="e">
        <f>VLOOKUP(MainData!$A23,FRYINDX,3)</f>
        <v>#NAME?</v>
      </c>
      <c r="G20" s="41" t="e">
        <f>VLOOKUP(MainData!$A23,FRYINDX,4)</f>
        <v>#NAME?</v>
      </c>
      <c r="H20" s="41" t="e">
        <f>VLOOKUP(MainData!$A23,FRYINDX,5)</f>
        <v>#NAME?</v>
      </c>
      <c r="I20" s="41" t="e">
        <f>VLOOKUP(MainData!$A23,FRYINDX,6)</f>
        <v>#NAME?</v>
      </c>
      <c r="J20" s="41" t="e">
        <f>VLOOKUP(MainData!$A23,FRYINDX,7)</f>
        <v>#NAME?</v>
      </c>
      <c r="K20" s="41" t="e">
        <f>VLOOKUP(MainData!$A23,FRYINDX,8)</f>
        <v>#NAME?</v>
      </c>
      <c r="L20" s="255" t="e">
        <f t="shared" si="0"/>
        <v>#NAME?</v>
      </c>
    </row>
    <row r="21" spans="1:12">
      <c r="A21" s="29">
        <v>1976</v>
      </c>
      <c r="B21" s="36">
        <v>9.3000000000000007</v>
      </c>
      <c r="C21" s="37">
        <v>1.2</v>
      </c>
      <c r="D21" s="31"/>
      <c r="E21" s="31"/>
      <c r="F21" s="40" t="e">
        <f>VLOOKUP(MainData!$A24,FRYINDX,3)</f>
        <v>#NAME?</v>
      </c>
      <c r="G21" s="41" t="e">
        <f>VLOOKUP(MainData!$A24,FRYINDX,4)</f>
        <v>#NAME?</v>
      </c>
      <c r="H21" s="41" t="e">
        <f>VLOOKUP(MainData!$A24,FRYINDX,5)</f>
        <v>#NAME?</v>
      </c>
      <c r="I21" s="41" t="e">
        <f>VLOOKUP(MainData!$A24,FRYINDX,6)</f>
        <v>#NAME?</v>
      </c>
      <c r="J21" s="41" t="e">
        <f>VLOOKUP(MainData!$A24,FRYINDX,7)</f>
        <v>#NAME?</v>
      </c>
      <c r="K21" s="41" t="e">
        <f>VLOOKUP(MainData!$A24,FRYINDX,8)</f>
        <v>#NAME?</v>
      </c>
      <c r="L21" s="255" t="e">
        <f t="shared" si="0"/>
        <v>#NAME?</v>
      </c>
    </row>
    <row r="22" spans="1:12">
      <c r="A22" s="29">
        <v>1977</v>
      </c>
      <c r="B22" s="36">
        <v>6.9</v>
      </c>
      <c r="C22" s="37">
        <v>0.2</v>
      </c>
      <c r="D22" s="31"/>
      <c r="E22" s="31"/>
      <c r="F22" s="40" t="e">
        <f>VLOOKUP(MainData!$A25,FRYINDX,3)</f>
        <v>#NAME?</v>
      </c>
      <c r="G22" s="41" t="e">
        <f>VLOOKUP(MainData!$A25,FRYINDX,4)</f>
        <v>#NAME?</v>
      </c>
      <c r="H22" s="41" t="e">
        <f>VLOOKUP(MainData!$A25,FRYINDX,5)</f>
        <v>#NAME?</v>
      </c>
      <c r="I22" s="41" t="e">
        <f>VLOOKUP(MainData!$A25,FRYINDX,6)</f>
        <v>#NAME?</v>
      </c>
      <c r="J22" s="41" t="e">
        <f>VLOOKUP(MainData!$A25,FRYINDX,7)</f>
        <v>#NAME?</v>
      </c>
      <c r="K22" s="41" t="e">
        <f>VLOOKUP(MainData!$A25,FRYINDX,8)</f>
        <v>#NAME?</v>
      </c>
      <c r="L22" s="255" t="e">
        <f t="shared" si="0"/>
        <v>#NAME?</v>
      </c>
    </row>
    <row r="23" spans="1:12">
      <c r="A23" s="29">
        <v>1978</v>
      </c>
      <c r="B23" s="36">
        <v>7.9</v>
      </c>
      <c r="C23" s="37">
        <v>0</v>
      </c>
      <c r="D23" s="31"/>
      <c r="E23" s="31"/>
      <c r="F23" s="40" t="e">
        <f>VLOOKUP(MainData!$A26,FRYINDX,3)</f>
        <v>#NAME?</v>
      </c>
      <c r="G23" s="41" t="e">
        <f>VLOOKUP(MainData!$A26,FRYINDX,4)</f>
        <v>#NAME?</v>
      </c>
      <c r="H23" s="41" t="e">
        <f>VLOOKUP(MainData!$A26,FRYINDX,5)</f>
        <v>#NAME?</v>
      </c>
      <c r="I23" s="41" t="e">
        <f>VLOOKUP(MainData!$A26,FRYINDX,6)</f>
        <v>#NAME?</v>
      </c>
      <c r="J23" s="41" t="e">
        <f>VLOOKUP(MainData!$A26,FRYINDX,7)</f>
        <v>#NAME?</v>
      </c>
      <c r="K23" s="41" t="e">
        <f>VLOOKUP(MainData!$A26,FRYINDX,8)</f>
        <v>#NAME?</v>
      </c>
      <c r="L23" s="255" t="e">
        <f t="shared" si="0"/>
        <v>#NAME?</v>
      </c>
    </row>
    <row r="24" spans="1:12">
      <c r="A24" s="29">
        <v>1979</v>
      </c>
      <c r="B24" s="36">
        <v>8.3000000000000007</v>
      </c>
      <c r="C24" s="37">
        <v>0.9</v>
      </c>
      <c r="D24" s="31"/>
      <c r="E24" s="31"/>
      <c r="F24" s="40" t="e">
        <f>VLOOKUP(MainData!$A27,FRYINDX,3)</f>
        <v>#NAME?</v>
      </c>
      <c r="G24" s="41" t="e">
        <f>VLOOKUP(MainData!$A27,FRYINDX,4)</f>
        <v>#NAME?</v>
      </c>
      <c r="H24" s="41" t="e">
        <f>VLOOKUP(MainData!$A27,FRYINDX,5)</f>
        <v>#NAME?</v>
      </c>
      <c r="I24" s="41" t="e">
        <f>VLOOKUP(MainData!$A27,FRYINDX,6)</f>
        <v>#NAME?</v>
      </c>
      <c r="J24" s="41" t="e">
        <f>VLOOKUP(MainData!$A27,FRYINDX,7)</f>
        <v>#NAME?</v>
      </c>
      <c r="K24" s="41" t="e">
        <f>VLOOKUP(MainData!$A27,FRYINDX,8)</f>
        <v>#NAME?</v>
      </c>
      <c r="L24" s="255" t="e">
        <f t="shared" si="0"/>
        <v>#NAME?</v>
      </c>
    </row>
    <row r="25" spans="1:12">
      <c r="A25" s="29">
        <v>1980</v>
      </c>
      <c r="B25" s="36">
        <v>9.1999999999999993</v>
      </c>
      <c r="C25" s="37">
        <v>1.4</v>
      </c>
      <c r="D25" s="39">
        <v>13</v>
      </c>
      <c r="E25" s="40">
        <v>47.39</v>
      </c>
      <c r="F25" s="40" t="e">
        <f>VLOOKUP(MainData!$A28,FRYINDX,3)</f>
        <v>#NAME?</v>
      </c>
      <c r="G25" s="41" t="e">
        <f>VLOOKUP(MainData!$A28,FRYINDX,4)</f>
        <v>#NAME?</v>
      </c>
      <c r="H25" s="41" t="e">
        <f>VLOOKUP(MainData!$A28,FRYINDX,5)</f>
        <v>#NAME?</v>
      </c>
      <c r="I25" s="41" t="e">
        <f>VLOOKUP(MainData!$A28,FRYINDX,6)</f>
        <v>#NAME?</v>
      </c>
      <c r="J25" s="41" t="e">
        <f>VLOOKUP(MainData!$A28,FRYINDX,7)</f>
        <v>#NAME?</v>
      </c>
      <c r="K25" s="41" t="e">
        <f>VLOOKUP(MainData!$A28,FRYINDX,8)</f>
        <v>#NAME?</v>
      </c>
      <c r="L25" s="255" t="e">
        <f t="shared" si="0"/>
        <v>#NAME?</v>
      </c>
    </row>
    <row r="26" spans="1:12">
      <c r="A26" s="29">
        <v>1981</v>
      </c>
      <c r="B26" s="36">
        <v>6.9</v>
      </c>
      <c r="C26" s="37">
        <v>-0.5</v>
      </c>
      <c r="D26" s="39">
        <v>48</v>
      </c>
      <c r="E26" s="40">
        <v>208.30954545454546</v>
      </c>
      <c r="F26" s="40" t="e">
        <f>VLOOKUP(MainData!$A29,FRYINDX,3)</f>
        <v>#NAME?</v>
      </c>
      <c r="G26" s="41" t="e">
        <f>VLOOKUP(MainData!$A29,FRYINDX,4)</f>
        <v>#NAME?</v>
      </c>
      <c r="H26" s="41" t="e">
        <f>VLOOKUP(MainData!$A29,FRYINDX,5)</f>
        <v>#NAME?</v>
      </c>
      <c r="I26" s="41" t="e">
        <f>VLOOKUP(MainData!$A29,FRYINDX,6)</f>
        <v>#NAME?</v>
      </c>
      <c r="J26" s="41" t="e">
        <f>VLOOKUP(MainData!$A29,FRYINDX,7)</f>
        <v>#NAME?</v>
      </c>
      <c r="K26" s="41" t="e">
        <f>VLOOKUP(MainData!$A29,FRYINDX,8)</f>
        <v>#NAME?</v>
      </c>
      <c r="L26" s="255" t="e">
        <f t="shared" si="0"/>
        <v>#NAME?</v>
      </c>
    </row>
    <row r="27" spans="1:12">
      <c r="A27" s="29">
        <v>1982</v>
      </c>
      <c r="B27" s="36">
        <v>8.9</v>
      </c>
      <c r="C27" s="37">
        <v>1</v>
      </c>
      <c r="D27" s="39">
        <v>44</v>
      </c>
      <c r="E27" s="40">
        <v>211.82666666666665</v>
      </c>
      <c r="F27" s="40" t="e">
        <f>VLOOKUP(MainData!$A30,FRYINDX,3)</f>
        <v>#NAME?</v>
      </c>
      <c r="G27" s="41" t="e">
        <f>VLOOKUP(MainData!$A30,FRYINDX,4)</f>
        <v>#NAME?</v>
      </c>
      <c r="H27" s="41" t="e">
        <f>VLOOKUP(MainData!$A30,FRYINDX,5)</f>
        <v>#NAME?</v>
      </c>
      <c r="I27" s="41" t="e">
        <f>VLOOKUP(MainData!$A30,FRYINDX,6)</f>
        <v>#NAME?</v>
      </c>
      <c r="J27" s="41" t="e">
        <f>VLOOKUP(MainData!$A30,FRYINDX,7)</f>
        <v>#NAME?</v>
      </c>
      <c r="K27" s="41" t="e">
        <f>VLOOKUP(MainData!$A30,FRYINDX,8)</f>
        <v>#NAME?</v>
      </c>
      <c r="L27" s="255" t="e">
        <f t="shared" si="0"/>
        <v>#NAME?</v>
      </c>
    </row>
    <row r="28" spans="1:12">
      <c r="A28" s="29">
        <v>1983</v>
      </c>
      <c r="B28" s="36">
        <v>9.1</v>
      </c>
      <c r="C28" s="37">
        <v>0.7</v>
      </c>
      <c r="D28" s="39">
        <v>28</v>
      </c>
      <c r="E28" s="40">
        <v>142.21</v>
      </c>
      <c r="F28" s="40" t="e">
        <f>VLOOKUP(MainData!$A31,FRYINDX,3)</f>
        <v>#NAME?</v>
      </c>
      <c r="G28" s="41" t="e">
        <f>VLOOKUP(MainData!$A31,FRYINDX,4)</f>
        <v>#NAME?</v>
      </c>
      <c r="H28" s="41" t="e">
        <f>VLOOKUP(MainData!$A31,FRYINDX,5)</f>
        <v>#NAME?</v>
      </c>
      <c r="I28" s="41" t="e">
        <f>VLOOKUP(MainData!$A31,FRYINDX,6)</f>
        <v>#NAME?</v>
      </c>
      <c r="J28" s="41" t="e">
        <f>VLOOKUP(MainData!$A31,FRYINDX,7)</f>
        <v>#NAME?</v>
      </c>
      <c r="K28" s="41" t="e">
        <f>VLOOKUP(MainData!$A31,FRYINDX,8)</f>
        <v>#NAME?</v>
      </c>
      <c r="L28" s="255" t="e">
        <f t="shared" si="0"/>
        <v>#NAME?</v>
      </c>
    </row>
    <row r="29" spans="1:12">
      <c r="A29" s="29">
        <v>1984</v>
      </c>
      <c r="B29" s="36">
        <v>6.7</v>
      </c>
      <c r="C29" s="37">
        <v>-0.8</v>
      </c>
      <c r="D29" s="39">
        <v>66</v>
      </c>
      <c r="E29" s="40">
        <v>328.55571428571426</v>
      </c>
      <c r="F29" s="40" t="e">
        <f>VLOOKUP(MainData!$A32,FRYINDX,3)</f>
        <v>#NAME?</v>
      </c>
      <c r="G29" s="41" t="e">
        <f>VLOOKUP(MainData!$A32,FRYINDX,4)</f>
        <v>#NAME?</v>
      </c>
      <c r="H29" s="41" t="e">
        <f>VLOOKUP(MainData!$A32,FRYINDX,5)</f>
        <v>#NAME?</v>
      </c>
      <c r="I29" s="41" t="e">
        <f>VLOOKUP(MainData!$A32,FRYINDX,6)</f>
        <v>#NAME?</v>
      </c>
      <c r="J29" s="41" t="e">
        <f>VLOOKUP(MainData!$A32,FRYINDX,7)</f>
        <v>#NAME?</v>
      </c>
      <c r="K29" s="41" t="e">
        <f>VLOOKUP(MainData!$A32,FRYINDX,8)</f>
        <v>#NAME?</v>
      </c>
      <c r="L29" s="255" t="e">
        <f t="shared" si="0"/>
        <v>#NAME?</v>
      </c>
    </row>
    <row r="30" spans="1:12">
      <c r="A30" s="29">
        <v>1985</v>
      </c>
      <c r="B30" s="36">
        <v>7.8</v>
      </c>
      <c r="C30" s="37">
        <v>-0.3</v>
      </c>
      <c r="D30" s="39">
        <v>31</v>
      </c>
      <c r="E30" s="40">
        <v>102.55</v>
      </c>
      <c r="F30" s="40" t="e">
        <f>VLOOKUP(MainData!$A33,FRYINDX,3)</f>
        <v>#NAME?</v>
      </c>
      <c r="G30" s="41" t="e">
        <f>VLOOKUP(MainData!$A33,FRYINDX,4)</f>
        <v>#NAME?</v>
      </c>
      <c r="H30" s="41" t="e">
        <f>VLOOKUP(MainData!$A33,FRYINDX,5)</f>
        <v>#NAME?</v>
      </c>
      <c r="I30" s="41" t="e">
        <f>VLOOKUP(MainData!$A33,FRYINDX,6)</f>
        <v>#NAME?</v>
      </c>
      <c r="J30" s="41" t="e">
        <f>VLOOKUP(MainData!$A33,FRYINDX,7)</f>
        <v>#NAME?</v>
      </c>
      <c r="K30" s="41" t="e">
        <f>VLOOKUP(MainData!$A33,FRYINDX,8)</f>
        <v>#NAME?</v>
      </c>
      <c r="L30" s="255" t="e">
        <f t="shared" si="0"/>
        <v>#NAME?</v>
      </c>
    </row>
    <row r="31" spans="1:12">
      <c r="A31" s="29">
        <v>1986</v>
      </c>
      <c r="B31" s="36">
        <v>7.8</v>
      </c>
      <c r="C31" s="37">
        <v>0.7</v>
      </c>
      <c r="D31" s="39">
        <v>22</v>
      </c>
      <c r="E31" s="40">
        <v>55.583333333333336</v>
      </c>
      <c r="F31" s="40" t="e">
        <f>VLOOKUP(MainData!$A34,FRYINDX,3)</f>
        <v>#NAME?</v>
      </c>
      <c r="G31" s="41" t="e">
        <f>VLOOKUP(MainData!$A34,FRYINDX,4)</f>
        <v>#NAME?</v>
      </c>
      <c r="H31" s="41" t="e">
        <f>VLOOKUP(MainData!$A34,FRYINDX,5)</f>
        <v>#NAME?</v>
      </c>
      <c r="I31" s="41" t="e">
        <f>VLOOKUP(MainData!$A34,FRYINDX,6)</f>
        <v>#NAME?</v>
      </c>
      <c r="J31" s="41" t="e">
        <f>VLOOKUP(MainData!$A34,FRYINDX,7)</f>
        <v>#NAME?</v>
      </c>
      <c r="K31" s="41" t="e">
        <f>VLOOKUP(MainData!$A34,FRYINDX,8)</f>
        <v>#NAME?</v>
      </c>
      <c r="L31" s="255" t="e">
        <f t="shared" si="0"/>
        <v>#NAME?</v>
      </c>
    </row>
    <row r="32" spans="1:12">
      <c r="A32" s="29">
        <v>1987</v>
      </c>
      <c r="B32" s="36">
        <v>8.4</v>
      </c>
      <c r="C32" s="37">
        <v>-0.3</v>
      </c>
      <c r="D32" s="39">
        <v>19</v>
      </c>
      <c r="E32" s="40">
        <v>54.008333333333333</v>
      </c>
      <c r="F32" s="40" t="e">
        <f>VLOOKUP(MainData!$A35,FRYINDX,3)</f>
        <v>#NAME?</v>
      </c>
      <c r="G32" s="41" t="e">
        <f>VLOOKUP(MainData!$A35,FRYINDX,4)</f>
        <v>#NAME?</v>
      </c>
      <c r="H32" s="41" t="e">
        <f>VLOOKUP(MainData!$A35,FRYINDX,5)</f>
        <v>#NAME?</v>
      </c>
      <c r="I32" s="41" t="e">
        <f>VLOOKUP(MainData!$A35,FRYINDX,6)</f>
        <v>#NAME?</v>
      </c>
      <c r="J32" s="41" t="e">
        <f>VLOOKUP(MainData!$A35,FRYINDX,7)</f>
        <v>#NAME?</v>
      </c>
      <c r="K32" s="41" t="e">
        <f>VLOOKUP(MainData!$A35,FRYINDX,8)</f>
        <v>#NAME?</v>
      </c>
      <c r="L32" s="255" t="e">
        <f t="shared" si="0"/>
        <v>#NAME?</v>
      </c>
    </row>
    <row r="33" spans="1:12">
      <c r="A33" s="29">
        <v>1988</v>
      </c>
      <c r="B33" s="36">
        <v>7.8</v>
      </c>
      <c r="C33" s="37">
        <v>0.1</v>
      </c>
      <c r="D33" s="39">
        <v>56</v>
      </c>
      <c r="E33" s="40">
        <v>304.17717391304348</v>
      </c>
      <c r="F33" s="40" t="e">
        <f>VLOOKUP(MainData!$A36,FRYINDX,3)</f>
        <v>#NAME?</v>
      </c>
      <c r="G33" s="41" t="e">
        <f>VLOOKUP(MainData!$A36,FRYINDX,4)</f>
        <v>#NAME?</v>
      </c>
      <c r="H33" s="41" t="e">
        <f>VLOOKUP(MainData!$A36,FRYINDX,5)</f>
        <v>#NAME?</v>
      </c>
      <c r="I33" s="41" t="e">
        <f>VLOOKUP(MainData!$A36,FRYINDX,6)</f>
        <v>#NAME?</v>
      </c>
      <c r="J33" s="41" t="e">
        <f>VLOOKUP(MainData!$A36,FRYINDX,7)</f>
        <v>#NAME?</v>
      </c>
      <c r="K33" s="41" t="e">
        <f>VLOOKUP(MainData!$A36,FRYINDX,8)</f>
        <v>#NAME?</v>
      </c>
      <c r="L33" s="255" t="e">
        <f t="shared" si="0"/>
        <v>#NAME?</v>
      </c>
    </row>
    <row r="34" spans="1:12">
      <c r="A34" s="29">
        <v>1989</v>
      </c>
      <c r="B34" s="36">
        <v>9.4</v>
      </c>
      <c r="C34" s="37">
        <v>0.7</v>
      </c>
      <c r="D34" s="39">
        <v>37</v>
      </c>
      <c r="E34" s="40">
        <v>92.525000000000006</v>
      </c>
      <c r="F34" s="40" t="e">
        <f>VLOOKUP(MainData!$A37,FRYINDX,3)</f>
        <v>#NAME?</v>
      </c>
      <c r="G34" s="41" t="e">
        <f>VLOOKUP(MainData!$A37,FRYINDX,4)</f>
        <v>#NAME?</v>
      </c>
      <c r="H34" s="41" t="e">
        <f>VLOOKUP(MainData!$A37,FRYINDX,5)</f>
        <v>#NAME?</v>
      </c>
      <c r="I34" s="41" t="e">
        <f>VLOOKUP(MainData!$A37,FRYINDX,6)</f>
        <v>#NAME?</v>
      </c>
      <c r="J34" s="41" t="e">
        <f>VLOOKUP(MainData!$A37,FRYINDX,7)</f>
        <v>#NAME?</v>
      </c>
      <c r="K34" s="41" t="e">
        <f>VLOOKUP(MainData!$A37,FRYINDX,8)</f>
        <v>#NAME?</v>
      </c>
      <c r="L34" s="255" t="e">
        <f t="shared" si="0"/>
        <v>#NAME?</v>
      </c>
    </row>
    <row r="35" spans="1:12">
      <c r="A35" s="29">
        <v>1990</v>
      </c>
      <c r="B35" s="36">
        <v>7.9</v>
      </c>
      <c r="C35" s="37">
        <v>-0.6</v>
      </c>
      <c r="D35" s="39">
        <v>4</v>
      </c>
      <c r="E35" s="40">
        <v>10.62</v>
      </c>
      <c r="F35" s="40" t="e">
        <f>VLOOKUP(MainData!$A38,FRYINDX,3)</f>
        <v>#NAME?</v>
      </c>
      <c r="G35" s="41" t="e">
        <f>VLOOKUP(MainData!$A38,FRYINDX,4)</f>
        <v>#NAME?</v>
      </c>
      <c r="H35" s="41" t="e">
        <f>VLOOKUP(MainData!$A38,FRYINDX,5)</f>
        <v>#NAME?</v>
      </c>
      <c r="I35" s="41" t="e">
        <f>VLOOKUP(MainData!$A38,FRYINDX,6)</f>
        <v>#NAME?</v>
      </c>
      <c r="J35" s="41" t="e">
        <f>VLOOKUP(MainData!$A38,FRYINDX,7)</f>
        <v>#NAME?</v>
      </c>
      <c r="K35" s="41" t="e">
        <f>VLOOKUP(MainData!$A38,FRYINDX,8)</f>
        <v>#NAME?</v>
      </c>
      <c r="L35" s="255" t="e">
        <f t="shared" si="0"/>
        <v>#NAME?</v>
      </c>
    </row>
    <row r="36" spans="1:12">
      <c r="A36" s="29">
        <v>1991</v>
      </c>
      <c r="B36" s="36">
        <v>8.8000000000000007</v>
      </c>
      <c r="C36" s="37">
        <v>0.4</v>
      </c>
      <c r="D36" s="39">
        <v>18</v>
      </c>
      <c r="E36" s="40">
        <v>40.980833333333337</v>
      </c>
      <c r="F36" s="40" t="e">
        <f>VLOOKUP(MainData!$A39,FRYINDX,3)</f>
        <v>#NAME?</v>
      </c>
      <c r="G36" s="41" t="e">
        <f>VLOOKUP(MainData!$A39,FRYINDX,4)</f>
        <v>#NAME?</v>
      </c>
      <c r="H36" s="41" t="e">
        <f>VLOOKUP(MainData!$A39,FRYINDX,5)</f>
        <v>#NAME?</v>
      </c>
      <c r="I36" s="41" t="e">
        <f>VLOOKUP(MainData!$A39,FRYINDX,6)</f>
        <v>#NAME?</v>
      </c>
      <c r="J36" s="41" t="e">
        <f>VLOOKUP(MainData!$A39,FRYINDX,7)</f>
        <v>#NAME?</v>
      </c>
      <c r="K36" s="41" t="e">
        <f>VLOOKUP(MainData!$A39,FRYINDX,8)</f>
        <v>#NAME?</v>
      </c>
      <c r="L36" s="255" t="e">
        <f t="shared" si="0"/>
        <v>#NAME?</v>
      </c>
    </row>
    <row r="37" spans="1:12">
      <c r="A37" s="29">
        <v>1992</v>
      </c>
      <c r="B37" s="36">
        <v>8.7899999999999991</v>
      </c>
      <c r="C37" s="37">
        <v>0.9</v>
      </c>
      <c r="D37" s="39">
        <v>10</v>
      </c>
      <c r="E37" s="40">
        <v>25.335000000000001</v>
      </c>
      <c r="F37" s="40">
        <v>74</v>
      </c>
      <c r="G37" s="41">
        <v>188</v>
      </c>
      <c r="H37" s="41">
        <v>269</v>
      </c>
      <c r="I37" s="41">
        <v>180</v>
      </c>
      <c r="J37" s="41">
        <v>90</v>
      </c>
      <c r="K37" s="41">
        <v>156</v>
      </c>
      <c r="L37" s="255">
        <f t="shared" si="0"/>
        <v>155.25</v>
      </c>
    </row>
    <row r="38" spans="1:12">
      <c r="A38" s="29">
        <v>1993</v>
      </c>
      <c r="B38" s="42"/>
      <c r="C38" s="37">
        <v>0.2</v>
      </c>
      <c r="D38" s="39">
        <v>32</v>
      </c>
      <c r="E38" s="40">
        <v>90.079365079365076</v>
      </c>
      <c r="F38" s="40">
        <v>69</v>
      </c>
      <c r="G38" s="41">
        <v>192</v>
      </c>
      <c r="H38" s="41">
        <v>325</v>
      </c>
      <c r="I38" s="41">
        <v>202</v>
      </c>
      <c r="J38" s="41">
        <v>361</v>
      </c>
      <c r="K38" s="41">
        <v>243</v>
      </c>
      <c r="L38" s="255">
        <f t="shared" si="0"/>
        <v>236.75</v>
      </c>
    </row>
    <row r="39" spans="1:12">
      <c r="A39" s="29">
        <v>1994</v>
      </c>
      <c r="B39" s="42"/>
      <c r="C39" s="43"/>
      <c r="D39" s="43"/>
      <c r="E39" s="43"/>
      <c r="F39" s="40" t="e">
        <f>VLOOKUP(MainData!$A42,FRYINDX,3)</f>
        <v>#NAME?</v>
      </c>
      <c r="G39" s="41" t="e">
        <f>VLOOKUP(MainData!$A42,FRYINDX,4)</f>
        <v>#NAME?</v>
      </c>
      <c r="H39" s="41" t="e">
        <f>VLOOKUP(MainData!$A42,FRYINDX,5)</f>
        <v>#NAME?</v>
      </c>
      <c r="I39" s="41" t="e">
        <f>VLOOKUP(MainData!$A42,FRYINDX,6)</f>
        <v>#NAME?</v>
      </c>
      <c r="J39" s="41" t="e">
        <f>VLOOKUP(MainData!$A42,FRYINDX,7)</f>
        <v>#NAME?</v>
      </c>
      <c r="K39" s="41" t="e">
        <f>VLOOKUP(MainData!$A42,FRYINDX,8)</f>
        <v>#NAME?</v>
      </c>
      <c r="L39" s="255" t="e">
        <f t="shared" si="0"/>
        <v>#NAME?</v>
      </c>
    </row>
    <row r="40" spans="1:12">
      <c r="A40" s="29">
        <v>1995</v>
      </c>
      <c r="B40" s="42"/>
      <c r="C40" s="43"/>
      <c r="D40" s="43"/>
      <c r="E40" s="43"/>
      <c r="F40" s="32"/>
      <c r="G40" s="3"/>
      <c r="H40" s="3"/>
      <c r="I40" s="3"/>
      <c r="J40" s="3"/>
      <c r="K40" s="3"/>
      <c r="L40" s="33"/>
    </row>
    <row r="41" spans="1:12">
      <c r="A41" s="29">
        <v>1996</v>
      </c>
      <c r="B41" s="42"/>
      <c r="C41" s="43"/>
      <c r="D41" s="43"/>
      <c r="E41" s="43"/>
      <c r="F41" s="32"/>
      <c r="G41" s="3"/>
      <c r="H41" s="3"/>
      <c r="I41" s="3"/>
      <c r="J41" s="3"/>
      <c r="K41" s="3"/>
      <c r="L41" s="33"/>
    </row>
    <row r="42" spans="1:12">
      <c r="A42" s="29">
        <v>1997</v>
      </c>
      <c r="B42" s="42"/>
      <c r="C42" s="43"/>
      <c r="D42" s="43"/>
      <c r="E42" s="43"/>
      <c r="F42" s="32"/>
      <c r="G42" s="3"/>
      <c r="H42" s="3"/>
      <c r="I42" s="3"/>
      <c r="J42" s="3"/>
      <c r="K42" s="3"/>
      <c r="L42" s="33"/>
    </row>
    <row r="43" spans="1:12">
      <c r="A43" s="29">
        <v>1998</v>
      </c>
      <c r="B43" s="42"/>
      <c r="C43" s="43"/>
      <c r="D43" s="43"/>
      <c r="E43" s="43"/>
      <c r="F43" s="32"/>
      <c r="G43" s="3"/>
      <c r="H43" s="3"/>
      <c r="I43" s="3"/>
      <c r="J43" s="3"/>
      <c r="K43" s="3"/>
      <c r="L43" s="33"/>
    </row>
    <row r="44" spans="1:12">
      <c r="A44" s="29">
        <v>1999</v>
      </c>
      <c r="B44" s="42"/>
      <c r="C44" s="43"/>
      <c r="D44" s="43"/>
      <c r="E44" s="43"/>
      <c r="F44" s="32"/>
      <c r="G44" s="3"/>
      <c r="H44" s="3"/>
      <c r="I44" s="3"/>
      <c r="J44" s="3"/>
      <c r="K44" s="3"/>
      <c r="L44" s="33"/>
    </row>
    <row r="45" spans="1:12">
      <c r="A45" s="29">
        <v>2000</v>
      </c>
      <c r="B45" s="42"/>
      <c r="C45" s="43"/>
      <c r="D45" s="43"/>
      <c r="E45" s="43"/>
      <c r="F45" s="32"/>
      <c r="G45" s="3"/>
      <c r="H45" s="3"/>
      <c r="I45" s="3"/>
      <c r="J45" s="3"/>
      <c r="K45" s="3"/>
      <c r="L45" s="33"/>
    </row>
    <row r="46" spans="1:12">
      <c r="B46" s="44"/>
      <c r="C46" s="21"/>
      <c r="D46" s="21"/>
      <c r="E46" s="21"/>
      <c r="F46" s="21"/>
      <c r="G46" s="45"/>
      <c r="H46" s="45"/>
      <c r="I46" s="45"/>
      <c r="J46" s="45"/>
      <c r="K46" s="45"/>
      <c r="L46" s="22"/>
    </row>
  </sheetData>
  <phoneticPr fontId="23"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29</vt:i4>
      </vt:variant>
    </vt:vector>
  </HeadingPairs>
  <TitlesOfParts>
    <vt:vector size="29" baseType="lpstr">
      <vt:lpstr>Read_Me</vt:lpstr>
      <vt:lpstr>Database</vt:lpstr>
      <vt:lpstr>Forecasts_Sum_Even</vt:lpstr>
      <vt:lpstr>Forecasts_Sum_Odd</vt:lpstr>
      <vt:lpstr>Performance 2-Yr average</vt:lpstr>
      <vt:lpstr>Performance Even</vt:lpstr>
      <vt:lpstr>Performance Odd</vt:lpstr>
      <vt:lpstr>Performance</vt:lpstr>
      <vt:lpstr>Lag1_Exp_smooth_Total Run Odd</vt:lpstr>
      <vt:lpstr>EvenRPS</vt:lpstr>
      <vt:lpstr>OddRPS</vt:lpstr>
      <vt:lpstr>Odd_Even</vt:lpstr>
      <vt:lpstr>Lag1_Exp_smooth_Total Run Even</vt:lpstr>
      <vt:lpstr>Evaluation_TOTAL_ODD_EVEN</vt:lpstr>
      <vt:lpstr>Exp_smoothing_w_damping_Total R</vt:lpstr>
      <vt:lpstr>Exp_smoothing damp_Tot odd</vt:lpstr>
      <vt:lpstr>Exp_smoothing damp_Tot_even</vt:lpstr>
      <vt:lpstr>Lag1_Exp_smoothing_Harvest</vt:lpstr>
      <vt:lpstr>Sensitivity Report 1</vt:lpstr>
      <vt:lpstr>Lag1_Exp_smoothing_Total Run</vt:lpstr>
      <vt:lpstr>MainData</vt:lpstr>
      <vt:lpstr>graphs</vt:lpstr>
      <vt:lpstr>Odd</vt:lpstr>
      <vt:lpstr>Even</vt:lpstr>
      <vt:lpstr>FryExclude89</vt:lpstr>
      <vt:lpstr>FryInclude89</vt:lpstr>
      <vt:lpstr>RegOut</vt:lpstr>
      <vt:lpstr>tval</vt:lpstr>
      <vt:lpstr>Storage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Forecast of PWS wild pink salmon</dc:title>
  <dc:creator>Steve Moffitt</dc:creator>
  <dc:description>Created by JW??</dc:description>
  <cp:lastModifiedBy>Eric Ward</cp:lastModifiedBy>
  <cp:lastPrinted>2010-12-21T20:44:35Z</cp:lastPrinted>
  <dcterms:created xsi:type="dcterms:W3CDTF">1998-11-24T20:35:54Z</dcterms:created>
  <dcterms:modified xsi:type="dcterms:W3CDTF">2015-09-29T19:20:21Z</dcterms:modified>
</cp:coreProperties>
</file>